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CEDURE — Verify a PDF" sheetId="1" state="visible" r:id="rId3"/>
    <sheet name="Grand Total — Combined (Jul 7)" sheetId="2" state="visible" r:id="rId4"/>
    <sheet name="D49 Attribution (corrected)" sheetId="3" state="visible" r:id="rId5"/>
    <sheet name="D49 Citywide — Missed Lines" sheetId="4" state="visible" r:id="rId6"/>
    <sheet name="D49 Evidence &amp; Pages" sheetId="5" state="visible" r:id="rId7"/>
    <sheet name="D49 Funding Finder" sheetId="6" state="visible" r:id="rId8"/>
    <sheet name="Missed Items — Pages (Jul 7)" sheetId="7" state="visible" r:id="rId9"/>
    <sheet name="EIN Census (Jul 7)" sheetId="8" state="visible" r:id="rId10"/>
    <sheet name="Grand Total" sheetId="9" state="visible" r:id="rId11"/>
    <sheet name="Source &amp; Search Guide" sheetId="10" state="visible" r:id="rId12"/>
    <sheet name="SI History FY23–27" sheetId="11" state="visible" r:id="rId13"/>
    <sheet name="SI History — Continuity" sheetId="12" state="visible" r:id="rId14"/>
    <sheet name="§254 SI Capital (Sec I)" sheetId="13" state="visible" r:id="rId15"/>
    <sheet name="§254 SI Non-City (II &amp; III)" sheetId="14" state="visible" r:id="rId16"/>
    <sheet name="Capital — By Sponsor Detail" sheetId="15" state="visible" r:id="rId17"/>
    <sheet name="Capital — Allocator" sheetId="16" state="visible" r:id="rId18"/>
    <sheet name="Capital — Category" sheetId="17" state="visible" r:id="rId19"/>
    <sheet name="Capital — Named Wins" sheetId="18" state="visible" r:id="rId20"/>
    <sheet name="MDI Pot Matrix" sheetId="19" state="visible" r:id="rId21"/>
    <sheet name="Speaker — Pool Items" sheetId="20" state="visible" r:id="rId22"/>
    <sheet name="Speaker — Designated Locals" sheetId="21" state="visible" r:id="rId23"/>
    <sheet name="Speaker — Untagged SI" sheetId="22" state="visible" r:id="rId24"/>
    <sheet name="Master Line Items" sheetId="23" state="visible" r:id="rId25"/>
    <sheet name="Citywide to SI" sheetId="24" state="visible" r:id="rId26"/>
    <sheet name="SI Delegation Pot (11)" sheetId="25" state="visible" r:id="rId27"/>
    <sheet name="Hanks — All Orgs (DB)" sheetId="26" state="visible" r:id="rId28"/>
    <sheet name="Carr — All Orgs (DB)" sheetId="27" state="visible" r:id="rId29"/>
    <sheet name="Morano — All Orgs (DB)" sheetId="28" state="visible" r:id="rId30"/>
    <sheet name="DB↔Schedule C Tie-Out" sheetId="29" state="visible" r:id="rId31"/>
    <sheet name="§254 Capital Structure" sheetId="30" state="visible" r:id="rId32"/>
    <sheet name="All CMs — Summary" sheetId="31" state="visible" r:id="rId33"/>
    <sheet name="All CMs — Org Register (DB)" sheetId="32" state="visible" r:id="rId34"/>
    <sheet name="Speaker Reconcile (Jul 7)" sheetId="33" state="visible" r:id="rId35"/>
    <sheet name="Citywide Reconcile (Jul 7)" sheetId="34" state="visible" r:id="rId36"/>
    <sheet name="Discrepancy Log (Jul 7)" sheetId="35" state="visible" r:id="rId37"/>
    <sheet name="Corrected Totals (Jul 7)" sheetId="36" state="visible" r:id="rId38"/>
    <sheet name="PDF Capital Detail" sheetId="37" state="visible" r:id="rId39"/>
    <sheet name="PDF Member Pots" sheetId="38" state="visible" r:id="rId40"/>
    <sheet name="PDF Citywide Lines" sheetId="39" state="visible" r:id="rId41"/>
    <sheet name="PDF Summary (as printed)" sheetId="40" state="visible" r:id="rId42"/>
    <sheet name="Hanks D49 FY25–27 (DB 7-7)" sheetId="41" state="visible" r:id="rId43"/>
    <sheet name="NS Wins — Summary (PDF)" sheetId="42" state="visible" r:id="rId44"/>
    <sheet name="NS Speaker Detail (PDF)" sheetId="43" state="visible" r:id="rId45"/>
    <sheet name="NS Capital Detail (PDF)" sheetId="44" state="visible" r:id="rId46"/>
    <sheet name="NS Deleg+CW Detail (PDF)" sheetId="45" state="visible" r:id="rId47"/>
    <sheet name="NS Reconcile (PDF↔WB)" sheetId="46" state="visible" r:id="rId48"/>
    <sheet name="NS Expense Detail (183 orgs)" sheetId="47" state="visible" r:id="rId49"/>
  </sheets>
  <definedNames>
    <definedName function="false" hidden="true" localSheetId="31" name="_xlnm._FilterDatabase" vbProcedure="false">'All CMs — Org Register (DB)'!$A$3:$F$7330</definedName>
    <definedName function="false" hidden="true" localSheetId="26" name="_xlnm._FilterDatabase" vbProcedure="false">'Carr — All Orgs (DB)'!$A$4:$E$159</definedName>
    <definedName function="false" hidden="true" localSheetId="25" name="_xlnm._FilterDatabase" vbProcedure="false">'Hanks — All Orgs (DB)'!$A$4:$E$201</definedName>
    <definedName function="false" hidden="true" localSheetId="22" name="_xlnm._FilterDatabase" vbProcedure="false">'Master Line Items'!$A$3:$H$595</definedName>
    <definedName function="false" hidden="true" localSheetId="27" name="_xlnm._FilterDatabase" vbProcedure="false">'Morano — All Orgs (DB)'!$A$4:$E$184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<sst xmlns="http://schemas.openxmlformats.org/spreadsheetml/2006/main" count="53690" uniqueCount="12073">
  <si>
    <t xml:space="preserve">STANDARD PROCEDURE — RECONCILING A NEW BUDGET PDF INTO THIS WORKBOOK</t>
  </si>
  <si>
    <t xml:space="preserve">Replicated from the FY27 North Shore Wins reconciliation (Jul 8). Run these steps for every new source document so all figures stay consistent and tie to a verifiable total.</t>
  </si>
  <si>
    <t xml:space="preserve">1</t>
  </si>
  <si>
    <t xml:space="preserve">EXTRACT EVERY LINE — pull all organization/project rows, not just section totals (pdfplumber, all pages). Capture pot/category, organization, program note, source page ref, and amount.</t>
  </si>
  <si>
    <t xml:space="preserve">2</t>
  </si>
  <si>
    <t xml:space="preserve">VERIFY INTERNAL ARITHMETIC FIRST — before trusting any figure, confirm each subtotal sums to what the PDF prints, and that the sections sum to the grand total. Only proceed once every subtotal ties to the penny.</t>
  </si>
  <si>
    <t xml:space="preserve">3</t>
  </si>
  <si>
    <t xml:space="preserve">CROSS-REFERENCE TO THE MASTER — match the new rows against Master Line Items at pot/org level. Identical row-count + identical dollars + matching pots = consistent. Label-only differences (e.g. "Aging" vs "Aging Discretionary") are noted, not corrected.</t>
  </si>
  <si>
    <t xml:space="preserve">4</t>
  </si>
  <si>
    <t xml:space="preserve">APPLY D49 ATTRIBUTION (location-first, per standing EIN policy) — for each row: resolve the organization's location. If the facility is physically in a D49 zip (10301/02/03/04/10) it is IN D49 even when funded via Speaker/Delegation/non-city channels. If out-of-district but the purpose text says "Council District 49," it is TO D49. Flag corrections with a ✎ and a citation.</t>
  </si>
  <si>
    <t xml:space="preserve">5</t>
  </si>
  <si>
    <t xml:space="preserve">LABEL THE PROVENANCE TIER — ADOPTED (printed record) / ADOPTED-IMPLEMENTATION (allocated, clearing) / DELIBERATIVE (pending verification) / CONTEXT. Never mix tiers in one total; never merge separate bases (e.g. North-Shore citywide subset vs full-SI citywide).</t>
  </si>
  <si>
    <t xml:space="preserve">6</t>
  </si>
  <si>
    <t xml:space="preserve">RECONCILE TO THE INDEPENDENT FIGURE — confirm the grand ties to any external check (e.g. the colleague's ChatGPT North Shore Total $35,903,925). A TIES ✓ formula records the match so it re-checks on every open.</t>
  </si>
  <si>
    <t xml:space="preserve">7</t>
  </si>
  <si>
    <t xml:space="preserve">LOG ANY SCOPE DIFFERENCES AS F-ITEMS — differences that are scope not error (e.g. F11 Speaker $900K North-Shore view vs $825K strict tag; F12 Delegation $7.0M NS vs $7,418,000 full-SI) go in the Discrepancy Log with a resolution note, so they are never mistaken for mistakes.</t>
  </si>
  <si>
    <t xml:space="preserve">8</t>
  </si>
  <si>
    <t xml:space="preserve">PROPAGATE EVERYWHERE — write the detail tab, update Master/Reconcile/Finder, and re-run recalc.py to confirm zero formula errors before shipping.</t>
  </si>
  <si>
    <t xml:space="preserve">RESULT STANDARD: every figure carries a source page, a provenance tier, and a D49 status; every subtotal ties by formula; and the grand reconciles to an independent total. This is the house method for all budget documents going forward.</t>
  </si>
  <si>
    <t xml:space="preserve">FY27 STATEN ISLAND — COMBINED GRAND TOTAL, ALL CHANGES APPLIED, TIED TO PDF</t>
  </si>
  <si>
    <t xml:space="preserve">Every figure below is a live formula pulling from the PDF detail tabs in this workbook. Column B = corrected (ruling F1). Column C = as printed in the All-Funding PDF. TIES checks confirm the numbers meet the PDF.</t>
  </si>
  <si>
    <t xml:space="preserve">SECTION 1 — CAPITAL (identical in both columns)</t>
  </si>
  <si>
    <t xml:space="preserve">Component</t>
  </si>
  <si>
    <t xml:space="preserve">Corrected</t>
  </si>
  <si>
    <t xml:space="preserve">As printed (PDF)</t>
  </si>
  <si>
    <t xml:space="preserve">Basis / source</t>
  </si>
  <si>
    <t xml:space="preserve">Hanks — 22 lines</t>
  </si>
  <si>
    <t xml:space="preserve">PDF Capital Detail tab, section total</t>
  </si>
  <si>
    <t xml:space="preserve">Carr — 34 lines</t>
  </si>
  <si>
    <t xml:space="preserve">PDF Capital Detail tab</t>
  </si>
  <si>
    <t xml:space="preserve">Morano — 30 lines</t>
  </si>
  <si>
    <t xml:space="preserve">SI Delegation — 3 lines</t>
  </si>
  <si>
    <t xml:space="preserve">Speaker (pure) — 5 lines incl. MA1004</t>
  </si>
  <si>
    <t xml:space="preserve">CAPITAL TOTAL</t>
  </si>
  <si>
    <t xml:space="preserve">PDF states $77,350,000</t>
  </si>
  <si>
    <t xml:space="preserve">SECTION 2 — EXPENSE</t>
  </si>
  <si>
    <t xml:space="preserve">Baseline CM allocated pots (45 rows)</t>
  </si>
  <si>
    <t xml:space="preserve">PDF Member Pots tab: Hanks $2,295,000 + Carr $2,270,000 + Morano $2,208,000</t>
  </si>
  <si>
    <t xml:space="preserve">Speaker initiatives — corrected (34 rows)</t>
  </si>
  <si>
    <t xml:space="preserve">Corrected = PDF $2,867,880 less Ulqin $25,000 + Project Hospitality $25,000 (ruling F1)</t>
  </si>
  <si>
    <t xml:space="preserve">Citywide initiatives (90 rows)</t>
  </si>
  <si>
    <t xml:space="preserve">PDF Citywide Lines tab</t>
  </si>
  <si>
    <t xml:space="preserve">EXPENSE TOTAL</t>
  </si>
  <si>
    <t xml:space="preserve">PDF states $17,982,347 (as-printed) · corrected $17,932,347</t>
  </si>
  <si>
    <t xml:space="preserve">SECTION 3 — GRAND TOTAL &amp; TIE TO PDF</t>
  </si>
  <si>
    <t xml:space="preserve">CAPITAL + EXPENSE — GRAND TOTAL</t>
  </si>
  <si>
    <t xml:space="preserve">PDF target — as printed</t>
  </si>
  <si>
    <t xml:space="preserve">All-Funding PDF, page 1: "All-In Total: $95,332,347"</t>
  </si>
  <si>
    <t xml:space="preserve">TIE CHECK — as printed vs PDF</t>
  </si>
  <si>
    <t xml:space="preserve">Corrected grand total (ruling F1 applied)</t>
  </si>
  <si>
    <t xml:space="preserve">Equals as-printed $95,332,347 less $50,000 (Ulqin + Project Hospitality out of Speaker)</t>
  </si>
  <si>
    <t xml:space="preserve">TIE CHECK — corrected = printed − $50,000</t>
  </si>
  <si>
    <t xml:space="preserve">SECTION 4 — BRIDGE: WORKBOOK BASIS → PDF BASIS (every dollar of difference accounted)</t>
  </si>
  <si>
    <t xml:space="preserve">Workbook printed SI grand total (Grand Total tab basis)</t>
  </si>
  <si>
    <t xml:space="preserve">Capital $77,350,000 + MDI $6,638,000 + Delegation $120,000 + Speaker $2,817,880 + other-CM MDI $92,000 + Citywide $6,553,360 + SU-CASA $90,000</t>
  </si>
  <si>
    <t xml:space="preserve">+ Citywide dollars in PDF basis only (13 org groups $1,603,107 + IlluminArt partial $75,000 − workbook-only row $10,000)</t>
  </si>
  <si>
    <t xml:space="preserve">Citywide Reconcile tab decomposition</t>
  </si>
  <si>
    <t xml:space="preserve">− Pot-allocation basis vs MDI-scan basis (pots $6,773,000 vs MDI $6,638,000 + other-CM $92,000 + SU-CASA $90,000 = $6,820,000)</t>
  </si>
  <si>
    <t xml:space="preserve">PDF counts pot allocations; workbook counts designated lines + DB items</t>
  </si>
  <si>
    <t xml:space="preserve">EQUALS: CORRECTED PDF-BASIS GRAND TOTAL</t>
  </si>
  <si>
    <t xml:space="preserve">+ Restore F1 rows (Ulqin $25,000 + Project Hospitality $25,000) → as printed</t>
  </si>
  <si>
    <t xml:space="preserve">TIE CHECK — bridge reproduces PDF printed total</t>
  </si>
  <si>
    <t xml:space="preserve">TIE CHECK — bridge corrected = Section 3 corrected</t>
  </si>
  <si>
    <t xml:space="preserve">Standing rule: the three bases (PDF as-printed, PDF corrected, workbook scan) remain separate measures. This tab exists to prove they meet — not to merge them. Official measures unchanged: A $74,812,000 · B $78,348,000 · C ≈$84,018,000.</t>
  </si>
  <si>
    <t xml:space="preserve">THE −$47,000 — DECOMPOSED AND RESOLVED (Jul 7, Hanks DB export)</t>
  </si>
  <si>
    <t xml:space="preserve">+ SU-CASA allocations counted in PDF pot basis ($45,000 × 3 members)</t>
  </si>
  <si>
    <t xml:space="preserve">− SU-CASA designated per July DB (Carr $45,000 + Morano $45,000)</t>
  </si>
  <si>
    <t xml:space="preserve">− Other-CM dollars reaching SI, invisible to a pots view (MAS Bklyn&amp;SI $85,000 + Vernikov→JCC Sunrise $7,000)</t>
  </si>
  <si>
    <t xml:space="preserve">EQUALSnet pot-basis vs scan-basis difference</t>
  </si>
  <si>
    <t xml:space="preserve">RESOLVED: the Hanks 07-07-26 designation export contains ZERO SU-CASA rows — the undesignated $45,000 is CM HANKS’S. Action: designate before the window closes. See D49 Funding Finder tab.</t>
  </si>
  <si>
    <t xml:space="preserve">DISTRICT 49 ATTRIBUTION — CORRECTED (Jul 8, per Omar) &amp; LOCATION-VERIFIED</t>
  </si>
  <si>
    <t xml:space="preserve">Applies three D49 corrections and re-combs every North Shore component for in-district location. North Shore Total $35,903,925 confirmed = colleague's ChatGPT figure.</t>
  </si>
  <si>
    <t xml:space="preserve">Amount</t>
  </si>
  <si>
    <t xml:space="preserve">Category</t>
  </si>
  <si>
    <t xml:space="preserve">Location / Evidence</t>
  </si>
  <si>
    <t xml:space="preserve">D49 status</t>
  </si>
  <si>
    <t xml:space="preserve">Hanks Expense — 183 base orgs</t>
  </si>
  <si>
    <t xml:space="preserve">MDI expense</t>
  </si>
  <si>
    <t xml:space="preserve">All rows tagged Council District 49</t>
  </si>
  <si>
    <t xml:space="preserve">IN D49</t>
  </si>
  <si>
    <t xml:space="preserve">Hanks SU-CASA</t>
  </si>
  <si>
    <t xml:space="preserve">Post-adoption; senior sites in D49</t>
  </si>
  <si>
    <t xml:space="preserve">IN D49 (undesignated flag)</t>
  </si>
  <si>
    <t xml:space="preserve">Speaker — NYCID Credible Messengers</t>
  </si>
  <si>
    <t xml:space="preserve">Speaker</t>
  </si>
  <si>
    <t xml:space="preserve">SI-wide, HQ New Brighton 10310</t>
  </si>
  <si>
    <t xml:space="preserve">Speaker — Chamber "49th Council District"</t>
  </si>
  <si>
    <t xml:space="preserve">CORRECTED: labeled 49th CD → Hanks/D49 (was blank sponsor)</t>
  </si>
  <si>
    <t xml:space="preserve">IN D49 ✎</t>
  </si>
  <si>
    <t xml:space="preserve">Speaker — Universal Temple Love In Bloom</t>
  </si>
  <si>
    <t xml:space="preserve">Stapleton 10304</t>
  </si>
  <si>
    <t xml:space="preserve">Speaker — On Your Mark</t>
  </si>
  <si>
    <t xml:space="preserve">Pleasant Plains — serves D49 program</t>
  </si>
  <si>
    <t xml:space="preserve">TO D49</t>
  </si>
  <si>
    <t xml:space="preserve">Speaker — Atlas Foundation</t>
  </si>
  <si>
    <t xml:space="preserve">West Brighton 10310</t>
  </si>
  <si>
    <t xml:space="preserve">Speaker — Dibra Community Org</t>
  </si>
  <si>
    <t xml:space="preserve">SI immigrant services</t>
  </si>
  <si>
    <t xml:space="preserve">Speaker — City Parks SummerStage CD49</t>
  </si>
  <si>
    <t xml:space="preserve">p.358 — explicitly CD49</t>
  </si>
  <si>
    <t xml:space="preserve">Speaker — JCC Social Adult Day Care</t>
  </si>
  <si>
    <t xml:space="preserve">p.392 — Stapleton</t>
  </si>
  <si>
    <t xml:space="preserve">Speaker — SI Immigrant Center</t>
  </si>
  <si>
    <t xml:space="preserve">p.441 — St. George</t>
  </si>
  <si>
    <t xml:space="preserve">Hanks Capital — 22 projects</t>
  </si>
  <si>
    <t xml:space="preserve">Capital</t>
  </si>
  <si>
    <t xml:space="preserve">All §254 projects in CD49</t>
  </si>
  <si>
    <t xml:space="preserve">Delegation Capital — Snug Harbor</t>
  </si>
  <si>
    <t xml:space="preserve">Delegation capital</t>
  </si>
  <si>
    <t xml:space="preserve">CORRECTED: 1000 Richmond Terrace 10301 → IN D49</t>
  </si>
  <si>
    <t xml:space="preserve">Delegation Capital — SI Zoo Perimeter</t>
  </si>
  <si>
    <t xml:space="preserve">CORRECTED: 614 Broadway 10310 → IN D49</t>
  </si>
  <si>
    <t xml:space="preserve">Non-City Capital — St. George Theatre</t>
  </si>
  <si>
    <t xml:space="preserve">Non-city capital</t>
  </si>
  <si>
    <t xml:space="preserve">CORRECTED: 35 Hyatt St 10301 → IN D49 (MA1004)</t>
  </si>
  <si>
    <t xml:space="preserve">D49-LOCATED SUBTOTAL (all directly in/to District 49)</t>
  </si>
  <si>
    <t xml:space="preserve">+ Citywide initiatives to D49/NS orgs (separate basis)</t>
  </si>
  <si>
    <t xml:space="preserve">EQUALS NORTH SHORE TOTAL</t>
  </si>
  <si>
    <t xml:space="preserve">ChatGPT / colleague figure $35,903,925 — tie check</t>
  </si>
  <si>
    <t xml:space="preserve">✎ = corrected D49 attribution this pass. Snug Harbor, SI Zoo, and St. George Theatre are all physically within District 49 (North Shore), so their capital is D49-located even though sponsored via Delegation/non-city channels. The $75K Chamber "49th Council District" speaker item is Hanks/D49 despite a blank sponsor tag.</t>
  </si>
  <si>
    <t xml:space="preserve">DISTRICT 49 CITYWIDE FUNDING — LINES BEYOND THE COLLEAGUE'S $2,108,925</t>
  </si>
  <si>
    <t xml:space="preserve">Colleague's 22-line figure is a defensible conservative floor (program-specific D49). This tab adds what his method missed, in two clearly-separated tiers so the two rules are never conflated.</t>
  </si>
  <si>
    <t xml:space="preserve">THE THREE DEFENSIBLE D49 CITYWIDE NUMBERS</t>
  </si>
  <si>
    <t xml:space="preserve">A · Colleague conservative — program names/serves D49 specifically (22 lines)</t>
  </si>
  <si>
    <t xml:space="preserve">FLOOR — safest for mailer/oversight</t>
  </si>
  <si>
    <t xml:space="preserve">B · + Tier 1: program-specific lines he missed by his own rule (2 lines)</t>
  </si>
  <si>
    <t xml:space="preserve">his rule, applied consistently</t>
  </si>
  <si>
    <t xml:space="preserve">C · + Tier 2: all D49-anchored orgs, any program scope (27 lines)</t>
  </si>
  <si>
    <t xml:space="preserve">org-location rule — broadest defensible</t>
  </si>
  <si>
    <t xml:space="preserve">TIER 1 — MISSED BY HIS OWN RULE (program explicitly names a D49 school)</t>
  </si>
  <si>
    <t xml:space="preserve">Organization / Program</t>
  </si>
  <si>
    <t xml:space="preserve">Initiative</t>
  </si>
  <si>
    <t xml:space="preserve">D49 marker</t>
  </si>
  <si>
    <t xml:space="preserve">Sundog Theatre, Inc. - Curtis High School (31R450)</t>
  </si>
  <si>
    <t xml:space="preserve">Violence Prevention and Intervention for Youth</t>
  </si>
  <si>
    <t xml:space="preserve">names a D49 school (Curtis HS / I.S. 49R)</t>
  </si>
  <si>
    <t xml:space="preserve">Sundog Theatre, Inc. - I.S. 49R Berta A. Dreyfus (31R049)</t>
  </si>
  <si>
    <t xml:space="preserve">TIER 1 SUBTOTAL</t>
  </si>
  <si>
    <t xml:space="preserve">TIER 2 — D49-ANCHORED ORG, BOROUGH/CITYWIDE PROGRAM SCOPE (org-location rule)</t>
  </si>
  <si>
    <t xml:space="preserve">These orgs are physically in D49 but the program serves the whole borough/city. Include only if using an org-location definition, not the program-scope rule.</t>
  </si>
  <si>
    <t xml:space="preserve">Organization</t>
  </si>
  <si>
    <t xml:space="preserve">D49 location</t>
  </si>
  <si>
    <t xml:space="preserve">Pride Center of Staten Island, Inc.</t>
  </si>
  <si>
    <t xml:space="preserve">LGBTQIA+ Community Services</t>
  </si>
  <si>
    <t xml:space="preserve">St. George 10301</t>
  </si>
  <si>
    <t xml:space="preserve">Community Health Action of Staten Island, Inc.</t>
  </si>
  <si>
    <t xml:space="preserve">HIV/AIDS Pathways to Care</t>
  </si>
  <si>
    <t xml:space="preserve">Opioid Prevention and Treatment</t>
  </si>
  <si>
    <t xml:space="preserve">Trans Equity Programs</t>
  </si>
  <si>
    <t xml:space="preserve">Richmond Medical Center</t>
  </si>
  <si>
    <t xml:space="preserve">Court-Involved Youth Mental Health Initiative</t>
  </si>
  <si>
    <t xml:space="preserve">Community Health Center of Richmond, Inc.</t>
  </si>
  <si>
    <t xml:space="preserve">Healthy Beginnings</t>
  </si>
  <si>
    <t xml:space="preserve">LGBTQIA+ Youth Support and Services</t>
  </si>
  <si>
    <t xml:space="preserve">Developmental, Psychological and Behavioral Health Services</t>
  </si>
  <si>
    <t xml:space="preserve">Staten Island Community Job Center, Inc.</t>
  </si>
  <si>
    <t xml:space="preserve">Culturally Specific Gender Based Violence</t>
  </si>
  <si>
    <t xml:space="preserve">Port Richmond 10302</t>
  </si>
  <si>
    <t xml:space="preserve">Project Hospitality, Inc.</t>
  </si>
  <si>
    <t xml:space="preserve">Initiative to Combat Sexual Assault</t>
  </si>
  <si>
    <t xml:space="preserve">LGBTQIA+ Older Adult Services in Every Borough</t>
  </si>
  <si>
    <t xml:space="preserve">African Refuge, Inc.</t>
  </si>
  <si>
    <t xml:space="preserve">Day Laborer Workforce Initiative</t>
  </si>
  <si>
    <t xml:space="preserve">Northfield Community LDC of Staten Island, Inc.</t>
  </si>
  <si>
    <t xml:space="preserve">Community Land Trust</t>
  </si>
  <si>
    <t xml:space="preserve">Access Health Initiative</t>
  </si>
  <si>
    <t xml:space="preserve">Viral Hepatitis Prevention</t>
  </si>
  <si>
    <t xml:space="preserve">MCCAP Initiative</t>
  </si>
  <si>
    <t xml:space="preserve">New York Center for Interpersonal Development, Inc.</t>
  </si>
  <si>
    <t xml:space="preserve">New Brighton 10310</t>
  </si>
  <si>
    <t xml:space="preserve">Children and Families in NYC Homeless System</t>
  </si>
  <si>
    <t xml:space="preserve">Staten Island Urban Center</t>
  </si>
  <si>
    <t xml:space="preserve">Young Women's Leadership Development</t>
  </si>
  <si>
    <t xml:space="preserve">Tompkinsville 10301</t>
  </si>
  <si>
    <t xml:space="preserve">Northfield Community LDC of Staten Island, Inc. - HPI</t>
  </si>
  <si>
    <t xml:space="preserve">Community Housing Preservation Strategies</t>
  </si>
  <si>
    <t xml:space="preserve">Northfield Community LDC of Staten Island, Inc. - CCC</t>
  </si>
  <si>
    <t xml:space="preserve">Food Access and Benefits</t>
  </si>
  <si>
    <t xml:space="preserve">Older Adults Mental Health</t>
  </si>
  <si>
    <t xml:space="preserve">Cancer Services</t>
  </si>
  <si>
    <t xml:space="preserve">Liberian Cultural Association, Inc.</t>
  </si>
  <si>
    <t xml:space="preserve">NYC RISE with Adult Literacy Forward</t>
  </si>
  <si>
    <t xml:space="preserve">Mariners Harbor 10303</t>
  </si>
  <si>
    <t xml:space="preserve">Camelot of Staten Island, Inc.</t>
  </si>
  <si>
    <t xml:space="preserve">Boroughwide Needs</t>
  </si>
  <si>
    <t xml:space="preserve">TIER 2 SUBTOTAL</t>
  </si>
  <si>
    <t xml:space="preserve">RECOMMENDATION: cite $2,108,925 (A) as the conservative "District 49 citywide wins" figure — every dollar is a program that names/serves D49, the safest claim. Use $5,807,090 (C) only for an internal "D49-anchored org" tally, always labeled as org-location basis. Never state a bare number without its rule.</t>
  </si>
  <si>
    <t xml:space="preserve">DISTRICT 49 — WHERE EVERY DOLLAR LIVES: SCHEDULE C PAGES, LOCATION, AND THE PRINTED D49 EVIDENCE</t>
  </si>
  <si>
    <t xml:space="preserve">Four channels, labeled separately. Expense channels locate in Schedule C by page; capital locates in Section 254 by CC/MA project ID (different document). Location from MOCS DB addresses; evidence quoted from CM Purpose / Program / printed org strings.</t>
  </si>
  <si>
    <t xml:space="preserve">A · HANKS FY27 MDI DESIGNATIONS — BY ORGANIZATION</t>
  </si>
  <si>
    <t xml:space="preserve">EIN</t>
  </si>
  <si>
    <t xml:space="preserve">FY27 $</t>
  </si>
  <si>
    <t xml:space="preserve">Sched C page(s)</t>
  </si>
  <si>
    <t xml:space="preserve">Zip</t>
  </si>
  <si>
    <t xml:space="preserve">Location classification</t>
  </si>
  <si>
    <t xml:space="preserve">Evidence keywords</t>
  </si>
  <si>
    <t xml:space="preserve">Evidence quote (CM Purpose / Program)</t>
  </si>
  <si>
    <t xml:space="preserve">Department of Parks and Recreation</t>
  </si>
  <si>
    <t xml:space="preserve">13-6400434</t>
  </si>
  <si>
    <t xml:space="preserve">App B p.107; App B p.110; App B p.111; App B p.112; App B p.62; App B p.63; App B p.64; App B p.65; App B p.66; App B p.67; App B p.69; p.112; p.191</t>
  </si>
  <si>
    <t xml:space="preserve">10007</t>
  </si>
  <si>
    <t xml:space="preserve">OUTSIDE SI — WORKING IN D49 (text evidence)</t>
  </si>
  <si>
    <t xml:space="preserve">port richmond</t>
  </si>
  <si>
    <t xml:space="preserve">…Funding will support Port Richmond High School (31R445) Parent Tenant Association. | Port Richmond High Sc…</t>
  </si>
  <si>
    <t xml:space="preserve">Staten Island Chamber of Commerce Foundati</t>
  </si>
  <si>
    <t xml:space="preserve">13-4069282</t>
  </si>
  <si>
    <t xml:space="preserve">App B p.136; p.115; p.214</t>
  </si>
  <si>
    <t xml:space="preserve">10314</t>
  </si>
  <si>
    <t xml:space="preserve">SI — OTHER DISTRICT AREA</t>
  </si>
  <si>
    <t xml:space="preserve">district 49, rosebank</t>
  </si>
  <si>
    <t xml:space="preserve">…ess Expo &amp; Rosebank Holiday Event in Council District 49. | Women in Business Expo &amp; Rosebank Holiday Event - Council District 49…</t>
  </si>
  <si>
    <t xml:space="preserve">Staten Island Economic Development Corpora</t>
  </si>
  <si>
    <t xml:space="preserve">13-3706442</t>
  </si>
  <si>
    <t xml:space="preserve">district 49</t>
  </si>
  <si>
    <t xml:space="preserve">…port clean ups and beautification in Council District 49 | Council District 49 | Staten Island Economic Development Corporation…</t>
  </si>
  <si>
    <t xml:space="preserve">Community Agency for Senior Citizens, Inc.</t>
  </si>
  <si>
    <t xml:space="preserve">13-3263537</t>
  </si>
  <si>
    <t xml:space="preserve">App A p.6; p.176; p.77</t>
  </si>
  <si>
    <t xml:space="preserve">10301</t>
  </si>
  <si>
    <t xml:space="preserve">LOCATED IN D49 (North Shore zip)</t>
  </si>
  <si>
    <t xml:space="preserve">…tywide domestic violence services. | Council District 49 | Community Agency for Senior Citizens, Inc.…</t>
  </si>
  <si>
    <t xml:space="preserve">New York Center for Interpersonal Developm</t>
  </si>
  <si>
    <t xml:space="preserve">23-7085239</t>
  </si>
  <si>
    <t xml:space="preserve">PDF p.58 (member listing)</t>
  </si>
  <si>
    <t xml:space="preserve">…rt the Credible Messenger program in Council District 49. | Council District 49 | New York Center for Interpersonal Development, I…</t>
  </si>
  <si>
    <t xml:space="preserve">Dr. Theodore A. Atlas Foundation, Inc.</t>
  </si>
  <si>
    <t xml:space="preserve">13-4012789</t>
  </si>
  <si>
    <t xml:space="preserve">App B p.70; App C p.163; PDF p.12 (member listing)</t>
  </si>
  <si>
    <t xml:space="preserve">10310</t>
  </si>
  <si>
    <t xml:space="preserve">…ion and turkey giveaways services in Council District 49. | Food Distribution - Council District 49 | Dr. Theodore A. Atlas Founda…</t>
  </si>
  <si>
    <t xml:space="preserve">City Parks Foundation</t>
  </si>
  <si>
    <t xml:space="preserve">13-3561657</t>
  </si>
  <si>
    <t xml:space="preserve">App B p.54; p.100; p.189</t>
  </si>
  <si>
    <t xml:space="preserve">10065</t>
  </si>
  <si>
    <t xml:space="preserve">…CityParks Learn &amp; CityParks Build - Council District 49 | City Parks Foundation…</t>
  </si>
  <si>
    <t xml:space="preserve">Catholic Charities of Staten Island</t>
  </si>
  <si>
    <t xml:space="preserve">13-5562286</t>
  </si>
  <si>
    <t xml:space="preserve">App A p.5; p.175</t>
  </si>
  <si>
    <t xml:space="preserve">10309</t>
  </si>
  <si>
    <t xml:space="preserve">…derson Neighborhood Senior Center in Council District 49. | Anderson Neighborhood Older Adult Center | Catholic Charities of State…</t>
  </si>
  <si>
    <t xml:space="preserve">Justice Innovation, Inc.</t>
  </si>
  <si>
    <t xml:space="preserve">85-2810883</t>
  </si>
  <si>
    <t xml:space="preserve">App C p.174; p.81</t>
  </si>
  <si>
    <t xml:space="preserve">10018</t>
  </si>
  <si>
    <t xml:space="preserve">…tywide domestic violence services. | Council District 49 | Justice Innovation, Inc.…</t>
  </si>
  <si>
    <t xml:space="preserve">Jewish Community Center of Staten Island, </t>
  </si>
  <si>
    <t xml:space="preserve">13-5562256</t>
  </si>
  <si>
    <t xml:space="preserve">App A p.14; p.103; p.180; p.67</t>
  </si>
  <si>
    <t xml:space="preserve">stapleton</t>
  </si>
  <si>
    <t xml:space="preserve">…ng will support programs and services at the Stapleton Older Adult Center. | Stapleton Older Adult Center | Jewish Community Cente…</t>
  </si>
  <si>
    <t xml:space="preserve">Snug Harbor Cultural Center and Botanical </t>
  </si>
  <si>
    <t xml:space="preserve">80-0193388</t>
  </si>
  <si>
    <t xml:space="preserve">p.106; p.56; p.70</t>
  </si>
  <si>
    <t xml:space="preserve">district 49, snug harbor</t>
  </si>
  <si>
    <t xml:space="preserve">…ce Development &amp; Education Program - Council District 49 | Snug Harbor Cultural Center and Botanical Garden…</t>
  </si>
  <si>
    <t xml:space="preserve">Association of Community Employment Progra</t>
  </si>
  <si>
    <t xml:space="preserve">13-3846431</t>
  </si>
  <si>
    <t xml:space="preserve">p.189</t>
  </si>
  <si>
    <t xml:space="preserve">11101</t>
  </si>
  <si>
    <t xml:space="preserve">…eer groups. | Tappen Park Clean Up - Council District 49 | Association of Community Employment Programs for the Homeless, Inc.…</t>
  </si>
  <si>
    <t xml:space="preserve">Ballroom Basix USA, Inc.</t>
  </si>
  <si>
    <t xml:space="preserve">27-3218865</t>
  </si>
  <si>
    <t xml:space="preserve">App B p.35; p.32; p.61</t>
  </si>
  <si>
    <t xml:space="preserve">10035</t>
  </si>
  <si>
    <t xml:space="preserve">…to support programming in Public School 020R Port Richmond (31R020). | Public School 020R Port Richmond (31R020) | Ballroom Basix…</t>
  </si>
  <si>
    <t xml:space="preserve">Staten Island Institute of Arts and Scienc</t>
  </si>
  <si>
    <t xml:space="preserve">13-5564127</t>
  </si>
  <si>
    <t xml:space="preserve">p.56; p.57</t>
  </si>
  <si>
    <t xml:space="preserve">West Brighton Community Local Development </t>
  </si>
  <si>
    <t xml:space="preserve">13-3046424</t>
  </si>
  <si>
    <t xml:space="preserve">App B p.145; p.15; p.215</t>
  </si>
  <si>
    <t xml:space="preserve">west brighton</t>
  </si>
  <si>
    <t xml:space="preserve">…mall Business Technical Assistance Program | West Brighton Community Local Development Corporation…</t>
  </si>
  <si>
    <t xml:space="preserve">Citizens Committee for New York City, Inc.</t>
  </si>
  <si>
    <t xml:space="preserve">51-0171818</t>
  </si>
  <si>
    <t xml:space="preserve">PDF p.10 (member listing); p.100</t>
  </si>
  <si>
    <t xml:space="preserve">…spaces, and other vital resources. | Council District 49 | Citizens Committee for New York City, Inc.…</t>
  </si>
  <si>
    <t xml:space="preserve">Staten Island Community Services Friendshi</t>
  </si>
  <si>
    <t xml:space="preserve">13-2778244</t>
  </si>
  <si>
    <t xml:space="preserve">App A p.23; p.185</t>
  </si>
  <si>
    <t xml:space="preserve">10308</t>
  </si>
  <si>
    <t xml:space="preserve">Canvas Institute</t>
  </si>
  <si>
    <t xml:space="preserve">82-4902021</t>
  </si>
  <si>
    <t xml:space="preserve">p.35; p.63</t>
  </si>
  <si>
    <t xml:space="preserve">…that focus on immigrant heritages. | Council District 49 | Canvas Institute…</t>
  </si>
  <si>
    <t xml:space="preserve">Children's Aid Society, The</t>
  </si>
  <si>
    <t xml:space="preserve">13-5562191</t>
  </si>
  <si>
    <t xml:space="preserve">App C p.159; p.36</t>
  </si>
  <si>
    <t xml:space="preserve">10027</t>
  </si>
  <si>
    <t xml:space="preserve">OUTSIDE SI — NO EXPLICIT D49 TEXT</t>
  </si>
  <si>
    <t xml:space="preserve">IlluminArt Productions</t>
  </si>
  <si>
    <t xml:space="preserve">42-1727647</t>
  </si>
  <si>
    <t xml:space="preserve">p.41; p.66</t>
  </si>
  <si>
    <t xml:space="preserve">National Lighthouse Museum</t>
  </si>
  <si>
    <t xml:space="preserve">13-4055215</t>
  </si>
  <si>
    <t xml:space="preserve">p.49; p.68</t>
  </si>
  <si>
    <t xml:space="preserve">Roundabout Theatre Company, Inc.</t>
  </si>
  <si>
    <t xml:space="preserve">13-6192346</t>
  </si>
  <si>
    <t xml:space="preserve">App B p.130; p.55</t>
  </si>
  <si>
    <t xml:space="preserve">…to students through after-school programs. | Port Richmond High School (31R445) | Roundabout Theatre Company, Inc.…</t>
  </si>
  <si>
    <t xml:space="preserve">Universal Temple of the Arts, Inc.</t>
  </si>
  <si>
    <t xml:space="preserve">13-3335286</t>
  </si>
  <si>
    <t xml:space="preserve">p.72</t>
  </si>
  <si>
    <t xml:space="preserve">…that focus on immigrant heritages. | Council District 49 | Universal Temple of the Arts, Inc.…</t>
  </si>
  <si>
    <t xml:space="preserve">Staten Island Industrial Alliance/Northsho</t>
  </si>
  <si>
    <t xml:space="preserve">92-2412852</t>
  </si>
  <si>
    <t xml:space="preserve">p.15</t>
  </si>
  <si>
    <t xml:space="preserve">10303</t>
  </si>
  <si>
    <t xml:space="preserve">…services. | Workforce Training Hub - Council District 49 | Staten Island Industrial Alliance/Northshore Leadership Alliance Corp.…</t>
  </si>
  <si>
    <t xml:space="preserve">Lifestyles for the Disabled, Inc.</t>
  </si>
  <si>
    <t xml:space="preserve">13-3740011</t>
  </si>
  <si>
    <t xml:space="preserve">App A p.15; App B p.94; p.181</t>
  </si>
  <si>
    <t xml:space="preserve">…t the Serving Our Seniors program in Council District 49. | Serving Our Seniors - Council District 49 | Lifestyles for the Disable…</t>
  </si>
  <si>
    <t xml:space="preserve">Legal Services NYC</t>
  </si>
  <si>
    <t xml:space="preserve">13-2600199</t>
  </si>
  <si>
    <t xml:space="preserve">p.82</t>
  </si>
  <si>
    <t xml:space="preserve">…tywide domestic violence services. | Council District 49 | Legal Services NYC…</t>
  </si>
  <si>
    <t xml:space="preserve">Seamen's Society for Children and Families</t>
  </si>
  <si>
    <t xml:space="preserve">13-5563010</t>
  </si>
  <si>
    <t xml:space="preserve">p.87</t>
  </si>
  <si>
    <t xml:space="preserve">…tywide domestic violence services. | Council District 49 | Seamen's Society for Children and Families…</t>
  </si>
  <si>
    <t xml:space="preserve">Center For Hope Services, Inc.</t>
  </si>
  <si>
    <t xml:space="preserve">88-2507208</t>
  </si>
  <si>
    <t xml:space="preserve">10305</t>
  </si>
  <si>
    <t xml:space="preserve">D49 EDGE — 10305 (verify block)</t>
  </si>
  <si>
    <t xml:space="preserve">…ort the Age-Friendly Care program in Council District 49. | Age-Friendly Care Program - Council District 49 | Center For Hope Serv…</t>
  </si>
  <si>
    <t xml:space="preserve">On Your Mark, Inc.</t>
  </si>
  <si>
    <t xml:space="preserve">13-3128315</t>
  </si>
  <si>
    <t xml:space="preserve">Center for Educational Innovation</t>
  </si>
  <si>
    <t xml:space="preserve">13-4113613</t>
  </si>
  <si>
    <t xml:space="preserve">p.36</t>
  </si>
  <si>
    <t xml:space="preserve">10017</t>
  </si>
  <si>
    <t xml:space="preserve">Marquis Studios, Ltd.</t>
  </si>
  <si>
    <t xml:space="preserve">13-3047206</t>
  </si>
  <si>
    <t xml:space="preserve">p.44</t>
  </si>
  <si>
    <t xml:space="preserve">11201</t>
  </si>
  <si>
    <t xml:space="preserve">Noel Pointer Foundation, Inc.</t>
  </si>
  <si>
    <t xml:space="preserve">11-3271472</t>
  </si>
  <si>
    <t xml:space="preserve">p.50</t>
  </si>
  <si>
    <t xml:space="preserve">11216</t>
  </si>
  <si>
    <t xml:space="preserve">Projectivity Group, Inc.</t>
  </si>
  <si>
    <t xml:space="preserve">47-5358971</t>
  </si>
  <si>
    <t xml:space="preserve">p.51</t>
  </si>
  <si>
    <t xml:space="preserve">Staten Island Children's Museum</t>
  </si>
  <si>
    <t xml:space="preserve">23-7379930</t>
  </si>
  <si>
    <t xml:space="preserve">p.56</t>
  </si>
  <si>
    <t xml:space="preserve">Staten Island Philharmonic Orchestra, Inc.</t>
  </si>
  <si>
    <t xml:space="preserve">20-2732542</t>
  </si>
  <si>
    <t xml:space="preserve">p.57</t>
  </si>
  <si>
    <t xml:space="preserve">…to students through after-school programs. | Port Richmond High School (31R445) | Staten Island Philharmonic Orchestra, Inc.…</t>
  </si>
  <si>
    <t xml:space="preserve">Sundog Theatre, Inc.</t>
  </si>
  <si>
    <t xml:space="preserve">45-0476945</t>
  </si>
  <si>
    <t xml:space="preserve">p.58</t>
  </si>
  <si>
    <t xml:space="preserve">TADA! Theatre and Dance Alliance, Inc.</t>
  </si>
  <si>
    <t xml:space="preserve">13-3311294</t>
  </si>
  <si>
    <t xml:space="preserve">10001</t>
  </si>
  <si>
    <t xml:space="preserve">Casa Belvedere, The Italian Cultural Found</t>
  </si>
  <si>
    <t xml:space="preserve">26-4411728</t>
  </si>
  <si>
    <t xml:space="preserve">App B p.48; p.63</t>
  </si>
  <si>
    <t xml:space="preserve">…vedere. | Nonno's Community Garden - Council District 49 | Casa Belvedere, The Italian Cultural Foundation…</t>
  </si>
  <si>
    <t xml:space="preserve">Mouse, Inc.</t>
  </si>
  <si>
    <t xml:space="preserve">13-3973196</t>
  </si>
  <si>
    <t xml:space="preserve">p.12</t>
  </si>
  <si>
    <t xml:space="preserve">10004</t>
  </si>
  <si>
    <t xml:space="preserve">PowerMyLearning, Inc.</t>
  </si>
  <si>
    <t xml:space="preserve">13-3935309</t>
  </si>
  <si>
    <t xml:space="preserve">p.14</t>
  </si>
  <si>
    <t xml:space="preserve">10003</t>
  </si>
  <si>
    <t xml:space="preserve">Community Health Action of Staten Island, </t>
  </si>
  <si>
    <t xml:space="preserve">13-3556132</t>
  </si>
  <si>
    <t xml:space="preserve">p.78</t>
  </si>
  <si>
    <t xml:space="preserve">…tywide domestic violence services. | Council District 49 | Community Health Action of Staten Island, Inc.…</t>
  </si>
  <si>
    <t xml:space="preserve">Legal Aid Society</t>
  </si>
  <si>
    <t xml:space="preserve">13-5562265</t>
  </si>
  <si>
    <t xml:space="preserve">10038</t>
  </si>
  <si>
    <t xml:space="preserve">…tywide domestic violence services. | Council District 49 | Legal Aid Society…</t>
  </si>
  <si>
    <t xml:space="preserve">Metropolitan New York Coordinating Council</t>
  </si>
  <si>
    <t xml:space="preserve">13-2738818</t>
  </si>
  <si>
    <t xml:space="preserve">p.83</t>
  </si>
  <si>
    <t xml:space="preserve">…tywide domestic violence services. | Council District 49 | Metropolitan New York Coordinating Council on Jewish Poverty, Inc.…</t>
  </si>
  <si>
    <t xml:space="preserve">Grace Foundation of New York</t>
  </si>
  <si>
    <t xml:space="preserve">13-4131863</t>
  </si>
  <si>
    <t xml:space="preserve">App B p.79</t>
  </si>
  <si>
    <t xml:space="preserve">…ll support programs and services for Council District 49 constituents. | Council District 49 | Grace Foundation of New York…</t>
  </si>
  <si>
    <t xml:space="preserve">Richmond County Orchestra, Inc.</t>
  </si>
  <si>
    <t xml:space="preserve">13-4063615</t>
  </si>
  <si>
    <t xml:space="preserve">App B p.128</t>
  </si>
  <si>
    <t xml:space="preserve">10304</t>
  </si>
  <si>
    <t xml:space="preserve">Staten Island Zoological Society, Inc.</t>
  </si>
  <si>
    <t xml:space="preserve">13-5680691</t>
  </si>
  <si>
    <t xml:space="preserve">App B p.137</t>
  </si>
  <si>
    <t xml:space="preserve">51-0567466</t>
  </si>
  <si>
    <t xml:space="preserve">p.176</t>
  </si>
  <si>
    <t xml:space="preserve">10302</t>
  </si>
  <si>
    <t xml:space="preserve">…strict-based older adult services. | Council District 49 | Community Health Center of Richmond, Inc.…</t>
  </si>
  <si>
    <t xml:space="preserve">New York City H2O</t>
  </si>
  <si>
    <t xml:space="preserve">45-3860014</t>
  </si>
  <si>
    <t xml:space="preserve">App B p.106; p.104</t>
  </si>
  <si>
    <t xml:space="preserve">10009</t>
  </si>
  <si>
    <t xml:space="preserve">…Ecology &amp; Engineering Programming - Council District 49 | New York City H2O…</t>
  </si>
  <si>
    <t xml:space="preserve">Waterfront Alliance, Inc.</t>
  </si>
  <si>
    <t xml:space="preserve">13-4355067</t>
  </si>
  <si>
    <t xml:space="preserve">p.106</t>
  </si>
  <si>
    <t xml:space="preserve">…sources. | Education &amp; Programming - Council District 49 | Waterfront Alliance, Inc.…</t>
  </si>
  <si>
    <t xml:space="preserve">Eden II School for Autistic Children, Inc.</t>
  </si>
  <si>
    <t xml:space="preserve">13-2872916</t>
  </si>
  <si>
    <t xml:space="preserve">App B p.72; App C p.164</t>
  </si>
  <si>
    <t xml:space="preserve">…ort to the Family Support Program in Council District 49. | Family Support Program - Council District 49 | Eden II School for Auti…</t>
  </si>
  <si>
    <t xml:space="preserve">Literacy Partners, Inc.</t>
  </si>
  <si>
    <t xml:space="preserve">51-0180665</t>
  </si>
  <si>
    <t xml:space="preserve">App B p.94</t>
  </si>
  <si>
    <t xml:space="preserve">…Funding to support programming in Council District 49. | Council District 49 | Literacy Partners, Inc.…</t>
  </si>
  <si>
    <t xml:space="preserve">Kresischer Mansion Historical Preservation</t>
  </si>
  <si>
    <t xml:space="preserve">33-3459695</t>
  </si>
  <si>
    <t xml:space="preserve">App C p.175</t>
  </si>
  <si>
    <t xml:space="preserve">PowerPlay NYC, Inc.</t>
  </si>
  <si>
    <t xml:space="preserve">13-4045021</t>
  </si>
  <si>
    <t xml:space="preserve">App C p.183</t>
  </si>
  <si>
    <t xml:space="preserve">10005</t>
  </si>
  <si>
    <t xml:space="preserve">…ls for Success (STARS) initiative in Council District 49. | Sports Training and Role-models for Success (STARS) | PowerPlay NYC, I…</t>
  </si>
  <si>
    <t xml:space="preserve">Staten Island Hurricanes Organization, Inc</t>
  </si>
  <si>
    <t xml:space="preserve">87-1793853</t>
  </si>
  <si>
    <t xml:space="preserve">App C p.187</t>
  </si>
  <si>
    <t xml:space="preserve">…Staten Island Youth Football Team. | Council District 49 | Staten Island Hurricanes Organization, Inc.…</t>
  </si>
  <si>
    <t xml:space="preserve">Billion Oyster Project, Inc.</t>
  </si>
  <si>
    <t xml:space="preserve">27-2918478</t>
  </si>
  <si>
    <t xml:space="preserve">p.99</t>
  </si>
  <si>
    <t xml:space="preserve">Friends of Alice Austen House, Inc.</t>
  </si>
  <si>
    <t xml:space="preserve">13-3248928</t>
  </si>
  <si>
    <t xml:space="preserve">p.65</t>
  </si>
  <si>
    <t xml:space="preserve">…on immigrant heritages. | Public School 020R Port Richmond (31R020) | Friends of Alice Austen House, Inc.…</t>
  </si>
  <si>
    <t xml:space="preserve">Midtown Management Group, Inc.</t>
  </si>
  <si>
    <t xml:space="preserve">13-3192793</t>
  </si>
  <si>
    <t xml:space="preserve">p.68</t>
  </si>
  <si>
    <t xml:space="preserve">10036</t>
  </si>
  <si>
    <t xml:space="preserve">Noble Maritime Collection, The</t>
  </si>
  <si>
    <t xml:space="preserve">13-3351673</t>
  </si>
  <si>
    <t xml:space="preserve">p.69</t>
  </si>
  <si>
    <t xml:space="preserve">Jewish Board of Family and Children's Serv</t>
  </si>
  <si>
    <t xml:space="preserve">13-5564937</t>
  </si>
  <si>
    <t xml:space="preserve">p.81</t>
  </si>
  <si>
    <t xml:space="preserve">46-3358895</t>
  </si>
  <si>
    <t xml:space="preserve">p.86</t>
  </si>
  <si>
    <t xml:space="preserve">…tywide domestic violence services. | Council District 49 | Pride Center of Staten Island, Inc.…</t>
  </si>
  <si>
    <t xml:space="preserve">A Chance In Life</t>
  </si>
  <si>
    <t xml:space="preserve">13-1835632</t>
  </si>
  <si>
    <t xml:space="preserve">App B p.27</t>
  </si>
  <si>
    <t xml:space="preserve">…uth center and community services in Council District 49. | Council District 49 | A Chance In Life…</t>
  </si>
  <si>
    <t xml:space="preserve">Bee U, Inc.</t>
  </si>
  <si>
    <t xml:space="preserve">88-1156617</t>
  </si>
  <si>
    <t xml:space="preserve">App B p.36</t>
  </si>
  <si>
    <t xml:space="preserve">…rt community workshops and visits in Council District 49. | Community Workshops - Council District 49 | Bee U, Inc.…</t>
  </si>
  <si>
    <t xml:space="preserve">City University of New York</t>
  </si>
  <si>
    <t xml:space="preserve">13-3893536</t>
  </si>
  <si>
    <t xml:space="preserve">App B p.54</t>
  </si>
  <si>
    <t xml:space="preserve">…rtnership Student Success Program in Council District 49. | College of Staten Island - Liberty Partnership Student Success Program…</t>
  </si>
  <si>
    <t xml:space="preserve">Jeremiah Program</t>
  </si>
  <si>
    <t xml:space="preserve">41-1801834</t>
  </si>
  <si>
    <t xml:space="preserve">App B p.87</t>
  </si>
  <si>
    <t xml:space="preserve">11217</t>
  </si>
  <si>
    <t xml:space="preserve">district 49, north shore</t>
  </si>
  <si>
    <t xml:space="preserve">…orth Shore Single Mother Students in Council District 49. |  | Jeremiah Program…</t>
  </si>
  <si>
    <t xml:space="preserve">Maker Park Radio, Inc.</t>
  </si>
  <si>
    <t xml:space="preserve">82-1397822</t>
  </si>
  <si>
    <t xml:space="preserve">App B p.96</t>
  </si>
  <si>
    <t xml:space="preserve">…SonicLab program and other events in Council District 49. | Council District 49 | Maker Park Radio, Inc.…</t>
  </si>
  <si>
    <t xml:space="preserve">Friends of Abandoned Cemeteries, Inc.</t>
  </si>
  <si>
    <t xml:space="preserve">13-3176456</t>
  </si>
  <si>
    <t xml:space="preserve">p.113</t>
  </si>
  <si>
    <t xml:space="preserve">…to maintain abandoned cemeteries. | Council District 49 | Friends of Abandoned Cemeteries, Inc.…</t>
  </si>
  <si>
    <t xml:space="preserve">Silver Mount Cemetery Association, Inc.</t>
  </si>
  <si>
    <t xml:space="preserve">13-5579013</t>
  </si>
  <si>
    <t xml:space="preserve">p.115</t>
  </si>
  <si>
    <t xml:space="preserve">Fund for the City of New York, Inc.</t>
  </si>
  <si>
    <t xml:space="preserve">13-2612524</t>
  </si>
  <si>
    <t xml:space="preserve">p.194</t>
  </si>
  <si>
    <t xml:space="preserve">11691</t>
  </si>
  <si>
    <t xml:space="preserve">Meals on Wheels of Staten Island, Inc.</t>
  </si>
  <si>
    <t xml:space="preserve">13-2894978</t>
  </si>
  <si>
    <t xml:space="preserve">p.181</t>
  </si>
  <si>
    <t xml:space="preserve">…strict-based older adult services. | Council District 49 | Meals on Wheels of Staten Island, Inc.…</t>
  </si>
  <si>
    <t xml:space="preserve">Eagle Academy Foundation, Inc.</t>
  </si>
  <si>
    <t xml:space="preserve">20-1532382</t>
  </si>
  <si>
    <t xml:space="preserve">App C p.164</t>
  </si>
  <si>
    <t xml:space="preserve">…he Eagles Soaring Beyond programs in Council District 49. | Post-Secondary Success Initiative (PSSI) &amp; Eagles Soaring Beyond (ESB)…</t>
  </si>
  <si>
    <t xml:space="preserve">Integrated Athletic Initiative Corp</t>
  </si>
  <si>
    <t xml:space="preserve">87-3354678</t>
  </si>
  <si>
    <t xml:space="preserve">App C p.172</t>
  </si>
  <si>
    <t xml:space="preserve">…h programs and services for youth in Council District 49. | Council District 49  | Integrated Athletic Initiative Corp…</t>
  </si>
  <si>
    <t xml:space="preserve">Mrs. Fairy Grandz, Inc.</t>
  </si>
  <si>
    <t xml:space="preserve">33-1833069</t>
  </si>
  <si>
    <t xml:space="preserve">PDF p.16 (member listing)</t>
  </si>
  <si>
    <t xml:space="preserve">NO ADDRESS IN DB</t>
  </si>
  <si>
    <t xml:space="preserve">…and homeless prevention services in Council District 49. | Council District 49 | Mrs. Fairy Grandz, Inc.…</t>
  </si>
  <si>
    <t xml:space="preserve">University of Notre Dame Alumni Club of St</t>
  </si>
  <si>
    <t xml:space="preserve">31-1344537</t>
  </si>
  <si>
    <t xml:space="preserve">PDF p.21 (member listing)</t>
  </si>
  <si>
    <t xml:space="preserve">district 49, 49th</t>
  </si>
  <si>
    <t xml:space="preserve">…strict. | Bread of Life Food Drive - Council District 49. | University of Notre Dame Alumni Club of Staten Island…</t>
  </si>
  <si>
    <t xml:space="preserve">Arab-American Family Support Center, Inc.,</t>
  </si>
  <si>
    <t xml:space="preserve">11-3167245</t>
  </si>
  <si>
    <t xml:space="preserve">p.76</t>
  </si>
  <si>
    <t xml:space="preserve">…ices. | Domestic Violence Services - Council District 49 | Arab-American Family Support Center, Inc., The…</t>
  </si>
  <si>
    <t xml:space="preserve">Art Lab, Inc.</t>
  </si>
  <si>
    <t xml:space="preserve">13-2977495</t>
  </si>
  <si>
    <t xml:space="preserve">App B p.33</t>
  </si>
  <si>
    <t xml:space="preserve">…ing will support community events in Council District 49. | Community Events - Council District 49 | Art Lab, Inc.…</t>
  </si>
  <si>
    <t xml:space="preserve">Emergency Children's Help Organization, In</t>
  </si>
  <si>
    <t xml:space="preserve">11-3828185</t>
  </si>
  <si>
    <t xml:space="preserve">App B p.73</t>
  </si>
  <si>
    <t xml:space="preserve">…sistance programming and services in Council District 49. | Emergency Assistance Program - Council District 49 | Emergency Childre…</t>
  </si>
  <si>
    <t xml:space="preserve">Forest Avenue District Management Associat</t>
  </si>
  <si>
    <t xml:space="preserve">14-1933279</t>
  </si>
  <si>
    <t xml:space="preserve">App B p.75</t>
  </si>
  <si>
    <t xml:space="preserve">…ty outreach programs and services in Council District 49. | Council District 49 | Forest Avenue District Management Association, I…</t>
  </si>
  <si>
    <t xml:space="preserve">Garibaldi-Meucci Museum</t>
  </si>
  <si>
    <t xml:space="preserve">06-1725844</t>
  </si>
  <si>
    <t xml:space="preserve">App B p.78</t>
  </si>
  <si>
    <t xml:space="preserve">Northeast Corridor Freedom Network, Inc.</t>
  </si>
  <si>
    <t xml:space="preserve">41-2828867</t>
  </si>
  <si>
    <t xml:space="preserve">App B p.115</t>
  </si>
  <si>
    <t xml:space="preserve">07878</t>
  </si>
  <si>
    <t xml:space="preserve">…o support historical preservation in Council District 49. | Council District 49  | Northeast Corridor Freedom Network, Inc.…</t>
  </si>
  <si>
    <t xml:space="preserve">Port Richmond CERT &amp; Rescue, Inc.</t>
  </si>
  <si>
    <t xml:space="preserve">20-5073806</t>
  </si>
  <si>
    <t xml:space="preserve">App B p.120</t>
  </si>
  <si>
    <t xml:space="preserve">district 49, port richmond</t>
  </si>
  <si>
    <t xml:space="preserve">…upport various emergency services in Council District 49. | Council District 49 | Port Richmond CERT &amp; Rescue, Inc.…</t>
  </si>
  <si>
    <t xml:space="preserve">Staten Island Sports Hall of Fame, Inc.</t>
  </si>
  <si>
    <t xml:space="preserve">13-3833390</t>
  </si>
  <si>
    <t xml:space="preserve">10312</t>
  </si>
  <si>
    <t xml:space="preserve">Van Duzer Street Area Civic Association</t>
  </si>
  <si>
    <t xml:space="preserve">20-0818886</t>
  </si>
  <si>
    <t xml:space="preserve">App B p.142</t>
  </si>
  <si>
    <t xml:space="preserve">…g, Toy Giveaway, and Light Parade in Council District 49. | Annual Holiday Tree Lighting, Toy Giveaway &amp; Staten Island Light Parad…</t>
  </si>
  <si>
    <t xml:space="preserve">Young Airmans Association, The</t>
  </si>
  <si>
    <t xml:space="preserve">83-2005292</t>
  </si>
  <si>
    <t xml:space="preserve">App B p.148</t>
  </si>
  <si>
    <t xml:space="preserve">11692</t>
  </si>
  <si>
    <t xml:space="preserve">…ding to support youth instruction in Council District 49. | Youth Instruction - Council District 49  | Young Airmans Association,…</t>
  </si>
  <si>
    <t xml:space="preserve">Boy Scouts of America - Greater New York C</t>
  </si>
  <si>
    <t xml:space="preserve">13-1624015</t>
  </si>
  <si>
    <t xml:space="preserve">App C p.155</t>
  </si>
  <si>
    <t xml:space="preserve">10022</t>
  </si>
  <si>
    <t xml:space="preserve">…e Scouting and Exploring programs in Council District 49. | Scouting &amp; Exploring - Council District 49 | Boy Scouts of America - G…</t>
  </si>
  <si>
    <t xml:space="preserve">Hish Family</t>
  </si>
  <si>
    <t xml:space="preserve">92-2127573</t>
  </si>
  <si>
    <t xml:space="preserve">App C p.171</t>
  </si>
  <si>
    <t xml:space="preserve">…To support youth programming in Council District 49. | Council District 49  | Hish Family…</t>
  </si>
  <si>
    <t xml:space="preserve">Police Athletic League, Inc.</t>
  </si>
  <si>
    <t xml:space="preserve">13-5596811</t>
  </si>
  <si>
    <t xml:space="preserve">…t community youth recreation days in Council District 49. | Community Youth Sports, Culture &amp; Recreation - Council District 49 | P…</t>
  </si>
  <si>
    <t xml:space="preserve">Read Alliance, Inc.</t>
  </si>
  <si>
    <t xml:space="preserve">13-4091062</t>
  </si>
  <si>
    <t xml:space="preserve">App C p.184</t>
  </si>
  <si>
    <t xml:space="preserve">…l Year and Summer READing program in Council District 49. | School Year &amp; Summer READing Program - Council District 49 | Read Alli…</t>
  </si>
  <si>
    <t xml:space="preserve">Soroptimist International Association Club</t>
  </si>
  <si>
    <t xml:space="preserve">20-0895316</t>
  </si>
  <si>
    <t xml:space="preserve">App C p.186</t>
  </si>
  <si>
    <t xml:space="preserve">…t the Dream It, Be It programming in Council District 49. | Dream It, Be It Program | Soroptimist International Association Club o…</t>
  </si>
  <si>
    <t xml:space="preserve">Student Leadership Network, Inc.</t>
  </si>
  <si>
    <t xml:space="preserve">06-1517218</t>
  </si>
  <si>
    <t xml:space="preserve">…port the College Bound Initiative in Council District 49. | College Bound Initiative (CBI) | Student Leadership Network, Inc.…</t>
  </si>
  <si>
    <t xml:space="preserve">Wagner College</t>
  </si>
  <si>
    <t xml:space="preserve">13-5604699</t>
  </si>
  <si>
    <t xml:space="preserve">App C p.190</t>
  </si>
  <si>
    <t xml:space="preserve">Young Men's Christian Association of Great</t>
  </si>
  <si>
    <t xml:space="preserve">13-1624228</t>
  </si>
  <si>
    <t xml:space="preserve">App C p.192</t>
  </si>
  <si>
    <t xml:space="preserve">10023</t>
  </si>
  <si>
    <t xml:space="preserve">SECTION A TOTAL — 91 organizations</t>
  </si>
  <si>
    <t xml:space="preserve">ties DB FY27 $2,250,000</t>
  </si>
  <si>
    <t xml:space="preserve">B · SPEAKER ITEMS TO SI (34 retained) — SPONSOR TAG IS THE D49/SI RATIONALE</t>
  </si>
  <si>
    <t xml:space="preserve">Organization — Program</t>
  </si>
  <si>
    <t xml:space="preserve">EIN/page</t>
  </si>
  <si>
    <t xml:space="preserve">Sched C page</t>
  </si>
  <si>
    <t xml:space="preserve">Why considered</t>
  </si>
  <si>
    <t xml:space="preserve">Sponsor tag</t>
  </si>
  <si>
    <t xml:space="preserve">African Refuge, Inc. - Community and Police Mental H</t>
  </si>
  <si>
    <t xml:space="preserve">Speaker itemization (PDF p.260)</t>
  </si>
  <si>
    <t xml:space="preserve">SI-serving org, untagged sponsor · org located in D49 zip 10304</t>
  </si>
  <si>
    <t xml:space="preserve">untagged — SI-serving</t>
  </si>
  <si>
    <t xml:space="preserve">Canvas Institute - Media mentorship programs for loc</t>
  </si>
  <si>
    <t xml:space="preserve">—</t>
  </si>
  <si>
    <t xml:space="preserve">SI Delegation-sponsored → borough-wide · org located in D49 zip 10301</t>
  </si>
  <si>
    <t xml:space="preserve">Staten Island</t>
  </si>
  <si>
    <t xml:space="preserve">Carl V. Bini Memorial Fund, The</t>
  </si>
  <si>
    <t xml:space="preserve">Morano-sponsored → their district</t>
  </si>
  <si>
    <t xml:space="preserve">Morano</t>
  </si>
  <si>
    <t xml:space="preserve">City University of New York - College of Staten Isla</t>
  </si>
  <si>
    <t xml:space="preserve">Speaker itemization (PDF p.267)</t>
  </si>
  <si>
    <t xml:space="preserve">SI-serving org, untagged sponsor · org zip 10065</t>
  </si>
  <si>
    <t xml:space="preserve">Dibra Community Organization, Inc.</t>
  </si>
  <si>
    <t xml:space="preserve">Speaker itemization (PDF p.270)</t>
  </si>
  <si>
    <t xml:space="preserve">Hanks-sponsored → direct D49</t>
  </si>
  <si>
    <t xml:space="preserve">Hanks</t>
  </si>
  <si>
    <t xml:space="preserve">Hanks-sponsored → direct D49 · org located in D49 zip 10310</t>
  </si>
  <si>
    <t xml:space="preserve">Eden II School for Autistic Children, Inc. - Family </t>
  </si>
  <si>
    <t xml:space="preserve">Carr, Morano-sponsored → their district · org located in D49 zip 10304</t>
  </si>
  <si>
    <t xml:space="preserve">Carr, Morano</t>
  </si>
  <si>
    <t xml:space="preserve">Jewish Community Center of Staten Island, Inc. - Sen</t>
  </si>
  <si>
    <t xml:space="preserve">Carr-sponsored → their district · org zip 10314</t>
  </si>
  <si>
    <t xml:space="preserve">Carr</t>
  </si>
  <si>
    <t xml:space="preserve">Jewish Community Council of Greater Coney Island, In</t>
  </si>
  <si>
    <t xml:space="preserve">Speaker itemization (PDF p.277)</t>
  </si>
  <si>
    <t xml:space="preserve">SI-serving org, untagged sponsor</t>
  </si>
  <si>
    <t xml:space="preserve">Lifestyles for the Disabled, Inc. - Adaptive Sports </t>
  </si>
  <si>
    <t xml:space="preserve">Speaker itemization (PDF p.278)</t>
  </si>
  <si>
    <t xml:space="preserve">New York Center for Interpersonal Development, Inc. </t>
  </si>
  <si>
    <t xml:space="preserve">Speaker itemization (PDF p.281)</t>
  </si>
  <si>
    <t xml:space="preserve">Hanks-sponsored → direct D49 · org located in D49 zip 10301</t>
  </si>
  <si>
    <t xml:space="preserve">Speaker itemization (PDF p.284)</t>
  </si>
  <si>
    <t xml:space="preserve">LGBTQIA+-sponsored → their district · org zip 10305</t>
  </si>
  <si>
    <t xml:space="preserve">LGBTQIA+</t>
  </si>
  <si>
    <t xml:space="preserve">Carr-sponsored → their district · org zip 10305</t>
  </si>
  <si>
    <t xml:space="preserve">Richmond Medical Center - Elizabeth W. Pouch Center </t>
  </si>
  <si>
    <t xml:space="preserve">Speaker itemization (PDF p.286)</t>
  </si>
  <si>
    <t xml:space="preserve">Staten Island Chamber of Commerce Foundation, Inc.</t>
  </si>
  <si>
    <t xml:space="preserve">Speaker itemization (PDF p.288)</t>
  </si>
  <si>
    <t xml:space="preserve">SI Delegation-sponsored → borough-wide · org zip 10314</t>
  </si>
  <si>
    <t xml:space="preserve">Staten Island Chamber of Commerce Foundation, Inc. -</t>
  </si>
  <si>
    <t xml:space="preserve">SI-serving org, untagged sponsor · org zip 10314</t>
  </si>
  <si>
    <t xml:space="preserve">SI-serving org, untagged sponsor · org located in D49 zip 10301</t>
  </si>
  <si>
    <t xml:space="preserve">Staten Island Economic Development Corporation - Eco</t>
  </si>
  <si>
    <t xml:space="preserve">Morano, Staten Island</t>
  </si>
  <si>
    <t xml:space="preserve">Staten Island Little League, Inc.</t>
  </si>
  <si>
    <t xml:space="preserve">Carr-sponsored → their district</t>
  </si>
  <si>
    <t xml:space="preserve">Staten Island Zoological Society, Inc. - Education P</t>
  </si>
  <si>
    <t xml:space="preserve">Speaker itemization (PDF p.289)</t>
  </si>
  <si>
    <t xml:space="preserve">SI Delegation-sponsored → borough-wide · org located in D49 zip 10310</t>
  </si>
  <si>
    <t xml:space="preserve">Carr, Morano, Staten Island</t>
  </si>
  <si>
    <t xml:space="preserve">Staten Island Zoological Society, Inc. - SCI Network</t>
  </si>
  <si>
    <t xml:space="preserve">SI-serving org, untagged sponsor · org located in D49 zip 10310</t>
  </si>
  <si>
    <t xml:space="preserve">United Activities Unlimited, Inc. - Summer Camp</t>
  </si>
  <si>
    <t xml:space="preserve">SI Delegation-sponsored → borough-wide</t>
  </si>
  <si>
    <t xml:space="preserve">Carr, Staten Island</t>
  </si>
  <si>
    <t xml:space="preserve">Universal Temple of the Arts, Inc. - Love In Bloom</t>
  </si>
  <si>
    <t xml:space="preserve">Speaker itemization (PDF p.290)</t>
  </si>
  <si>
    <t xml:space="preserve">City Parks Foundation - SummerStage, CityParks Play </t>
  </si>
  <si>
    <t xml:space="preserve">Hanks-sponsored → direct D49 · org zip 10065</t>
  </si>
  <si>
    <t xml:space="preserve">Department of Sanitation</t>
  </si>
  <si>
    <t xml:space="preserve">Jewish Community Center of Staten Island, Inc. - 202</t>
  </si>
  <si>
    <t xml:space="preserve">Jewish Community Center of Staten Island, Inc. - Soc</t>
  </si>
  <si>
    <t xml:space="preserve">Hanks-sponsored → direct D49 · org zip 10314</t>
  </si>
  <si>
    <t xml:space="preserve">Richmond Medical Center - SAFE Program</t>
  </si>
  <si>
    <t xml:space="preserve">South Shore District Management Association, Inc.</t>
  </si>
  <si>
    <t xml:space="preserve">Staten Island Historical Society - Historic Richmond</t>
  </si>
  <si>
    <t xml:space="preserve">App B p.136</t>
  </si>
  <si>
    <t xml:space="preserve">Staten Island Immigrant Center, Inc.</t>
  </si>
  <si>
    <t xml:space="preserve">SECTION B TOTAL — ties corrected Speaker $2,817,880 (Hanks-tagged rows highlighted = $825,000)</t>
  </si>
  <si>
    <t xml:space="preserve">C · CITYWIDE-TO-SI (80 lines incl. 26 added) — PRINTED RATIONALE COLUMN IS THE "WHY"</t>
  </si>
  <si>
    <t xml:space="preserve">Sched C page / target</t>
  </si>
  <si>
    <t xml:space="preserve">Why considered (printed basis)</t>
  </si>
  <si>
    <t xml:space="preserve">Chinese American Planning Council, Inc. – To Serve Sta</t>
  </si>
  <si>
    <t xml:space="preserve">AAPI Community Support</t>
  </si>
  <si>
    <t xml:space="preserve">p.6</t>
  </si>
  <si>
    <t xml:space="preserve">Citywide org (Manhattan HQ) — printed “To Serve Staten Island”</t>
  </si>
  <si>
    <t xml:space="preserve">Jewish Community Center of Staten Island, Inc.</t>
  </si>
  <si>
    <t xml:space="preserve">Adult Literacy Initiative</t>
  </si>
  <si>
    <t xml:space="preserve">p.18</t>
  </si>
  <si>
    <t xml:space="preserve">SI-based org</t>
  </si>
  <si>
    <t xml:space="preserve">Artificial Intelligence Communit</t>
  </si>
  <si>
    <t xml:space="preserve">p.7</t>
  </si>
  <si>
    <t xml:space="preserve">Autism Awareness</t>
  </si>
  <si>
    <t xml:space="preserve">p.156</t>
  </si>
  <si>
    <t xml:space="preserve">p.122</t>
  </si>
  <si>
    <t xml:space="preserve">Chamber on the Go and Small Busi</t>
  </si>
  <si>
    <t xml:space="preserve">p.204</t>
  </si>
  <si>
    <t xml:space="preserve">Citywide Young Adult Entrepreneu</t>
  </si>
  <si>
    <t xml:space="preserve">p.227</t>
  </si>
  <si>
    <t xml:space="preserve">Coalition Theaters of Color</t>
  </si>
  <si>
    <t xml:space="preserve">p.29</t>
  </si>
  <si>
    <t xml:space="preserve">Snug Harbor Cultural Center &amp; Botanical Garden</t>
  </si>
  <si>
    <t xml:space="preserve">Community Composting at Cultural</t>
  </si>
  <si>
    <t xml:space="preserve">p.108</t>
  </si>
  <si>
    <t xml:space="preserve">Northfield Community LDC of Staten Island, Inc. – HPI</t>
  </si>
  <si>
    <t xml:space="preserve">Community Housing Preservation S</t>
  </si>
  <si>
    <t xml:space="preserve">p.134</t>
  </si>
  <si>
    <t xml:space="preserve">Northfield Community LDC of Staten Island, Inc. – CCC</t>
  </si>
  <si>
    <t xml:space="preserve">La Colmena NYC, Inc.</t>
  </si>
  <si>
    <t xml:space="preserve">Community Interpreter Bank</t>
  </si>
  <si>
    <t xml:space="preserve">p.8</t>
  </si>
  <si>
    <t xml:space="preserve">Staten Island Immigrant Center – To Serve Staten Islan</t>
  </si>
  <si>
    <t xml:space="preserve">United Chinese Association of Brooklyn – To Serve Stat</t>
  </si>
  <si>
    <t xml:space="preserve">Brooklyn org — printed “To Serve Staten Island”</t>
  </si>
  <si>
    <t xml:space="preserve">p.135</t>
  </si>
  <si>
    <t xml:space="preserve">Construction Site Safety Trainin</t>
  </si>
  <si>
    <t xml:space="preserve">p.205</t>
  </si>
  <si>
    <t xml:space="preserve">Court-Involved Youth Mental Heal</t>
  </si>
  <si>
    <t xml:space="preserve">p.158</t>
  </si>
  <si>
    <t xml:space="preserve">School 019R The Curtis School (31R019) Northern Manhat</t>
  </si>
  <si>
    <t xml:space="preserve">Cultural Immigrant Initiative</t>
  </si>
  <si>
    <t xml:space="preserve">Manhattan org — SI school program (31R019 Curtis)</t>
  </si>
  <si>
    <t xml:space="preserve">Culturally Specific Gender Based</t>
  </si>
  <si>
    <t xml:space="preserve">p.222</t>
  </si>
  <si>
    <t xml:space="preserve">La Colmena, Inc.</t>
  </si>
  <si>
    <t xml:space="preserve">p.206</t>
  </si>
  <si>
    <t xml:space="preserve">Developmental, Psychological and</t>
  </si>
  <si>
    <t xml:space="preserve">Elie Wiesel Holocaust Survivors</t>
  </si>
  <si>
    <t xml:space="preserve">p.167</t>
  </si>
  <si>
    <t xml:space="preserve">Five Borough Chamber Alliance</t>
  </si>
  <si>
    <t xml:space="preserve">p.207</t>
  </si>
  <si>
    <t xml:space="preserve">p.124</t>
  </si>
  <si>
    <t xml:space="preserve">p.123</t>
  </si>
  <si>
    <t xml:space="preserve">Immigrant Rights Workshops</t>
  </si>
  <si>
    <t xml:space="preserve">p.145</t>
  </si>
  <si>
    <t xml:space="preserve">Initiative to Combat Sexual Assa</t>
  </si>
  <si>
    <t xml:space="preserve">p.24</t>
  </si>
  <si>
    <t xml:space="preserve">p.17</t>
  </si>
  <si>
    <t xml:space="preserve">LGBTQIA+ Older Adult Services in</t>
  </si>
  <si>
    <t xml:space="preserve">p.168</t>
  </si>
  <si>
    <t xml:space="preserve">LGBTQIA+ Youth Support and Servi</t>
  </si>
  <si>
    <t xml:space="preserve">p.228</t>
  </si>
  <si>
    <t xml:space="preserve">Legal Services for AAPI Communit</t>
  </si>
  <si>
    <t xml:space="preserve">p.147</t>
  </si>
  <si>
    <t xml:space="preserve">Legal Services for Day Laborers </t>
  </si>
  <si>
    <t xml:space="preserve">p.148</t>
  </si>
  <si>
    <t xml:space="preserve">p.125</t>
  </si>
  <si>
    <t xml:space="preserve">West Brighton Community Local Development Corporation</t>
  </si>
  <si>
    <t xml:space="preserve">MWBE Leadership Associations</t>
  </si>
  <si>
    <t xml:space="preserve">p.209</t>
  </si>
  <si>
    <t xml:space="preserve">Jewish Community Center of Staten Island, Inc. – Stapl</t>
  </si>
  <si>
    <t xml:space="preserve">Naturally Occurring Retirement C</t>
  </si>
  <si>
    <t xml:space="preserve">p.169</t>
  </si>
  <si>
    <t xml:space="preserve">Older Adult Centers, Programs, a</t>
  </si>
  <si>
    <t xml:space="preserve">p.170</t>
  </si>
  <si>
    <t xml:space="preserve">p.162</t>
  </si>
  <si>
    <t xml:space="preserve">p.163</t>
  </si>
  <si>
    <t xml:space="preserve">Social Adult Day Care</t>
  </si>
  <si>
    <t xml:space="preserve">p.171</t>
  </si>
  <si>
    <t xml:space="preserve">Support for Victims of Human Tra</t>
  </si>
  <si>
    <t xml:space="preserve">p.25</t>
  </si>
  <si>
    <t xml:space="preserve">p.20</t>
  </si>
  <si>
    <t xml:space="preserve">Violence Prevention and Interven</t>
  </si>
  <si>
    <t xml:space="preserve">p.201</t>
  </si>
  <si>
    <t xml:space="preserve">IlluminArt Productions – Port Richmond High School (31</t>
  </si>
  <si>
    <t xml:space="preserve">IlluminArt Productions – Susan E. Wagner High School (</t>
  </si>
  <si>
    <t xml:space="preserve">Sundog Theatre, Inc. – Curtis High School (31R450)</t>
  </si>
  <si>
    <t xml:space="preserve">p.202</t>
  </si>
  <si>
    <t xml:space="preserve">Sundog Theatre, Inc. – Intermediate School 49R - Berta</t>
  </si>
  <si>
    <t xml:space="preserve">p.127</t>
  </si>
  <si>
    <t xml:space="preserve">Welcome NYC</t>
  </si>
  <si>
    <t xml:space="preserve">p.151</t>
  </si>
  <si>
    <t xml:space="preserve">Young Women's Leadership Develop</t>
  </si>
  <si>
    <t xml:space="preserve">p.225</t>
  </si>
  <si>
    <t xml:space="preserve">Albanian-American Association of Ulqin, Inc.</t>
  </si>
  <si>
    <t xml:space="preserve">p.151 (sibling: Dibra p.151)</t>
  </si>
  <si>
    <t xml:space="preserve">ADDED Jul 7 — PDF basis; confirm printed designation at page target</t>
  </si>
  <si>
    <t xml:space="preserve">Dibra Community Organization, Inc. – New York City</t>
  </si>
  <si>
    <t xml:space="preserve">p.151 (per Citywide tab)</t>
  </si>
  <si>
    <t xml:space="preserve">p.228 (sibling: Pride Center p.228)</t>
  </si>
  <si>
    <t xml:space="preserve">search DOHMH/HRA cluster pp.122–171</t>
  </si>
  <si>
    <t xml:space="preserve">Children and Families in NYC Hom</t>
  </si>
  <si>
    <t xml:space="preserve">search DHS/housing cluster pp.130–140</t>
  </si>
  <si>
    <t xml:space="preserve">health cluster pp.122–127</t>
  </si>
  <si>
    <t xml:space="preserve">p.123 (sibling: RMC p.123)</t>
  </si>
  <si>
    <t xml:space="preserve">p.125 (sibling: JCC p.125)</t>
  </si>
  <si>
    <t xml:space="preserve">p.162 (sibling: JCC/CHCR p.162)</t>
  </si>
  <si>
    <t xml:space="preserve">City University of New York – College of Staten Island</t>
  </si>
  <si>
    <t xml:space="preserve">Create New Technology Incubators</t>
  </si>
  <si>
    <t xml:space="preserve">economic cluster pp.204–209</t>
  </si>
  <si>
    <t xml:space="preserve">p.156 (sibling: Eden II p.156)</t>
  </si>
  <si>
    <t xml:space="preserve">p.29 (sibling: Universal Temple p.29)</t>
  </si>
  <si>
    <t xml:space="preserve">LGBTQIA+ Inclusive Supports for </t>
  </si>
  <si>
    <t xml:space="preserve">youth cluster pp.222–228</t>
  </si>
  <si>
    <t xml:space="preserve">Staten Island Community Services Friendship Clubs, Inc</t>
  </si>
  <si>
    <t xml:space="preserve">Mental Health Services for Vulne</t>
  </si>
  <si>
    <t xml:space="preserve">DOHMH cluster pp.156–163</t>
  </si>
  <si>
    <t xml:space="preserve">p.163 (sibling: CHASI p.163)</t>
  </si>
  <si>
    <t xml:space="preserve">Hate Crimes Prevention</t>
  </si>
  <si>
    <t xml:space="preserve">CCHR/DOHMH cluster — search initiative</t>
  </si>
  <si>
    <t xml:space="preserve">Forest Avenue District Management Association, Inc.</t>
  </si>
  <si>
    <t xml:space="preserve">BID Containerization</t>
  </si>
  <si>
    <t xml:space="preserve">DSNY/SBS cluster pp.204–209</t>
  </si>
  <si>
    <t xml:space="preserve">New Dorp District Management Association, Inc.</t>
  </si>
  <si>
    <t xml:space="preserve">NYC RISE with Adult Literacy For</t>
  </si>
  <si>
    <t xml:space="preserve">p.18 (sibling: Adult Literacy p.18)</t>
  </si>
  <si>
    <t xml:space="preserve">SECTION C TOTAL — ties updated citywide $8,231,467 (+ Delegation $120,000 − WB-only $10,000 = PDF $8,341,467)</t>
  </si>
  <si>
    <t xml:space="preserve">D · HANKS CAPITAL (22 lines) — LOCATES IN SECTION 254 BY PROJECT ID, NOT SCHEDULE C</t>
  </si>
  <si>
    <t xml:space="preserve">Project</t>
  </si>
  <si>
    <t xml:space="preserve">§254 locator</t>
  </si>
  <si>
    <t xml:space="preserve">D49 evidence in project name</t>
  </si>
  <si>
    <t xml:space="preserve">NORTH SHORE ACTION PLAN - TOMPKINSVILLE</t>
  </si>
  <si>
    <t xml:space="preserve">CC1090</t>
  </si>
  <si>
    <t xml:space="preserve">Named D49 place/school: TOMPKINSVILLE, NORTH SHORE</t>
  </si>
  <si>
    <t xml:space="preserve">PIER ONE FISHING PIER CONSTRUCTION</t>
  </si>
  <si>
    <t xml:space="preserve">CC1092</t>
  </si>
  <si>
    <t xml:space="preserve">Named D49 place/school: PIER ONE</t>
  </si>
  <si>
    <t xml:space="preserve">VOLUNTEERS OF AMERICA HILLSIDE GROVE</t>
  </si>
  <si>
    <t xml:space="preserve">CC1093</t>
  </si>
  <si>
    <t xml:space="preserve">Org/site — verify address</t>
  </si>
  <si>
    <t xml:space="preserve">STATEN ISLAND UNIVERSITY HOSPITAL 501</t>
  </si>
  <si>
    <t xml:space="preserve">CC1091</t>
  </si>
  <si>
    <t xml:space="preserve">ON YOUR MARK RECREATIONAL FIELD</t>
  </si>
  <si>
    <t xml:space="preserve">CC0889</t>
  </si>
  <si>
    <t xml:space="preserve">RICHMOND TERRACE STREET IMPROVEMENTS</t>
  </si>
  <si>
    <t xml:space="preserve">CC0893</t>
  </si>
  <si>
    <t xml:space="preserve">Named D49 place/school: RICHMOND TERRACE</t>
  </si>
  <si>
    <t xml:space="preserve">BAY STREET AREA STREET IMPROVEMENTS</t>
  </si>
  <si>
    <t xml:space="preserve">CC0894</t>
  </si>
  <si>
    <t xml:space="preserve">Named D49 place/school: BAY STREET</t>
  </si>
  <si>
    <t xml:space="preserve">ST. GEORGE THEATER ROOF &amp; FACADE</t>
  </si>
  <si>
    <t xml:space="preserve">CC0891</t>
  </si>
  <si>
    <t xml:space="preserve">Named D49 place/school: ST. GEORGE</t>
  </si>
  <si>
    <t xml:space="preserve">TAPPEN PARK PERIMETER RECONSTRUCTION</t>
  </si>
  <si>
    <t xml:space="preserve">CC0906</t>
  </si>
  <si>
    <t xml:space="preserve">Named D49 place/school: TAPPEN PARK</t>
  </si>
  <si>
    <t xml:space="preserve">VENTURE HOUSE INC</t>
  </si>
  <si>
    <t xml:space="preserve">CC0890</t>
  </si>
  <si>
    <t xml:space="preserve">I.S. 49 BERTA A. DREYFUS STEAM LAB B:R049 S:R049</t>
  </si>
  <si>
    <t xml:space="preserve">CC0899</t>
  </si>
  <si>
    <t xml:space="preserve">Named D49 place/school: R049</t>
  </si>
  <si>
    <t xml:space="preserve">CD 49 ROADWAY RESURFACING</t>
  </si>
  <si>
    <t xml:space="preserve">CC1261</t>
  </si>
  <si>
    <t xml:space="preserve">Named D49 place/school: CD 49</t>
  </si>
  <si>
    <t xml:space="preserve">NYPL CCTV &amp; ACCESS CONTROL SYSTEMS CD49</t>
  </si>
  <si>
    <t xml:space="preserve">CC0902</t>
  </si>
  <si>
    <t xml:space="preserve">Named D49 place/school: CD49</t>
  </si>
  <si>
    <t xml:space="preserve">DAVIS PLAYGROUND RENOVATION</t>
  </si>
  <si>
    <t xml:space="preserve">CC0903</t>
  </si>
  <si>
    <t xml:space="preserve">Named D49 place/school: DAVIS PLAYGROUND</t>
  </si>
  <si>
    <t xml:space="preserve">THE NOBLE MARITIME COLLECTION</t>
  </si>
  <si>
    <t xml:space="preserve">CC0905</t>
  </si>
  <si>
    <t xml:space="preserve">THE EAGLE ACADEMY FOR YOUNG MEN OF STATEN ISLAND TECH </t>
  </si>
  <si>
    <t xml:space="preserve">CC0900</t>
  </si>
  <si>
    <t xml:space="preserve">Named D49 place/school: R028</t>
  </si>
  <si>
    <t xml:space="preserve">STATEN ISLAND SCHOOL OF CIVIC LEADERSHIP TECH UPGRADES</t>
  </si>
  <si>
    <t xml:space="preserve">CC0901</t>
  </si>
  <si>
    <t xml:space="preserve">Named D49 place/school: R861</t>
  </si>
  <si>
    <t xml:space="preserve">STATEN ISLAND ZOOLOGICAL SOCIETY</t>
  </si>
  <si>
    <t xml:space="preserve">CC0892</t>
  </si>
  <si>
    <t xml:space="preserve">P.S. 019 THE CURTIS SCHOOL TECH UPGRADES B:R019 S:R019</t>
  </si>
  <si>
    <t xml:space="preserve">CC0896</t>
  </si>
  <si>
    <t xml:space="preserve">Named D49 place/school: R019</t>
  </si>
  <si>
    <t xml:space="preserve">P.S. 057 HUBERT H. HUMPHREY GYM UPGRADE B:R057 S:R057</t>
  </si>
  <si>
    <t xml:space="preserve">CC0898</t>
  </si>
  <si>
    <t xml:space="preserve">Named D49 place/school: R057</t>
  </si>
  <si>
    <t xml:space="preserve">P.S. 044 THOMAS C. BROWN TECH UPGRADE B:R044 S:R044</t>
  </si>
  <si>
    <t xml:space="preserve">CC0897</t>
  </si>
  <si>
    <t xml:space="preserve">Named D49 place/school: R044</t>
  </si>
  <si>
    <t xml:space="preserve">TREE GUARDS CD49</t>
  </si>
  <si>
    <t xml:space="preserve">CC0904</t>
  </si>
  <si>
    <t xml:space="preserve">SECTION D TOTAL — ties Hanks capital $17,750,000</t>
  </si>
  <si>
    <t xml:space="preserve">DISTRICT 49 FUNDING FINDER — ALL CM HANKS / D49 DOLLARS, ONE PLACE</t>
  </si>
  <si>
    <t xml:space="preserve">Type any organization keyword in the yellow cell; every figure below it is a live formula over the FY25–27 designation register, the FY27 capital detail, and the Speaker lines. Components stay labeled separately per house rule.</t>
  </si>
  <si>
    <t xml:space="preserve">TYPE ORG KEYWORD →</t>
  </si>
  <si>
    <t xml:space="preserve">ZOOLOGICAL</t>
  </si>
  <si>
    <t xml:space="preserve">Result for keyword</t>
  </si>
  <si>
    <t xml:space="preserve">FY26 $</t>
  </si>
  <si>
    <t xml:space="preserve">FY25 $</t>
  </si>
  <si>
    <t xml:space="preserve">FY27 capital $</t>
  </si>
  <si>
    <t xml:space="preserve">FY27 Speaker $</t>
  </si>
  <si>
    <t xml:space="preserve">Lines matched</t>
  </si>
  <si>
    <t xml:space="preserve">Note</t>
  </si>
  <si>
    <t xml:space="preserve">Designations (MOCS DB 7-7) + FY27 capital + Speaker</t>
  </si>
  <si>
    <t xml:space="preserve">Capital/Speaker match on project/org text; verify EIN before citing</t>
  </si>
  <si>
    <t xml:space="preserve">DISTRICT 49 — FY27 ALL-IN STACK (components labeled; SI-shared pools listed but not district-split)</t>
  </si>
  <si>
    <t xml:space="preserve">Basis</t>
  </si>
  <si>
    <t xml:space="preserve">Hanks MDI designations — 183 lines</t>
  </si>
  <si>
    <t xml:space="preserve">MOCS/Council DB 07-07-26</t>
  </si>
  <si>
    <t xml:space="preserve">Hanks SU-CASA allocation — UNDESIGNATED</t>
  </si>
  <si>
    <t xml:space="preserve">$135,000 SI allocations − $90,000 DB = Hanks $45,000 with zero rows in export — ACTION: designate</t>
  </si>
  <si>
    <t xml:space="preserve">Hanks capital — 22 lines</t>
  </si>
  <si>
    <t xml:space="preserve">Section 254 / All-Funding PDF</t>
  </si>
  <si>
    <t xml:space="preserve">Hanks-sponsored Speaker items</t>
  </si>
  <si>
    <t xml:space="preserve">$825K strict 6-item tag · North-Shore view $900K incl. Chamber 49th $75K, City Parks $110K, JCC SADC $25K, SI Immigrant $50K (corrected Jul 8) — see D49 Attribution tab</t>
  </si>
  <si>
    <t xml:space="preserve">D49 DIRECT TOTAL</t>
  </si>
  <si>
    <t xml:space="preserve">sum of the four lines above</t>
  </si>
  <si>
    <t xml:space="preserve">Memo — SI Delegation capital (shared, 3 lines)</t>
  </si>
  <si>
    <t xml:space="preserve">serves all SI; not district-split</t>
  </si>
  <si>
    <t xml:space="preserve">Memo — SI Delegation expense pot (shared)</t>
  </si>
  <si>
    <t xml:space="preserve">Boroughwide Needs 11 rows</t>
  </si>
  <si>
    <t xml:space="preserve">Memo — Citywide-to-SI expense (shared)</t>
  </si>
  <si>
    <t xml:space="preserve">PDF basis; org-level D49 reach via search box above</t>
  </si>
  <si>
    <t xml:space="preserve">Memo — Speaker pure capital + SI-tagged items (shared)</t>
  </si>
  <si>
    <t xml:space="preserve">Willowbrook, Bloomingdale, SIUH Prince, CSI lot, MA1004</t>
  </si>
  <si>
    <t xml:space="preserve">D49 ORGANIZATION ROLLUP — EVERY ORG FUNDED BY CM HANKS, FY25–FY27 (designation basis) + FY27 SPEAKER</t>
  </si>
  <si>
    <t xml:space="preserve">Organization (per DB)</t>
  </si>
  <si>
    <t xml:space="preserve">3-yr total $</t>
  </si>
  <si>
    <t xml:space="preserve">Pots seen</t>
  </si>
  <si>
    <t xml:space="preserve">New York Center for Interpersonal Developmen</t>
  </si>
  <si>
    <t xml:space="preserve">Community Safety a</t>
  </si>
  <si>
    <t xml:space="preserve">NYC Cleanup</t>
  </si>
  <si>
    <t xml:space="preserve">Aging; Anti-Poverty; Food Pantries; Lo</t>
  </si>
  <si>
    <t xml:space="preserve">A Greener NYC; Local; Parks Equity Ini</t>
  </si>
  <si>
    <t xml:space="preserve">Aging; Domestic Violence ; Support Our</t>
  </si>
  <si>
    <t xml:space="preserve">Staten Island Chamber of Commerce Foundation</t>
  </si>
  <si>
    <t xml:space="preserve">Local; NYC Cleanup; Neighborhood Devel</t>
  </si>
  <si>
    <t xml:space="preserve">Domestic Violence ; Youth</t>
  </si>
  <si>
    <t xml:space="preserve">Jewish Community Center of Staten Island, In</t>
  </si>
  <si>
    <t xml:space="preserve">A Greener NYC; Aging; Cultural Immigra</t>
  </si>
  <si>
    <t xml:space="preserve">Association of Community Employment Programs</t>
  </si>
  <si>
    <t xml:space="preserve">NYC Cleanup; Parks Equity Initi</t>
  </si>
  <si>
    <t xml:space="preserve">Department of Education</t>
  </si>
  <si>
    <t xml:space="preserve">Local</t>
  </si>
  <si>
    <t xml:space="preserve">Cultural After-Sch; Cultural Immigrant</t>
  </si>
  <si>
    <t xml:space="preserve">Cultural Immigrant; Local</t>
  </si>
  <si>
    <t xml:space="preserve">Staten Island Economic Development Corporati</t>
  </si>
  <si>
    <t xml:space="preserve">Snug Harbor Cultural Center &amp; Botanical Gard</t>
  </si>
  <si>
    <t xml:space="preserve">A Greener NYC; Cultural After-Sch; Cul</t>
  </si>
  <si>
    <t xml:space="preserve">Domestic Violence ; Local</t>
  </si>
  <si>
    <t xml:space="preserve">Aging; Support Our Older </t>
  </si>
  <si>
    <t xml:space="preserve">Staten Island Institute of Arts and Sciences</t>
  </si>
  <si>
    <t xml:space="preserve">Cultural After-Sch</t>
  </si>
  <si>
    <t xml:space="preserve">West Brighton Community Local Development Co</t>
  </si>
  <si>
    <t xml:space="preserve">Digital Inclusion ; Local; Neighborhoo</t>
  </si>
  <si>
    <t xml:space="preserve">Staten Island Community Services Friendship </t>
  </si>
  <si>
    <t xml:space="preserve">Cultural After-Sch; Youth</t>
  </si>
  <si>
    <t xml:space="preserve">Cultural After-Sch; SU-CASA</t>
  </si>
  <si>
    <t xml:space="preserve">Cultural After-Sch; Local</t>
  </si>
  <si>
    <t xml:space="preserve">Community Health Action of Staten Island, In</t>
  </si>
  <si>
    <t xml:space="preserve">Domestic Violence </t>
  </si>
  <si>
    <t xml:space="preserve">A Greener NYC; Anti-Poverty</t>
  </si>
  <si>
    <t xml:space="preserve">Aging; Local; Support Our Older </t>
  </si>
  <si>
    <t xml:space="preserve">Community Safety a; Local</t>
  </si>
  <si>
    <t xml:space="preserve">Casa Belvedere, The Italian Cultural Foundat</t>
  </si>
  <si>
    <t xml:space="preserve">Digital Inclusion </t>
  </si>
  <si>
    <t xml:space="preserve">Metropolitan New York Coordinating Council o</t>
  </si>
  <si>
    <t xml:space="preserve">Digital Inclusion ; Local</t>
  </si>
  <si>
    <t xml:space="preserve">Parks Equity Initi</t>
  </si>
  <si>
    <t xml:space="preserve">Food Pantries; Support Our Older </t>
  </si>
  <si>
    <t xml:space="preserve">Food Bank For New York City</t>
  </si>
  <si>
    <t xml:space="preserve">13-3179546</t>
  </si>
  <si>
    <t xml:space="preserve">Food Pantries</t>
  </si>
  <si>
    <t xml:space="preserve">Snug Harbor Cultural Center and Botanical Ga</t>
  </si>
  <si>
    <t xml:space="preserve">New York City Housing Authority</t>
  </si>
  <si>
    <t xml:space="preserve">A Greener NYC</t>
  </si>
  <si>
    <t xml:space="preserve">Staten Island Hurricanes Organization, Inc.</t>
  </si>
  <si>
    <t xml:space="preserve">Youth</t>
  </si>
  <si>
    <t xml:space="preserve">Richmond County Black &amp; Minority Chamber Com</t>
  </si>
  <si>
    <t xml:space="preserve">47-4178194</t>
  </si>
  <si>
    <t xml:space="preserve">Staten Island Industrial Alliance/Northshore</t>
  </si>
  <si>
    <t xml:space="preserve">Digital Inclusion ; Neighborhood Devel</t>
  </si>
  <si>
    <t xml:space="preserve">Emergency Children's Help Organization, Inc.</t>
  </si>
  <si>
    <t xml:space="preserve">Support Our Older </t>
  </si>
  <si>
    <t xml:space="preserve">Educational Video Center, Inc.</t>
  </si>
  <si>
    <t xml:space="preserve">13-3378456</t>
  </si>
  <si>
    <t xml:space="preserve">Cultural Immigrant</t>
  </si>
  <si>
    <t xml:space="preserve">37-1833463</t>
  </si>
  <si>
    <t xml:space="preserve">Cultural After-Sch; Domestic Violence </t>
  </si>
  <si>
    <t xml:space="preserve">A Greener NYC; Local</t>
  </si>
  <si>
    <t xml:space="preserve">Jewish Board of Family and Children's Servic</t>
  </si>
  <si>
    <t xml:space="preserve">Local; Parks Equity Initi</t>
  </si>
  <si>
    <t xml:space="preserve">Fellowship Baptist Church</t>
  </si>
  <si>
    <t xml:space="preserve">13-2865551</t>
  </si>
  <si>
    <t xml:space="preserve">Anti-Poverty</t>
  </si>
  <si>
    <t xml:space="preserve">Northfield Community LDC of Staten Island, I</t>
  </si>
  <si>
    <t xml:space="preserve">13-2974137</t>
  </si>
  <si>
    <t xml:space="preserve">Neighborhood Devel</t>
  </si>
  <si>
    <t xml:space="preserve">Local; Youth</t>
  </si>
  <si>
    <t xml:space="preserve">2020 Vision for Schools, Inc.</t>
  </si>
  <si>
    <t xml:space="preserve">45-3023036</t>
  </si>
  <si>
    <t xml:space="preserve">01-0873188</t>
  </si>
  <si>
    <t xml:space="preserve">University of Notre Dame Alumni Club of Stat</t>
  </si>
  <si>
    <t xml:space="preserve">Anti-Poverty; Food Pantries</t>
  </si>
  <si>
    <t xml:space="preserve">Mt. Sinai Center for Community Enrichment, I</t>
  </si>
  <si>
    <t xml:space="preserve">13-4082027</t>
  </si>
  <si>
    <t xml:space="preserve">Aging</t>
  </si>
  <si>
    <t xml:space="preserve">VISIONS/Services for the Blind and Visually </t>
  </si>
  <si>
    <t xml:space="preserve">13-1624210</t>
  </si>
  <si>
    <t xml:space="preserve">ROZA Promotions, Inc.</t>
  </si>
  <si>
    <t xml:space="preserve">13-3792863</t>
  </si>
  <si>
    <t xml:space="preserve">Exalt Youth</t>
  </si>
  <si>
    <t xml:space="preserve">20-5540955</t>
  </si>
  <si>
    <t xml:space="preserve">K Woods Foundation, Inc.</t>
  </si>
  <si>
    <t xml:space="preserve">84-2425708</t>
  </si>
  <si>
    <t xml:space="preserve">Arab-American Family Support Center, Inc., T</t>
  </si>
  <si>
    <t xml:space="preserve">Forest Avenue District Management Associatio</t>
  </si>
  <si>
    <t xml:space="preserve">Boy Scouts of America - Greater New York Cou</t>
  </si>
  <si>
    <t xml:space="preserve">Kresischer Mansion Historical Preservation S</t>
  </si>
  <si>
    <t xml:space="preserve">Young Men's Christian Association of Greater</t>
  </si>
  <si>
    <t xml:space="preserve">Albanian American Association of Staten Isla</t>
  </si>
  <si>
    <t xml:space="preserve">93-1542543</t>
  </si>
  <si>
    <t xml:space="preserve">Public Administrator-Richmond</t>
  </si>
  <si>
    <t xml:space="preserve">Department of Transportation</t>
  </si>
  <si>
    <t xml:space="preserve">Samaritan Daytop Village, Inc.</t>
  </si>
  <si>
    <t xml:space="preserve">11-2635374</t>
  </si>
  <si>
    <t xml:space="preserve">Service Corps of Retired Executives (SCORE)</t>
  </si>
  <si>
    <t xml:space="preserve">52-1067290</t>
  </si>
  <si>
    <t xml:space="preserve">Sylvia Center, Inc., The</t>
  </si>
  <si>
    <t xml:space="preserve">20-4297703</t>
  </si>
  <si>
    <t xml:space="preserve">Friends of Graniteville Quarry, Inc.</t>
  </si>
  <si>
    <t xml:space="preserve">46-3167209</t>
  </si>
  <si>
    <t xml:space="preserve">Beyond Educational Enrichment, Inc.</t>
  </si>
  <si>
    <t xml:space="preserve">92-3630891</t>
  </si>
  <si>
    <t xml:space="preserve">Junior Achievement of New York</t>
  </si>
  <si>
    <t xml:space="preserve">13-3031828</t>
  </si>
  <si>
    <t xml:space="preserve">Mid Island Little League, Inc.</t>
  </si>
  <si>
    <t xml:space="preserve">23-7032781</t>
  </si>
  <si>
    <t xml:space="preserve">Unity Games, Inc.</t>
  </si>
  <si>
    <t xml:space="preserve">20-2104637</t>
  </si>
  <si>
    <t xml:space="preserve">Arab American Association of New York, Inc.</t>
  </si>
  <si>
    <t xml:space="preserve">11-3604756</t>
  </si>
  <si>
    <t xml:space="preserve">St. George Theatre Restoration, Inc.</t>
  </si>
  <si>
    <t xml:space="preserve">20-0985637</t>
  </si>
  <si>
    <t xml:space="preserve">Truck's Roundball Classic</t>
  </si>
  <si>
    <t xml:space="preserve">61-1676852</t>
  </si>
  <si>
    <t xml:space="preserve">Staten Island Community Alliance Corp</t>
  </si>
  <si>
    <t xml:space="preserve">92-1925443</t>
  </si>
  <si>
    <t xml:space="preserve">121st Police Precinct Community Council</t>
  </si>
  <si>
    <t xml:space="preserve">46-3856711</t>
  </si>
  <si>
    <t xml:space="preserve">Department of Youth and Community Developmen</t>
  </si>
  <si>
    <t xml:space="preserve">Soroptimist International Association Club o</t>
  </si>
  <si>
    <t xml:space="preserve">Delta Sigma Theta Sorority, Inc. Staten Isla</t>
  </si>
  <si>
    <t xml:space="preserve">13-3875643</t>
  </si>
  <si>
    <t xml:space="preserve">Empowerment Zone, Inc.</t>
  </si>
  <si>
    <t xml:space="preserve">14-2009368</t>
  </si>
  <si>
    <t xml:space="preserve">Family Preservation Services of New York Cor</t>
  </si>
  <si>
    <t xml:space="preserve">11-3550153</t>
  </si>
  <si>
    <t xml:space="preserve">Emma's Place - Grief and Loss Center For Chi</t>
  </si>
  <si>
    <t xml:space="preserve">46-3216286</t>
  </si>
  <si>
    <t xml:space="preserve">People's Center for Economic Independence, I</t>
  </si>
  <si>
    <t xml:space="preserve">42-1685982</t>
  </si>
  <si>
    <t xml:space="preserve">Weeks Educational and Social Advocacy Projec</t>
  </si>
  <si>
    <t xml:space="preserve">27-2928926</t>
  </si>
  <si>
    <t xml:space="preserve">NYC Arts Cypher</t>
  </si>
  <si>
    <t xml:space="preserve">57-1229930</t>
  </si>
  <si>
    <t xml:space="preserve">Safe Horizon, Inc.</t>
  </si>
  <si>
    <t xml:space="preserve">13-2946970</t>
  </si>
  <si>
    <t xml:space="preserve">Coro New York Leadership Center</t>
  </si>
  <si>
    <t xml:space="preserve">13-3571610</t>
  </si>
  <si>
    <t xml:space="preserve">Department of Health and Mental Hygiene</t>
  </si>
  <si>
    <t xml:space="preserve">Department of Small Business Services</t>
  </si>
  <si>
    <t xml:space="preserve">Housing Preservation and Development</t>
  </si>
  <si>
    <t xml:space="preserve">Neighborhood Housing Services of Staten Isla</t>
  </si>
  <si>
    <t xml:space="preserve">20-5689079</t>
  </si>
  <si>
    <t xml:space="preserve">Silver Mount Cemetery Conservancy, Incorpora</t>
  </si>
  <si>
    <t xml:space="preserve">88-2833328</t>
  </si>
  <si>
    <t xml:space="preserve">88-1042164</t>
  </si>
  <si>
    <t xml:space="preserve">23-7091329</t>
  </si>
  <si>
    <t xml:space="preserve">Greenbelt Conservancy, Inc.</t>
  </si>
  <si>
    <t xml:space="preserve">13-3481845</t>
  </si>
  <si>
    <t xml:space="preserve">Staten Island NFP Association, Inc.</t>
  </si>
  <si>
    <t xml:space="preserve">20-3560375</t>
  </si>
  <si>
    <t xml:space="preserve">Urban Hope, Inc.</t>
  </si>
  <si>
    <t xml:space="preserve">27-4637480</t>
  </si>
  <si>
    <t xml:space="preserve">World Premiere Entertainment 2, Inc.</t>
  </si>
  <si>
    <t xml:space="preserve">92-2053065</t>
  </si>
  <si>
    <t xml:space="preserve">Muslim Sisters of Staten Island, Inc.</t>
  </si>
  <si>
    <t xml:space="preserve">46-5695272</t>
  </si>
  <si>
    <t xml:space="preserve">TOTALS — 148 unique D49 organizations (name-keyed; EIN column for verification)</t>
  </si>
  <si>
    <t xml:space="preserve">ITEMS THE PDF FOUND THAT THE WORKBOOK SCAN MISSED — WITH SCHEDULE C PAGE TARGETS</t>
  </si>
  <si>
    <t xml:space="preserve">26 rows · $1,703,107 · all now propagated into Master Line Items and Citywide-to-SI (yellow-flagged). Page targets derived from sibling rows in the same initiative; ranges are cluster estimates — confirm against the printed Schedule C before citing.</t>
  </si>
  <si>
    <t xml:space="preserve">Schedule C page target</t>
  </si>
  <si>
    <t xml:space="preserve">Status / note</t>
  </si>
  <si>
    <t xml:space="preserve">EIN PENDING</t>
  </si>
  <si>
    <t xml:space="preserve">ADDED Jul 7 — PDF basis · was misfiled as Speaker</t>
  </si>
  <si>
    <t xml:space="preserve">27-4684048</t>
  </si>
  <si>
    <t xml:space="preserve">ADDED Jul 7 — F2 restore: was in Citywide tab, missing from Master</t>
  </si>
  <si>
    <t xml:space="preserve">13-3234441</t>
  </si>
  <si>
    <t xml:space="preserve">ADDED Jul 7 — PDF basis</t>
  </si>
  <si>
    <t xml:space="preserve">ADDED Jul 7 — PDF basis · no sibling ref</t>
  </si>
  <si>
    <t xml:space="preserve">13-3893536 (F7: confirm RF-CUNY)</t>
  </si>
  <si>
    <t xml:space="preserve">ADDED Jul 7 — PDF basis · EIN ruling F7 open</t>
  </si>
  <si>
    <t xml:space="preserve">LGBTQIA+ Inclusive Supports for Students</t>
  </si>
  <si>
    <t xml:space="preserve">Older Adult Centers, Programs, and Services</t>
  </si>
  <si>
    <t xml:space="preserve">Staten Island Community Services Friendship Clubs, Inc. – Arrochar</t>
  </si>
  <si>
    <t xml:space="preserve">Staten Island Community Services Friendship Clubs, Inc. – Great Kills</t>
  </si>
  <si>
    <t xml:space="preserve">Staten Island Community Services Friendship Clubs, Inc. – Mt. Loretto</t>
  </si>
  <si>
    <t xml:space="preserve">Staten Island Community Services Friendship Clubs, Inc. – New Dorp</t>
  </si>
  <si>
    <t xml:space="preserve">Staten Island Community Services Friendship Clubs, Inc. – Todt Hill</t>
  </si>
  <si>
    <t xml:space="preserve">Mental Health Services for Vulnerable Populations</t>
  </si>
  <si>
    <t xml:space="preserve">TOTAL — MISSED ITEMS</t>
  </si>
  <si>
    <t xml:space="preserve">EXACT-PAGE HITS (verify first, fastest wins): p.151 Welcome NYC (Ulqin, Dibra) · p.228 LGBTQIA+ Youth (PH) · p.123/125/162 CHCR trio · p.156 Grace · p.29 Alice Austen · p.170 SICS ×5 · p.163 IlluminArt opioid · p.18 Liberian.</t>
  </si>
  <si>
    <t xml:space="preserve">CLUSTER SEARCHES: DOHMH pp.122–171 (PH food/homeless, Atlas ×2, hate crimes) · economic/DSNY/SBS pp.204–209 (CUNY incubators, both BIDs) · youth pp.222–228 (Alice Austen students).</t>
  </si>
  <si>
    <t xml:space="preserve">EIN pulls outstanding (4): CHC Richmond · Ulqin · Liberian Cultural · New Dorp DMA — group census locks at 175+4 once pulled.</t>
  </si>
  <si>
    <t xml:space="preserve">FY27 SI EXPENSE — UNIQUE ORGANIZATION CENSUS BY EIN · UPDATED WITH PDF BASIS (Jul 7)</t>
  </si>
  <si>
    <t xml:space="preserve">Basis: Master Line Items incl. 26 added PDF rows ($1,703,107). Category dollars labeled separately per house rule.</t>
  </si>
  <si>
    <t xml:space="preserve">Organization (canonical)</t>
  </si>
  <si>
    <t xml:space="preserve">MDI SI-member $</t>
  </si>
  <si>
    <t xml:space="preserve">MDI other-CM $</t>
  </si>
  <si>
    <t xml:space="preserve">SI Delegation $</t>
  </si>
  <si>
    <t xml:space="preserve">Speaker $</t>
  </si>
  <si>
    <t xml:space="preserve">Citywide $</t>
  </si>
  <si>
    <t xml:space="preserve">Expense total $ (this basis)</t>
  </si>
  <si>
    <t xml:space="preserve">Lines</t>
  </si>
  <si>
    <t xml:space="preserve">Name variants</t>
  </si>
  <si>
    <t xml:space="preserve">Sponsors seen</t>
  </si>
  <si>
    <t xml:space="preserve">Carr; Hanks; Morano; Vernikov; —</t>
  </si>
  <si>
    <t xml:space="preserve">47-2787706</t>
  </si>
  <si>
    <t xml:space="preserve">Carr; Hanks; Morano; —</t>
  </si>
  <si>
    <t xml:space="preserve">74-3177454</t>
  </si>
  <si>
    <t xml:space="preserve">Carr; SI Delegation; —</t>
  </si>
  <si>
    <t xml:space="preserve">Carr; Hanks</t>
  </si>
  <si>
    <t xml:space="preserve">Staten Island Economic Development Corporation</t>
  </si>
  <si>
    <t xml:space="preserve">Carr; Carr+SI Del; Hanks; Morano; Morano</t>
  </si>
  <si>
    <t xml:space="preserve">Carr; Hanks; Morano; SI Delegation; —</t>
  </si>
  <si>
    <t xml:space="preserve">Carr; Carr+Morano+SI Del; Hanks; Morano;</t>
  </si>
  <si>
    <t xml:space="preserve">(citywide); Hanks</t>
  </si>
  <si>
    <t xml:space="preserve">Careers &amp; Stewardship Program Snug Harbor Cultural Center an</t>
  </si>
  <si>
    <t xml:space="preserve">Carr; Hanks; Morano</t>
  </si>
  <si>
    <t xml:space="preserve">(citywide); Carr; Hanks; Morano</t>
  </si>
  <si>
    <t xml:space="preserve">20-0404386</t>
  </si>
  <si>
    <t xml:space="preserve">Heights Where to Turn, Inc.</t>
  </si>
  <si>
    <t xml:space="preserve">Carr; Morano</t>
  </si>
  <si>
    <t xml:space="preserve">Staten Island Community Services Friendship Clubs, Inc.</t>
  </si>
  <si>
    <t xml:space="preserve">(citywide); Morano</t>
  </si>
  <si>
    <t xml:space="preserve">(citywide); Carr; Carr+SI Del; Hanks; Mo</t>
  </si>
  <si>
    <t xml:space="preserve">Carr; Carr+Morano; Hanks; Morano; SI Del</t>
  </si>
  <si>
    <t xml:space="preserve">13-1985514</t>
  </si>
  <si>
    <t xml:space="preserve">Academy of Innovative Learning (31R065) Staten Island Histor</t>
  </si>
  <si>
    <t xml:space="preserve">Carr; Carr+Morano+SI Del; Morano</t>
  </si>
  <si>
    <t xml:space="preserve">(citywide); Carr; Hanks</t>
  </si>
  <si>
    <t xml:space="preserve">13-2921483</t>
  </si>
  <si>
    <t xml:space="preserve">United Activities Unlimited, Inc.</t>
  </si>
  <si>
    <t xml:space="preserve">Carr; Carr+SI Del; Morano</t>
  </si>
  <si>
    <t xml:space="preserve">Beautification &amp; Horticulture</t>
  </si>
  <si>
    <t xml:space="preserve">Carr; Hanks; Morano; SI Delegation</t>
  </si>
  <si>
    <t xml:space="preserve">13-6202692</t>
  </si>
  <si>
    <t xml:space="preserve">Chinese American Planning Council, Inc.</t>
  </si>
  <si>
    <t xml:space="preserve">Hanks; SI Delegation</t>
  </si>
  <si>
    <t xml:space="preserve">Metropolitan New York Coordinating Council on Jewish        </t>
  </si>
  <si>
    <t xml:space="preserve">92-1134292</t>
  </si>
  <si>
    <t xml:space="preserve">Speaker          Hanks           Staten Island Immigrant Cen</t>
  </si>
  <si>
    <t xml:space="preserve">49 Seamen's Society for Children and Families</t>
  </si>
  <si>
    <t xml:space="preserve">Hanks; Morano; SI Delegation</t>
  </si>
  <si>
    <t xml:space="preserve">32-0144539</t>
  </si>
  <si>
    <t xml:space="preserve">Morano; SI Delegation</t>
  </si>
  <si>
    <t xml:space="preserve">13-3524533</t>
  </si>
  <si>
    <t xml:space="preserve">Eger Health Care and Rehabilitation Center</t>
  </si>
  <si>
    <t xml:space="preserve">45-4661688</t>
  </si>
  <si>
    <t xml:space="preserve">Muslim American Society of Brooklyn and Staten Island (CD47)</t>
  </si>
  <si>
    <t xml:space="preserve">Aviles; Santosuosso</t>
  </si>
  <si>
    <t xml:space="preserve">81-0728516</t>
  </si>
  <si>
    <t xml:space="preserve">Morano, Staten Speaker          Island           South Shore</t>
  </si>
  <si>
    <t xml:space="preserve">Morano; Morano+SI Del</t>
  </si>
  <si>
    <t xml:space="preserve">057R Hubert H. Humphrey (31R057) Staten Island Institute of </t>
  </si>
  <si>
    <t xml:space="preserve">Casa Belvedere, The Italian Cultural Foundation</t>
  </si>
  <si>
    <t xml:space="preserve">13-3062419</t>
  </si>
  <si>
    <t xml:space="preserve">Intrepid Museum Foundation, Inc.</t>
  </si>
  <si>
    <t xml:space="preserve">(75R037) Marquis Studios, Ltd.</t>
  </si>
  <si>
    <t xml:space="preserve">Hanks; Morano</t>
  </si>
  <si>
    <t xml:space="preserve">Cleanup Series Support</t>
  </si>
  <si>
    <t xml:space="preserve">Homeless, Inc.</t>
  </si>
  <si>
    <t xml:space="preserve">11-2665181</t>
  </si>
  <si>
    <t xml:space="preserve">Jewish Community Council of Greater Coney Island, Inc.</t>
  </si>
  <si>
    <t xml:space="preserve">37-1469112</t>
  </si>
  <si>
    <t xml:space="preserve">United Chinese Association of Brooklyn</t>
  </si>
  <si>
    <t xml:space="preserve">Albert V. Maniscalco (31R046) Staten Island Philharmonic Orc</t>
  </si>
  <si>
    <t xml:space="preserve">13-6162802</t>
  </si>
  <si>
    <t xml:space="preserve">13-2720248</t>
  </si>
  <si>
    <t xml:space="preserve">Carmel Richmond Nursing Home</t>
  </si>
  <si>
    <t xml:space="preserve">&amp; Council District 9 Albanian American Association of Staten</t>
  </si>
  <si>
    <t xml:space="preserve">11-2507910</t>
  </si>
  <si>
    <t xml:space="preserve">Federation of Italian American Organizations of Brooklyn, Lt</t>
  </si>
  <si>
    <t xml:space="preserve">32-0048308</t>
  </si>
  <si>
    <t xml:space="preserve">Council District 51 Staten Island Youth Soccer League, Inc.</t>
  </si>
  <si>
    <t xml:space="preserve">District 10 Citizens Committee for New York City, Inc.</t>
  </si>
  <si>
    <t xml:space="preserve">20-5857329</t>
  </si>
  <si>
    <t xml:space="preserve">Richmond County Youth Complex, Inc.</t>
  </si>
  <si>
    <t xml:space="preserve">Staten Island Industrial Alliance/Northshore Leadership Alli</t>
  </si>
  <si>
    <t xml:space="preserve">Kresischer Mansion Historical Preservation Society Corp.</t>
  </si>
  <si>
    <t xml:space="preserve">61-1682898</t>
  </si>
  <si>
    <t xml:space="preserve">Council District 41 ArtBridge Projects, Inc.</t>
  </si>
  <si>
    <t xml:space="preserve">45-2493342</t>
  </si>
  <si>
    <t xml:space="preserve">Council District 15 Grasmere and Cameron Lakes Bluebelt Cons</t>
  </si>
  <si>
    <t xml:space="preserve">Scouts of America</t>
  </si>
  <si>
    <t xml:space="preserve">46-5288351</t>
  </si>
  <si>
    <t xml:space="preserve">Oceanic Hook and Ladder Co. No. 1, Inc.</t>
  </si>
  <si>
    <t xml:space="preserve">Young Men's Christian Association of Greater New York</t>
  </si>
  <si>
    <t xml:space="preserve">90-0730331</t>
  </si>
  <si>
    <t xml:space="preserve">Community Programs</t>
  </si>
  <si>
    <t xml:space="preserve">Council District 05 Fund for the City of New York, Inc.</t>
  </si>
  <si>
    <t xml:space="preserve">District 46 Billion Oyster Project, Inc.</t>
  </si>
  <si>
    <t xml:space="preserve">84-1678085</t>
  </si>
  <si>
    <t xml:space="preserve">Advocacy Program</t>
  </si>
  <si>
    <t xml:space="preserve">Adults</t>
  </si>
  <si>
    <t xml:space="preserve">partnership program Meals on Wheels of Staten Island, Inc.</t>
  </si>
  <si>
    <t xml:space="preserve">11-2697931</t>
  </si>
  <si>
    <t xml:space="preserve">NIA Community Services Network, Inc.</t>
  </si>
  <si>
    <t xml:space="preserve">23-7280740</t>
  </si>
  <si>
    <t xml:space="preserve">Cultural Engagement Program</t>
  </si>
  <si>
    <t xml:space="preserve">Council District 22 PowerMyLearning, Inc.</t>
  </si>
  <si>
    <t xml:space="preserve">Adult Center Community Health Center of Richmond, Inc.</t>
  </si>
  <si>
    <t xml:space="preserve">Empowerment</t>
  </si>
  <si>
    <t xml:space="preserve">Events</t>
  </si>
  <si>
    <t xml:space="preserve">13-6162071</t>
  </si>
  <si>
    <t xml:space="preserve">Council District 23 Conference House Association, Inc.</t>
  </si>
  <si>
    <t xml:space="preserve">13-2618386</t>
  </si>
  <si>
    <t xml:space="preserve">Young Israel of Staten Island</t>
  </si>
  <si>
    <t xml:space="preserve">23-7442256</t>
  </si>
  <si>
    <t xml:space="preserve">Program</t>
  </si>
  <si>
    <t xml:space="preserve">13-6197291</t>
  </si>
  <si>
    <t xml:space="preserve">Great Kills Little League, Inc.</t>
  </si>
  <si>
    <t xml:space="preserve">13-2943389</t>
  </si>
  <si>
    <t xml:space="preserve">Richmond Engine Company No. 1</t>
  </si>
  <si>
    <t xml:space="preserve">SI Delegation</t>
  </si>
  <si>
    <t xml:space="preserve">13-2939069</t>
  </si>
  <si>
    <t xml:space="preserve">Staten Island Ice Hockey Association, Inc.</t>
  </si>
  <si>
    <t xml:space="preserve">Carr; Morano; SI Delegation</t>
  </si>
  <si>
    <t xml:space="preserve">01-0611469</t>
  </si>
  <si>
    <t xml:space="preserve">Friends of Firefighters, Inc.</t>
  </si>
  <si>
    <t xml:space="preserve">13-6216919</t>
  </si>
  <si>
    <t xml:space="preserve">Theatre Development Fund, Inc.</t>
  </si>
  <si>
    <t xml:space="preserve">45-2871053</t>
  </si>
  <si>
    <t xml:space="preserve">Health Essential Association, Inc.</t>
  </si>
  <si>
    <t xml:space="preserve">92-0875945</t>
  </si>
  <si>
    <t xml:space="preserve">TraNa Relief Association</t>
  </si>
  <si>
    <t xml:space="preserve">13-1624014</t>
  </si>
  <si>
    <t xml:space="preserve">Girl Scout Council of Greater New York, Inc.</t>
  </si>
  <si>
    <t xml:space="preserve">13-2921818</t>
  </si>
  <si>
    <t xml:space="preserve">Dominican Studies Institute Richmond Choral Society</t>
  </si>
  <si>
    <t xml:space="preserve">Jewish Board of Family and Children's Services, Inc.</t>
  </si>
  <si>
    <t xml:space="preserve">13-3137595</t>
  </si>
  <si>
    <t xml:space="preserve">Stella Orton Home Care Agency, Inc.</t>
  </si>
  <si>
    <t xml:space="preserve">13-5660279</t>
  </si>
  <si>
    <t xml:space="preserve">Community Resources Staten Island, Inc.</t>
  </si>
  <si>
    <t xml:space="preserve">27-0805279</t>
  </si>
  <si>
    <t xml:space="preserve">Louie's Legacy Animal Rescue, Inc.</t>
  </si>
  <si>
    <t xml:space="preserve">13-6628436</t>
  </si>
  <si>
    <t xml:space="preserve">Volunteer Heart Resuscitation Unit &amp; Ambulance Corp. of     </t>
  </si>
  <si>
    <t xml:space="preserve">46-4137962</t>
  </si>
  <si>
    <t xml:space="preserve">Minty Organization for the Performing Arts, Inc.</t>
  </si>
  <si>
    <t xml:space="preserve">35-2262561</t>
  </si>
  <si>
    <t xml:space="preserve">Zimmer Club Youth Conservation Program of Staten            </t>
  </si>
  <si>
    <t xml:space="preserve">Council District 43 Silver Mount Cemetery Association, Inc.</t>
  </si>
  <si>
    <t xml:space="preserve">26-1997496</t>
  </si>
  <si>
    <t xml:space="preserve">School 019R The Curtis School (31R019) Northern Manhattan Ar</t>
  </si>
  <si>
    <t xml:space="preserve">13-4024627</t>
  </si>
  <si>
    <t xml:space="preserve">Working in Support of Education, Inc.</t>
  </si>
  <si>
    <t xml:space="preserve">47-3436880</t>
  </si>
  <si>
    <t xml:space="preserve">HSS Screening and Early Detection, Inc.</t>
  </si>
  <si>
    <t xml:space="preserve">82-3676844</t>
  </si>
  <si>
    <t xml:space="preserve">Lou's Helping Hand Foundation</t>
  </si>
  <si>
    <t xml:space="preserve">84-2895424</t>
  </si>
  <si>
    <t xml:space="preserve">South Shore Artists Foundation</t>
  </si>
  <si>
    <t xml:space="preserve">93-2643668</t>
  </si>
  <si>
    <t xml:space="preserve">United Hands Organization, Inc.</t>
  </si>
  <si>
    <t xml:space="preserve">University of Notre Dame Alumni Club of Staten Island</t>
  </si>
  <si>
    <t xml:space="preserve">Violence Services</t>
  </si>
  <si>
    <t xml:space="preserve">13-3371153</t>
  </si>
  <si>
    <t xml:space="preserve">122nd Precinct Community Council</t>
  </si>
  <si>
    <t xml:space="preserve">11-2145956</t>
  </si>
  <si>
    <t xml:space="preserve">Brooklyn Alliance, Inc.</t>
  </si>
  <si>
    <t xml:space="preserve">87-1249856</t>
  </si>
  <si>
    <t xml:space="preserve">CrimsonRise, Inc.</t>
  </si>
  <si>
    <t xml:space="preserve">59-3842242</t>
  </si>
  <si>
    <t xml:space="preserve">International Aphasia Movement</t>
  </si>
  <si>
    <t xml:space="preserve">46-1094603</t>
  </si>
  <si>
    <t xml:space="preserve">International Mountain Bicycling Association</t>
  </si>
  <si>
    <t xml:space="preserve">81-4587164</t>
  </si>
  <si>
    <t xml:space="preserve">Kraja Association, Inc. -</t>
  </si>
  <si>
    <t xml:space="preserve">92-3159598</t>
  </si>
  <si>
    <t xml:space="preserve">Local Community Patrol, Inc.</t>
  </si>
  <si>
    <t xml:space="preserve">13-3580918</t>
  </si>
  <si>
    <t xml:space="preserve">Met Council Research and Educational Fund, Inc.</t>
  </si>
  <si>
    <t xml:space="preserve">13-4288916</t>
  </si>
  <si>
    <t xml:space="preserve">Modest Community Services Association Inc.</t>
  </si>
  <si>
    <t xml:space="preserve">47-5607340</t>
  </si>
  <si>
    <t xml:space="preserve">Out of the Storm Senior Services, Inc.</t>
  </si>
  <si>
    <t xml:space="preserve">45-0589779</t>
  </si>
  <si>
    <t xml:space="preserve">Richmond County St. Patrick's Day Parade Committee, Inc.</t>
  </si>
  <si>
    <t xml:space="preserve">32-0690255</t>
  </si>
  <si>
    <t xml:space="preserve">Shoqata Shqiptaro-Amerikane Skenderbej, Inc.</t>
  </si>
  <si>
    <t xml:space="preserve">35-2535536</t>
  </si>
  <si>
    <t xml:space="preserve">Staten Island Giving Circle, Inc.</t>
  </si>
  <si>
    <t xml:space="preserve">51-0181285</t>
  </si>
  <si>
    <t xml:space="preserve">Staten Island Shakespearean Theatre Company, Inc.</t>
  </si>
  <si>
    <t xml:space="preserve">81-1047344</t>
  </si>
  <si>
    <t xml:space="preserve">Staten Island Shomrim Safety Patrol, Inc.</t>
  </si>
  <si>
    <t xml:space="preserve">26-4417161</t>
  </si>
  <si>
    <t xml:space="preserve">Tell Every Amazing Lady About Ovarian Cancer Foundation</t>
  </si>
  <si>
    <t xml:space="preserve">13-1623856</t>
  </si>
  <si>
    <t xml:space="preserve">United Cerebral Palsy Associations of New York State, Inc.</t>
  </si>
  <si>
    <t xml:space="preserve">VISIONS/Services for the Blind and Visually Impaired</t>
  </si>
  <si>
    <t xml:space="preserve">27-0672195</t>
  </si>
  <si>
    <t xml:space="preserve">Council District 1 Moore Catholic High School</t>
  </si>
  <si>
    <t xml:space="preserve">13-1623910</t>
  </si>
  <si>
    <t xml:space="preserve">Blue Card, Inc., The</t>
  </si>
  <si>
    <t xml:space="preserve">05-0615968</t>
  </si>
  <si>
    <t xml:space="preserve">Giving Alternative Learners Uplifting Opportunities, Inc.</t>
  </si>
  <si>
    <t xml:space="preserve">03-0484445</t>
  </si>
  <si>
    <t xml:space="preserve">Mid-Island Babe Ruth League, Inc.</t>
  </si>
  <si>
    <t xml:space="preserve">Soroptimist International Association Club of Staten Island</t>
  </si>
  <si>
    <t xml:space="preserve">TOTAL — 175 unique confirmed EINs</t>
  </si>
  <si>
    <t xml:space="preserve">EIN-PENDING GROUPS (in Master; pull EINs to confirm distinctness)</t>
  </si>
  <si>
    <t xml:space="preserve">PENDING SUBTOTAL — 4 groups</t>
  </si>
  <si>
    <t xml:space="preserve">HEADLINE: 175 confirmed EINs + 4 pending = up to 179 organizations funded for SI (PDF All-Funding basis)</t>
  </si>
  <si>
    <t xml:space="preserve">GRAND CHECK — all expense dollars, updated Master</t>
  </si>
  <si>
    <t xml:space="preserve">FY2027 STATEN ISLAND — CAPITAL + EXPENSE, COMBINED</t>
  </si>
  <si>
    <t xml:space="preserve">Capital: FY27 Adopted Section 254 capital changes (CC-verified Jul 1) + adopted capital workbook + office review Jul 2 (St. George add-on; $230K exclusion). Expense: Schedule C Final-3 parsed &amp; reconciled; member figures tie the Council discretionary database.</t>
  </si>
  <si>
    <t xml:space="preserve">CAPITAL — Borough R (11 categories)</t>
  </si>
  <si>
    <t xml:space="preserve">Section 254; Parks $22.908M … Higher Ed $500K</t>
  </si>
  <si>
    <t xml:space="preserve">CAPITAL — CC1100 SI DOT Trees &amp; Sidewalk (Boro X-coded, SI Parks line D020)</t>
  </si>
  <si>
    <t xml:space="preserve">Section 254; Speaker + Morano</t>
  </si>
  <si>
    <t xml:space="preserve">CAPITAL — MA1004 St. George Theatre ($5.85M, non-City section II/III — Measure-C-side wallet)</t>
  </si>
  <si>
    <t xml:space="preserve">MA1004, PV 0N364, §254 V4 PDF p.67 — DOC-VERIFIED; org total $7,350,000 incl $1.5M CC (Carr/Hanks/Speaker $500K each)</t>
  </si>
  <si>
    <t xml:space="preserve">CAPITAL — SI-substantive total</t>
  </si>
  <si>
    <t xml:space="preserve">Sum of the three lines above</t>
  </si>
  <si>
    <t xml:space="preserve">EXPENSE — MDIs, SI delegation members (printed)</t>
  </si>
  <si>
    <t xml:space="preserve">Schedule C Final-3; database-tied</t>
  </si>
  <si>
    <t xml:space="preserve">EXPENSE — SI Delegation pot (Boroughwide, p.4)</t>
  </si>
  <si>
    <t xml:space="preserve">Schedule C Final-3</t>
  </si>
  <si>
    <t xml:space="preserve">EXPENSE — Speaker funding to SI</t>
  </si>
  <si>
    <t xml:space="preserve">Pool $1.45M + designated $670K + untagged $698K</t>
  </si>
  <si>
    <t xml:space="preserve">EXPENSE — MDIs, other CMs to SI orgs</t>
  </si>
  <si>
    <t xml:space="preserve">MAS Bklyn&amp;SI (bi-borough) + JCC-SI</t>
  </si>
  <si>
    <t xml:space="preserve">EXPENSE — Citywide initiatives to SI</t>
  </si>
  <si>
    <t xml:space="preserve">42 initiatives · 55 organization lines; Citywide tab (org-itemized) — rev Jul 6: +$25,000 Dibra/Welcome NYC p.151</t>
  </si>
  <si>
    <t xml:space="preserve">EXPENSE — printed SI total</t>
  </si>
  <si>
    <t xml:space="preserve">Scan basis</t>
  </si>
  <si>
    <t xml:space="preserve">EXPENSE — SU-CASA (database, unitemized)</t>
  </si>
  <si>
    <t xml:space="preserve">DB Jul 1; $3.825M pot 100% post-adoption</t>
  </si>
  <si>
    <t xml:space="preserve">GRAND — CAPITAL + EXPENSE, ALL-IN</t>
  </si>
  <si>
    <t xml:space="preserve">SI-substantive capital + full expense scan + SU-CASA</t>
  </si>
  <si>
    <t xml:space="preserve">EXCLUDED &amp; FLAGGED</t>
  </si>
  <si>
    <t xml:space="preserve">CC0796 (P.S./I.S. 229, Carr) — Boro-coded R, Brooklyn school codes: currently INSIDE the $71.5M; if Brooklyn, CC total → $71,270,000</t>
  </si>
  <si>
    <t xml:space="preserve">DOC-VERIFIED as printed (B:K229 S:K229); Finance confirmation pending; §254 V4</t>
  </si>
  <si>
    <t xml:space="preserve">OFFICIAL MEASURES (stated bases — never blend)</t>
  </si>
  <si>
    <t xml:space="preserve">Measure A — delegation-controlled (established Jul 1)</t>
  </si>
  <si>
    <t xml:space="preserve">Basis: Boro-R capital $67,964,000 + delegation discretionary $6,848,000</t>
  </si>
  <si>
    <t xml:space="preserve">Measure B — SI-substantive capital + delegation discretionary (established)</t>
  </si>
  <si>
    <t xml:space="preserve">Basis: $71,500,000 + $6,848,000</t>
  </si>
  <si>
    <t xml:space="preserve">Measure B — recomputed with St. George add-on (PENDING adoption)</t>
  </si>
  <si>
    <t xml:space="preserve">Basis: $77,350,000 + $6,848,000</t>
  </si>
  <si>
    <t xml:space="preserve">Measure C — all dollars reaching SI orgs, est. (established)</t>
  </si>
  <si>
    <t xml:space="preserve">Basis: $71.5M + $6.848M + citywide-to-SI est $5.67M</t>
  </si>
  <si>
    <t xml:space="preserve">Measure C — recomputed with St. George add-on (PENDING adoption)</t>
  </si>
  <si>
    <t xml:space="preserve">Basis: established C + $5,850,000</t>
  </si>
  <si>
    <t xml:space="preserve">Full-scan combined (this workbook)</t>
  </si>
  <si>
    <t xml:space="preserve">Basis: $77.35M capital + $16,196,240 + SU-CASA $90K — broader than Measure C</t>
  </si>
  <si>
    <t xml:space="preserve">PROJECTION — ASSUMPTION LINE (not folded into confirmed totals)</t>
  </si>
  <si>
    <t xml:space="preserve">Morano SU-CASA assumed at delegation parity: 3 sites × $15,000</t>
  </si>
  <si>
    <t xml:space="preserve">Assumption basis: Hanks and Carr each designated exactly 3×$15,000; D51 undesignated as of DB export</t>
  </si>
  <si>
    <t xml:space="preserve">PROJECTED GRAND — capital + expense, all-in, if realized</t>
  </si>
  <si>
    <t xml:space="preserve">Cascade if realized: delegation discretionary $6,848,000 → $6,893,000; Measures A/B/C each +$45,000 (A → $74,857,000)</t>
  </si>
  <si>
    <t xml:space="preserve">§254 context (as printed): Council Additions $853,688,000 · Rescindments ($23,317,000) · Net Change $830,371,000</t>
  </si>
  <si>
    <t xml:space="preserve">PDF ALL-FUNDING BASIS — APPLIED Jul 7, 2026 (do not mix with printed-basis lines above)</t>
  </si>
  <si>
    <t xml:space="preserve">Capital — SI-substantive (unchanged)</t>
  </si>
  <si>
    <t xml:space="preserve">Ties existing three-component basis</t>
  </si>
  <si>
    <t xml:space="preserve">Expense — baseline CM pots (PDF allocation basis)</t>
  </si>
  <si>
    <t xml:space="preserve">Hanks $2,295,000 · Carr $2,270,000 · Morano $2,208,000</t>
  </si>
  <si>
    <t xml:space="preserve">Expense — Speaker, corrected (F1: Ulqin + Project Hospitality removed)</t>
  </si>
  <si>
    <t xml:space="preserve">Ties this tab’s prior Speaker line</t>
  </si>
  <si>
    <t xml:space="preserve">Expense — Citywide, PDF basis (90 lines)</t>
  </si>
  <si>
    <t xml:space="preserve">Prior scan $6,553,360 + 26 added rows − Dibra dup − WB-only $10,000 + Delegation reclass — see Citywide Reconcile</t>
  </si>
  <si>
    <t xml:space="preserve">EXPENSE TOTAL — PDF corrected basis</t>
  </si>
  <si>
    <t xml:space="preserve">formula</t>
  </si>
  <si>
    <t xml:space="preserve">GRAND TOTAL — PDF corrected basis</t>
  </si>
  <si>
    <t xml:space="preserve">Equals printed PDF $95,332,347 less $50,000 F1</t>
  </si>
  <si>
    <t xml:space="preserve">GRAND TOTAL — PDF as printed</t>
  </si>
  <si>
    <t xml:space="preserve">All-Funding PDF p.1</t>
  </si>
  <si>
    <t xml:space="preserve">WHERE EVERY SI DOLLAR IS SEARCHABLE — PUBLIC SOURCE &amp; SEARCH GUIDE</t>
  </si>
  <si>
    <t xml:space="preserve">Each channel in this workbook mapped to its public lookup path, with search keys and caveats. Verified Jul 2, 2026.</t>
  </si>
  <si>
    <t xml:space="preserve">What</t>
  </si>
  <si>
    <t xml:space="preserve">Where (public source)</t>
  </si>
  <si>
    <t xml:space="preserve">How to search</t>
  </si>
  <si>
    <t xml:space="preserve">Caveats</t>
  </si>
  <si>
    <t xml:space="preserve">Expense — every Schedule C line (MDIs, Speaker, citywide, delegation)</t>
  </si>
  <si>
    <t xml:space="preserve">Schedule C PDF — council.nyc.gov/budget/schedule-c/</t>
  </si>
  <si>
    <t xml:space="preserve">By page (this workbook cites each line’s page); Ctrl-F org name or EIN in the PDF</t>
  </si>
  <si>
    <t xml:space="preserve">Revisions replace the posted file (Final → Final-3); post-adoption items (e.g., SU-CASA) absent until itemized</t>
  </si>
  <si>
    <t xml:space="preserve">Expense — dataset form, filter/sort/export</t>
  </si>
  <si>
    <t xml:space="preserve">NYC Open Data — "New York City Council Discretionary Funding" (dataset 4d7f-74pe, data.cityofnewyork.us)</t>
  </si>
  <si>
    <t xml:space="preserve">Filter by Council Member, organization, fiscal year; export CSV</t>
  </si>
  <si>
    <t xml:space="preserve">Reflects applications/allocations cycle; confirm against Schedule C for adopted status</t>
  </si>
  <si>
    <t xml:space="preserve">Expense — award clearance status per org</t>
  </si>
  <si>
    <t xml:space="preserve">MOCS Discretionary Award Tracker (nyc.gov/mocs → PASSPort articles)</t>
  </si>
  <si>
    <t xml:space="preserve">Search org LEGAL NAME or full EIN WITHOUT the dash; cleared = "Cleared – Contact Contracting Agency"</t>
  </si>
  <si>
    <t xml:space="preserve">Updates only every 6–8 weeks; defunded/reallocated awards may not display; Transparency-Resolution awards lag until Council transmits</t>
  </si>
  <si>
    <t xml:space="preserve">Expense — in-year changes &amp; SU-CASA-type post-adoption itemization</t>
  </si>
  <si>
    <t xml:space="preserve">Transparency Resolutions — Legistar (legistar.council.nyc.gov)</t>
  </si>
  <si>
    <t xml:space="preserve">Search "Transparency Resolution" by stated-meeting date; designations list org, EIN, sponsor, amount</t>
  </si>
  <si>
    <t xml:space="preserve">This is where the pending SU-CASA names (incl. any Morano designations) will first appear</t>
  </si>
  <si>
    <t xml:space="preserve">Expense — actual payments to an org</t>
  </si>
  <si>
    <t xml:space="preserve">Checkbook NYC (checkbooknyc.com, Comptroller)</t>
  </si>
  <si>
    <t xml:space="preserve">Payee search by org name; filter agency &amp; FY</t>
  </si>
  <si>
    <t xml:space="preserve">Shows spending once contracts register — lags designation by months</t>
  </si>
  <si>
    <t xml:space="preserve">Capital — every §254 Council addition (CC lines)</t>
  </si>
  <si>
    <t xml:space="preserve">§254 Supporting Detail PDF — council.nyc.gov budget page (this file: V4)</t>
  </si>
  <si>
    <t xml:space="preserve">By SUB ID (CC####) or PDF page as cited on the §254 tabs; Ctrl-F project title</t>
  </si>
  <si>
    <t xml:space="preserve">SPON column carries co-sponsorship in V4; CC0796 caveat noted</t>
  </si>
  <si>
    <t xml:space="preserve">Capital — MA/non-City lines (e.g., MA1004 St. George $5.85M)</t>
  </si>
  <si>
    <t xml:space="preserve">Same §254 PDF, Sections II &amp; III (non-City detail + by-entity totals)</t>
  </si>
  <si>
    <t xml:space="preserve">Section III by ORGANIZATION for true org totals (St. George $7,350,000)</t>
  </si>
  <si>
    <t xml:space="preserve">MA lines excluded from the $853,688,000 Council Additions; no sponsor printed</t>
  </si>
  <si>
    <t xml:space="preserve">Capital — commitments &amp; spend over time</t>
  </si>
  <si>
    <t xml:space="preserve">OMB Adopted Capital Commitment Plan (nyc.gov/omb) · Checkbook NYC capital</t>
  </si>
  <si>
    <t xml:space="preserve">Budget line (e.g., PV D477, HL DN404) in OMB; payee/project in Checkbook</t>
  </si>
  <si>
    <t xml:space="preserve">Commitment ≠ designation; timing spans years</t>
  </si>
  <si>
    <t xml:space="preserve">Capital — non-City org applications</t>
  </si>
  <si>
    <t xml:space="preserve">CapGrants portal (council.nyc.gov budget page)</t>
  </si>
  <si>
    <t xml:space="preserve">Org-side application records</t>
  </si>
  <si>
    <t xml:space="preserve">Application-side only</t>
  </si>
  <si>
    <t xml:space="preserve">Internal (not public)</t>
  </si>
  <si>
    <t xml:space="preserve">ExportedSearchResults.xlsx — Council Finance export</t>
  </si>
  <si>
    <t xml:space="preserve">This workbook’s member tabs; per-EIN, incl. SU-CASA pre-publication</t>
  </si>
  <si>
    <t xml:space="preserve">Authoritative for member designations; richer and earlier than any public source — do not cite externally</t>
  </si>
  <si>
    <t xml:space="preserve">STATEN ISLAND SEATS — FIVE-YEAR MEMBER-DESIGNATED HISTORY (FY2023–FY2027)</t>
  </si>
  <si>
    <t xml:space="preserve">FY23–26: Council funded-disclosure workbook (all CMs). FY27: Council Finance database export. Same basis — member-designated designations incl. SU-CASA where filed.</t>
  </si>
  <si>
    <t xml:space="preserve">Seat / measure</t>
  </si>
  <si>
    <t xml:space="preserve">FY2023</t>
  </si>
  <si>
    <t xml:space="preserve">FY2024</t>
  </si>
  <si>
    <t xml:space="preserve">FY2025</t>
  </si>
  <si>
    <t xml:space="preserve">FY2026</t>
  </si>
  <si>
    <t xml:space="preserve">FY2027</t>
  </si>
  <si>
    <t xml:space="preserve">5-yr total</t>
  </si>
  <si>
    <t xml:space="preserve">Hanks (D49)</t>
  </si>
  <si>
    <t xml:space="preserve">FY25 +$70,000 = one-year Food Pantries allocation — the entire bump</t>
  </si>
  <si>
    <t xml:space="preserve">Carr (D50)</t>
  </si>
  <si>
    <t xml:space="preserve">Perfectly flat across all five years</t>
  </si>
  <si>
    <t xml:space="preserve">D51 seat — Borelli (FY23–25) → Morano (FY26–27)</t>
  </si>
  <si>
    <t xml:space="preserve">Seat allocation identical through the special-election transition; FY27 −$45,000 = unfiled SU-CASA only</t>
  </si>
  <si>
    <t xml:space="preserve">THREE-SEAT TOTAL</t>
  </si>
  <si>
    <t xml:space="preserve">FY23–26 flat ~$6.77M; FY27 $6.73M pending SU-CASA</t>
  </si>
  <si>
    <t xml:space="preserve">SI Delegation pot</t>
  </si>
  <si>
    <t xml:space="preserve">FY27 basis = Boroughwide Needs pot; −$378,213 vs FY26 — FLAGGED (basis check + Finance question pending)</t>
  </si>
  <si>
    <t xml:space="preserve">Citywide member-designated total</t>
  </si>
  <si>
    <t xml:space="preserve">FY27 = Finance export subset; FY23–26 = disclosure totals</t>
  </si>
  <si>
    <t xml:space="preserve">SI three-seat share of citywide</t>
  </si>
  <si>
    <t xml:space="preserve">≈ seat share (3/51 = 5.88%); the parity gap lives in citywide pots, not member money</t>
  </si>
  <si>
    <t xml:space="preserve">TIER STABILITY (formula placements, all five years): Hanks DoVE $195,000 &amp; Anti-Poverty $50,000 every year; D51 seat DoVE $133,000 &amp; Anti-Poverty $25,000 every year under both Borelli and Morano — the FY27 spreads are historic and structural, not annual discretion. Zero defunded/reallocated rows for any SI member, FY23–26.</t>
  </si>
  <si>
    <t xml:space="preserve">Yellow means under evaluation, should all be 120k a year </t>
  </si>
  <si>
    <t xml:space="preserve">CONTINUITY VIEW — HANKS TOP ORGANIZATIONS ACROSS FIVE YEARS, AND THE D51 TRANSITION</t>
  </si>
  <si>
    <t xml:space="preserve">D51 smooth-transfer datapoint: Morano carried 74 of his 81 FY2026 organizations directly from Borelli’s FY2025 book — 91% continuity through the special election.</t>
  </si>
  <si>
    <t xml:space="preserve">Reading the trends: SI Chamber of Commerce Fdn rising ($45K → $120K, +167% over five years — the economic-development pillar compounding); NYCID stable at $80K since FY24 (plus the $500K Speaker Credible Messengers item on top); Snug Harbor ($65K) and JCC-SI ($50K) flat as institutional anchors; Seamen’s Society tapered after FY25. Supports the FY27 Seed → FY28 Grow succession framework.</t>
  </si>
  <si>
    <t xml:space="preserve">FY 2027 CHANGES TO THE EXECUTIVE CAPITAL BUDGET PURSUANT TO SECTION 254 — CAPITAL PROJECT DETAIL (STATEN ISLAND LINES)</t>
  </si>
  <si>
    <t xml:space="preserve">Source: Supporting Detail V4 (uploaded Jul 2) — every Boro-R line plus CC1100 (Boro X, SI-substantive). Exact document style; SPON as printed.</t>
  </si>
  <si>
    <t xml:space="preserve">PHILOSOPHY PLAYGROUND RENOVATION</t>
  </si>
  <si>
    <t xml:space="preserve">SUB ID</t>
  </si>
  <si>
    <t xml:space="preserve">BUDGET LINE</t>
  </si>
  <si>
    <t xml:space="preserve">BORO</t>
  </si>
  <si>
    <t xml:space="preserve">PROJECT TITLE</t>
  </si>
  <si>
    <t xml:space="preserve">FY 2027</t>
  </si>
  <si>
    <t xml:space="preserve">FY 2028</t>
  </si>
  <si>
    <t xml:space="preserve">FY 2029</t>
  </si>
  <si>
    <t xml:space="preserve">FY 2030</t>
  </si>
  <si>
    <t xml:space="preserve">SPON</t>
  </si>
  <si>
    <t xml:space="preserve">PDF p.</t>
  </si>
  <si>
    <t xml:space="preserve">CC0791</t>
  </si>
  <si>
    <t xml:space="preserve">ED001</t>
  </si>
  <si>
    <t xml:space="preserve">R</t>
  </si>
  <si>
    <t xml:space="preserve">I.S.2 TECH UPGRADES B:R002 S:R002</t>
  </si>
  <si>
    <t xml:space="preserve">CARR</t>
  </si>
  <si>
    <t xml:space="preserve">CC0792</t>
  </si>
  <si>
    <t xml:space="preserve">I.S. 51 TECH UPGRADES B:R051 S:R051</t>
  </si>
  <si>
    <t xml:space="preserve">CC0793</t>
  </si>
  <si>
    <t xml:space="preserve">P.S./I.S. 26 PARKING LOT B:R026 S:R026</t>
  </si>
  <si>
    <t xml:space="preserve">CC0794</t>
  </si>
  <si>
    <t xml:space="preserve">P.S. 30 TECH UPGRADES B:R030 S:R030</t>
  </si>
  <si>
    <t xml:space="preserve">CC0795</t>
  </si>
  <si>
    <t xml:space="preserve">P.S./I.S. 48 TECH UPGRADES B:R071 S:R048</t>
  </si>
  <si>
    <t xml:space="preserve">CC0796</t>
  </si>
  <si>
    <t xml:space="preserve">P.S./I.S. 229 TECH UPGRADES B:K229 S:K229</t>
  </si>
  <si>
    <t xml:space="preserve">CC0797</t>
  </si>
  <si>
    <t xml:space="preserve">P.S. 9 TECH UPGRADES B:R048 S:R009</t>
  </si>
  <si>
    <t xml:space="preserve">CC0798</t>
  </si>
  <si>
    <t xml:space="preserve">P.S. 11 TECH UPGRADES B:R011 S:R011</t>
  </si>
  <si>
    <t xml:space="preserve">CC0799</t>
  </si>
  <si>
    <t xml:space="preserve">P.S. 23 TECH UPGRADES B:R023 S:R023</t>
  </si>
  <si>
    <t xml:space="preserve">CC0800</t>
  </si>
  <si>
    <t xml:space="preserve">P.S. 29 TECH UPGRADES B:R029 S:R029</t>
  </si>
  <si>
    <t xml:space="preserve">CC0801</t>
  </si>
  <si>
    <t xml:space="preserve">P.S. 38 TECH UPGRADES B:R038 S:R038</t>
  </si>
  <si>
    <t xml:space="preserve">CC0802</t>
  </si>
  <si>
    <t xml:space="preserve">P.S.39 GYM CONVERSION B:R039 S:R039</t>
  </si>
  <si>
    <t xml:space="preserve">CC0803</t>
  </si>
  <si>
    <t xml:space="preserve">P.S. 41 TECH UPGRADES B:R041 S:R041</t>
  </si>
  <si>
    <t xml:space="preserve">CC0804</t>
  </si>
  <si>
    <t xml:space="preserve">P.S. 46 TECH UPGRADES B:R046 S:R046</t>
  </si>
  <si>
    <t xml:space="preserve">CC0806</t>
  </si>
  <si>
    <t xml:space="preserve">P.S. 52 TECH UPGRADES B:R052 S:R052</t>
  </si>
  <si>
    <t xml:space="preserve">CC0807</t>
  </si>
  <si>
    <t xml:space="preserve">P.S. 54 TECH UPGRADES B:R054 S:R054</t>
  </si>
  <si>
    <t xml:space="preserve">CC0809</t>
  </si>
  <si>
    <t xml:space="preserve">STATEN ISLAND TECHNICAL H.S. TECH UPGRADES B:R440 S:R605</t>
  </si>
  <si>
    <t xml:space="preserve">CC0810</t>
  </si>
  <si>
    <t xml:space="preserve">NEW DORP HIGH SCHOOL TECH UPGRADES B:R435 S:R440</t>
  </si>
  <si>
    <t xml:space="preserve">CC0811</t>
  </si>
  <si>
    <t xml:space="preserve">SUSAN E. WAGNER HIGH SCHOOL TECH UPGRADES B:R460 S:R460</t>
  </si>
  <si>
    <t xml:space="preserve">CC0812</t>
  </si>
  <si>
    <t xml:space="preserve">I.S. 24 SECURITY CAMERAS B:R024 S:R024</t>
  </si>
  <si>
    <t xml:space="preserve">CC0813</t>
  </si>
  <si>
    <t xml:space="preserve">P.S.37 TECH UPGRADE B:R840 S:R037</t>
  </si>
  <si>
    <t xml:space="preserve">CC0820</t>
  </si>
  <si>
    <t xml:space="preserve">P.S. 58 TECH UPGRADES B:R058 S:R058</t>
  </si>
  <si>
    <t xml:space="preserve">MORANO</t>
  </si>
  <si>
    <t xml:space="preserve">CC0821</t>
  </si>
  <si>
    <t xml:space="preserve">P.S. 62 TECH UPGRADES B:R062 S:R062</t>
  </si>
  <si>
    <t xml:space="preserve">CC0822</t>
  </si>
  <si>
    <t xml:space="preserve">P37R TECH UPGRADES B:R037 S:R037</t>
  </si>
  <si>
    <t xml:space="preserve">CC0823</t>
  </si>
  <si>
    <t xml:space="preserve">P.S. 56 THEATER ROOM CONVERSION B:R056 S:R056</t>
  </si>
  <si>
    <t xml:space="preserve">CC0824</t>
  </si>
  <si>
    <t xml:space="preserve">P.S. 8 TECH UPGRADES B:R008 S:R008</t>
  </si>
  <si>
    <t xml:space="preserve">CC0825</t>
  </si>
  <si>
    <t xml:space="preserve">P.S. 5 STEM LAB UPGRADE B:R005 S:R005</t>
  </si>
  <si>
    <t xml:space="preserve">CC0826</t>
  </si>
  <si>
    <t xml:space="preserve">P.S. 55 AUDITORIUM UPGRADE B:31R055 S:R055</t>
  </si>
  <si>
    <t xml:space="preserve">CC0827</t>
  </si>
  <si>
    <t xml:space="preserve">P.S. 1 TECH UPGRADES B:R001 S:R001</t>
  </si>
  <si>
    <t xml:space="preserve">CC0828</t>
  </si>
  <si>
    <t xml:space="preserve">P.S. 6 ROOM CONVERSION B:R006 S:R006</t>
  </si>
  <si>
    <t xml:space="preserve">CC0829</t>
  </si>
  <si>
    <t xml:space="preserve">I.S. 7 PODCAST ROOM PROJECT B:R007 S:31R007</t>
  </si>
  <si>
    <t xml:space="preserve">CC0830</t>
  </si>
  <si>
    <t xml:space="preserve">P.S. 25 SOUTH RICHMOND H.S VOCATIONAL TRAINING EQUIPMENT B:R025 S:75R025</t>
  </si>
  <si>
    <t xml:space="preserve">CC0831</t>
  </si>
  <si>
    <t xml:space="preserve">P.S. 69 SUPPLEMENTAL COOLING B:R069 S:R069</t>
  </si>
  <si>
    <t xml:space="preserve">CC0832</t>
  </si>
  <si>
    <t xml:space="preserve">P.S. 32 AUDITORIUM UPGRADES B:R032 S:R032</t>
  </si>
  <si>
    <t xml:space="preserve">CC0833</t>
  </si>
  <si>
    <t xml:space="preserve">I.S. 24 CAMERA UPGRADE B:R024 S:R024</t>
  </si>
  <si>
    <t xml:space="preserve">CC0834</t>
  </si>
  <si>
    <t xml:space="preserve">I.S. 34 AUDITORIUM UPGRADES B:R034 S:R034</t>
  </si>
  <si>
    <t xml:space="preserve">CC0835</t>
  </si>
  <si>
    <t xml:space="preserve">I.S. 72 TECH UPGRADES B:R072 S:R072</t>
  </si>
  <si>
    <t xml:space="preserve">CC0836</t>
  </si>
  <si>
    <t xml:space="preserve">P.S. 3 TECH UPGRADES B:R003 S:R003</t>
  </si>
  <si>
    <t xml:space="preserve">CC0837</t>
  </si>
  <si>
    <t xml:space="preserve">I.S. 75 TECH UPGRADES B:R075 S:R075</t>
  </si>
  <si>
    <t xml:space="preserve">CC0838</t>
  </si>
  <si>
    <t xml:space="preserve">P.S. 4 ELECTRICAL UPGRADES B:R004 S:R004</t>
  </si>
  <si>
    <t xml:space="preserve">CC0839</t>
  </si>
  <si>
    <t xml:space="preserve">P.S. 36 TECH UPGRADES B:R036 S:R036</t>
  </si>
  <si>
    <t xml:space="preserve">CC0840</t>
  </si>
  <si>
    <t xml:space="preserve">P.S. 42 TECH UPGRADES B:R042 S:R042</t>
  </si>
  <si>
    <t xml:space="preserve">CC0841</t>
  </si>
  <si>
    <t xml:space="preserve">P.S. 53 CAFETERIA UPGRADE B:R053 S:R053</t>
  </si>
  <si>
    <t xml:space="preserve">CC0842</t>
  </si>
  <si>
    <t xml:space="preserve">TOTTENVILLE H.S TECH UPGRADES B:R455 S:31R455</t>
  </si>
  <si>
    <t xml:space="preserve">CC0843</t>
  </si>
  <si>
    <t xml:space="preserve">CSI HIGH SCHOOL TECH UPGRADES B:R043 S:R047</t>
  </si>
  <si>
    <t xml:space="preserve">CC0844</t>
  </si>
  <si>
    <t xml:space="preserve">GAYNOR MCCOWN H.S. TECH UPGRADES B:R043 S:R064</t>
  </si>
  <si>
    <t xml:space="preserve">CC0847</t>
  </si>
  <si>
    <t xml:space="preserve">I.S. 63 TECH UPGRADE B:R043 S:R063</t>
  </si>
  <si>
    <t xml:space="preserve">TOTALS FOR PHILOSOPHY PLAYGROUND RENOVATION (47 PROJECTS)</t>
  </si>
  <si>
    <t xml:space="preserve">HEALTH AIDE &amp; MEDICAL ASSISTANCE</t>
  </si>
  <si>
    <t xml:space="preserve">HANKS</t>
  </si>
  <si>
    <t xml:space="preserve">THE EAGLE ACADEMY FOR YOUNG MEN OF STATEN ISLAND TECH UPGRADES B:R028 S:R028</t>
  </si>
  <si>
    <t xml:space="preserve">STATEN ISLAND SCHOOL OF CIVIC LEADERSHIP TECH UPGRADES B:R861 S:R861</t>
  </si>
  <si>
    <t xml:space="preserve">TOTALS FOR HEALTH AIDE &amp; MEDICAL ASSISTANCE (6 PROJECTS)</t>
  </si>
  <si>
    <t xml:space="preserve">AND SOCIAL CHANGE CULINARY ARTS AND</t>
  </si>
  <si>
    <t xml:space="preserve">CC1094</t>
  </si>
  <si>
    <t xml:space="preserve">P.S.50 PLAYGROUND RENOVATION</t>
  </si>
  <si>
    <t xml:space="preserve">SPEAKER CARR</t>
  </si>
  <si>
    <t xml:space="preserve">CC1095</t>
  </si>
  <si>
    <t xml:space="preserve">P.S. 60 PLAYGROUND RENOVATION</t>
  </si>
  <si>
    <t xml:space="preserve">TOTALS FOR AND SOCIAL CHANGE CULINARY ARTS AND (2 PROJECTS)</t>
  </si>
  <si>
    <t xml:space="preserve">ECONOMIC DEVELOPMENT</t>
  </si>
  <si>
    <t xml:space="preserve">EDD075</t>
  </si>
  <si>
    <t xml:space="preserve">SPEAKER HANKS</t>
  </si>
  <si>
    <t xml:space="preserve">TOTALS FOR ECONOMIC DEVELOPMENT (1 PROJECTS)</t>
  </si>
  <si>
    <t xml:space="preserve">ESPLANADE PROJECT</t>
  </si>
  <si>
    <t xml:space="preserve">TOTALS FOR ESPLANADE PROJECT (1 PROJECTS)</t>
  </si>
  <si>
    <t xml:space="preserve">SYSTEM IMPROVEMENTS</t>
  </si>
  <si>
    <t xml:space="preserve">CC0845</t>
  </si>
  <si>
    <t xml:space="preserve">FD109</t>
  </si>
  <si>
    <t xml:space="preserve">MARINE 8 GATOR PURCHASE</t>
  </si>
  <si>
    <t xml:space="preserve">CC1117</t>
  </si>
  <si>
    <t xml:space="preserve">EMS 23 ROSSVILLE COMMAND CAR</t>
  </si>
  <si>
    <t xml:space="preserve">SPEAKER STATEN ISLAND DELEGATION</t>
  </si>
  <si>
    <t xml:space="preserve">TOTALS FOR SYSTEM IMPROVEMENTS (2 PROJECTS)</t>
  </si>
  <si>
    <t xml:space="preserve">RENOVATIONS</t>
  </si>
  <si>
    <t xml:space="preserve">CC0819</t>
  </si>
  <si>
    <t xml:space="preserve">PVD341</t>
  </si>
  <si>
    <t xml:space="preserve">HISTORIC RICHMOND TOWN GALLERY</t>
  </si>
  <si>
    <t xml:space="preserve">CC1101</t>
  </si>
  <si>
    <t xml:space="preserve">FD175</t>
  </si>
  <si>
    <t xml:space="preserve">BATTALION 23/ENGINE 162/LADDER 82</t>
  </si>
  <si>
    <t xml:space="preserve">SPEAKER MORANO</t>
  </si>
  <si>
    <t xml:space="preserve">CC1162</t>
  </si>
  <si>
    <t xml:space="preserve">PWDN402</t>
  </si>
  <si>
    <t xml:space="preserve">JEWISH COMMUNITY CENTER OF STATEN ISLAND</t>
  </si>
  <si>
    <t xml:space="preserve">TOTALS FOR RENOVATIONS (3 PROJECTS)</t>
  </si>
  <si>
    <t xml:space="preserve">HOUSING</t>
  </si>
  <si>
    <t xml:space="preserve">HDD023</t>
  </si>
  <si>
    <t xml:space="preserve">TOTALS FOR HOUSING (1 PROJECTS)</t>
  </si>
  <si>
    <t xml:space="preserve">CALLEN-LORDE</t>
  </si>
  <si>
    <t xml:space="preserve">HLDN09D</t>
  </si>
  <si>
    <t xml:space="preserve">TOTALS FOR CALLEN-LORDE (1 PROJECTS)</t>
  </si>
  <si>
    <t xml:space="preserve">CATHETERIZATION</t>
  </si>
  <si>
    <t xml:space="preserve">HLDN404</t>
  </si>
  <si>
    <t xml:space="preserve">TOTALS FOR CATHETERIZATION (1 PROJECTS)</t>
  </si>
  <si>
    <t xml:space="preserve">SEAVIEW</t>
  </si>
  <si>
    <t xml:space="preserve">CC1147</t>
  </si>
  <si>
    <t xml:space="preserve">STATEN ISLAND UNIVERSITY HOSPITAL PRINCE</t>
  </si>
  <si>
    <t xml:space="preserve">SPEAKER</t>
  </si>
  <si>
    <t xml:space="preserve">TOTALS FOR SEAVIEW (1 PROJECTS)</t>
  </si>
  <si>
    <t xml:space="preserve">CLASSROOM TECHNOLOGY UPGRADES</t>
  </si>
  <si>
    <t xml:space="preserve">CC1146</t>
  </si>
  <si>
    <t xml:space="preserve">HND300</t>
  </si>
  <si>
    <t xml:space="preserve">COLLEGE OF STATEN ISLAND PARKING LOT</t>
  </si>
  <si>
    <t xml:space="preserve">TOTALS FOR CLASSROOM TECHNOLOGY UPGRADES (1 PROJECTS)</t>
  </si>
  <si>
    <t xml:space="preserve">HIGHWAYS</t>
  </si>
  <si>
    <t xml:space="preserve">HWD104</t>
  </si>
  <si>
    <t xml:space="preserve">TOTALS FOR HIGHWAYS (3 PROJECTS)</t>
  </si>
  <si>
    <t xml:space="preserve">REPLACEMENT</t>
  </si>
  <si>
    <t xml:space="preserve">CC0846</t>
  </si>
  <si>
    <t xml:space="preserve">LND008</t>
  </si>
  <si>
    <t xml:space="preserve">SECURITY UPGRADES CD51</t>
  </si>
  <si>
    <t xml:space="preserve">CC1161</t>
  </si>
  <si>
    <t xml:space="preserve">NEW YORK PUBLIC LIBRARY TECHNOLOGY REFRESH CD50</t>
  </si>
  <si>
    <t xml:space="preserve">TOTALS FOR REPLACEMENT (3 PROJECTS)</t>
  </si>
  <si>
    <t xml:space="preserve">UPGRADES</t>
  </si>
  <si>
    <t xml:space="preserve">CC0814</t>
  </si>
  <si>
    <t xml:space="preserve">PD020</t>
  </si>
  <si>
    <t xml:space="preserve">OLD TOWN PLAYGROUND RECONSTRUCTION</t>
  </si>
  <si>
    <t xml:space="preserve">CC0815</t>
  </si>
  <si>
    <t xml:space="preserve">GREENBELT RECREATION CENTER SECURITY</t>
  </si>
  <si>
    <t xml:space="preserve">TOTALS FOR UPGRADES (2 PROJECTS)</t>
  </si>
  <si>
    <t xml:space="preserve">CAMERAS</t>
  </si>
  <si>
    <t xml:space="preserve">CC0816</t>
  </si>
  <si>
    <t xml:space="preserve">WILLOWBROOK POND PARK RENOVATIONS</t>
  </si>
  <si>
    <t xml:space="preserve">CC0817</t>
  </si>
  <si>
    <t xml:space="preserve">OLD TOWN PLAYGROUND NYCHA FIELD</t>
  </si>
  <si>
    <t xml:space="preserve">TOTALS FOR CAMERAS (2 PROJECTS)</t>
  </si>
  <si>
    <t xml:space="preserve">RECONSTRUCTION</t>
  </si>
  <si>
    <t xml:space="preserve">CC1100</t>
  </si>
  <si>
    <t xml:space="preserve">X</t>
  </si>
  <si>
    <t xml:space="preserve">EXPANSION OF SI DOT TREES AND SIDEWALK</t>
  </si>
  <si>
    <t xml:space="preserve">TOTALS FOR RECONSTRUCTION (3 PROJECTS)</t>
  </si>
  <si>
    <t xml:space="preserve">PROGRAM</t>
  </si>
  <si>
    <t xml:space="preserve">CC1135</t>
  </si>
  <si>
    <t xml:space="preserve">BLOOMINGDALE PARK BASEBALL FIELD</t>
  </si>
  <si>
    <t xml:space="preserve">TOTALS FOR PROGRAM (1 PROJECTS)</t>
  </si>
  <si>
    <t xml:space="preserve">RENOVATION</t>
  </si>
  <si>
    <t xml:space="preserve">PD822</t>
  </si>
  <si>
    <t xml:space="preserve">CC1097</t>
  </si>
  <si>
    <t xml:space="preserve">PVD477</t>
  </si>
  <si>
    <t xml:space="preserve">STATEN ISLAND CHILDREN'S MUSEUM</t>
  </si>
  <si>
    <t xml:space="preserve">CC1139</t>
  </si>
  <si>
    <t xml:space="preserve">CC1160</t>
  </si>
  <si>
    <t xml:space="preserve">CLOVE LAKES PLAYGROUND RECONSTRUCTION</t>
  </si>
  <si>
    <t xml:space="preserve">TOTALS FOR RENOVATION (4 PROJECTS)</t>
  </si>
  <si>
    <t xml:space="preserve">MOBILITY</t>
  </si>
  <si>
    <t xml:space="preserve">PVD175</t>
  </si>
  <si>
    <t xml:space="preserve">PVD08Y</t>
  </si>
  <si>
    <t xml:space="preserve">CC1116</t>
  </si>
  <si>
    <t xml:space="preserve">STATEN ISLAND ZOOLOGICAL PERIMETER</t>
  </si>
  <si>
    <t xml:space="preserve">TOTALS FOR MOBILITY (3 PROJECTS)</t>
  </si>
  <si>
    <t xml:space="preserve">ENHANCEMENT</t>
  </si>
  <si>
    <t xml:space="preserve">CC1115</t>
  </si>
  <si>
    <t xml:space="preserve">PVD490</t>
  </si>
  <si>
    <t xml:space="preserve">SNUG HARBOR CULTURAL CENTER AND</t>
  </si>
  <si>
    <t xml:space="preserve">TOTALS FOR ENHANCEMENT (1 PROJECTS)</t>
  </si>
  <si>
    <t xml:space="preserve">REVITALIZATION PROJECT</t>
  </si>
  <si>
    <t xml:space="preserve">CC0818</t>
  </si>
  <si>
    <t xml:space="preserve">PVDN364</t>
  </si>
  <si>
    <t xml:space="preserve">ST. GEORGE THEATRE RESTORATION, INC.</t>
  </si>
  <si>
    <t xml:space="preserve">CC1098</t>
  </si>
  <si>
    <t xml:space="preserve">ST. GEORGE THEATRE RESTORATION</t>
  </si>
  <si>
    <t xml:space="preserve">TOTALS FOR REVITALIZATION PROJECT (3 PROJECTS)</t>
  </si>
  <si>
    <t xml:space="preserve">RENOVATION SENIOR CENTER RENOVATION</t>
  </si>
  <si>
    <t xml:space="preserve">PWDN318</t>
  </si>
  <si>
    <t xml:space="preserve">TOTALS FOR RENOVATION SENIOR CENTER RENOVATION (1 PROJECTS)</t>
  </si>
  <si>
    <t xml:space="preserve">TOTALS FOR ALL SI LINES (93 PROJECTS)</t>
  </si>
  <si>
    <t xml:space="preserve">CC0796 highlighted: Boro-coded R, school codes B:K229 S:K229 (Brooklyn) as printed — typo query pending. CC1100 highlighted: Boro X, SI-substantive (SI DOT Trees &amp; Sidewalk).</t>
  </si>
  <si>
    <t xml:space="preserve">FY 2027 §254 — NON-CITY CAPITAL (SECTION II) &amp; DETAIL BY NON-CITY ENTITY (SECTION III) — STATEN ISLAND</t>
  </si>
  <si>
    <t xml:space="preserve">PROJECT TITLE / ORGANIZATION</t>
  </si>
  <si>
    <t xml:space="preserve">SECTION II — the MA wallet (no sponsor; excluded from the $853,688,000 Council Additions)</t>
  </si>
  <si>
    <t xml:space="preserve">MA1004</t>
  </si>
  <si>
    <t xml:space="preserve">PV0N364</t>
  </si>
  <si>
    <t xml:space="preserve">(none — non-City section)</t>
  </si>
  <si>
    <t xml:space="preserve">SECTION III — SI organizations, doc-printed org totals</t>
  </si>
  <si>
    <t xml:space="preserve">ST. GEORGE THEATER</t>
  </si>
  <si>
    <t xml:space="preserve">PV 0N364 $5,850,000 + PV DN364 $1,500,000 (CC0818 CARR $500K · CC0891 HANKS $500K · CC1098 SPEAKER $500K)</t>
  </si>
  <si>
    <t xml:space="preserve">STATEN ISLAND UNIVERSITY HOSPITAL</t>
  </si>
  <si>
    <t xml:space="preserve">HL DN404 (CC1091 501 Seaview $1,250,000 SPEAKER, HANKS · CC1147 Prince Bay $4,000,000 SPEAKER)</t>
  </si>
  <si>
    <t xml:space="preserve">ON YOUR MARK, INC.</t>
  </si>
  <si>
    <t xml:space="preserve">PW DN318 (CC0889 HANKS)</t>
  </si>
  <si>
    <t xml:space="preserve">STATEN ISLAND JEWISH COMMUNITY CENTER</t>
  </si>
  <si>
    <t xml:space="preserve">PW DN402 (CC1162 CARR — vehicle)</t>
  </si>
  <si>
    <t xml:space="preserve">VENTURE HOUSE INC.</t>
  </si>
  <si>
    <t xml:space="preserve">HL DN09D (CC0890 HANKS)</t>
  </si>
  <si>
    <t xml:space="preserve">SI non-City org totals</t>
  </si>
  <si>
    <t xml:space="preserve">DOCUMENT CONTEXT (as printed): City Council Additions $853,688,000 · Less Rescindments from Prior Capital Budgets ($23,317,000) · Net Change $830,371,000. Section II non-City total $210,677,000 (178 projects). The MA wallet citywide is dominated by cultural institutions (The Kitchen $14.0M · Ballet Hispánico $10.0M · Roundabout $7.0M · St. George $5.85M).</t>
  </si>
  <si>
    <t xml:space="preserve">SI CAPITAL BY SPONSOR — EVERY LINE, FROM THE §254 V4 SPON COLUMN (all prior LOCKED items now doc-verified)</t>
  </si>
  <si>
    <t xml:space="preserve">HANKS — 22 lines</t>
  </si>
  <si>
    <t xml:space="preserve">PROJECT</t>
  </si>
  <si>
    <t xml:space="preserve">SPON (as printed)</t>
  </si>
  <si>
    <t xml:space="preserve">FOOTS TO</t>
  </si>
  <si>
    <t xml:space="preserve">CARR — 34 lines</t>
  </si>
  <si>
    <t xml:space="preserve">This one is in Brooklyn, do not add </t>
  </si>
  <si>
    <t xml:space="preserve">MORANO — 30 lines</t>
  </si>
  <si>
    <t xml:space="preserve">SI DELEGATION (joint) — 3 lines</t>
  </si>
  <si>
    <t xml:space="preserve">SPEAKER (pure) — 4 lines</t>
  </si>
  <si>
    <t xml:space="preserve">FY27 SI CAPITAL BY ALLOCATOR ($71,500,000 SI-substantive)</t>
  </si>
  <si>
    <t xml:space="preserve">Allocator</t>
  </si>
  <si>
    <t xml:space="preserve">Share</t>
  </si>
  <si>
    <t xml:space="preserve">Morano (D51)</t>
  </si>
  <si>
    <t xml:space="preserve">SI Delegation (joint, multi-sponsor)</t>
  </si>
  <si>
    <t xml:space="preserve">Speaker (solo)</t>
  </si>
  <si>
    <t xml:space="preserve">TOTAL (SI-substantive, incl. CC1100)</t>
  </si>
  <si>
    <t xml:space="preserve">+ St. George Theatre add-on (allocator section per source doc — cite pending)</t>
  </si>
  <si>
    <t xml:space="preserve">SI-SUBSTANTIVE CAPITAL</t>
  </si>
  <si>
    <t xml:space="preserve">FY27 SI CAPITAL BY CATEGORY ($67,964,000 Borough R, Section 254)</t>
  </si>
  <si>
    <t xml:space="preserve">Highlights</t>
  </si>
  <si>
    <t xml:space="preserve">Parks &amp; Open Space</t>
  </si>
  <si>
    <t xml:space="preserve">Willowbrook Pond Park, Bloomingdale Park field, Clove Lakes Playground, Tappen Park, Davis Playground</t>
  </si>
  <si>
    <t xml:space="preserve">Education (SCA)</t>
  </si>
  <si>
    <t xml:space="preserve">School tech, playgrounds, auditoriums, cooling, STEM labs; P.S. 50 &amp; P.S. 60 playgrounds</t>
  </si>
  <si>
    <t xml:space="preserve">Cultural Institutions</t>
  </si>
  <si>
    <t xml:space="preserve">Snug Harbor, SI Zoo, SI Children’s Museum, St. George Theatre, Historic Richmond Town</t>
  </si>
  <si>
    <t xml:space="preserve">Economic Development (EDC)</t>
  </si>
  <si>
    <t xml:space="preserve">North Shore Action Plan / Tompkinsville Esplanade; Pier One Fishing Pier</t>
  </si>
  <si>
    <t xml:space="preserve">Health / H+H</t>
  </si>
  <si>
    <t xml:space="preserve">SIUH Prince’s Bay, SIUH 501 Seaview, Venture House</t>
  </si>
  <si>
    <t xml:space="preserve">Fire / Public Safety</t>
  </si>
  <si>
    <t xml:space="preserve">Battalion 23 / Engine 162 / Ladder 82; EMS 23 Rossville command car</t>
  </si>
  <si>
    <t xml:space="preserve">Housing &amp; Human Services</t>
  </si>
  <si>
    <t xml:space="preserve">Volunteers of America Hillside Grove</t>
  </si>
  <si>
    <t xml:space="preserve">Highways / DOT</t>
  </si>
  <si>
    <t xml:space="preserve">Public Buildings (DCAS)</t>
  </si>
  <si>
    <t xml:space="preserve">Libraries (NYPL)</t>
  </si>
  <si>
    <t xml:space="preserve">Technology refresh, CCTV/access control, security</t>
  </si>
  <si>
    <t xml:space="preserve">Higher Education</t>
  </si>
  <si>
    <t xml:space="preserve">College of Staten Island parking renovation</t>
  </si>
  <si>
    <t xml:space="preserve">TOTAL Borough R</t>
  </si>
  <si>
    <t xml:space="preserve">+ CC1100 SI DOT Trees &amp; Sidewalk (Boro X-coded)</t>
  </si>
  <si>
    <t xml:space="preserve">+ St. George Theatre (separate section)</t>
  </si>
  <si>
    <t xml:space="preserve">EXCLUDED: $230,000 school project labeled Staten Island carrying Brooklyn school codes — suspected City coding typo; not added; confirmation query pending.</t>
  </si>
  <si>
    <t xml:space="preserve">FY27 NAMED CAPITAL WINS (Section 254, CC-series verified Jul 1)</t>
  </si>
  <si>
    <t xml:space="preserve">St. George Theatre (separate section — office review Jul 2)</t>
  </si>
  <si>
    <t xml:space="preserve">Willowbrook Pond Park renovations</t>
  </si>
  <si>
    <t xml:space="preserve">Bloomingdale Park baseball field renovation</t>
  </si>
  <si>
    <t xml:space="preserve">North Shore Action Plan / Tompkinsville Esplanade</t>
  </si>
  <si>
    <t xml:space="preserve">Clove Lakes Playground reconstruction</t>
  </si>
  <si>
    <t xml:space="preserve">SIUH Prince’s Bay renovation</t>
  </si>
  <si>
    <t xml:space="preserve">Staten Island Zoo perimeter renovations</t>
  </si>
  <si>
    <t xml:space="preserve">Pier One Fishing Pier construction</t>
  </si>
  <si>
    <t xml:space="preserve">Battalion 23 / Engine 162 / Ladder 82 renovation</t>
  </si>
  <si>
    <t xml:space="preserve">SIUH 501 Seaview (Speaker, Hanks — office source Jul 2)</t>
  </si>
  <si>
    <t xml:space="preserve">SI Children’s Museum improvements</t>
  </si>
  <si>
    <t xml:space="preserve">On Your Mark recreational field</t>
  </si>
  <si>
    <t xml:space="preserve">Named wins subtotal (subset of category totals)</t>
  </si>
  <si>
    <t xml:space="preserve">Project sub-IDs (CC-series) and Section 254 page cites available on re-upload of the Section 254 PDF.</t>
  </si>
  <si>
    <t xml:space="preserve">MDIs — EVERY POT, WITH SCHEDULE C LOCATION</t>
  </si>
  <si>
    <t xml:space="preserve">MDI pot</t>
  </si>
  <si>
    <t xml:space="preserve">Sched C ref</t>
  </si>
  <si>
    <t xml:space="preserve">Hanks $</t>
  </si>
  <si>
    <t xml:space="preserve">#</t>
  </si>
  <si>
    <t xml:space="preserve">Carr $</t>
  </si>
  <si>
    <t xml:space="preserve">Morano $</t>
  </si>
  <si>
    <t xml:space="preserve">Delegation $</t>
  </si>
  <si>
    <t xml:space="preserve">Local Initiatives</t>
  </si>
  <si>
    <t xml:space="preserve">App B pp.27–149</t>
  </si>
  <si>
    <t xml:space="preserve">CASA (after-school)</t>
  </si>
  <si>
    <t xml:space="preserve">DoVE</t>
  </si>
  <si>
    <t xml:space="preserve">p.74</t>
  </si>
  <si>
    <t xml:space="preserve">Youth Discretionary</t>
  </si>
  <si>
    <t xml:space="preserve">App C pp.150–193</t>
  </si>
  <si>
    <t xml:space="preserve">Support Our Older Adults</t>
  </si>
  <si>
    <t xml:space="preserve">p.172</t>
  </si>
  <si>
    <t xml:space="preserve">p.59</t>
  </si>
  <si>
    <t xml:space="preserve">Aging Discretionary</t>
  </si>
  <si>
    <t xml:space="preserve">App A pp.1–26</t>
  </si>
  <si>
    <t xml:space="preserve">Community Safety</t>
  </si>
  <si>
    <t xml:space="preserve">p.21</t>
  </si>
  <si>
    <t xml:space="preserve">p.97</t>
  </si>
  <si>
    <t xml:space="preserve">Digital Inclusion</t>
  </si>
  <si>
    <t xml:space="preserve">p.9</t>
  </si>
  <si>
    <t xml:space="preserve">Parks Equity</t>
  </si>
  <si>
    <t xml:space="preserve">p.188</t>
  </si>
  <si>
    <t xml:space="preserve">p.3</t>
  </si>
  <si>
    <t xml:space="preserve">Neighborhood Dev Grant</t>
  </si>
  <si>
    <t xml:space="preserve">PRINTED MDI TOTAL</t>
  </si>
  <si>
    <t xml:space="preserve">SU-CASA (pending post-adoption)</t>
  </si>
  <si>
    <t xml:space="preserve">p.73</t>
  </si>
  <si>
    <t xml:space="preserve">ALL-IN MDI (= database)</t>
  </si>
  <si>
    <t xml:space="preserve">PROJECTION — Morano SU-CASA at parity (3 × $15,000; ASSUMPTION, not confirmed)</t>
  </si>
  <si>
    <t xml:space="preserve">PROJECTED ALL-IN MDI (if realized)</t>
  </si>
  <si>
    <t xml:space="preserve">SPEAKER-POOL ITEMS TO SI (of $86,522,049 pool) — with Schedule C location</t>
  </si>
  <si>
    <t xml:space="preserve">Attributed to</t>
  </si>
  <si>
    <t xml:space="preserve">NYCID — Credible Messengers of Staten Island</t>
  </si>
  <si>
    <t xml:space="preserve">Universal Temple of the Arts — Love In Bloom</t>
  </si>
  <si>
    <t xml:space="preserve">On Your Mark</t>
  </si>
  <si>
    <t xml:space="preserve">Speaker itemization (PDF p.283)</t>
  </si>
  <si>
    <t xml:space="preserve">Dr. Theodore A. Atlas Foundation</t>
  </si>
  <si>
    <t xml:space="preserve">Speaker itemization (PDF p.271)</t>
  </si>
  <si>
    <t xml:space="preserve">Dibra Community Organization</t>
  </si>
  <si>
    <t xml:space="preserve">Pride Center of Staten Island</t>
  </si>
  <si>
    <t xml:space="preserve">Lifestyles for the Disabled — Adaptive Sports</t>
  </si>
  <si>
    <t xml:space="preserve">Staten Island Little League</t>
  </si>
  <si>
    <t xml:space="preserve">JCC of Staten Island — development program</t>
  </si>
  <si>
    <t xml:space="preserve">Carl V. Bini Memorial Fund</t>
  </si>
  <si>
    <t xml:space="preserve">Speaker itemization (PDF p.265)</t>
  </si>
  <si>
    <t xml:space="preserve">Carr+Morano+SI Del</t>
  </si>
  <si>
    <t xml:space="preserve">SI Zoological Society — Education &amp; Animal Care</t>
  </si>
  <si>
    <t xml:space="preserve">Morano+SI Del</t>
  </si>
  <si>
    <t xml:space="preserve">SIEDC — Economic Development, 51st District</t>
  </si>
  <si>
    <t xml:space="preserve">Carr+SI Del</t>
  </si>
  <si>
    <t xml:space="preserve">United Activities Unlimited — Summer Camp</t>
  </si>
  <si>
    <t xml:space="preserve">Carr+Morano</t>
  </si>
  <si>
    <t xml:space="preserve">Eden II School — family programs</t>
  </si>
  <si>
    <t xml:space="preserve">Canvas Institute — media mentorship</t>
  </si>
  <si>
    <t xml:space="preserve">SI Chamber of Commerce Foundation</t>
  </si>
  <si>
    <t xml:space="preserve">TOTAL — 16 items</t>
  </si>
  <si>
    <t xml:space="preserve">SPEAKER-DESIGNATED LOCALS TO SI (of Speaker $16,139,000 local block)</t>
  </si>
  <si>
    <t xml:space="preserve">CityParks Foundation — SummerStage / CityParks Play</t>
  </si>
  <si>
    <t xml:space="preserve">Staten Island Immigrant Center</t>
  </si>
  <si>
    <t xml:space="preserve">JCC of Staten Island — Adult Day Care</t>
  </si>
  <si>
    <t xml:space="preserve">App B p.88</t>
  </si>
  <si>
    <t xml:space="preserve">DSNY — 50th District</t>
  </si>
  <si>
    <t xml:space="preserve">App B p.68</t>
  </si>
  <si>
    <t xml:space="preserve">SIEDC — 50th District</t>
  </si>
  <si>
    <t xml:space="preserve">SI Historical Society — Historic Richmond Town</t>
  </si>
  <si>
    <t xml:space="preserve">South Shore District Management Association</t>
  </si>
  <si>
    <t xml:space="preserve">App B p.134</t>
  </si>
  <si>
    <t xml:space="preserve">Richmond Medical Center — SAFE Program</t>
  </si>
  <si>
    <t xml:space="preserve">TOTAL — 9 items</t>
  </si>
  <si>
    <t xml:space="preserve">SPEAKER ITEMS TO SI ORGS — NO MEMBER TAG</t>
  </si>
  <si>
    <t xml:space="preserve">Initiative (where labeled)</t>
  </si>
  <si>
    <t xml:space="preserve">Richmond Medical Center - Elizabeth W. Pouch Center for                   </t>
  </si>
  <si>
    <t xml:space="preserve">Staten Island Zoological Society, Inc. - SCI Network NYC</t>
  </si>
  <si>
    <t xml:space="preserve">Staten Island Chamber of Commerce Foundation, Inc. - 49th Council District</t>
  </si>
  <si>
    <t xml:space="preserve">African Refuge, Inc. - Community and Police Mental Health                 </t>
  </si>
  <si>
    <t xml:space="preserve">City University of New York - College of Staten Island - Breast Cancer Res</t>
  </si>
  <si>
    <t xml:space="preserve">Jewish Community Council of Greater Coney Island, Inc. - Staten Island Com</t>
  </si>
  <si>
    <t xml:space="preserve">Jewish Community Center of Staten Island, Inc. - 2027 Sunrise Day Camp</t>
  </si>
  <si>
    <t xml:space="preserve">EVERY SI DOLLAR IN SCHEDULE C FINAL-3 — WITH INITIATIVE/MDI AND PAGE</t>
  </si>
  <si>
    <t xml:space="preserve">MDI pot / Initiative</t>
  </si>
  <si>
    <t xml:space="preserve">Sponsor / Attribution</t>
  </si>
  <si>
    <t xml:space="preserve">Flag</t>
  </si>
  <si>
    <t xml:space="preserve">Where to search (public)</t>
  </si>
  <si>
    <t xml:space="preserve">MDI (SI member)</t>
  </si>
  <si>
    <t xml:space="preserve">Greenbelt Conservancy, Inc. – Nature Discovery Series</t>
  </si>
  <si>
    <t xml:space="preserve">p.103</t>
  </si>
  <si>
    <t xml:space="preserve">Sched C PDF (council.nyc.gov) · Open Data 4d7f-74pe · MOCS Award Tracker (EIN) · Checkbook NYC (payments)</t>
  </si>
  <si>
    <t xml:space="preserve">District 13 New York City H2O – Volunteer Cleanups &amp; Stewardship</t>
  </si>
  <si>
    <t xml:space="preserve">p.104</t>
  </si>
  <si>
    <t xml:space="preserve">Outreach - Council District 13 City Parks Foundation – CityParks Play, CityParks Learn &amp;</t>
  </si>
  <si>
    <t xml:space="preserve">p.100</t>
  </si>
  <si>
    <t xml:space="preserve">District 10 Citizens Committee for New York City, Inc. – Council District</t>
  </si>
  <si>
    <t xml:space="preserve">Beautification &amp; Horticulture - Kings Highway BID Lifestyles for the Disabled, Inc. – Hort</t>
  </si>
  <si>
    <t xml:space="preserve">Department of Education – Staten Island Borough Office</t>
  </si>
  <si>
    <t xml:space="preserve">p.101</t>
  </si>
  <si>
    <t xml:space="preserve">New York City H2O – Clean-Up Education Program</t>
  </si>
  <si>
    <t xml:space="preserve">Council District 45 Snug Harbor Cultural Center and Botanical Garden – Green</t>
  </si>
  <si>
    <t xml:space="preserve">Staten Island Historical Society – Educational Programming</t>
  </si>
  <si>
    <t xml:space="preserve">Events - Council District 10 Waterfront Alliance, Inc. – Education &amp; Programming -</t>
  </si>
  <si>
    <t xml:space="preserve">District 46 Billion Oyster Project, Inc. – Educational Programming -</t>
  </si>
  <si>
    <t xml:space="preserve">Council District 51 Billion Oyster Project, Inc. – School Network</t>
  </si>
  <si>
    <t xml:space="preserve">Conference House Association, Inc. – Historic Conference</t>
  </si>
  <si>
    <t xml:space="preserve">Horticulture Programming - Council District 14 Jewish Community Center of Staten Island, I</t>
  </si>
  <si>
    <t xml:space="preserve">for Students - Council District 28 New York City H2O – Water Ecology &amp; Engineering</t>
  </si>
  <si>
    <t xml:space="preserve">Careers &amp; Stewardship Program Snug Harbor Cultural Center and Botanical Garden – Green Wor</t>
  </si>
  <si>
    <t xml:space="preserve">Advocacy Program - Council District 6 Tottenville Historical Society – Council District 51</t>
  </si>
  <si>
    <t xml:space="preserve">Staten Island Community Services Friendship Clubs, Inc. - New Dorp Beach Friendship Club</t>
  </si>
  <si>
    <t xml:space="preserve">132778244</t>
  </si>
  <si>
    <t xml:space="preserve">App A p.23</t>
  </si>
  <si>
    <t xml:space="preserve">Staten Island Community Services Friendship Clubs, Inc. - Great Kills Friendship Club - Se</t>
  </si>
  <si>
    <t xml:space="preserve">Staten Island Community Services Friendship Clubs, Inc. - Mt. Loretto Friendship Club - Se</t>
  </si>
  <si>
    <t xml:space="preserve">Eger Health Care and Rehabilitation Center - Better Life More Living</t>
  </si>
  <si>
    <t xml:space="preserve">133524533</t>
  </si>
  <si>
    <t xml:space="preserve">App A p.8</t>
  </si>
  <si>
    <t xml:space="preserve">132720248</t>
  </si>
  <si>
    <t xml:space="preserve">App A p.4</t>
  </si>
  <si>
    <t xml:space="preserve">135562256</t>
  </si>
  <si>
    <t xml:space="preserve">App A p.14</t>
  </si>
  <si>
    <t xml:space="preserve">Catholic Charities of Staten Island - Anderson Neighborhood                            Fun</t>
  </si>
  <si>
    <t xml:space="preserve">135562286</t>
  </si>
  <si>
    <t xml:space="preserve">App A p.5</t>
  </si>
  <si>
    <t xml:space="preserve">Catholic Charities of Staten Island - West Brighton Older Adult                        Fun</t>
  </si>
  <si>
    <t xml:space="preserve">Community Agency for Senior Citizens, Inc. - Cassidy Coles Older Adult Center</t>
  </si>
  <si>
    <t xml:space="preserve">133263537</t>
  </si>
  <si>
    <t xml:space="preserve">App A p.6</t>
  </si>
  <si>
    <t xml:space="preserve">Community Agency for Senior Citizens, Inc. - New Lane Older Adult Center</t>
  </si>
  <si>
    <t xml:space="preserve">Jewish Community Center of Staten Island, Inc. - Stapleton Older Adult Center</t>
  </si>
  <si>
    <t xml:space="preserve">Metropolitan New York Coordinating Council on Jewish Poverty, Inc.</t>
  </si>
  <si>
    <t xml:space="preserve">132738818</t>
  </si>
  <si>
    <t xml:space="preserve">App A p.16</t>
  </si>
  <si>
    <t xml:space="preserve">Staten Island Community Services Friendship Clubs, Inc. - Todt Hill Friendship Club</t>
  </si>
  <si>
    <t xml:space="preserve">Lifestyles for the Disabled, Inc. - Older Adults Services</t>
  </si>
  <si>
    <t xml:space="preserve">133740011</t>
  </si>
  <si>
    <t xml:space="preserve">App A p.15</t>
  </si>
  <si>
    <t xml:space="preserve">Center For Hope Services, Inc. - Age-Friendly Care Program - Council District 49</t>
  </si>
  <si>
    <t xml:space="preserve">882507208</t>
  </si>
  <si>
    <t xml:space="preserve">452871053</t>
  </si>
  <si>
    <t xml:space="preserve">App A p.11</t>
  </si>
  <si>
    <t xml:space="preserve">Lifestyles for the Disabled, Inc. - Serving Our Seniors - Council District 49</t>
  </si>
  <si>
    <t xml:space="preserve">132894978</t>
  </si>
  <si>
    <t xml:space="preserve">Noble Maritime Collection, The - Council District 51</t>
  </si>
  <si>
    <t xml:space="preserve">133351673</t>
  </si>
  <si>
    <t xml:space="preserve">App A p.18</t>
  </si>
  <si>
    <t xml:space="preserve">Federation of Italian American Organizations of Brooklyn, Ltd.</t>
  </si>
  <si>
    <t xml:space="preserve">112507910</t>
  </si>
  <si>
    <t xml:space="preserve">Brooklyn-based org (printed designation)</t>
  </si>
  <si>
    <t xml:space="preserve">Jewish Community Center of Staten Island, Inc. - Senior Olympics</t>
  </si>
  <si>
    <t xml:space="preserve">South Shore Artists Foundation - Senior Programs - Council                            Fund</t>
  </si>
  <si>
    <t xml:space="preserve">842895424</t>
  </si>
  <si>
    <t xml:space="preserve">920875945</t>
  </si>
  <si>
    <t xml:space="preserve">App A p.24</t>
  </si>
  <si>
    <t xml:space="preserve">932643668</t>
  </si>
  <si>
    <t xml:space="preserve">Anti-Poverty Initiative</t>
  </si>
  <si>
    <t xml:space="preserve">Dr. Theodore A. Atlas Foundation, Inc. - Food Distribution -                              </t>
  </si>
  <si>
    <t xml:space="preserve">134012789</t>
  </si>
  <si>
    <t xml:space="preserve">PDF p.12 (member listing)</t>
  </si>
  <si>
    <t xml:space="preserve">135680691</t>
  </si>
  <si>
    <t xml:space="preserve">PDF p.20 (member listing)</t>
  </si>
  <si>
    <t xml:space="preserve">510171818</t>
  </si>
  <si>
    <t xml:space="preserve">PDF p.10 (member listing)</t>
  </si>
  <si>
    <t xml:space="preserve">Staten Island Children's Museum - Arts Residency - Council                                </t>
  </si>
  <si>
    <t xml:space="preserve">237379930</t>
  </si>
  <si>
    <t xml:space="preserve">473436880</t>
  </si>
  <si>
    <t xml:space="preserve">PDF p.14 (member listing)</t>
  </si>
  <si>
    <t xml:space="preserve">Metropolitan New York Coordinating Council on Jewish                                      </t>
  </si>
  <si>
    <t xml:space="preserve">PDF p.15 (member listing)</t>
  </si>
  <si>
    <t xml:space="preserve">134131863</t>
  </si>
  <si>
    <t xml:space="preserve">PDF p.13 (member listing)</t>
  </si>
  <si>
    <t xml:space="preserve">Mrs. Fairy Grandz, Inc. - Council District 49</t>
  </si>
  <si>
    <t xml:space="preserve">331833069</t>
  </si>
  <si>
    <t xml:space="preserve">University of Notre Dame Alumni Club of Staten Island - Bread of Life Food Drive - Council</t>
  </si>
  <si>
    <t xml:space="preserve">311344537</t>
  </si>
  <si>
    <t xml:space="preserve">Community Safety and Victim Services Ini</t>
  </si>
  <si>
    <t xml:space="preserve">New York Center for Interpersonal Development, Inc. - Council District 49</t>
  </si>
  <si>
    <t xml:space="preserve">237085239</t>
  </si>
  <si>
    <t xml:space="preserve">IlluminArt Productions - Council District 51</t>
  </si>
  <si>
    <t xml:space="preserve">421727647</t>
  </si>
  <si>
    <t xml:space="preserve">PDF p.55 (member listing)</t>
  </si>
  <si>
    <t xml:space="preserve">On Your Mark, Inc. - Special Athletics Program</t>
  </si>
  <si>
    <t xml:space="preserve">133128315</t>
  </si>
  <si>
    <t xml:space="preserve">450476945</t>
  </si>
  <si>
    <t xml:space="preserve">PDF p.61 (member listing)</t>
  </si>
  <si>
    <t xml:space="preserve">PDF p.53 (member listing)</t>
  </si>
  <si>
    <t xml:space="preserve">465288351</t>
  </si>
  <si>
    <t xml:space="preserve">132921483</t>
  </si>
  <si>
    <t xml:space="preserve">132618386</t>
  </si>
  <si>
    <t xml:space="preserve">PDF p.62 (member listing)</t>
  </si>
  <si>
    <t xml:space="preserve">Catholic Charities of Staten Island - Catholic Youth Organization (CYO)</t>
  </si>
  <si>
    <t xml:space="preserve">PDF p.51 (member listing)</t>
  </si>
  <si>
    <t xml:space="preserve">824902021</t>
  </si>
  <si>
    <t xml:space="preserve">320144539</t>
  </si>
  <si>
    <t xml:space="preserve">Emergency Children's Help Organization, Inc. - Emergency                                  </t>
  </si>
  <si>
    <t xml:space="preserve">113828185</t>
  </si>
  <si>
    <t xml:space="preserve">Emergency Children's Help Organization, Inc. - Emergency Assistance Program</t>
  </si>
  <si>
    <t xml:space="preserve">PDF p.54 (member listing)</t>
  </si>
  <si>
    <t xml:space="preserve">Girl Scout Council of Greater New York, Inc. - Troop 75312</t>
  </si>
  <si>
    <t xml:space="preserve">131624014</t>
  </si>
  <si>
    <t xml:space="preserve">Police Department - 123rd Precinct</t>
  </si>
  <si>
    <t xml:space="preserve">136400434</t>
  </si>
  <si>
    <t xml:space="preserve">PDF p.59 (member listing)</t>
  </si>
  <si>
    <t xml:space="preserve">205857329</t>
  </si>
  <si>
    <t xml:space="preserve">PDF p.60 (member listing)</t>
  </si>
  <si>
    <t xml:space="preserve">Young Men's Christian Association of Greater New York - Counseling &amp; Programming - Council</t>
  </si>
  <si>
    <t xml:space="preserve">131624228</t>
  </si>
  <si>
    <t xml:space="preserve">PDF p.63 (member listing)</t>
  </si>
  <si>
    <t xml:space="preserve">Cultural After-School Adventure (CASA)</t>
  </si>
  <si>
    <t xml:space="preserve">p.32</t>
  </si>
  <si>
    <t xml:space="preserve">Canvas Institute – Intermediate School 72R Rocco Laurie</t>
  </si>
  <si>
    <t xml:space="preserve">p.35</t>
  </si>
  <si>
    <t xml:space="preserve">Canvas Institute – Public School 016R John J. Driscoll (31R016)</t>
  </si>
  <si>
    <t xml:space="preserve">Center for Educational Innovation – Public School 016R John J.</t>
  </si>
  <si>
    <t xml:space="preserve">Children's Aid Society, The – Curtis High School (31R450)</t>
  </si>
  <si>
    <t xml:space="preserve">IlluminArt Productions – Intermediate School 2R George L.</t>
  </si>
  <si>
    <t xml:space="preserve">p.41</t>
  </si>
  <si>
    <t xml:space="preserve">Egbert (31R002) IlluminArt Productions – Marsh Avenue School for</t>
  </si>
  <si>
    <t xml:space="preserve">Expeditionary Learning (31R063) IlluminArt Productions – Public School 019R The Curtis Sch</t>
  </si>
  <si>
    <t xml:space="preserve">(31R019) IlluminArt Productions – Public School 056R The Louis Desario</t>
  </si>
  <si>
    <t xml:space="preserve">IlluminArt Productions – Public School 23R Richmondtown</t>
  </si>
  <si>
    <t xml:space="preserve">p.42</t>
  </si>
  <si>
    <t xml:space="preserve">(31R023) IlluminArt Productions – Public School 36R J. C. Drumgoole</t>
  </si>
  <si>
    <t xml:space="preserve">(31R036) IlluminArt Productions – Stephanie A. Vierno School, Public</t>
  </si>
  <si>
    <t xml:space="preserve">School 41R (31R041) IlluminArt Productions – The Kathleen Grimm School for</t>
  </si>
  <si>
    <t xml:space="preserve">Intrepid Museum Foundation, Inc. – Intermediate School 24R</t>
  </si>
  <si>
    <t xml:space="preserve">Intrepid Museum Foundation, Inc. – Public School 53R The</t>
  </si>
  <si>
    <t xml:space="preserve">Marquis Studios, Ltd. – Public School 045R John Tyler (31R045)</t>
  </si>
  <si>
    <t xml:space="preserve">Marquis Studios, Ltd. – The David Marquis School of the Arts</t>
  </si>
  <si>
    <t xml:space="preserve">p.45</t>
  </si>
  <si>
    <t xml:space="preserve">(75R037) Marquis Studios, Ltd. – The David Marquis School of the Arts</t>
  </si>
  <si>
    <t xml:space="preserve">National Lighthouse Museum – The Harbor View School</t>
  </si>
  <si>
    <t xml:space="preserve">p.49</t>
  </si>
  <si>
    <t xml:space="preserve">NIA Community Services Network, Inc. – Public School 52R</t>
  </si>
  <si>
    <t xml:space="preserve">Noel Pointer Foundation, Inc. – Public School 018R John G.</t>
  </si>
  <si>
    <t xml:space="preserve">Projectivity Group, Inc. – Public School 044R Thomas C. Brown</t>
  </si>
  <si>
    <t xml:space="preserve">Roundabout Theatre Company, Inc. – Port Richmond High</t>
  </si>
  <si>
    <t xml:space="preserve">p.55</t>
  </si>
  <si>
    <t xml:space="preserve">Snug Harbor Cultural Center and Botanical Garden –</t>
  </si>
  <si>
    <t xml:space="preserve">Intermediate School 51R Edwin Markham (31R051) Snug Harbor Cultural Center and Botanical G</t>
  </si>
  <si>
    <t xml:space="preserve">Staten Island Children's Museum – Public School 29R Bardwell</t>
  </si>
  <si>
    <t xml:space="preserve">(31R029) Staten Island Children's Museum – Public School 38R George</t>
  </si>
  <si>
    <t xml:space="preserve">Cromwell (31R038) Staten Island Children's Museum – Public School 65R The</t>
  </si>
  <si>
    <t xml:space="preserve">Academy of Innovative Learning (31R065) Staten Island Historical Society – Public School 1</t>
  </si>
  <si>
    <t xml:space="preserve">(31R001) Staten Island Historical Society – Public School 36R J. C.</t>
  </si>
  <si>
    <t xml:space="preserve">Drumgoole (31R036) Staten Island Historical Society – Public School 54R Charles W.</t>
  </si>
  <si>
    <t xml:space="preserve">Leng (31R054) Staten Island Institute of Arts and Sciences – Public School</t>
  </si>
  <si>
    <t xml:space="preserve">Staten Island Institute of Arts and Sciences – Public School</t>
  </si>
  <si>
    <t xml:space="preserve">057R Hubert H. Humphrey (31R057) Staten Island Institute of Arts and Sciences – Public Sch</t>
  </si>
  <si>
    <t xml:space="preserve">Albert V. Maniscalco (31R046) Staten Island Philharmonic Orchestra, Inc. – Port Richmond</t>
  </si>
  <si>
    <t xml:space="preserve">High School (31R445) Staten Island Zoological Society, Inc. – Naples Street</t>
  </si>
  <si>
    <t xml:space="preserve">Elementary School (31R009) Staten Island Zoological Society, Inc. – Public School 30R</t>
  </si>
  <si>
    <t xml:space="preserve">Westerleigh (31R030) Staten Island Zoological Society, Inc. – Public School 39R</t>
  </si>
  <si>
    <t xml:space="preserve">Francis J. Murphy Jr. (31R039) Staten Island Zoological Society, Inc. – Public School 48R</t>
  </si>
  <si>
    <t xml:space="preserve">Sundog Theatre, Inc. – Intermediate School 034R Tottenville</t>
  </si>
  <si>
    <t xml:space="preserve">(31R034) Sundog Theatre, Inc. – Intermediate School 7R Elias Bernstein</t>
  </si>
  <si>
    <t xml:space="preserve">(31R007) Sundog Theatre, Inc. – Public School 060R Alice Austen</t>
  </si>
  <si>
    <t xml:space="preserve">(31R060) Sundog Theatre, Inc. – Public School 11R Thomas Dongan</t>
  </si>
  <si>
    <t xml:space="preserve">School (31R011) Sundog Theatre, Inc. – Public School 26R The Carteret School</t>
  </si>
  <si>
    <t xml:space="preserve">(31R026) Sundog Theatre, Inc. – Public School 50R Frank Hankinson</t>
  </si>
  <si>
    <t xml:space="preserve">(31R050) Sundog Theatre, Inc. – Public School 53R The Barbara</t>
  </si>
  <si>
    <t xml:space="preserve">Esselborn School (31R053) Sundog Theatre, Inc. – Public School 55R Henry M. Boehm</t>
  </si>
  <si>
    <t xml:space="preserve">Sundog Theatre, Inc. – Public School 5R Huguenot (31R005)</t>
  </si>
  <si>
    <t xml:space="preserve">Sundog Theatre, Inc. – Public School 6R Corporal Allan F.</t>
  </si>
  <si>
    <t xml:space="preserve">Sundog Theatre, Inc. – Public School 74R Future Leaders</t>
  </si>
  <si>
    <t xml:space="preserve">TADA! Theatre and Dance Alliance, Inc. – Public School 022R</t>
  </si>
  <si>
    <t xml:space="preserve">Universal Temple of the Arts, Inc. – Council District 49</t>
  </si>
  <si>
    <t xml:space="preserve">District 20 New York City H2O – Culture &amp; Environmental Education Walking</t>
  </si>
  <si>
    <t xml:space="preserve">Program - Harlem &amp; Council District 9 Sundog Theatre, Inc.</t>
  </si>
  <si>
    <t xml:space="preserve">p.71</t>
  </si>
  <si>
    <t xml:space="preserve">Intrepid Museum Foundation, Inc. – Schools - Council District 51</t>
  </si>
  <si>
    <t xml:space="preserve">p.66</t>
  </si>
  <si>
    <t xml:space="preserve">Cultural Engagement Program - Council District 28 Jacques Marchais Center of Tibetan Art, </t>
  </si>
  <si>
    <t xml:space="preserve">Snug Harbor Cultural Center and Botanical Garden – Asian Cultural</t>
  </si>
  <si>
    <t xml:space="preserve">p.70</t>
  </si>
  <si>
    <t xml:space="preserve">Empowerment - Council District 33 St. George Theatre Restoration, Inc.</t>
  </si>
  <si>
    <t xml:space="preserve">Ballroom Basix USA, Inc. – Council District 51</t>
  </si>
  <si>
    <t xml:space="preserve">p.61</t>
  </si>
  <si>
    <t xml:space="preserve">p.63</t>
  </si>
  <si>
    <t xml:space="preserve">Programming Snug Harbor Cultural Center and Botanical Garden</t>
  </si>
  <si>
    <t xml:space="preserve">&amp; Council District 9 Albanian American Association of Staten Islan Inc.</t>
  </si>
  <si>
    <t xml:space="preserve">p.60</t>
  </si>
  <si>
    <t xml:space="preserve">Ballroom Basix USA, Inc. – Fort Hill Collaborative Elementary School (31R010) &amp; 65R The Ac</t>
  </si>
  <si>
    <t xml:space="preserve">Canvas Institute – Council District 49</t>
  </si>
  <si>
    <t xml:space="preserve">Friends of Alice Austen House, Inc. – Public School 020R Port</t>
  </si>
  <si>
    <t xml:space="preserve">Activities Garibaldi-Meucci Museum</t>
  </si>
  <si>
    <t xml:space="preserve">Personal Development - Council District 35 IlluminArt Productions</t>
  </si>
  <si>
    <t xml:space="preserve">p.67</t>
  </si>
  <si>
    <t xml:space="preserve">Midtown Management Group, Inc. – The Waverly Academy of</t>
  </si>
  <si>
    <t xml:space="preserve">Community Programs - Council District 36 Museum of Maritime Navigation and Communication</t>
  </si>
  <si>
    <t xml:space="preserve">Workshops - Council District 38 National Lighthouse Museum</t>
  </si>
  <si>
    <t xml:space="preserve">Council District 6 Noble Maritime Collection, The – La Capitana Dice Program - Public</t>
  </si>
  <si>
    <t xml:space="preserve">Roundabout Theatre Company, Inc. – School Programming -</t>
  </si>
  <si>
    <t xml:space="preserve">the Human Spirit &amp; Educational Experience Staten Island Historical Society</t>
  </si>
  <si>
    <t xml:space="preserve">Staten Island Philharmonic Orchestra, Inc. – Council District 51</t>
  </si>
  <si>
    <t xml:space="preserve">Sundog Theatre, Inc. – School Programming - Council District 51</t>
  </si>
  <si>
    <t xml:space="preserve">Tottenville Historical Society</t>
  </si>
  <si>
    <t xml:space="preserve">Digital Inclusion and Literacy Initiativ</t>
  </si>
  <si>
    <t xml:space="preserve">Council District 3 Jewish Community Center of Staten Island, Inc. – Council District 50</t>
  </si>
  <si>
    <t xml:space="preserve">Staten Island Industrial Alliance/Northshore Leadership Alliance Corp.</t>
  </si>
  <si>
    <t xml:space="preserve">IlluminArt Productions – Council District 51</t>
  </si>
  <si>
    <t xml:space="preserve">Jewish Community Center of Staten Island, Inc. – Council District 51</t>
  </si>
  <si>
    <t xml:space="preserve">Mouse, Inc. – Council District 51</t>
  </si>
  <si>
    <t xml:space="preserve">Mouse, Inc. – Intermediate School 027R (31R027) &amp; Staten Island</t>
  </si>
  <si>
    <t xml:space="preserve">Council District 22 PowerMyLearning, Inc. – Public School 21R Margaret Emery-Elm Park</t>
  </si>
  <si>
    <t xml:space="preserve">– Workforce Training Hub - Council District 49 Sundog Theatre, Inc. – Smart Money Kids Pro</t>
  </si>
  <si>
    <t xml:space="preserve">West Brighton Community Local Development Corporation – Small</t>
  </si>
  <si>
    <t xml:space="preserve">Domestic Violence and Empowerment (DoVE)</t>
  </si>
  <si>
    <t xml:space="preserve">Community Agency for Senior Citizens, Inc. – Council District</t>
  </si>
  <si>
    <t xml:space="preserve">Justice Innovation, Inc. – Council District 49</t>
  </si>
  <si>
    <t xml:space="preserve">Poverty, Inc. – Council District 49 Metropolitan New York Coordinating Council on Jewish</t>
  </si>
  <si>
    <t xml:space="preserve">District 49 Community Health Action of Staten Island, Inc. – Council</t>
  </si>
  <si>
    <t xml:space="preserve">Legal Services NYC – Council District 50</t>
  </si>
  <si>
    <t xml:space="preserve">District Attorney-Richmond – Council District 51</t>
  </si>
  <si>
    <t xml:space="preserve">Legal Services NYC – Council District 49</t>
  </si>
  <si>
    <t xml:space="preserve">51 Community Health Action of Staten Island, Inc. – Council</t>
  </si>
  <si>
    <t xml:space="preserve">p.80</t>
  </si>
  <si>
    <t xml:space="preserve">Legal Aid Society – Council District 49</t>
  </si>
  <si>
    <t xml:space="preserve">Poverty, Inc. – Council District 48 Metropolitan New York Coordinating Council on Jewish</t>
  </si>
  <si>
    <t xml:space="preserve">Poverty, Inc. – Council District 50 Metropolitan New York Coordinating Council on Jewish</t>
  </si>
  <si>
    <t xml:space="preserve">Pride Center of Staten Island, Inc. – Domestic Violence</t>
  </si>
  <si>
    <t xml:space="preserve">49 Seamen's Society for Children and Families – Council District</t>
  </si>
  <si>
    <t xml:space="preserve">p.77</t>
  </si>
  <si>
    <t xml:space="preserve">50 Community Agency for Senior Citizens, Inc. – Council District</t>
  </si>
  <si>
    <t xml:space="preserve">Jewish Board of Family and Children's Services, Inc. – Council</t>
  </si>
  <si>
    <t xml:space="preserve">Legal Services NYC – Council District 51</t>
  </si>
  <si>
    <t xml:space="preserve">Violence Assistance &amp; Empowerment Programs Police Department – 123rd Precinct</t>
  </si>
  <si>
    <t xml:space="preserve">p.85</t>
  </si>
  <si>
    <t xml:space="preserve">Pride Center of Staten Island, Inc. – Council District 49</t>
  </si>
  <si>
    <t xml:space="preserve">Seamen's Society for Children and Families – Council District</t>
  </si>
  <si>
    <t xml:space="preserve">Stella Orton Home Care Agency, Inc. – Council District 51</t>
  </si>
  <si>
    <t xml:space="preserve">Violence Services - Council District 46 Arab-American Family Support Center, Inc., The – D</t>
  </si>
  <si>
    <t xml:space="preserve">133706442</t>
  </si>
  <si>
    <t xml:space="preserve">Staten Island Chamber of Commerce Foundation, Inc. - Women in Business Expo &amp; Rosebank Hol</t>
  </si>
  <si>
    <t xml:space="preserve">134069282</t>
  </si>
  <si>
    <t xml:space="preserve">Albanian American Association of Staten Islan Inc.</t>
  </si>
  <si>
    <t xml:space="preserve">931542543</t>
  </si>
  <si>
    <t xml:space="preserve">App B p.29</t>
  </si>
  <si>
    <t xml:space="preserve">Staten Island Economic Development Corporation - New                                      </t>
  </si>
  <si>
    <t xml:space="preserve">Staten Island Economic Development Corporation -                                          </t>
  </si>
  <si>
    <t xml:space="preserve">Richmond County Orchestra, Inc. - Curtis High School                                      </t>
  </si>
  <si>
    <t xml:space="preserve">134063615</t>
  </si>
  <si>
    <t xml:space="preserve">Richmond County Youth Complex, Inc. - Field                                               </t>
  </si>
  <si>
    <t xml:space="preserve">Staten Island Historical Society</t>
  </si>
  <si>
    <t xml:space="preserve">131985514</t>
  </si>
  <si>
    <t xml:space="preserve">Staten Island Zoological Society, Inc. - Education                                        </t>
  </si>
  <si>
    <t xml:space="preserve">City Parks Foundation - SummerStage - Council District 49</t>
  </si>
  <si>
    <t xml:space="preserve">133561657</t>
  </si>
  <si>
    <t xml:space="preserve">Staten Island Children's Museum - Arts Residency -                                        </t>
  </si>
  <si>
    <t xml:space="preserve">Federation of Italian American Organizations of Brooklyn, Ltd. - Concerts - Dyker Heights </t>
  </si>
  <si>
    <t xml:space="preserve">App B p.74</t>
  </si>
  <si>
    <t xml:space="preserve">Literacy Partners, Inc. - Council District 49</t>
  </si>
  <si>
    <t xml:space="preserve">510180665</t>
  </si>
  <si>
    <t xml:space="preserve">Museum of Maritime Navigation and Communication</t>
  </si>
  <si>
    <t xml:space="preserve">900730331</t>
  </si>
  <si>
    <t xml:space="preserve">App B p.102</t>
  </si>
  <si>
    <t xml:space="preserve">Staten Island Economic Development Corporation - Health &amp; Wellness Expo</t>
  </si>
  <si>
    <t xml:space="preserve">On Your Mark, Inc. - Art Program</t>
  </si>
  <si>
    <t xml:space="preserve">App B p.117</t>
  </si>
  <si>
    <t xml:space="preserve">Department of Transportation - Council District 49</t>
  </si>
  <si>
    <t xml:space="preserve">App B p.69</t>
  </si>
  <si>
    <t xml:space="preserve">Theatre Development Fund, Inc. - School Programs - Council District 51</t>
  </si>
  <si>
    <t xml:space="preserve">136216919</t>
  </si>
  <si>
    <t xml:space="preserve">App B p.138</t>
  </si>
  <si>
    <t xml:space="preserve">A Chance In Life - Council District 49</t>
  </si>
  <si>
    <t xml:space="preserve">131835632</t>
  </si>
  <si>
    <t xml:space="preserve">Ballroom Basix USA, Inc. - Public School 020R Port Richmond (31R020)</t>
  </si>
  <si>
    <t xml:space="preserve">273218865</t>
  </si>
  <si>
    <t xml:space="preserve">App B p.35</t>
  </si>
  <si>
    <t xml:space="preserve">Bee U, Inc. - Community Workshops - Council District 49</t>
  </si>
  <si>
    <t xml:space="preserve">881156617</t>
  </si>
  <si>
    <t xml:space="preserve">City University of New York - College of Staten Island -                                  </t>
  </si>
  <si>
    <t xml:space="preserve">133893536</t>
  </si>
  <si>
    <t xml:space="preserve">135660279</t>
  </si>
  <si>
    <t xml:space="preserve">App B p.58</t>
  </si>
  <si>
    <t xml:space="preserve">Department of Education - Public School 37R (75R037)</t>
  </si>
  <si>
    <t xml:space="preserve">App B p.65</t>
  </si>
  <si>
    <t xml:space="preserve">Eden II School for Autistic Children, Inc. - Family Support Program - Council District 49</t>
  </si>
  <si>
    <t xml:space="preserve">132872916</t>
  </si>
  <si>
    <t xml:space="preserve">App B p.72</t>
  </si>
  <si>
    <t xml:space="preserve">061725844</t>
  </si>
  <si>
    <t xml:space="preserve">Grace Foundation of New York - Council District 49</t>
  </si>
  <si>
    <t xml:space="preserve">411801834</t>
  </si>
  <si>
    <t xml:space="preserve">270805279</t>
  </si>
  <si>
    <t xml:space="preserve">App B p.95</t>
  </si>
  <si>
    <t xml:space="preserve">Maker Park Radio, Inc. - Council District 49</t>
  </si>
  <si>
    <t xml:space="preserve">821397822</t>
  </si>
  <si>
    <t xml:space="preserve">App B p.105</t>
  </si>
  <si>
    <t xml:space="preserve">App B p.116</t>
  </si>
  <si>
    <t xml:space="preserve">On Your Mark, Inc. - Project Teamwork</t>
  </si>
  <si>
    <t xml:space="preserve">On Your Mark, Inc. - Special Athletics</t>
  </si>
  <si>
    <t xml:space="preserve">Pride Center of Staten Island, Inc. - Symposium Events</t>
  </si>
  <si>
    <t xml:space="preserve">463358895</t>
  </si>
  <si>
    <t xml:space="preserve">App B p.121</t>
  </si>
  <si>
    <t xml:space="preserve">Richmond Medical Center - Early Intervention Program</t>
  </si>
  <si>
    <t xml:space="preserve">743177454</t>
  </si>
  <si>
    <t xml:space="preserve">Roundabout Theatre Company, Inc. - Community                                              </t>
  </si>
  <si>
    <t xml:space="preserve">136192346</t>
  </si>
  <si>
    <t xml:space="preserve">App B p.130</t>
  </si>
  <si>
    <t xml:space="preserve">Volunteer Heart Resuscitation Unit &amp; Ambulance Corp. of                                   </t>
  </si>
  <si>
    <t xml:space="preserve">136628436</t>
  </si>
  <si>
    <t xml:space="preserve">App B p.145</t>
  </si>
  <si>
    <t xml:space="preserve">Eden II School for Autistic Children, Inc. - Adult Day Hab Programs</t>
  </si>
  <si>
    <t xml:space="preserve">133833390</t>
  </si>
  <si>
    <t xml:space="preserve">Working in Support of Education, Inc. - Council District 51</t>
  </si>
  <si>
    <t xml:space="preserve">134024627</t>
  </si>
  <si>
    <t xml:space="preserve">App B p.147</t>
  </si>
  <si>
    <t xml:space="preserve">Dr. Theodore A. Atlas Foundation, Inc. - 120th Precinct Community Council</t>
  </si>
  <si>
    <t xml:space="preserve">App B p.70</t>
  </si>
  <si>
    <t xml:space="preserve">Dr. Theodore A. Atlas Foundation, Inc. - 121st Precinct Community Council</t>
  </si>
  <si>
    <t xml:space="preserve">Friends of Firefighters, Inc. - Mental Health &amp; Outreach</t>
  </si>
  <si>
    <t xml:space="preserve">010611469</t>
  </si>
  <si>
    <t xml:space="preserve">App B p.77</t>
  </si>
  <si>
    <t xml:space="preserve">Sundog Theatre, Inc. - Council District 51</t>
  </si>
  <si>
    <t xml:space="preserve">On Your Mark, Inc. - Mental Health &amp; Wellness Program</t>
  </si>
  <si>
    <t xml:space="preserve">Lou's Helping Hand Foundation - Youth Services - Council District 51</t>
  </si>
  <si>
    <t xml:space="preserve">823676844</t>
  </si>
  <si>
    <t xml:space="preserve">133371153</t>
  </si>
  <si>
    <t xml:space="preserve">Art Lab, Inc. - Community Events - Council District 49</t>
  </si>
  <si>
    <t xml:space="preserve">132977495</t>
  </si>
  <si>
    <t xml:space="preserve">Brooklyn Alliance, Inc. - Council District 50</t>
  </si>
  <si>
    <t xml:space="preserve">112145956</t>
  </si>
  <si>
    <t xml:space="preserve">App B p.41</t>
  </si>
  <si>
    <t xml:space="preserve">App B p.46</t>
  </si>
  <si>
    <t xml:space="preserve">Casa Belvedere, The Italian Cultural Foundation - Nonno's Community Garden - Council Distr</t>
  </si>
  <si>
    <t xml:space="preserve">264411728</t>
  </si>
  <si>
    <t xml:space="preserve">App B p.48</t>
  </si>
  <si>
    <t xml:space="preserve">871249856</t>
  </si>
  <si>
    <t xml:space="preserve">App B p.60</t>
  </si>
  <si>
    <t xml:space="preserve">Department of Education - District 31 Region 7 -                                          </t>
  </si>
  <si>
    <t xml:space="preserve">App B p.62</t>
  </si>
  <si>
    <t xml:space="preserve">Department of Education - Port Richmond High School                                       </t>
  </si>
  <si>
    <t xml:space="preserve">App B p.63</t>
  </si>
  <si>
    <t xml:space="preserve">Department of Education - Port Richmond High School (31R445) - Girls Cross Country/Track &amp;</t>
  </si>
  <si>
    <t xml:space="preserve">Department of Education - Public School 11R (31R011)</t>
  </si>
  <si>
    <t xml:space="preserve">Department of Education - Public School 46R (31R046)</t>
  </si>
  <si>
    <t xml:space="preserve">Department of Parks and Recreation - Port-A-Sans</t>
  </si>
  <si>
    <t xml:space="preserve">Department of Youth and Community Development</t>
  </si>
  <si>
    <t xml:space="preserve">Dr. Theodore A. Atlas Foundation, Inc. - Council District 49</t>
  </si>
  <si>
    <t xml:space="preserve">Eden II School for Autistic Children, Inc. - Beach Street Programming</t>
  </si>
  <si>
    <t xml:space="preserve">Forest Avenue District Management Association, Inc. - Council District 49</t>
  </si>
  <si>
    <t xml:space="preserve">141933279</t>
  </si>
  <si>
    <t xml:space="preserve">Friends of Alice Austen House, Inc. - Council District 51</t>
  </si>
  <si>
    <t xml:space="preserve">133248928</t>
  </si>
  <si>
    <t xml:space="preserve">App B p.76</t>
  </si>
  <si>
    <t xml:space="preserve">Grace Foundation of New York - Council District 50</t>
  </si>
  <si>
    <t xml:space="preserve">873354678</t>
  </si>
  <si>
    <t xml:space="preserve">App B p.86</t>
  </si>
  <si>
    <t xml:space="preserve">593842242</t>
  </si>
  <si>
    <t xml:space="preserve">International Mountain Bicycling Association - International Mountain Bicycling Associatio</t>
  </si>
  <si>
    <t xml:space="preserve">461094603</t>
  </si>
  <si>
    <t xml:space="preserve">Jewish Community Center of Staten Island, Inc. - Sunrise Camp</t>
  </si>
  <si>
    <t xml:space="preserve">814587164</t>
  </si>
  <si>
    <t xml:space="preserve">App B p.92</t>
  </si>
  <si>
    <t xml:space="preserve">333459695</t>
  </si>
  <si>
    <t xml:space="preserve">Lifestyles for the Disabled, Inc. - Serving Our Older Adults - Council District 49</t>
  </si>
  <si>
    <t xml:space="preserve">923159598</t>
  </si>
  <si>
    <t xml:space="preserve">133580918</t>
  </si>
  <si>
    <t xml:space="preserve">App B p.98</t>
  </si>
  <si>
    <t xml:space="preserve">237032781</t>
  </si>
  <si>
    <t xml:space="preserve">App B p.99</t>
  </si>
  <si>
    <t xml:space="preserve">464137962</t>
  </si>
  <si>
    <t xml:space="preserve">App B p.100</t>
  </si>
  <si>
    <t xml:space="preserve">Modest Community Services Association Inc. - Modest Bakes</t>
  </si>
  <si>
    <t xml:space="preserve">134288916</t>
  </si>
  <si>
    <t xml:space="preserve">New York City H2O - Water Ecology &amp; Engineering                                           </t>
  </si>
  <si>
    <t xml:space="preserve">453860014</t>
  </si>
  <si>
    <t xml:space="preserve">App B p.106</t>
  </si>
  <si>
    <t xml:space="preserve">Noble Maritime Collection, The - Special Musical Education Programming - I.S. 007R Elias B</t>
  </si>
  <si>
    <t xml:space="preserve">Northeast Corridor Freedom Network, Inc. - Council District 49</t>
  </si>
  <si>
    <t xml:space="preserve">412828867</t>
  </si>
  <si>
    <t xml:space="preserve">Out of the Storm Senior Services, Inc. - Council District 51</t>
  </si>
  <si>
    <t xml:space="preserve">475607340</t>
  </si>
  <si>
    <t xml:space="preserve">Port Richmond CERT &amp; Rescue, Inc. - Council District 49</t>
  </si>
  <si>
    <t xml:space="preserve">205073806</t>
  </si>
  <si>
    <t xml:space="preserve">Pride Center of Staten Island, Inc. - After-School Drop-in                                </t>
  </si>
  <si>
    <t xml:space="preserve">Project Hospitality, Inc. - Senior Food Pantry - Council District 51</t>
  </si>
  <si>
    <t xml:space="preserve">133234441</t>
  </si>
  <si>
    <t xml:space="preserve">450589779</t>
  </si>
  <si>
    <t xml:space="preserve">320690255</t>
  </si>
  <si>
    <t xml:space="preserve">App B p.133</t>
  </si>
  <si>
    <t xml:space="preserve">Staten Island Economic Development Corporation - Council District 49</t>
  </si>
  <si>
    <t xml:space="preserve">352535536</t>
  </si>
  <si>
    <t xml:space="preserve">132939069</t>
  </si>
  <si>
    <t xml:space="preserve">Staten Island Institute of Arts and Sciences - Council District 51</t>
  </si>
  <si>
    <t xml:space="preserve">135564127</t>
  </si>
  <si>
    <t xml:space="preserve">510181285</t>
  </si>
  <si>
    <t xml:space="preserve">811047344</t>
  </si>
  <si>
    <t xml:space="preserve">Tell Every Amazing Lady About Ovarian Cancer Foundation - Council District 51</t>
  </si>
  <si>
    <t xml:space="preserve">264417161</t>
  </si>
  <si>
    <t xml:space="preserve">TraNa Relief Association - Crisis Stabilization &amp; Essential Resource Distribution Program</t>
  </si>
  <si>
    <t xml:space="preserve">App B p.139</t>
  </si>
  <si>
    <t xml:space="preserve">United Cerebral Palsy Associations of New York State, Inc. - Council District 51</t>
  </si>
  <si>
    <t xml:space="preserve">131623856</t>
  </si>
  <si>
    <t xml:space="preserve">App B p.140</t>
  </si>
  <si>
    <t xml:space="preserve">Van Duzer Street Area Civic Association - Annual Holiday                                  </t>
  </si>
  <si>
    <t xml:space="preserve">200818886</t>
  </si>
  <si>
    <t xml:space="preserve">131624210</t>
  </si>
  <si>
    <t xml:space="preserve">App B p.144</t>
  </si>
  <si>
    <t xml:space="preserve">West Brighton Community Local Development Corporation - MWBE Leadership Association - Coun</t>
  </si>
  <si>
    <t xml:space="preserve">133046424</t>
  </si>
  <si>
    <t xml:space="preserve">Young Airmans Association, The - Youth Instruction - Council District 49</t>
  </si>
  <si>
    <t xml:space="preserve">832005292</t>
  </si>
  <si>
    <t xml:space="preserve">Zimmer Club Youth Conservation Program of Staten                                          </t>
  </si>
  <si>
    <t xml:space="preserve">352262561</t>
  </si>
  <si>
    <t xml:space="preserve">Department of Education - College of Staten Island High                                   </t>
  </si>
  <si>
    <t xml:space="preserve">App B p.61</t>
  </si>
  <si>
    <t xml:space="preserve">Department of Education - Gaynor McCown High School                                       </t>
  </si>
  <si>
    <t xml:space="preserve">Department of Education - Intermediate School 24R                                         </t>
  </si>
  <si>
    <t xml:space="preserve">Department of Education - Intermediate School 34R                                         </t>
  </si>
  <si>
    <t xml:space="preserve">Department of Education - Intermediate School 63R                                         </t>
  </si>
  <si>
    <t xml:space="preserve">Department of Education - Intermediate School 72R                                         </t>
  </si>
  <si>
    <t xml:space="preserve">Department of Education - Intermediate School 75R                                         </t>
  </si>
  <si>
    <t xml:space="preserve">Department of Education - Intermediate School 7R                                          </t>
  </si>
  <si>
    <t xml:space="preserve">Department of Education - Public School 1R (31R001) - PTA</t>
  </si>
  <si>
    <t xml:space="preserve">App B p.64</t>
  </si>
  <si>
    <t xml:space="preserve">Department of Education - Public School 25R (75R025) - PTA</t>
  </si>
  <si>
    <t xml:space="preserve">Department of Education - Public School 32R (31R032) - PTA</t>
  </si>
  <si>
    <t xml:space="preserve">Department of Education - Public School 36R (31R036) - PTA</t>
  </si>
  <si>
    <t xml:space="preserve">Department of Education - Public School 37R (75R037) - PTA</t>
  </si>
  <si>
    <t xml:space="preserve">Department of Education - Public School 3R (31R003) - PTA</t>
  </si>
  <si>
    <t xml:space="preserve">Department of Education - Public School 42R (31R042) - PTA</t>
  </si>
  <si>
    <t xml:space="preserve">Department of Education - Public School 4R (31R004) - PTA</t>
  </si>
  <si>
    <t xml:space="preserve">Department of Education - Public School 53R (31R053) - PTA</t>
  </si>
  <si>
    <t xml:space="preserve">Department of Education - Public School 55R (31R055) - PTA</t>
  </si>
  <si>
    <t xml:space="preserve">Department of Education - Public School 56R (31R056) - PTA</t>
  </si>
  <si>
    <t xml:space="preserve">Department of Education - Public School 58R (31R058) - PTA</t>
  </si>
  <si>
    <t xml:space="preserve">App B p.66</t>
  </si>
  <si>
    <t xml:space="preserve">Department of Education - Public School 5R (31R005) - PTA</t>
  </si>
  <si>
    <t xml:space="preserve">Department of Education - Public School 62R (31R062) - PTA</t>
  </si>
  <si>
    <t xml:space="preserve">Department of Education - Public School 69R (31R069) - PTA</t>
  </si>
  <si>
    <t xml:space="preserve">Department of Education - Public School 6R (31R006) - PTA</t>
  </si>
  <si>
    <t xml:space="preserve">Department of Education - Public School 8R (31R008) - PTA</t>
  </si>
  <si>
    <t xml:space="preserve">Department of Education - Tottenville High School                                         </t>
  </si>
  <si>
    <t xml:space="preserve">App B p.67</t>
  </si>
  <si>
    <t xml:space="preserve">New York City Housing Authority - Charles Berry Homes</t>
  </si>
  <si>
    <t xml:space="preserve">App B p.107</t>
  </si>
  <si>
    <t xml:space="preserve">New York City Housing Authority - South Beach Housing</t>
  </si>
  <si>
    <t xml:space="preserve">App B p.111</t>
  </si>
  <si>
    <t xml:space="preserve">136162802</t>
  </si>
  <si>
    <t xml:space="preserve">New York City Housing Authority - Cassidy-Lafayette TA</t>
  </si>
  <si>
    <t xml:space="preserve">New York City Housing Authority - Mariner's Harbor TA</t>
  </si>
  <si>
    <t xml:space="preserve">App B p.110</t>
  </si>
  <si>
    <t xml:space="preserve">New York City Housing Authority - New Lane Area TA</t>
  </si>
  <si>
    <t xml:space="preserve">New York City Housing Authority - NYCHA Scholarship Fund - Council District 49</t>
  </si>
  <si>
    <t xml:space="preserve">New York City Housing Authority - Richmond Terrace TA</t>
  </si>
  <si>
    <t xml:space="preserve">New York City Housing Authority - Stapleton TA</t>
  </si>
  <si>
    <t xml:space="preserve">New York City Housing Authority - Todt Hill TA</t>
  </si>
  <si>
    <t xml:space="preserve">App B p.112</t>
  </si>
  <si>
    <t xml:space="preserve">New York City Housing Authority - West Brighton TA</t>
  </si>
  <si>
    <t xml:space="preserve">Staten Island Community Board #3</t>
  </si>
  <si>
    <t xml:space="preserve">Department of Parks and Recreation - Urban Park                                           </t>
  </si>
  <si>
    <t xml:space="preserve">Department of Education - Concord High School 470R (31R470)</t>
  </si>
  <si>
    <t xml:space="preserve">Department of Education - Curtis High School (31R450)</t>
  </si>
  <si>
    <t xml:space="preserve">Department of Education — Eagle Academy for Young Men of Staten Island 28R (31R028)</t>
  </si>
  <si>
    <t xml:space="preserve">Department of Education - Fort Hill Collaborative                                         </t>
  </si>
  <si>
    <t xml:space="preserve">Department of Education - Intermediate School 27R                                         </t>
  </si>
  <si>
    <t xml:space="preserve">Department of Education - Intermediate School 49R                                         </t>
  </si>
  <si>
    <t xml:space="preserve">Department of Education - Intermediate School 61R                                         </t>
  </si>
  <si>
    <t xml:space="preserve">Department of Education - Port Richmond High School (31R445)</t>
  </si>
  <si>
    <t xml:space="preserve">Department of Education - Port Richmond School for                                        </t>
  </si>
  <si>
    <t xml:space="preserve">Department of Education - Public School 13R (31R013)</t>
  </si>
  <si>
    <t xml:space="preserve">Department of Education - Public School 16R (31R016)</t>
  </si>
  <si>
    <t xml:space="preserve">Department of Education - Public School 18R (31R018)</t>
  </si>
  <si>
    <t xml:space="preserve">Department of Education - Public School 19R (31R019)</t>
  </si>
  <si>
    <t xml:space="preserve">Department of Education - Public School 20R (31R020)</t>
  </si>
  <si>
    <t xml:space="preserve">Department of Education - Public School 21R (31R021)</t>
  </si>
  <si>
    <t xml:space="preserve">Department of Education - Public School 22R (31R022)</t>
  </si>
  <si>
    <t xml:space="preserve">Department of Education - Public School 31R (31R031)</t>
  </si>
  <si>
    <t xml:space="preserve">Department of Education - Public School 35R (31R035)</t>
  </si>
  <si>
    <t xml:space="preserve">Department of Education - Public School 373R (31R373)</t>
  </si>
  <si>
    <t xml:space="preserve">Department of Education - Public School 44R (31R044)</t>
  </si>
  <si>
    <t xml:space="preserve">Department of Education - Public School 45R (31R045)</t>
  </si>
  <si>
    <t xml:space="preserve">Department of Education - Public School 59R (31R059)</t>
  </si>
  <si>
    <t xml:space="preserve">Department of Education - Public School 65R (31R065)</t>
  </si>
  <si>
    <t xml:space="preserve">Department of Education - Public School 74R (31R074)</t>
  </si>
  <si>
    <t xml:space="preserve">Department of Education - Public School 78R (31R078)</t>
  </si>
  <si>
    <t xml:space="preserve">Department of Education - Ralph R. Mckee High School                                      </t>
  </si>
  <si>
    <t xml:space="preserve">Department of Education - Richard H. Hungerford School                                    </t>
  </si>
  <si>
    <t xml:space="preserve">Department of Education - Staten Island School of Civic                                   </t>
  </si>
  <si>
    <t xml:space="preserve">Department of Education - The Harbor View School (31R059)</t>
  </si>
  <si>
    <t xml:space="preserve">p.116</t>
  </si>
  <si>
    <t xml:space="preserve">Manhattan Department of Sanitation – Litter Basket Service &amp; Manual</t>
  </si>
  <si>
    <t xml:space="preserve">p.112</t>
  </si>
  <si>
    <t xml:space="preserve">Where to Turn, Inc.</t>
  </si>
  <si>
    <t xml:space="preserve">District 5 Department of Sanitation – Litter Basket Services - Council</t>
  </si>
  <si>
    <t xml:space="preserve">New York City H2O – Council District 51</t>
  </si>
  <si>
    <t xml:space="preserve">Department of Sanitation – Council District 50</t>
  </si>
  <si>
    <t xml:space="preserve">Friends of Abandoned Cemeteries, Inc. – Council District 50</t>
  </si>
  <si>
    <t xml:space="preserve">Council District 49 Staten Island Chamber of Commerce Foundation, Inc. –</t>
  </si>
  <si>
    <t xml:space="preserve">South Shore District Management Association, Inc. – Council</t>
  </si>
  <si>
    <t xml:space="preserve">District 51 Staten Island Chamber of Commerce Foundation, Inc. –</t>
  </si>
  <si>
    <t xml:space="preserve">Council District 49 Staten Island Economic Development Corporation – Council</t>
  </si>
  <si>
    <t xml:space="preserve">Department of Sanitation – Mechanical Broom Service -</t>
  </si>
  <si>
    <t xml:space="preserve">District 49 Staten Island Historical Society – Council District 51</t>
  </si>
  <si>
    <t xml:space="preserve">Cleanup Series Support - Broadway Ave - Council District 41 Friends of Abandoned Cemeterie</t>
  </si>
  <si>
    <t xml:space="preserve">Friends of Abandoned Cemeteries, Inc. – Council District 51</t>
  </si>
  <si>
    <t xml:space="preserve">p.114</t>
  </si>
  <si>
    <t xml:space="preserve">Neighborhood Development Grant Initiativ</t>
  </si>
  <si>
    <t xml:space="preserve">Council District 41 ArtBridge Projects, Inc. – Public Art &amp; Business Development -</t>
  </si>
  <si>
    <t xml:space="preserve">p.210</t>
  </si>
  <si>
    <t xml:space="preserve">&amp; Billboards - Council District 51 Staten Island Economic Development Corporation – New Do</t>
  </si>
  <si>
    <t xml:space="preserve">p.214</t>
  </si>
  <si>
    <t xml:space="preserve">Boulevard Merchants Staten Island Economic Development Corporation – Victory</t>
  </si>
  <si>
    <t xml:space="preserve">Lane Business Improvement District Staten Island Economic Development Corporation – Port</t>
  </si>
  <si>
    <t xml:space="preserve">Richmond Merchants Association - Council District 49 Staten Island Economic Development Co</t>
  </si>
  <si>
    <t xml:space="preserve">Service Corps of Retired Executives (SCORE) – Small Business</t>
  </si>
  <si>
    <t xml:space="preserve">District 34 Staten Island Chamber of Commerce Foundation, Inc. –</t>
  </si>
  <si>
    <t xml:space="preserve">Downtown Staten Island BID Formation - Council District 49 Staten Island Chamber of Commer</t>
  </si>
  <si>
    <t xml:space="preserve">Merchants Association - Council District 49 Staten Island Economic Development Corporation</t>
  </si>
  <si>
    <t xml:space="preserve">Association, Inc. – 181st Beautification West Brighton Community Local Development Corpora</t>
  </si>
  <si>
    <t xml:space="preserve">p.215</t>
  </si>
  <si>
    <t xml:space="preserve">Parks Equity Initiative</t>
  </si>
  <si>
    <t xml:space="preserve">Services - City Parks Association of Community Employment Programs for the</t>
  </si>
  <si>
    <t xml:space="preserve">Council District 15 Grasmere and Cameron Lakes Bluebelt Conservancy, Inc. –</t>
  </si>
  <si>
    <t xml:space="preserve">Homeless, Inc. – Tappen Park Clean Up - Council District 49 Association of Community Emplo</t>
  </si>
  <si>
    <t xml:space="preserve">City Parks Foundation – City Parks Play - Council District 49</t>
  </si>
  <si>
    <t xml:space="preserve">Council District 51 Staten Island Youth Soccer League, Inc. – Oakwood Fields</t>
  </si>
  <si>
    <t xml:space="preserve">p.196</t>
  </si>
  <si>
    <t xml:space="preserve">Scouts of America - Greater New York Council Boy Scouts of America - Greater New York Coun</t>
  </si>
  <si>
    <t xml:space="preserve">Council District 05 Fund for the City of New York, Inc. – Freshkills Park</t>
  </si>
  <si>
    <t xml:space="preserve">Program - Charles Park New York Junior Tennis League, Inc. – Community Tennis</t>
  </si>
  <si>
    <t xml:space="preserve">p.195</t>
  </si>
  <si>
    <t xml:space="preserve">45 Boy Scouts of America - Greater New York Council – Boy</t>
  </si>
  <si>
    <t xml:space="preserve">Resilience Initiative Catholic Charities of Staten Island</t>
  </si>
  <si>
    <t xml:space="preserve">Department of Parks and Recreation – Council District 49</t>
  </si>
  <si>
    <t xml:space="preserve">p.191</t>
  </si>
  <si>
    <t xml:space="preserve">Stars Program Department of Parks and Recreation – Movies Under the</t>
  </si>
  <si>
    <t xml:space="preserve">p.192</t>
  </si>
  <si>
    <t xml:space="preserve">Department of Parks and Recreation – Westerleigh Park -</t>
  </si>
  <si>
    <t xml:space="preserve">p.193</t>
  </si>
  <si>
    <t xml:space="preserve">Department of Transportation – Bike Helmet Giveaway -</t>
  </si>
  <si>
    <t xml:space="preserve">Fund for the City of New York, Inc. – Freshkills Park Alliance</t>
  </si>
  <si>
    <t xml:space="preserve">Staten Island Chamber of Commerce Foundation, Inc. –</t>
  </si>
  <si>
    <t xml:space="preserve">Council District 23 Conference House Association, Inc. – Council District 51</t>
  </si>
  <si>
    <t xml:space="preserve">p.190</t>
  </si>
  <si>
    <t xml:space="preserve">50 Eger Health Care and Rehabilitation Center – Council District</t>
  </si>
  <si>
    <t xml:space="preserve">p.177</t>
  </si>
  <si>
    <t xml:space="preserve">Programs - MCCAP/HIICAP Jewish Community Center of Staten Island, Inc. – South Shore</t>
  </si>
  <si>
    <t xml:space="preserve">p.180</t>
  </si>
  <si>
    <t xml:space="preserve">Lifestyles for the Disabled, Inc. – Council District 50</t>
  </si>
  <si>
    <t xml:space="preserve">Eger Health Care and Rehabilitation Center – Council District</t>
  </si>
  <si>
    <t xml:space="preserve">Staten Island Community Services Friendship Clubs, Inc. –</t>
  </si>
  <si>
    <t xml:space="preserve">p.185</t>
  </si>
  <si>
    <t xml:space="preserve">51 Community Agency for Senior Citizens, Inc. – New Lane Older</t>
  </si>
  <si>
    <t xml:space="preserve">Council District 50 Staten Island Community Services Friendship Clubs, Inc. –</t>
  </si>
  <si>
    <t xml:space="preserve">Great Kills Friendship Club Staten Island Community Services Friendship Clubs, Inc. – Mt.</t>
  </si>
  <si>
    <t xml:space="preserve">Carmel Richmond Nursing Home – Council District 50</t>
  </si>
  <si>
    <t xml:space="preserve">p.174</t>
  </si>
  <si>
    <t xml:space="preserve">Center Catholic Charities of Staten Island – Council District 50</t>
  </si>
  <si>
    <t xml:space="preserve">p.175</t>
  </si>
  <si>
    <t xml:space="preserve">Adult Center Community Health Center of Richmond, Inc. – Council District</t>
  </si>
  <si>
    <t xml:space="preserve">Jubilee Older Adult Center Catholic Charities of Staten Island – Anderson Older Adults</t>
  </si>
  <si>
    <t xml:space="preserve">Catholic Charities of Staten Island – West Brighton Older</t>
  </si>
  <si>
    <t xml:space="preserve">Community Agency for Senior Citizens, Inc. – Cassidy Coles</t>
  </si>
  <si>
    <t xml:space="preserve">Older Adult Center Jewish Community Center of Staten Island, Inc. – Stapleton</t>
  </si>
  <si>
    <t xml:space="preserve">Loretto Friendship Club Staten Island Community Services Friendship Clubs, Inc. –</t>
  </si>
  <si>
    <t xml:space="preserve">Adults - Council District 19 Center For Hope Services, Inc. – Age-Friendly Care Program -</t>
  </si>
  <si>
    <t xml:space="preserve">Older Adult Center Community Agency for Senior Citizens, Inc. – Council District</t>
  </si>
  <si>
    <t xml:space="preserve">Cortlandt Older Adult Center Jewish Community Center of Staten Island, Inc. – Senior</t>
  </si>
  <si>
    <t xml:space="preserve">Lifestyles for the Disabled, Inc. – Serving Our Older Adults</t>
  </si>
  <si>
    <t xml:space="preserve">partnership program Meals on Wheels of Staten Island, Inc. – Council District 49</t>
  </si>
  <si>
    <t xml:space="preserve">Catholic Charities of Staten Island - Catholic Youth                                   Fun</t>
  </si>
  <si>
    <t xml:space="preserve">App C p.158</t>
  </si>
  <si>
    <t xml:space="preserve">New York City H2O - Youth Programming &amp; Community                                    Fundi</t>
  </si>
  <si>
    <t xml:space="preserve">App C p.179</t>
  </si>
  <si>
    <t xml:space="preserve">Dr. Theodore A. Atlas Foundation, Inc. - Atlas Foundation Programs - Council District 49</t>
  </si>
  <si>
    <t xml:space="preserve">App C p.163</t>
  </si>
  <si>
    <t xml:space="preserve">Eden II School for Autistic Children, Inc. - Community Outings                         Fun</t>
  </si>
  <si>
    <t xml:space="preserve">Kresischer Mansion Historical Preservation Society Corp. -</t>
  </si>
  <si>
    <t xml:space="preserve">App C p.176</t>
  </si>
  <si>
    <t xml:space="preserve">Staten Island Hurricanes Organization, Inc. - Council District 49</t>
  </si>
  <si>
    <t xml:space="preserve">871793853</t>
  </si>
  <si>
    <t xml:space="preserve">Jewish Community Center of Staten Island, Inc. - STEM Program</t>
  </si>
  <si>
    <t xml:space="preserve">App C p.173</t>
  </si>
  <si>
    <t xml:space="preserve">Staten Island Youth Soccer League, Inc.</t>
  </si>
  <si>
    <t xml:space="preserve">320048308</t>
  </si>
  <si>
    <t xml:space="preserve">Children's Aid Society, The - Goodhue Center</t>
  </si>
  <si>
    <t xml:space="preserve">135562191</t>
  </si>
  <si>
    <t xml:space="preserve">App C p.159</t>
  </si>
  <si>
    <t xml:space="preserve">Eagle Academy Foundation, Inc. - Post-Secondary Success                                Fun</t>
  </si>
  <si>
    <t xml:space="preserve">201532382</t>
  </si>
  <si>
    <t xml:space="preserve">136197291</t>
  </si>
  <si>
    <t xml:space="preserve">App C p.169</t>
  </si>
  <si>
    <t xml:space="preserve">Integrated Athletic Initiative Corp - Council District 49</t>
  </si>
  <si>
    <t xml:space="preserve">Jewish Community Center of Staten Island, Inc. - STEM                                  Fun</t>
  </si>
  <si>
    <t xml:space="preserve">Jewish Community Center of Staten Island, Inc. - Sunrise Day Camp</t>
  </si>
  <si>
    <t xml:space="preserve">Justice Innovation, Inc. - Staten Island Justice Center - Youth Wellness</t>
  </si>
  <si>
    <t xml:space="preserve">852810883</t>
  </si>
  <si>
    <t xml:space="preserve">App C p.174</t>
  </si>
  <si>
    <t xml:space="preserve">New York City H2O - Water Ecology &amp; Engineering Field Trips</t>
  </si>
  <si>
    <t xml:space="preserve">App C p.182</t>
  </si>
  <si>
    <t xml:space="preserve">PowerPlay NYC, Inc. - Sports Training and Role-models for                              Fun</t>
  </si>
  <si>
    <t xml:space="preserve">134045021</t>
  </si>
  <si>
    <t xml:space="preserve">Young Men's Christian Association of Greater New York - Little Steps</t>
  </si>
  <si>
    <t xml:space="preserve">Eden II School for Autistic Children, Inc. - Early Childhood Program</t>
  </si>
  <si>
    <t xml:space="preserve">131623910</t>
  </si>
  <si>
    <t xml:space="preserve">App C p.154</t>
  </si>
  <si>
    <t xml:space="preserve">Boy Scouts of America - Greater New York Council - Scouting &amp; Exploring - Council District</t>
  </si>
  <si>
    <t xml:space="preserve">131624015</t>
  </si>
  <si>
    <t xml:space="preserve">Giving Alternative Learners Uplifting Opportunities, Inc. - Council District 50</t>
  </si>
  <si>
    <t xml:space="preserve">050615968</t>
  </si>
  <si>
    <t xml:space="preserve">App C p.168</t>
  </si>
  <si>
    <t xml:space="preserve">Hish Family - Council District 49</t>
  </si>
  <si>
    <t xml:space="preserve">922127573</t>
  </si>
  <si>
    <t xml:space="preserve">Integrated Athletic Initiative Corp - Youth Sports Programming</t>
  </si>
  <si>
    <t xml:space="preserve">030484445</t>
  </si>
  <si>
    <t xml:space="preserve">App C p.177</t>
  </si>
  <si>
    <t xml:space="preserve">134055215</t>
  </si>
  <si>
    <t xml:space="preserve">App C p.178</t>
  </si>
  <si>
    <t xml:space="preserve">Police Athletic League, Inc. - Community Youth Sports, Culture &amp; Recreation - Council Dist</t>
  </si>
  <si>
    <t xml:space="preserve">135596811</t>
  </si>
  <si>
    <t xml:space="preserve">Police Athletic League, Inc. - Council District 50</t>
  </si>
  <si>
    <t xml:space="preserve">PowerPlay NYC, Inc. - STARS Program - Council District 49</t>
  </si>
  <si>
    <t xml:space="preserve">Read Alliance, Inc. - School Year &amp; Summer READing Program -                        Fundin</t>
  </si>
  <si>
    <t xml:space="preserve">134091062</t>
  </si>
  <si>
    <t xml:space="preserve">Soroptimist International Association Club of Staten Island - Dream It, Be It Program</t>
  </si>
  <si>
    <t xml:space="preserve">200895316</t>
  </si>
  <si>
    <t xml:space="preserve">Staten Island Ice Hockey Association, Inc. - Ice Hockey Program</t>
  </si>
  <si>
    <t xml:space="preserve">Student Leadership Network, Inc. - College Bound Initiative (CBI)</t>
  </si>
  <si>
    <t xml:space="preserve">061517218</t>
  </si>
  <si>
    <t xml:space="preserve">202104637</t>
  </si>
  <si>
    <t xml:space="preserve">App C p.189</t>
  </si>
  <si>
    <t xml:space="preserve">Wagner College - Holocaust Center Education</t>
  </si>
  <si>
    <t xml:space="preserve">135604699</t>
  </si>
  <si>
    <t xml:space="preserve">Young Men's Christian Association of Greater New York - Broadway YMCA - Teen Programming</t>
  </si>
  <si>
    <t xml:space="preserve">Zimmer Club Youth Conservation Program of Staten Island, Inc.</t>
  </si>
  <si>
    <t xml:space="preserve">App C p.193</t>
  </si>
  <si>
    <t xml:space="preserve">MDI (other CM)</t>
  </si>
  <si>
    <t xml:space="preserve">Citywide Initiative</t>
  </si>
  <si>
    <t xml:space="preserve">Santosuosso</t>
  </si>
  <si>
    <t xml:space="preserve">Muslim American Society of Brooklyn and Staten Island — case management (CD47)</t>
  </si>
  <si>
    <t xml:space="preserve">454661688</t>
  </si>
  <si>
    <t xml:space="preserve">Aviles</t>
  </si>
  <si>
    <t xml:space="preserve">bi-borough org</t>
  </si>
  <si>
    <t xml:space="preserve">Muslim American Society of Brooklyn and Staten Island — Youth &amp; Family (CD47)</t>
  </si>
  <si>
    <t xml:space="preserve">Vernikov</t>
  </si>
  <si>
    <t xml:space="preserve">JCC of Staten Island — Sunrise Day Camp</t>
  </si>
  <si>
    <t xml:space="preserve">Muslim American Society of Brooklyn and Staten Island — Youth Programs (CD47)</t>
  </si>
  <si>
    <t xml:space="preserve">Boroughwide Needs Initiative</t>
  </si>
  <si>
    <t xml:space="preserve">Carl V. Bini Memorial Fund, The - Concert Series</t>
  </si>
  <si>
    <t xml:space="preserve">PDF p.25 (member listing)</t>
  </si>
  <si>
    <t xml:space="preserve">PDF p.26 (member listing)</t>
  </si>
  <si>
    <t xml:space="preserve">132943389</t>
  </si>
  <si>
    <t xml:space="preserve">PDF p.29 (member listing)</t>
  </si>
  <si>
    <t xml:space="preserve">PDF p.31 (member listing)</t>
  </si>
  <si>
    <t xml:space="preserve">237091329</t>
  </si>
  <si>
    <t xml:space="preserve">Club</t>
  </si>
  <si>
    <t xml:space="preserve">PDF p.27 (member listing)</t>
  </si>
  <si>
    <t xml:space="preserve">135563010</t>
  </si>
  <si>
    <t xml:space="preserve">PDF p.30 (member listing)</t>
  </si>
  <si>
    <t xml:space="preserve">designated local</t>
  </si>
  <si>
    <t xml:space="preserve">Carr, Staten    Staten Island Economic Development Corporation -                          </t>
  </si>
  <si>
    <t xml:space="preserve">City Parks Foundation - SummerStage, CityParks Play and                                   </t>
  </si>
  <si>
    <t xml:space="preserve">Speaker          Carr          Department of Sanitation</t>
  </si>
  <si>
    <t xml:space="preserve">Speaker          Staten Island   Richmond Medical Center - SAFE Program</t>
  </si>
  <si>
    <t xml:space="preserve">Carr, Staten                                                                              </t>
  </si>
  <si>
    <t xml:space="preserve">Staten Island Historical Society - Historic Richmond Town</t>
  </si>
  <si>
    <t xml:space="preserve">Speaker          Hanks           Staten Island Immigrant Center, Inc.</t>
  </si>
  <si>
    <t xml:space="preserve">921134292</t>
  </si>
  <si>
    <t xml:space="preserve">Morano, Staten Speaker          Island           South Shore District Management Associati</t>
  </si>
  <si>
    <t xml:space="preserve">810728516</t>
  </si>
  <si>
    <t xml:space="preserve">Jewish Community Center of Staten Island, Inc. - Social                                   </t>
  </si>
  <si>
    <t xml:space="preserve">pool item (SI org, general)</t>
  </si>
  <si>
    <t xml:space="preserve">pool item</t>
  </si>
  <si>
    <t xml:space="preserve">New York Center for Interpersonal Development, Inc Credible Messengers of Staten Island (C</t>
  </si>
  <si>
    <t xml:space="preserve">Staten Island Zoological Society, Inc. - Education and Animal Care</t>
  </si>
  <si>
    <t xml:space="preserve">Richmond Medical Center - Elizabeth W. Pouch Center for                                   </t>
  </si>
  <si>
    <t xml:space="preserve">Staten Island Economic Development Corporation - E Development - 51st District</t>
  </si>
  <si>
    <t xml:space="preserve">nvas Institute - Media mentorship programs for loc</t>
  </si>
  <si>
    <t xml:space="preserve">Hanks (49th CD — corrected Jul 8)</t>
  </si>
  <si>
    <t xml:space="preserve">Universal Temple of the Arts, Inc. - Love In Bloo</t>
  </si>
  <si>
    <t xml:space="preserve">133335286</t>
  </si>
  <si>
    <t xml:space="preserve">African Refuge, Inc. - Community and Police Mental Health                                 </t>
  </si>
  <si>
    <t xml:space="preserve">010873188</t>
  </si>
  <si>
    <t xml:space="preserve">City University of New York - College of Staten Island - Breast Cancer Research</t>
  </si>
  <si>
    <t xml:space="preserve">Jewish Community Council of Greater Coney Island, Inc. - Staten Island Community Shuttle</t>
  </si>
  <si>
    <t xml:space="preserve">112665181</t>
  </si>
  <si>
    <t xml:space="preserve">d United Activities Unlimited, Inc. - Summer Camp</t>
  </si>
  <si>
    <t xml:space="preserve">rl V. Bini Memorial Fund, The</t>
  </si>
  <si>
    <t xml:space="preserve">Lifestyles for the Disabled, Inc. - Adaptive Spor</t>
  </si>
  <si>
    <t xml:space="preserve">Your Mark, Inc.</t>
  </si>
  <si>
    <t xml:space="preserve">. Theodore A. Atlas Foundation, Inc.</t>
  </si>
  <si>
    <t xml:space="preserve">274684048</t>
  </si>
  <si>
    <t xml:space="preserve">ewish Community Center of Staten Island, Inc. - Se evelopment Program</t>
  </si>
  <si>
    <t xml:space="preserve">en II School for Autistic Children, Inc. - Family ograms</t>
  </si>
  <si>
    <t xml:space="preserve">Citywide initiative</t>
  </si>
  <si>
    <t xml:space="preserve">Chinese American Planning Council, Inc. – To Serve Staten Island</t>
  </si>
  <si>
    <t xml:space="preserve">Artificial Intelligence Community Engage</t>
  </si>
  <si>
    <t xml:space="preserve">Chamber on the Go and Small Business Ass</t>
  </si>
  <si>
    <t xml:space="preserve">Citywide Young Adult Entrepreneurship Pr</t>
  </si>
  <si>
    <t xml:space="preserve">Community Composting at Cultural Institu</t>
  </si>
  <si>
    <t xml:space="preserve">Community Housing Preservation Strategie</t>
  </si>
  <si>
    <t xml:space="preserve">Staten Island Immigrant Center – To Serve Staten Island</t>
  </si>
  <si>
    <t xml:space="preserve">United Chinese Association of Brooklyn – To Serve Staten Island</t>
  </si>
  <si>
    <t xml:space="preserve">Construction Site Safety Training</t>
  </si>
  <si>
    <t xml:space="preserve">Court-Involved Youth Mental Health Initi</t>
  </si>
  <si>
    <t xml:space="preserve">School 019R The Curtis School (31R019) Northern Manhattan Arts Alliance – Arts Programming</t>
  </si>
  <si>
    <t xml:space="preserve">Culturally Specific Gender Based Violenc</t>
  </si>
  <si>
    <t xml:space="preserve">Developmental, Psychological and Behavio</t>
  </si>
  <si>
    <t xml:space="preserve">LGBTQIA+ Older Adult Services in Every B</t>
  </si>
  <si>
    <t xml:space="preserve">Legal Services for AAPI Communities</t>
  </si>
  <si>
    <t xml:space="preserve">Legal Services for Day Laborers and Dome</t>
  </si>
  <si>
    <t xml:space="preserve">Naturally Occurring Retirement Communiti</t>
  </si>
  <si>
    <t xml:space="preserve">Jewish Community Center of Staten Island, Inc. – Stapleton NORC</t>
  </si>
  <si>
    <t xml:space="preserve">Older Adult Centers, Programs, and Servi</t>
  </si>
  <si>
    <t xml:space="preserve">Jewish Community Center of Staten Island, Inc. – Stapleton Senior Center</t>
  </si>
  <si>
    <t xml:space="preserve">Support for Victims of Human Trafficking</t>
  </si>
  <si>
    <t xml:space="preserve">Violence Prevention and Intervention for</t>
  </si>
  <si>
    <t xml:space="preserve">IlluminArt Productions – Port Richmond High School (31R445)</t>
  </si>
  <si>
    <t xml:space="preserve">IlluminArt Productions – Susan E. Wagner High School (31R460)</t>
  </si>
  <si>
    <t xml:space="preserve">Sundog Theatre, Inc. – Intermediate School 49R - Berta A. Dreyfus (31R049)</t>
  </si>
  <si>
    <t xml:space="preserve">TOTAL</t>
  </si>
  <si>
    <t xml:space="preserve">(citywide)</t>
  </si>
  <si>
    <t xml:space="preserve">Sched C PDF (council.nyc.gov) — see Missed Items tab</t>
  </si>
  <si>
    <t xml:space="preserve">ADDED Jul 7 — PDF basis · EIN ruling F7 open · F7 open: confirm RF-CUNY EIN</t>
  </si>
  <si>
    <t xml:space="preserve">ADDED ROWS SUBTOTAL (Jul 7 — PDF All-Funding basis)</t>
  </si>
  <si>
    <t xml:space="preserve">UPDATED MASTER TOTAL — all SI expense dollars, PDF basis applied</t>
  </si>
  <si>
    <t xml:space="preserve">CITYWIDE INITIATIVES TO SI — EVERY ORGANIZATION, ITEMIZED (FY27 Schedule C Final-3)</t>
  </si>
  <si>
    <t xml:space="preserve">All 55 organization lines behind the 42 SI-reaching citywide initiatives. Off-Island organizations delivering on SI are shaded gold. Foots to the $6,553,360 citywide-to-SI expense line on Grand Total (B13). Rev Jul 6: Dibra Community Organization $25,000 added under Welcome NYC (p.151, DYCD 260, asylum-seeker services) — previously missed; distinct from Dibra’s $25,000 Speaker pool item (p.270).</t>
  </si>
  <si>
    <t xml:space="preserve">Channel note: this tab is CITYWIDE-INITIATIVE dollars only. Speaker-pool and member dollars are on their own tabs. Dibra appears in BOTH: $25,000 here (Welcome NYC, p.151) AND $25,000 on “Speaker — Pool Items” (p.270) — two distinct printed lines. Dibra FY27 total incl. Hanks Youth MDI: $65,000.</t>
  </si>
  <si>
    <t xml:space="preserve">Org base / SI designation</t>
  </si>
  <si>
    <t xml:space="preserve">Subtotal — Day Laborer Workforce Initiative (2 lines)</t>
  </si>
  <si>
    <t xml:space="preserve">Subtotal — HIV/AIDS Pathways to Care (2 lines)</t>
  </si>
  <si>
    <t xml:space="preserve">Subtotal — LGBTQIA+ Community Services (1 line)</t>
  </si>
  <si>
    <t xml:space="preserve">Subtotal — Adult Literacy Initiative (1 line)</t>
  </si>
  <si>
    <t xml:space="preserve">Subtotal — Opioid Prevention and Treatment (1 line)</t>
  </si>
  <si>
    <t xml:space="preserve">Community Composting at Cultural Institutions</t>
  </si>
  <si>
    <t xml:space="preserve">Subtotal — Community Composting at Cultural Institutions (1 line)</t>
  </si>
  <si>
    <t xml:space="preserve">Subtotal — Trans Equity Programs (1 line)</t>
  </si>
  <si>
    <t xml:space="preserve">Subtotal — Court-Involved Youth Mental Health Initiative (1 line)</t>
  </si>
  <si>
    <t xml:space="preserve">Violence Prevention and Intervention for Young People</t>
  </si>
  <si>
    <t xml:space="preserve">Subtotal — Violence Prevention and Intervention for Young People (6 lines)</t>
  </si>
  <si>
    <t xml:space="preserve">Citywide Young Adult Entrepreneurship Program</t>
  </si>
  <si>
    <t xml:space="preserve">Subtotal — Citywide Young Adult Entrepreneurship Program (1 line)</t>
  </si>
  <si>
    <t xml:space="preserve">Subtotal — Community Interpreter Bank (3 lines)</t>
  </si>
  <si>
    <t xml:space="preserve">Subtotal — Autism Awareness (3 lines)</t>
  </si>
  <si>
    <t xml:space="preserve">Subtotal — Social Adult Day Care (1 line)</t>
  </si>
  <si>
    <t xml:space="preserve">Legal Services for Day Laborers and Domestic Workers</t>
  </si>
  <si>
    <t xml:space="preserve">Subtotal — Legal Services for Day Laborers and Domestic Workers (1 line)</t>
  </si>
  <si>
    <t xml:space="preserve">Chamber on the Go and Small Business Assistance</t>
  </si>
  <si>
    <t xml:space="preserve">Subtotal — Chamber on the Go and Small Business Assistance (1 line)</t>
  </si>
  <si>
    <t xml:space="preserve">Subtotal — LGBTQIA+ Youth Support and Services (1 line)</t>
  </si>
  <si>
    <t xml:space="preserve">Subtotal — Construction Site Safety Training (1 line)</t>
  </si>
  <si>
    <t xml:space="preserve">Subtotal — Community Housing Preservation Strategies (2 lines)</t>
  </si>
  <si>
    <t xml:space="preserve">Subtotal — Developmental, Psychological and Behavioral Health Services (1 line)</t>
  </si>
  <si>
    <t xml:space="preserve">Culturally Specific Gender Based Violence Services</t>
  </si>
  <si>
    <t xml:space="preserve">Subtotal — Culturally Specific Gender Based Violence Services (1 line)</t>
  </si>
  <si>
    <t xml:space="preserve">Subtotal — Initiative to Combat Sexual Assault (1 line)</t>
  </si>
  <si>
    <t xml:space="preserve">Subtotal — LGBTQIA+ Older Adult Services in Every Borough (1 line)</t>
  </si>
  <si>
    <t xml:space="preserve">Subtotal — Community Land Trust (1 line)</t>
  </si>
  <si>
    <t xml:space="preserve">Naturally Occurring Retirement Communities (NORCs)</t>
  </si>
  <si>
    <t xml:space="preserve">Subtotal — Naturally Occurring Retirement Communities (NORCs) (1 line)</t>
  </si>
  <si>
    <t xml:space="preserve">Subtotal — Viral Hepatitis Prevention (1 line)</t>
  </si>
  <si>
    <t xml:space="preserve">Subtotal — MCCAP Initiative (1 line)</t>
  </si>
  <si>
    <t xml:space="preserve">Subtotal — Healthy Beginnings (1 line)</t>
  </si>
  <si>
    <t xml:space="preserve">Subtotal — Legal Services for AAPI Communities (1 line)</t>
  </si>
  <si>
    <t xml:space="preserve">Dibra Community Organization, Inc. – New York City Asylum Seekers services</t>
  </si>
  <si>
    <t xml:space="preserve">Subtotal — Welcome NYC (2 lines)</t>
  </si>
  <si>
    <t xml:space="preserve">Subtotal — MWBE Leadership Associations (1 line)</t>
  </si>
  <si>
    <t xml:space="preserve">Subtotal — Coalition Theaters of Color (1 line)</t>
  </si>
  <si>
    <t xml:space="preserve">Subtotal — Young Women's Leadership Development (1 line)</t>
  </si>
  <si>
    <t xml:space="preserve">Subtotal — Five Borough Chamber Alliance (1 line)</t>
  </si>
  <si>
    <t xml:space="preserve">Subtotal — Elie Wiesel Holocaust Survivors (1 line)</t>
  </si>
  <si>
    <t xml:space="preserve">Subtotal — Support for Victims of Human Trafficking (1 line)</t>
  </si>
  <si>
    <t xml:space="preserve">Subtotal — AAPI Community Support (1 line)</t>
  </si>
  <si>
    <t xml:space="preserve">Subtotal — Immigrant Rights Workshops (1 line)</t>
  </si>
  <si>
    <t xml:space="preserve">Subtotal — Older Adults Mental Health (1 line)</t>
  </si>
  <si>
    <t xml:space="preserve">Subtotal — Cancer Services (1 line)</t>
  </si>
  <si>
    <t xml:space="preserve">Artificial Intelligence Community Engagement</t>
  </si>
  <si>
    <t xml:space="preserve">Subtotal — Artificial Intelligence Community Engagement (1 line)</t>
  </si>
  <si>
    <t xml:space="preserve">Subtotal — Cultural Immigrant Initiative (1 line)</t>
  </si>
  <si>
    <t xml:space="preserve">Subtotal — Older Adult Centers, Programs, and Services (1 line)</t>
  </si>
  <si>
    <t xml:space="preserve">TOTAL — citywide initiatives to Staten Island</t>
  </si>
  <si>
    <t xml:space="preserve">ADDED Jul 7 — PDF ALL-FUNDING BASIS (rows the prior scan missed; page targets on Missed Items tab)</t>
  </si>
  <si>
    <t xml:space="preserve">PDF All-Funding basis · was misfiled as Speaker</t>
  </si>
  <si>
    <t xml:space="preserve">PDF All-Funding basis · ADDED Jul 7 — F2 restore: was in Citywide tab, missing from Master</t>
  </si>
  <si>
    <t xml:space="preserve">PDF All-Funding basis · ADDED Jul 7 — PDF basis</t>
  </si>
  <si>
    <t xml:space="preserve">PDF All-Funding basis · no sibling ref</t>
  </si>
  <si>
    <t xml:space="preserve">PDF All-Funding basis · EIN ruling F7 open</t>
  </si>
  <si>
    <t xml:space="preserve">ADDED SUBTOTAL</t>
  </si>
  <si>
    <t xml:space="preserve">UPDATED CITYWIDE-TO-SI TOTAL — PDF basis (prior basis $6,553,360 + additions; incl. Dibra; + SI Delegation $120,000 classified separately = PDF citywide $8,341,467 + WB-only Northfield/Curtis $10,000)</t>
  </si>
  <si>
    <t xml:space="preserve">Note: Dibra add restores a Master gap only — it was already counted in this tab’s $6,553,360, hence the −$25,000 in the formula above.</t>
  </si>
  <si>
    <t xml:space="preserve">SI DELEGATION — BOROUGHWIDE NEEDS ($120,000 / 11), Sched C p.4 listing</t>
  </si>
  <si>
    <t xml:space="preserve">PDF p.25</t>
  </si>
  <si>
    <t xml:space="preserve">PDF p.26</t>
  </si>
  <si>
    <t xml:space="preserve">PDF p.29</t>
  </si>
  <si>
    <t xml:space="preserve">PDF p.31</t>
  </si>
  <si>
    <t xml:space="preserve">Casa Belvedere — (program line)</t>
  </si>
  <si>
    <t xml:space="preserve">PDF p.27</t>
  </si>
  <si>
    <t xml:space="preserve">PDF p.30</t>
  </si>
  <si>
    <t xml:space="preserve">CM HANKS — EVERY FUNDED ORGANIZATION, FY27 (Council discretionary database — authoritative)</t>
  </si>
  <si>
    <t xml:space="preserve">Source: ExportedSearchResults.xlsx (Council Finance export, 8,597 rows). Green rows = SU-CASA (database-only; not yet printed in Schedule C). Award-letter re-foot should use these per-EIN amounts.</t>
  </si>
  <si>
    <t xml:space="preserve">Organization (Legal Name)</t>
  </si>
  <si>
    <t xml:space="preserve">Program / Site</t>
  </si>
  <si>
    <t xml:space="preserve">A GREENER NYC</t>
  </si>
  <si>
    <t xml:space="preserve">CityParks Play, CityParks Learn &amp; CityParks Build - Council District 4</t>
  </si>
  <si>
    <t xml:space="preserve">Council District 49</t>
  </si>
  <si>
    <t xml:space="preserve">134355067</t>
  </si>
  <si>
    <t xml:space="preserve">Education &amp; Programming - Council District 49</t>
  </si>
  <si>
    <t xml:space="preserve">272918478</t>
  </si>
  <si>
    <t xml:space="preserve">School Network</t>
  </si>
  <si>
    <t xml:space="preserve">Snug Harbor Cultural Center and Botanical Garden</t>
  </si>
  <si>
    <t xml:space="preserve">800193388</t>
  </si>
  <si>
    <t xml:space="preserve">Green Workforce Development &amp; Education Program - Council District 49</t>
  </si>
  <si>
    <t xml:space="preserve">Career Readiness Program</t>
  </si>
  <si>
    <t xml:space="preserve">Water Ecology &amp; Engineering Programming - Council District 49</t>
  </si>
  <si>
    <t xml:space="preserve">AGING</t>
  </si>
  <si>
    <t xml:space="preserve">Cassidy Coles Older Adult Center</t>
  </si>
  <si>
    <t xml:space="preserve">New Lane Older Adult Center</t>
  </si>
  <si>
    <t xml:space="preserve">Stapleton Older Adult Center</t>
  </si>
  <si>
    <t xml:space="preserve">Todt Hill Friendship Club</t>
  </si>
  <si>
    <t xml:space="preserve">West Brighton Senior Center</t>
  </si>
  <si>
    <t xml:space="preserve">Anderson Neighborhood Senior Center</t>
  </si>
  <si>
    <t xml:space="preserve">Age-Friendly Care Program - Council District 49</t>
  </si>
  <si>
    <t xml:space="preserve">Serving Our Seniors - Council District 49</t>
  </si>
  <si>
    <t xml:space="preserve">ANTI-POVERTY</t>
  </si>
  <si>
    <t xml:space="preserve">Food Distribution - Council District 49</t>
  </si>
  <si>
    <t xml:space="preserve">nan</t>
  </si>
  <si>
    <t xml:space="preserve">Bread of Life Food Drive - Council District 49.</t>
  </si>
  <si>
    <t xml:space="preserve">COMMUNITY SAFETY AND VICTIM SERVICES</t>
  </si>
  <si>
    <t xml:space="preserve">Emergency Assistance Program - Council District 49</t>
  </si>
  <si>
    <t xml:space="preserve">CULTURAL AFTER-SCHOOL ADVENTURE (CASA)</t>
  </si>
  <si>
    <t xml:space="preserve">Port Richmond High School (31R445)</t>
  </si>
  <si>
    <t xml:space="preserve">Public School 013R L. Lindemeyer (31R013)</t>
  </si>
  <si>
    <t xml:space="preserve">Curtis High School (31R450)</t>
  </si>
  <si>
    <t xml:space="preserve">The Harbor View School (31R059)</t>
  </si>
  <si>
    <t xml:space="preserve">Public School 019R The Curtis School (31R019)</t>
  </si>
  <si>
    <t xml:space="preserve">475358971</t>
  </si>
  <si>
    <t xml:space="preserve">Public School 044R Thomas C. Brown (31R044)</t>
  </si>
  <si>
    <t xml:space="preserve">134113613</t>
  </si>
  <si>
    <t xml:space="preserve">P.S 016 John J. Driscoll(31R016) &amp; P.S 59 The Harbor View School(31R05</t>
  </si>
  <si>
    <t xml:space="preserve">Public School 016R John J. Driscoll (31R016)</t>
  </si>
  <si>
    <t xml:space="preserve">Public School 21R Margaret Emery-Elm Park (31R021)</t>
  </si>
  <si>
    <t xml:space="preserve">Public School 74R Future Leaders Elementary School (31R074)</t>
  </si>
  <si>
    <t xml:space="preserve">Public School 65R The Academy of Innovative Learning (31R065)</t>
  </si>
  <si>
    <t xml:space="preserve">Public School 057R Hubert H. Humphrey (31R057)</t>
  </si>
  <si>
    <t xml:space="preserve">133311294</t>
  </si>
  <si>
    <t xml:space="preserve">Public School 022 Graniteville (R022)</t>
  </si>
  <si>
    <t xml:space="preserve">Public School 019R The Curtis School (31R019) &amp; Public School 21R Marg</t>
  </si>
  <si>
    <t xml:space="preserve">202732542</t>
  </si>
  <si>
    <t xml:space="preserve">113271472</t>
  </si>
  <si>
    <t xml:space="preserve">Public School 018R John G. Whittier (31R018)</t>
  </si>
  <si>
    <t xml:space="preserve">133047206</t>
  </si>
  <si>
    <t xml:space="preserve">Public School 045R John Tyler (31R045)</t>
  </si>
  <si>
    <t xml:space="preserve">CULTURAL IMMIGRANT INITIATIVE</t>
  </si>
  <si>
    <t xml:space="preserve">Asian Cultural Programs</t>
  </si>
  <si>
    <t xml:space="preserve">La Capitana Dice Program</t>
  </si>
  <si>
    <t xml:space="preserve">133192793</t>
  </si>
  <si>
    <t xml:space="preserve">The Waverly Academy of Empowered Learners (31R084)</t>
  </si>
  <si>
    <t xml:space="preserve">Public School 020R Port Richmond (31R020)</t>
  </si>
  <si>
    <t xml:space="preserve">Cultural Immigrant Programming</t>
  </si>
  <si>
    <t xml:space="preserve">DIGITAL INCLUSION AND LITERACY INITIATIVE</t>
  </si>
  <si>
    <t xml:space="preserve">922412852</t>
  </si>
  <si>
    <t xml:space="preserve">Workforce Training Hub District 49</t>
  </si>
  <si>
    <t xml:space="preserve">133973196</t>
  </si>
  <si>
    <t xml:space="preserve">Intermediate School 027R (31R027) &amp; Staten Island School of Civic Lead</t>
  </si>
  <si>
    <t xml:space="preserve">133935309</t>
  </si>
  <si>
    <t xml:space="preserve">Small Business Technical Assistance Program</t>
  </si>
  <si>
    <t xml:space="preserve">DOMESTIC VIOLENCE AND EMPOWERMENT (DOVE) INITIATIVE</t>
  </si>
  <si>
    <t xml:space="preserve">132600199</t>
  </si>
  <si>
    <t xml:space="preserve">133556132</t>
  </si>
  <si>
    <t xml:space="preserve">135562265</t>
  </si>
  <si>
    <t xml:space="preserve">135564937</t>
  </si>
  <si>
    <t xml:space="preserve">Council Disitrict 49</t>
  </si>
  <si>
    <t xml:space="preserve">Arab-American Family Support Center, Inc., The</t>
  </si>
  <si>
    <t xml:space="preserve">113167245</t>
  </si>
  <si>
    <t xml:space="preserve">LOCAL</t>
  </si>
  <si>
    <t xml:space="preserve">132946970</t>
  </si>
  <si>
    <t xml:space="preserve">Education Programming &amp; Animal Care</t>
  </si>
  <si>
    <t xml:space="preserve">SummerStage Council District 49</t>
  </si>
  <si>
    <t xml:space="preserve">881042164</t>
  </si>
  <si>
    <t xml:space="preserve">Community Workshops - Council District 49</t>
  </si>
  <si>
    <t xml:space="preserve">Special Athletics Program</t>
  </si>
  <si>
    <t xml:space="preserve">Community Partnerships</t>
  </si>
  <si>
    <t xml:space="preserve">College of Staten Island - Liberty Partnership Student Success Program</t>
  </si>
  <si>
    <t xml:space="preserve">Sports Training and Role-models for Success (STARS)</t>
  </si>
  <si>
    <t xml:space="preserve">Community Events - Council District 49</t>
  </si>
  <si>
    <t xml:space="preserve">Nonno's Community Garden - Council District 49</t>
  </si>
  <si>
    <t xml:space="preserve">District 31 Region 7 - Federation of Parent Teacher Association</t>
  </si>
  <si>
    <t xml:space="preserve">Port Richmond High School (31R445) - Boy's Track &amp; Field Team</t>
  </si>
  <si>
    <t xml:space="preserve">Port Richmond High School (31R445) - Girls Cross Country/Track &amp; Field</t>
  </si>
  <si>
    <t xml:space="preserve">Annual Holiday Tree Lighting, Toy Giveaway &amp; Staten Island Light Parad</t>
  </si>
  <si>
    <t xml:space="preserve">MWBE Leadership Association - Council District 49</t>
  </si>
  <si>
    <t xml:space="preserve">Council District 49 </t>
  </si>
  <si>
    <t xml:space="preserve">Cassidy-Lafayette TA</t>
  </si>
  <si>
    <t xml:space="preserve">Mariner's Harbor TA</t>
  </si>
  <si>
    <t xml:space="preserve">New Lane Area TA</t>
  </si>
  <si>
    <t xml:space="preserve">NYCHA Scholarship Fund - Council District 49</t>
  </si>
  <si>
    <t xml:space="preserve">Richmond Terrace TA</t>
  </si>
  <si>
    <t xml:space="preserve">Stapleton TA</t>
  </si>
  <si>
    <t xml:space="preserve">Todt Hill TA</t>
  </si>
  <si>
    <t xml:space="preserve">West Brighton TA</t>
  </si>
  <si>
    <t xml:space="preserve">Concord High School 470R (31R470)</t>
  </si>
  <si>
    <t xml:space="preserve">Eagle Academy For Young Men of Staten Island 28R (31R028)</t>
  </si>
  <si>
    <t xml:space="preserve">Fort Hill Collaborative Elementary School 10R (31R010)</t>
  </si>
  <si>
    <t xml:space="preserve">Intermediate School 27R (31R027)</t>
  </si>
  <si>
    <t xml:space="preserve">Intermediate School 49R (31R049)</t>
  </si>
  <si>
    <t xml:space="preserve">Intermediate School 61R (31R061)</t>
  </si>
  <si>
    <t xml:space="preserve">Port Richmond School for Visionary Learning 68R (31R068)</t>
  </si>
  <si>
    <t xml:space="preserve">Public School 13R (31R013)</t>
  </si>
  <si>
    <t xml:space="preserve">Public School 16R (31R016)</t>
  </si>
  <si>
    <t xml:space="preserve">Public School 18R (31R018)</t>
  </si>
  <si>
    <t xml:space="preserve">Public School 19R (31R019)</t>
  </si>
  <si>
    <t xml:space="preserve">Public School 20R (31R020)</t>
  </si>
  <si>
    <t xml:space="preserve">Public School 21R (31R021)</t>
  </si>
  <si>
    <t xml:space="preserve">Public School 22R (31R022)</t>
  </si>
  <si>
    <t xml:space="preserve">Public School 31R (31R031)</t>
  </si>
  <si>
    <t xml:space="preserve">Public School 35R (31R035)</t>
  </si>
  <si>
    <t xml:space="preserve">Public School 373R (31R373)</t>
  </si>
  <si>
    <t xml:space="preserve">Public School 44R (31R044)</t>
  </si>
  <si>
    <t xml:space="preserve">Public School 45R (31R045)</t>
  </si>
  <si>
    <t xml:space="preserve">Public School 59R (31R059)</t>
  </si>
  <si>
    <t xml:space="preserve">Public School 65R (31R065)</t>
  </si>
  <si>
    <t xml:space="preserve">Public School 74R (31R074)</t>
  </si>
  <si>
    <t xml:space="preserve">Public School 78R (31R078)</t>
  </si>
  <si>
    <t xml:space="preserve">Ralph R. Mckee High School (31R600)</t>
  </si>
  <si>
    <t xml:space="preserve">Richard H. Hungerford School 721R (75R721)</t>
  </si>
  <si>
    <t xml:space="preserve">Staten Island School of Civic Leadership 861R (31R861)</t>
  </si>
  <si>
    <t xml:space="preserve">NYC CLEANUP</t>
  </si>
  <si>
    <t xml:space="preserve">Litter Basket Service &amp; Manual Litter Patrol</t>
  </si>
  <si>
    <t xml:space="preserve">133176456</t>
  </si>
  <si>
    <t xml:space="preserve">135579013</t>
  </si>
  <si>
    <t xml:space="preserve">NEIGHBORHOOD DEVELOPMENT GRANT INITIATIVE</t>
  </si>
  <si>
    <t xml:space="preserve">Rosebank Merchants Association - Council District 49</t>
  </si>
  <si>
    <t xml:space="preserve">Port Richmond Merchants Association - Council District 49</t>
  </si>
  <si>
    <t xml:space="preserve">Business Attraction/Business Retention - West Brighton</t>
  </si>
  <si>
    <t xml:space="preserve">Downtown Staten Island BID Formation - Council District 49</t>
  </si>
  <si>
    <t xml:space="preserve">PARKS EQUITY INITIATIVE</t>
  </si>
  <si>
    <t xml:space="preserve">Association of Community Employment Programs for the Homeless, Inc.</t>
  </si>
  <si>
    <t xml:space="preserve">133846431</t>
  </si>
  <si>
    <t xml:space="preserve">Tappen Park Clean Up - Council District 49</t>
  </si>
  <si>
    <t xml:space="preserve">City Parks Play - Council District 49</t>
  </si>
  <si>
    <t xml:space="preserve">Tompkinsville Park Clean Up - Council District 49</t>
  </si>
  <si>
    <t xml:space="preserve">132612524</t>
  </si>
  <si>
    <t xml:space="preserve">Freshkills Park Alliance</t>
  </si>
  <si>
    <t xml:space="preserve">SU-CASA</t>
  </si>
  <si>
    <t xml:space="preserve">West Brighton Neighborhood Senior Center</t>
  </si>
  <si>
    <t xml:space="preserve">Stapleton OAC</t>
  </si>
  <si>
    <t xml:space="preserve">CASC New Lane NSC</t>
  </si>
  <si>
    <t xml:space="preserve">SUPPORT OUR OLDER ADULTS</t>
  </si>
  <si>
    <t xml:space="preserve">510567466</t>
  </si>
  <si>
    <t xml:space="preserve">Anderson Senior Center</t>
  </si>
  <si>
    <t xml:space="preserve">Serving Our Older Adults</t>
  </si>
  <si>
    <t xml:space="preserve">YOUTH</t>
  </si>
  <si>
    <t xml:space="preserve">Atlas Foundation Programs</t>
  </si>
  <si>
    <t xml:space="preserve">Goodhue Center</t>
  </si>
  <si>
    <t xml:space="preserve">Post-Secondary Success Initiative (PSSI) &amp; Eagles Soaring Beyond (ESB)</t>
  </si>
  <si>
    <t xml:space="preserve">Staten Island Justice Center - Youth Wellness</t>
  </si>
  <si>
    <t xml:space="preserve">HISH FAMILY</t>
  </si>
  <si>
    <t xml:space="preserve">Boy Scouts of America - Greater New York Council</t>
  </si>
  <si>
    <t xml:space="preserve">Scouting &amp; Exploring - Council District 49</t>
  </si>
  <si>
    <t xml:space="preserve">Family Support Program - Council District 49</t>
  </si>
  <si>
    <t xml:space="preserve">Community Youth Sports, Culture &amp; Recreation - Council District 49</t>
  </si>
  <si>
    <t xml:space="preserve">STARS Program - Council District 49</t>
  </si>
  <si>
    <t xml:space="preserve">School Year &amp; Summer READing Program - Council District 49</t>
  </si>
  <si>
    <t xml:space="preserve">College Bound Initiative (CBI)</t>
  </si>
  <si>
    <t xml:space="preserve">Holocaust Center Education</t>
  </si>
  <si>
    <t xml:space="preserve">Broadway YMCA - Teen Programming</t>
  </si>
  <si>
    <t xml:space="preserve">Dream It, Be It Program</t>
  </si>
  <si>
    <t xml:space="preserve">CM CARR — EVERY FUNDED ORGANIZATION, FY27 (Council discretionary database — authoritative)</t>
  </si>
  <si>
    <t xml:space="preserve">133481845</t>
  </si>
  <si>
    <t xml:space="preserve">Nature Discovery Series</t>
  </si>
  <si>
    <t xml:space="preserve">Clean-Up Education Program</t>
  </si>
  <si>
    <t xml:space="preserve">Green Careers &amp; Stewardship Program</t>
  </si>
  <si>
    <t xml:space="preserve">Staten Island Borough Office</t>
  </si>
  <si>
    <t xml:space="preserve">New Dorp Beach Friendship Club</t>
  </si>
  <si>
    <t xml:space="preserve">Emergency Assistance Program</t>
  </si>
  <si>
    <t xml:space="preserve">Intermediate School 2R George L. Egbert (31R002)</t>
  </si>
  <si>
    <t xml:space="preserve">Public School 23R Richmondtown (31R023)</t>
  </si>
  <si>
    <t xml:space="preserve">Stephanie A. Vierno School, Public School 41R (31R041)</t>
  </si>
  <si>
    <t xml:space="preserve">112697931</t>
  </si>
  <si>
    <t xml:space="preserve">Public School 52R John C. Thompson (31R052)</t>
  </si>
  <si>
    <t xml:space="preserve">Intermediate School 51R Edwin Markham (31R051)</t>
  </si>
  <si>
    <t xml:space="preserve">Public School 38R George Cromwell (31R038)</t>
  </si>
  <si>
    <t xml:space="preserve">Public School 29R Bardwell (31R029)</t>
  </si>
  <si>
    <t xml:space="preserve">Public School 54R Charles W. Leng (31R054)</t>
  </si>
  <si>
    <t xml:space="preserve">Public School 46R Albert V. Maniscalco (31R046)</t>
  </si>
  <si>
    <t xml:space="preserve">Naples Street Elementary School (31R009)</t>
  </si>
  <si>
    <t xml:space="preserve">Public School 30R Westerleigh (31R030)</t>
  </si>
  <si>
    <t xml:space="preserve">Public School 39R Francis J. Murphy Jr. (31R039)</t>
  </si>
  <si>
    <t xml:space="preserve">Public School 48R William G. Wilcox (31R048)</t>
  </si>
  <si>
    <t xml:space="preserve">Public School 11R Thomas Dongan School (31R011)</t>
  </si>
  <si>
    <t xml:space="preserve">Public School 26R The Carteret School (31R026)</t>
  </si>
  <si>
    <t xml:space="preserve">Public School 060R Alice Austen (31R060)</t>
  </si>
  <si>
    <t xml:space="preserve">Public School 50R Frank Hankinson (31R050)</t>
  </si>
  <si>
    <t xml:space="preserve">Jacques Marchais Center of Tibetan Art, Inc.</t>
  </si>
  <si>
    <t xml:space="preserve">237280740</t>
  </si>
  <si>
    <t xml:space="preserve">200985637</t>
  </si>
  <si>
    <t xml:space="preserve">Richmond Choral Society</t>
  </si>
  <si>
    <t xml:space="preserve">132921818</t>
  </si>
  <si>
    <t xml:space="preserve">Council District 50</t>
  </si>
  <si>
    <t xml:space="preserve">New Dorp BID</t>
  </si>
  <si>
    <t xml:space="preserve">Richmond Road Merchants Association</t>
  </si>
  <si>
    <t xml:space="preserve">General Operating Support &amp; Business Assistance</t>
  </si>
  <si>
    <t xml:space="preserve">Concerts - Dyker Heights Park - Council District 50</t>
  </si>
  <si>
    <t xml:space="preserve">Field Maintenance</t>
  </si>
  <si>
    <t xml:space="preserve">Health &amp; Wellness Expo</t>
  </si>
  <si>
    <t xml:space="preserve">Victory Blvd Business District Corridor </t>
  </si>
  <si>
    <t xml:space="preserve">Public School 37R (75R037)</t>
  </si>
  <si>
    <t xml:space="preserve">Symposium Events</t>
  </si>
  <si>
    <t xml:space="preserve">Early Intervention Program</t>
  </si>
  <si>
    <t xml:space="preserve">Public School 46R (31R046)</t>
  </si>
  <si>
    <t xml:space="preserve">Public School 11R (31R011)</t>
  </si>
  <si>
    <t xml:space="preserve">Port-A-Sans</t>
  </si>
  <si>
    <t xml:space="preserve">After-School Drop-in Program &amp; LGBTQ Community Awareness Events</t>
  </si>
  <si>
    <t xml:space="preserve">Sunrise Camp </t>
  </si>
  <si>
    <t xml:space="preserve">Charles Berry Homes</t>
  </si>
  <si>
    <t xml:space="preserve">South Beach Housing</t>
  </si>
  <si>
    <t xml:space="preserve">200404386</t>
  </si>
  <si>
    <t xml:space="preserve">Moore Catholic High School</t>
  </si>
  <si>
    <t xml:space="preserve">270672195</t>
  </si>
  <si>
    <t xml:space="preserve">New Dorp Lane Business Improvement District</t>
  </si>
  <si>
    <t xml:space="preserve">Victory Boulevard Merchants Association </t>
  </si>
  <si>
    <t xml:space="preserve">Victory Boulevard Merchants</t>
  </si>
  <si>
    <t xml:space="preserve">Grasmere and Cameron Lakes Bluebelt Conservancy, Inc.</t>
  </si>
  <si>
    <t xml:space="preserve">452493342</t>
  </si>
  <si>
    <t xml:space="preserve">Oakwood Fields</t>
  </si>
  <si>
    <t xml:space="preserve">William H. Pouch Camp</t>
  </si>
  <si>
    <t xml:space="preserve">Freshkills Park</t>
  </si>
  <si>
    <t xml:space="preserve">Westerleigh Park - Council District 50</t>
  </si>
  <si>
    <t xml:space="preserve">New Dorp Beach OAC</t>
  </si>
  <si>
    <t xml:space="preserve">Archcare at Carmel Richmond</t>
  </si>
  <si>
    <t xml:space="preserve">Todt Hill OAC</t>
  </si>
  <si>
    <t xml:space="preserve">Community Outings &amp; Trips</t>
  </si>
  <si>
    <t xml:space="preserve">107167</t>
  </si>
  <si>
    <t xml:space="preserve">STEM Program</t>
  </si>
  <si>
    <t xml:space="preserve">Little Steps</t>
  </si>
  <si>
    <t xml:space="preserve">Early Childhood Program</t>
  </si>
  <si>
    <t xml:space="preserve">Kreischer Mansion Historical Preservation Society, Corp</t>
  </si>
  <si>
    <t xml:space="preserve">CM MORANO — EVERY FUNDED ORGANIZATION, FY27 (Council discretionary database — authoritative)</t>
  </si>
  <si>
    <t xml:space="preserve">Volunteer Cleanups &amp; Stewardship Events - Council District 51</t>
  </si>
  <si>
    <t xml:space="preserve">Horticulture &amp; Woodcraft Workshop</t>
  </si>
  <si>
    <t xml:space="preserve">Educational Programming</t>
  </si>
  <si>
    <t xml:space="preserve">Educational Programming - Council District 51</t>
  </si>
  <si>
    <t xml:space="preserve">Conference House Association, Inc.</t>
  </si>
  <si>
    <t xml:space="preserve">136162071</t>
  </si>
  <si>
    <t xml:space="preserve">Historic Conference House Tours &amp; Cultural Events</t>
  </si>
  <si>
    <t xml:space="preserve">841678085</t>
  </si>
  <si>
    <t xml:space="preserve">Mt. Loretto Friendship Club - Senior Services</t>
  </si>
  <si>
    <t xml:space="preserve">Great Kills Friendship Club - Senior Services</t>
  </si>
  <si>
    <t xml:space="preserve">Better Life More Living</t>
  </si>
  <si>
    <t xml:space="preserve">Older Adults Services</t>
  </si>
  <si>
    <t xml:space="preserve">Council District 51</t>
  </si>
  <si>
    <t xml:space="preserve">Senior Olympics</t>
  </si>
  <si>
    <t xml:space="preserve">Senior Programs - Council District 51</t>
  </si>
  <si>
    <t xml:space="preserve">Arts Residency - Council District 51</t>
  </si>
  <si>
    <t xml:space="preserve">Catholic Youth Organization (CYO)</t>
  </si>
  <si>
    <t xml:space="preserve">Counseling &amp; Programming - Council District 51</t>
  </si>
  <si>
    <t xml:space="preserve">Police Department</t>
  </si>
  <si>
    <t xml:space="preserve">123rd Precinct</t>
  </si>
  <si>
    <t xml:space="preserve">Troop 75312</t>
  </si>
  <si>
    <t xml:space="preserve">Intermediate School 72R Rocco Laurie (31R072)</t>
  </si>
  <si>
    <t xml:space="preserve">Public School 6R Corporal Allan F. Kivlehan School (31R006)</t>
  </si>
  <si>
    <t xml:space="preserve">Public School 5R Huguenot (31R005)</t>
  </si>
  <si>
    <t xml:space="preserve">Public School 55R Henry M. Boehm School (31R055)</t>
  </si>
  <si>
    <t xml:space="preserve">Public School 53R The Barbara Esselborn School (31R053)</t>
  </si>
  <si>
    <t xml:space="preserve">Intermediate School 7R Elias Bernstein (31R007)</t>
  </si>
  <si>
    <t xml:space="preserve">Intermediate School 034R Tottenville (31R034)</t>
  </si>
  <si>
    <t xml:space="preserve">Public School 36R J. C. Drumgoole (31R036)</t>
  </si>
  <si>
    <t xml:space="preserve">Public School 1R Tottenville (31R001)</t>
  </si>
  <si>
    <t xml:space="preserve">The David Marquis School of the Arts (75R037)</t>
  </si>
  <si>
    <t xml:space="preserve">133062419</t>
  </si>
  <si>
    <t xml:space="preserve">Intermediate School 24R Myra S. Barnes (31R024)</t>
  </si>
  <si>
    <t xml:space="preserve">The Kathleen Grimm School for Leadership and Susta (31R062)</t>
  </si>
  <si>
    <t xml:space="preserve">Public School 056R The Louis Desario School (31R056)</t>
  </si>
  <si>
    <t xml:space="preserve">Marsh Avenue School for Expeditionary Learning (31R063)</t>
  </si>
  <si>
    <t xml:space="preserve">Culture &amp; Environmental Education Walking Tours</t>
  </si>
  <si>
    <t xml:space="preserve">Schools - Council District 51 </t>
  </si>
  <si>
    <t xml:space="preserve">Cultural Services</t>
  </si>
  <si>
    <t xml:space="preserve">School Programming - Council District 51 </t>
  </si>
  <si>
    <t xml:space="preserve">School Programming - Council District 51</t>
  </si>
  <si>
    <t xml:space="preserve">Smart Money Kids Program - Public School 005R Huguenot (31R005)</t>
  </si>
  <si>
    <t xml:space="preserve">District Attorney-Richmond</t>
  </si>
  <si>
    <t xml:space="preserve">Domestic Violence Programming</t>
  </si>
  <si>
    <t xml:space="preserve">133137595</t>
  </si>
  <si>
    <t xml:space="preserve">Art Program</t>
  </si>
  <si>
    <t xml:space="preserve">School Programs - Council District 51</t>
  </si>
  <si>
    <t xml:space="preserve">Project Teamwork</t>
  </si>
  <si>
    <t xml:space="preserve">Special Athletics</t>
  </si>
  <si>
    <t xml:space="preserve">Volunteer Heart Resuscitation Unit &amp; Ambulance Corp. of SI., Inc.</t>
  </si>
  <si>
    <t xml:space="preserve">Adult Day Hab Programs</t>
  </si>
  <si>
    <t xml:space="preserve">Mental Health &amp; Outreach</t>
  </si>
  <si>
    <t xml:space="preserve">Mental Health &amp; Wellness Program</t>
  </si>
  <si>
    <t xml:space="preserve">Youth Services - Council District 51</t>
  </si>
  <si>
    <t xml:space="preserve">Crisis Stabilization &amp; Essential Resource Distribution Program</t>
  </si>
  <si>
    <t xml:space="preserve">Beach Street Programming</t>
  </si>
  <si>
    <t xml:space="preserve">Modest Bakes</t>
  </si>
  <si>
    <t xml:space="preserve">Special Musical Education Programming - I.S. 007R Elias Bernstein (31R</t>
  </si>
  <si>
    <t xml:space="preserve">Senior Food Pantry - Council District 51</t>
  </si>
  <si>
    <t xml:space="preserve">College of Staten Island High School for International Studies (31R047</t>
  </si>
  <si>
    <t xml:space="preserve">Gaynor McCown High School (31R064) - PTA</t>
  </si>
  <si>
    <t xml:space="preserve">Intermediate School 24R (31R024) - PTA</t>
  </si>
  <si>
    <t xml:space="preserve">Intermediate School 34R (31R034) - PTA</t>
  </si>
  <si>
    <t xml:space="preserve">Intermediate School 63R (31R063) - PTA</t>
  </si>
  <si>
    <t xml:space="preserve">Intermediate School 72R (31R072) - PTA</t>
  </si>
  <si>
    <t xml:space="preserve">Intermediate School 75R (31R075) - PTA</t>
  </si>
  <si>
    <t xml:space="preserve">Intermediate School 7R (31R007) - PTA</t>
  </si>
  <si>
    <t xml:space="preserve">Public School 1R (31R001) - PTA</t>
  </si>
  <si>
    <t xml:space="preserve">Public School 25R (75R025) - PTA</t>
  </si>
  <si>
    <t xml:space="preserve">Public School 32R (31R032) - PTA</t>
  </si>
  <si>
    <t xml:space="preserve">Public School 36R (31R036) - PTA</t>
  </si>
  <si>
    <t xml:space="preserve">Public School 37R (75R037) - PTA</t>
  </si>
  <si>
    <t xml:space="preserve">Public School 3R (31R003) - PTA</t>
  </si>
  <si>
    <t xml:space="preserve">Public School 42R (31R042) - PTA</t>
  </si>
  <si>
    <t xml:space="preserve">Public School 4R (31R004) - PTA</t>
  </si>
  <si>
    <t xml:space="preserve">Public School 53R (31R053) - PTA</t>
  </si>
  <si>
    <t xml:space="preserve">Public School 55R (31R055) - PTA</t>
  </si>
  <si>
    <t xml:space="preserve">Public School 56R (31R056) - PTA</t>
  </si>
  <si>
    <t xml:space="preserve">Public School 58R (31R058) - PTA</t>
  </si>
  <si>
    <t xml:space="preserve">Public School 5R (31R005) - PTA</t>
  </si>
  <si>
    <t xml:space="preserve">Public School 62R (31R062) - PTA</t>
  </si>
  <si>
    <t xml:space="preserve">Public School 69R (31R069) - PTA</t>
  </si>
  <si>
    <t xml:space="preserve">Public School 6R (31R006) - PTA</t>
  </si>
  <si>
    <t xml:space="preserve">Public School 8R (31R008) - PTA</t>
  </si>
  <si>
    <t xml:space="preserve">Tottenville High School (31R455) - PTA</t>
  </si>
  <si>
    <t xml:space="preserve">Urban Park Rangers - Council District 51</t>
  </si>
  <si>
    <t xml:space="preserve">Litter Basket Services - Council District 51</t>
  </si>
  <si>
    <t xml:space="preserve">Mechanical Broom Service - Council District 51</t>
  </si>
  <si>
    <t xml:space="preserve">ArtBridge Projects, Inc.</t>
  </si>
  <si>
    <t xml:space="preserve">611682898</t>
  </si>
  <si>
    <t xml:space="preserve">Public Art &amp; Business Development - Council District 51</t>
  </si>
  <si>
    <t xml:space="preserve">521067290</t>
  </si>
  <si>
    <t xml:space="preserve">New York Junior Tennis League, Inc.</t>
  </si>
  <si>
    <t xml:space="preserve">237442256</t>
  </si>
  <si>
    <t xml:space="preserve">Community Tennis Program - Council District 51</t>
  </si>
  <si>
    <t xml:space="preserve">Council District 51 </t>
  </si>
  <si>
    <t xml:space="preserve">Movies Under the Stars Program - Council District 51</t>
  </si>
  <si>
    <t xml:space="preserve">South Shore Senior Center</t>
  </si>
  <si>
    <t xml:space="preserve">Mt. Loretto Friendship Club</t>
  </si>
  <si>
    <t xml:space="preserve">Great Kills Friendship Club</t>
  </si>
  <si>
    <t xml:space="preserve">Senior Programs - MCCAP/HIICAP</t>
  </si>
  <si>
    <t xml:space="preserve">Youth Programming &amp; Community Support Programs - Council District 51</t>
  </si>
  <si>
    <t xml:space="preserve">STEM Program - Council District 51</t>
  </si>
  <si>
    <t xml:space="preserve">Sunrise Day Camp</t>
  </si>
  <si>
    <t xml:space="preserve">Water Ecology &amp; Engineering Field Trips</t>
  </si>
  <si>
    <t xml:space="preserve">Youth Sports Programming</t>
  </si>
  <si>
    <t xml:space="preserve">Ice Hockey Program</t>
  </si>
  <si>
    <t xml:space="preserve">PROJECTION: SU-CASA assumed at parity — $45,000 (3 senior-center sites × $15,000), undesignated as of export. Projected all-in: $2,208,000. True-up when DCLA post-adoption itemization publishes.</t>
  </si>
  <si>
    <t xml:space="preserve">DATABASE ↔ SCHEDULE C FINAL-3 — EIN-LEVEL TIE-OUT (same basis: excl. Speaker items &amp; SU-CASA)</t>
  </si>
  <si>
    <t xml:space="preserve">Member</t>
  </si>
  <si>
    <t xml:space="preserve">EINs</t>
  </si>
  <si>
    <t xml:space="preserve">Tied exactly</t>
  </si>
  <si>
    <t xml:space="preserve">Adjacency swaps (net $0)</t>
  </si>
  <si>
    <t xml:space="preserve">DB total</t>
  </si>
  <si>
    <t xml:space="preserve">PDF printed total</t>
  </si>
  <si>
    <t xml:space="preserve">Verdict</t>
  </si>
  <si>
    <t xml:space="preserve">EXACT TIE — totals identical; swaps are PDF wrap-attribution, netting to $0</t>
  </si>
  <si>
    <t xml:space="preserve">Deltas fully explained: Speaker-pool items live outside DB member rows (NYCID $500K, Pride $50K, Bini $40K, Lifestyles $35K); SU-CASA rows exist in DB only (Hanks 3×$15K, Carr 3×$15K, Morano 0). For the 133 award letters: the database per-EIN amounts on the member tabs are the re-foot source of record; the handful of PDF adjacency swaps (Hanks 15 EINs, Carr 8, Morano 0) confirm the PDF should not be the letter source.</t>
  </si>
  <si>
    <t xml:space="preserve">FY27 §254 CAPITAL — SUPER-SPECIFIC STRUCTURE &amp; VERIFICATION STATUS</t>
  </si>
  <si>
    <t xml:space="preserve">Attribution (CC lines only)</t>
  </si>
  <si>
    <t xml:space="preserve">Verification</t>
  </si>
  <si>
    <t xml:space="preserve">Ties adopted capital workbook exactly; §254 line-verified in prior session</t>
  </si>
  <si>
    <t xml:space="preserve">SI Delegation (tri-member)</t>
  </si>
  <si>
    <t xml:space="preserve">Speaker (pure, citywide → SI)</t>
  </si>
  <si>
    <t xml:space="preserve">GRAND — SI §254 CC additions</t>
  </si>
  <si>
    <t xml:space="preserve">SUB-CUTS (arithmetic verified this session)</t>
  </si>
  <si>
    <t xml:space="preserve">• Three-member combined (Hanks+Carr+Morano): $43,886,000. Members + delegation pot (all SI-member-controlled): $51,304,000.</t>
  </si>
  <si>
    <t xml:space="preserve">• Pure member capital with Speaker co-sponsor credits stripped: exactly $5,000,000 per member ($15,000,000) — the uniform member allocation, which validates the attribution method.</t>
  </si>
  <si>
    <t xml:space="preserve">• Speaker-involved capital (solo + co-sponsored): $56,500,000 = 79.0% of the SI total — the Speaker relationship is the delegation’s capital engine.</t>
  </si>
  <si>
    <t xml:space="preserve">TWO WALLETS — CC vs MA (verified against the §254 book in the prior session; cite pins pending re-upload)</t>
  </si>
  <si>
    <t xml:space="preserve">• "CC" lines = new FY27 Council additions: sponsor-coded (HANKS/CARR/SPEAK), Section I, roll up to the official $853,688,000 Council Additions total. All 93 SI lines / $71.5M are CC.</t>
  </si>
  <si>
    <t xml:space="preserve">• "MA" lines = non-City sections (II/III), no sponsor, EXCLUDED from the $853.688M; budget-line format "0N364" (leading zero = pre-existing non-City lump-sum line). Citywide MA package ~$71M, all cultural: Roundabout $7M · The Kitchen $14M · Ballet Hispánico $10M · St. George Theatre $5.85M — the Administration/DCLA side of the adoption handshake.</t>
  </si>
  <si>
    <t xml:space="preserve">• Charter §254 requires Council increases be "stated separately and distinctly" — Section I does that; MA lines are not Council additions, hence outside it.</t>
  </si>
  <si>
    <t xml:space="preserve">• MA1004 — St. George Theatre $5,850,000, Boro R, 0N364: counts toward "all dollars reaching SI orgs" (Measure-C side), NOT toward Measures A/B. St. George’s true FY27 org total = $7,350,000 ($1.5M Council CC + $5.85M MA) — the number the theatre will cite.</t>
  </si>
  <si>
    <t xml:space="preserve">CC0796 CAVEAT — INSIDE THE $71.5M</t>
  </si>
  <si>
    <t xml:space="preserve">• CC0796 (P.S./I.S. 229, $230,000, Carr) is Boro-coded R but carries Brooklyn school codes. It is currently INSIDE the adopted $71.5M under Carr; if confirmed Brooklyn, SI CC total drops to $71,270,000 (Carr to $15,370,000) and the SI-substantive-with-MA figure to $77,120,000. Suspected City coding typo — mirrors CC1100 (Boro-X-coded but SI-substantive) in reverse.</t>
  </si>
  <si>
    <t xml:space="preserve">THREE QUESTIONS FOR COUNCIL FINANCE</t>
  </si>
  <si>
    <t xml:space="preserve">• 1. Are FY27 MA/0N allocations new FY27 appropriations on the Administration side, or reallocations of prior-year lump sums? (Controls the "new money" phrasing.)</t>
  </si>
  <si>
    <t xml:space="preserve">• 2. Who directed the $5.85M to St. George — DCLA, the Speaker’s office in the handshake, or Borough Hall?</t>
  </si>
  <si>
    <t xml:space="preserve">• 3. Should MA-line dollars count in the Council’s own borough-equity math, or CC lines only? And: confirm CC0796’s true borough.</t>
  </si>
  <si>
    <t xml:space="preserve">ALL 51 COUNCIL MEMBERS + DELEGATIONS — FY27 MEMBER-DESIGNATED FUNDS (database export, complete)</t>
  </si>
  <si>
    <t xml:space="preserve">Completeness audit: export = 8,597 rows / $109,855,084; real designations 7,327 / $109,853,997; 1,270 penny placeholders (CBO-Defunded markers + Speaker’s Initiative $0.01 rows — Speaker dollars are NOT in this export; see Schedule C Speaker tabs). All 51 members present; all 5 borough delegations present; 2,031 distinct organizations / 1,972 EINs.</t>
  </si>
  <si>
    <t xml:space="preserve">Member / Delegation</t>
  </si>
  <si>
    <t xml:space="preserve">Designations</t>
  </si>
  <si>
    <t xml:space="preserve">Total $</t>
  </si>
  <si>
    <t xml:space="preserve">Rank</t>
  </si>
  <si>
    <t xml:space="preserve">P. Sanchez</t>
  </si>
  <si>
    <t xml:space="preserve">Brooks-Powers</t>
  </si>
  <si>
    <t xml:space="preserve">Hankerson</t>
  </si>
  <si>
    <t xml:space="preserve">Feliz</t>
  </si>
  <si>
    <t xml:space="preserve">J. Sanchez</t>
  </si>
  <si>
    <t xml:space="preserve">Thomas-Henry</t>
  </si>
  <si>
    <t xml:space="preserve">Williams</t>
  </si>
  <si>
    <t xml:space="preserve">Aldebol</t>
  </si>
  <si>
    <t xml:space="preserve">Riley</t>
  </si>
  <si>
    <t xml:space="preserve">Gutierrez</t>
  </si>
  <si>
    <t xml:space="preserve">Banks</t>
  </si>
  <si>
    <t xml:space="preserve">Abreu</t>
  </si>
  <si>
    <t xml:space="preserve">Nurse</t>
  </si>
  <si>
    <t xml:space="preserve">De La Rosa</t>
  </si>
  <si>
    <t xml:space="preserve">Krishnan</t>
  </si>
  <si>
    <t xml:space="preserve">Ung</t>
  </si>
  <si>
    <t xml:space="preserve">Gennaro</t>
  </si>
  <si>
    <t xml:space="preserve">Won</t>
  </si>
  <si>
    <t xml:space="preserve">Dinowitz</t>
  </si>
  <si>
    <t xml:space="preserve">Hudson</t>
  </si>
  <si>
    <t xml:space="preserve">Caban</t>
  </si>
  <si>
    <t xml:space="preserve">Narcisse</t>
  </si>
  <si>
    <t xml:space="preserve">Wong</t>
  </si>
  <si>
    <t xml:space="preserve">Lee</t>
  </si>
  <si>
    <t xml:space="preserve">Ariola</t>
  </si>
  <si>
    <t xml:space="preserve">Restler</t>
  </si>
  <si>
    <t xml:space="preserve">Epstein</t>
  </si>
  <si>
    <t xml:space="preserve">Menin</t>
  </si>
  <si>
    <t xml:space="preserve">Marte</t>
  </si>
  <si>
    <t xml:space="preserve">Hanif</t>
  </si>
  <si>
    <t xml:space="preserve">Brewer</t>
  </si>
  <si>
    <t xml:space="preserve">Paladino</t>
  </si>
  <si>
    <t xml:space="preserve">Joseph</t>
  </si>
  <si>
    <t xml:space="preserve">Schulman</t>
  </si>
  <si>
    <t xml:space="preserve">Wilson</t>
  </si>
  <si>
    <t xml:space="preserve">Zhuang</t>
  </si>
  <si>
    <t xml:space="preserve">Osse</t>
  </si>
  <si>
    <t xml:space="preserve">Mealy</t>
  </si>
  <si>
    <t xml:space="preserve">Farias</t>
  </si>
  <si>
    <t xml:space="preserve">Salaam</t>
  </si>
  <si>
    <t xml:space="preserve">Felder</t>
  </si>
  <si>
    <t xml:space="preserve">Encarnacion</t>
  </si>
  <si>
    <t xml:space="preserve">Louis</t>
  </si>
  <si>
    <t xml:space="preserve">Stevens</t>
  </si>
  <si>
    <t xml:space="preserve">Maloney</t>
  </si>
  <si>
    <t xml:space="preserve">Brooklyn Delegation</t>
  </si>
  <si>
    <t xml:space="preserve">Queens Delegation</t>
  </si>
  <si>
    <t xml:space="preserve">Manhattan Delegation</t>
  </si>
  <si>
    <t xml:space="preserve">Bronx Delegation</t>
  </si>
  <si>
    <t xml:space="preserve">Staten Island Delegation</t>
  </si>
  <si>
    <t xml:space="preserve">EVERY ORGANIZATION FUNDED BY EVERY COUNCIL MEMBER — FY27 (7,327 designations, database export)</t>
  </si>
  <si>
    <t xml:space="preserve">West Harlem Environmental Action, Inc.</t>
  </si>
  <si>
    <t xml:space="preserve">133800068</t>
  </si>
  <si>
    <t xml:space="preserve">None</t>
  </si>
  <si>
    <t xml:space="preserve">Big Initiatives Incorporated</t>
  </si>
  <si>
    <t xml:space="preserve">465083170</t>
  </si>
  <si>
    <t xml:space="preserve">Horticultural Society of New York, The</t>
  </si>
  <si>
    <t xml:space="preserve">130854930</t>
  </si>
  <si>
    <t xml:space="preserve">Council District 7</t>
  </si>
  <si>
    <t xml:space="preserve">West Side Federation for Senior and Supportive Housing, Inc.</t>
  </si>
  <si>
    <t xml:space="preserve">132926433</t>
  </si>
  <si>
    <t xml:space="preserve">Morningside Retirement and Health Services, Inc.</t>
  </si>
  <si>
    <t xml:space="preserve">136206256</t>
  </si>
  <si>
    <t xml:space="preserve">NORC Program - Council District 7</t>
  </si>
  <si>
    <t xml:space="preserve">Service Program for Older People (SPOP), Inc.</t>
  </si>
  <si>
    <t xml:space="preserve">132947616</t>
  </si>
  <si>
    <t xml:space="preserve">Mental Healthcare Services Program - Council District 7</t>
  </si>
  <si>
    <t xml:space="preserve">Riverstone Senior Life Services, Inc.</t>
  </si>
  <si>
    <t xml:space="preserve">133355074</t>
  </si>
  <si>
    <t xml:space="preserve">Riverstone Memory Center - Council District 7</t>
  </si>
  <si>
    <t xml:space="preserve">Presbyterian Senior Services, Inc.</t>
  </si>
  <si>
    <t xml:space="preserve">131981482</t>
  </si>
  <si>
    <t xml:space="preserve">Manhattanville Senior Center- Council District 7</t>
  </si>
  <si>
    <t xml:space="preserve">Harlem Advocates for Seniors, Inc. </t>
  </si>
  <si>
    <t xml:space="preserve">811966114</t>
  </si>
  <si>
    <t xml:space="preserve">ARC XVI Fort Washington, Inc.</t>
  </si>
  <si>
    <t xml:space="preserve">132745426</t>
  </si>
  <si>
    <t xml:space="preserve">Social Services Program - Council District 7</t>
  </si>
  <si>
    <t xml:space="preserve">Moving For Life</t>
  </si>
  <si>
    <t xml:space="preserve">465251831</t>
  </si>
  <si>
    <t xml:space="preserve">Exercise for Health - Council District 7 </t>
  </si>
  <si>
    <t xml:space="preserve">DOROT, Inc.</t>
  </si>
  <si>
    <t xml:space="preserve">133264005</t>
  </si>
  <si>
    <t xml:space="preserve">West Side Center for Community Life, Inc.</t>
  </si>
  <si>
    <t xml:space="preserve">710908184</t>
  </si>
  <si>
    <t xml:space="preserve">Food &amp; Benefits Access - Council District 7 </t>
  </si>
  <si>
    <t xml:space="preserve">Northern Manhattan Improvement Corporation</t>
  </si>
  <si>
    <t xml:space="preserve">132972415</t>
  </si>
  <si>
    <t xml:space="preserve">Tenant Advocacy Services - Council District 7</t>
  </si>
  <si>
    <t xml:space="preserve">Mosholu-Montefiore Community Center, Inc.</t>
  </si>
  <si>
    <t xml:space="preserve">133622107</t>
  </si>
  <si>
    <t xml:space="preserve">Grant Cornerstone - Council District 7 </t>
  </si>
  <si>
    <t xml:space="preserve">Fortune Society, Inc., The</t>
  </si>
  <si>
    <t xml:space="preserve">132645436</t>
  </si>
  <si>
    <t xml:space="preserve">Food &amp; Nutrition Program - Council District 7</t>
  </si>
  <si>
    <t xml:space="preserve">Catholic Charities Community Services, Archdiocese of New York</t>
  </si>
  <si>
    <t xml:space="preserve">135562185</t>
  </si>
  <si>
    <t xml:space="preserve">Alianza Sports Tournaments - Council District 7</t>
  </si>
  <si>
    <t xml:space="preserve">Dominican Community Center NYC, Inc.</t>
  </si>
  <si>
    <t xml:space="preserve">134188781</t>
  </si>
  <si>
    <t xml:space="preserve">Washington Heights Food Pantry - Council District 7</t>
  </si>
  <si>
    <t xml:space="preserve">BioBus, Inc.</t>
  </si>
  <si>
    <t xml:space="preserve">262092282</t>
  </si>
  <si>
    <t xml:space="preserve">Council District 7 </t>
  </si>
  <si>
    <t xml:space="preserve">Community Safety and Victim Services</t>
  </si>
  <si>
    <t xml:space="preserve">Center for Employment Opportunities</t>
  </si>
  <si>
    <t xml:space="preserve">133843322</t>
  </si>
  <si>
    <t xml:space="preserve">Goddard Riverside Community Center</t>
  </si>
  <si>
    <t xml:space="preserve">131893908</t>
  </si>
  <si>
    <t xml:space="preserve">Samaritans of New York, Inc.</t>
  </si>
  <si>
    <t xml:space="preserve">133164464</t>
  </si>
  <si>
    <t xml:space="preserve">LifeLinks Program - Council District 7</t>
  </si>
  <si>
    <t xml:space="preserve">Brotherhood Sister Sol, Inc., The</t>
  </si>
  <si>
    <t xml:space="preserve">133857387</t>
  </si>
  <si>
    <t xml:space="preserve">Brotherhood Sister Sol Rites of Passage Program - Council Di</t>
  </si>
  <si>
    <t xml:space="preserve">Palante Harlem, Inc.</t>
  </si>
  <si>
    <t xml:space="preserve">800209989</t>
  </si>
  <si>
    <t xml:space="preserve">Homelessness Prevention - Council District 7</t>
  </si>
  <si>
    <t xml:space="preserve">West Harlem Arts Alliance, Inc.</t>
  </si>
  <si>
    <t xml:space="preserve">872925731</t>
  </si>
  <si>
    <t xml:space="preserve">Association of Dominican Classical Artists, Inc.</t>
  </si>
  <si>
    <t xml:space="preserve">133843597</t>
  </si>
  <si>
    <t xml:space="preserve">Classical Theatre of Harlem, Inc., The</t>
  </si>
  <si>
    <t xml:space="preserve">134046782</t>
  </si>
  <si>
    <t xml:space="preserve">Little Orchestra Society-Orpheon, Inc., The</t>
  </si>
  <si>
    <t xml:space="preserve">132638292</t>
  </si>
  <si>
    <t xml:space="preserve">Jewish Museum</t>
  </si>
  <si>
    <t xml:space="preserve">136146854</t>
  </si>
  <si>
    <t xml:space="preserve">Salvadori Center, Ltd.</t>
  </si>
  <si>
    <t xml:space="preserve">112883503</t>
  </si>
  <si>
    <t xml:space="preserve">Afro-Latin Jazz Alliance of New York, Inc.</t>
  </si>
  <si>
    <t xml:space="preserve">453665976</t>
  </si>
  <si>
    <t xml:space="preserve">Ballet Hispanico of New York, Inc.</t>
  </si>
  <si>
    <t xml:space="preserve">132685755</t>
  </si>
  <si>
    <t xml:space="preserve">Young Men's and Young Women's Hebrew Association</t>
  </si>
  <si>
    <t xml:space="preserve">131624229</t>
  </si>
  <si>
    <t xml:space="preserve">Creative Arts Workshops for Kids, Inc.</t>
  </si>
  <si>
    <t xml:space="preserve">133638436</t>
  </si>
  <si>
    <t xml:space="preserve">New York Sun Works, Inc.</t>
  </si>
  <si>
    <t xml:space="preserve">200670312</t>
  </si>
  <si>
    <t xml:space="preserve">USA-Mali Charitable Association of New York</t>
  </si>
  <si>
    <t xml:space="preserve">261805327</t>
  </si>
  <si>
    <t xml:space="preserve">Fencing in the Park, Inc.</t>
  </si>
  <si>
    <t xml:space="preserve">853724880</t>
  </si>
  <si>
    <t xml:space="preserve">New York African Chorus Ensemble, Inc.</t>
  </si>
  <si>
    <t xml:space="preserve">201090906</t>
  </si>
  <si>
    <t xml:space="preserve">Sugar Hill Children's Museum of Art and Storytelling</t>
  </si>
  <si>
    <t xml:space="preserve">465412811</t>
  </si>
  <si>
    <t xml:space="preserve">Amigos Del Museo Del Barrio, Inc.</t>
  </si>
  <si>
    <t xml:space="preserve">237156720</t>
  </si>
  <si>
    <t xml:space="preserve">People's Theatre Project, Inc.</t>
  </si>
  <si>
    <t xml:space="preserve">264705999</t>
  </si>
  <si>
    <t xml:space="preserve">New York Women's Chamber of Commerce, Inc.</t>
  </si>
  <si>
    <t xml:space="preserve">141845651</t>
  </si>
  <si>
    <t xml:space="preserve">NYWCC Women's Digital Program for Economic Empowerment house</t>
  </si>
  <si>
    <t xml:space="preserve">133378456</t>
  </si>
  <si>
    <t xml:space="preserve">Auschwitz Jewish Center Foundation, Inc.</t>
  </si>
  <si>
    <t xml:space="preserve">133857441</t>
  </si>
  <si>
    <t xml:space="preserve">Dominican Women's Development Center, Inc.</t>
  </si>
  <si>
    <t xml:space="preserve">133593885</t>
  </si>
  <si>
    <t xml:space="preserve">NYWCC Domestic Violence Prevention Program </t>
  </si>
  <si>
    <t xml:space="preserve">Northern Manhattan Coalition for Immigrant Rights</t>
  </si>
  <si>
    <t xml:space="preserve">133255591</t>
  </si>
  <si>
    <t xml:space="preserve">Day One New York, Inc.</t>
  </si>
  <si>
    <t xml:space="preserve">061103000</t>
  </si>
  <si>
    <t xml:space="preserve">Food Access Program - Council District 7</t>
  </si>
  <si>
    <t xml:space="preserve">Broadway Community, Inc.</t>
  </si>
  <si>
    <t xml:space="preserve">133652817</t>
  </si>
  <si>
    <t xml:space="preserve">Soup Kitchen - Council District 7 </t>
  </si>
  <si>
    <t xml:space="preserve">Education Through Music, Inc.</t>
  </si>
  <si>
    <t xml:space="preserve">133613210</t>
  </si>
  <si>
    <t xml:space="preserve">YALD, Inc.</t>
  </si>
  <si>
    <t xml:space="preserve">472361361</t>
  </si>
  <si>
    <t xml:space="preserve">New York Common Pantry, Inc.</t>
  </si>
  <si>
    <t xml:space="preserve">133127972</t>
  </si>
  <si>
    <t xml:space="preserve">Food Pantry - Council District 7</t>
  </si>
  <si>
    <t xml:space="preserve">Hispanic Federation, Inc.</t>
  </si>
  <si>
    <t xml:space="preserve">133573852</t>
  </si>
  <si>
    <t xml:space="preserve">Morningside Heights Community Coalition</t>
  </si>
  <si>
    <t xml:space="preserve">813984395</t>
  </si>
  <si>
    <t xml:space="preserve">Affordable Housing Advocacy - Council District 7</t>
  </si>
  <si>
    <t xml:space="preserve">American-Italian Cancer Foundation</t>
  </si>
  <si>
    <t xml:space="preserve">133035711</t>
  </si>
  <si>
    <t xml:space="preserve">Breast Cancer Outreach - Council District 7</t>
  </si>
  <si>
    <t xml:space="preserve">Manhattan Community Board #9</t>
  </si>
  <si>
    <t xml:space="preserve">Jewish Home Lifecare Manhattan</t>
  </si>
  <si>
    <t xml:space="preserve">131624033</t>
  </si>
  <si>
    <t xml:space="preserve">NYC Multicultural Festival - Council District 7</t>
  </si>
  <si>
    <t xml:space="preserve">Annual Uptown Shakespeare in the Park - Council District 7 </t>
  </si>
  <si>
    <t xml:space="preserve">Graham Windham</t>
  </si>
  <si>
    <t xml:space="preserve">132926426</t>
  </si>
  <si>
    <t xml:space="preserve">Upper Manhattan Mental Health Center, Inc.</t>
  </si>
  <si>
    <t xml:space="preserve">133389470</t>
  </si>
  <si>
    <t xml:space="preserve">Emma Bowen Mental Health Care Management - Council District </t>
  </si>
  <si>
    <t xml:space="preserve">Highlighting West Harlem Programs </t>
  </si>
  <si>
    <t xml:space="preserve">Comunilife, Inc.</t>
  </si>
  <si>
    <t xml:space="preserve">133530299</t>
  </si>
  <si>
    <t xml:space="preserve">Life is Precious Program - Council District 7</t>
  </si>
  <si>
    <t xml:space="preserve">West 95th Street Block Association</t>
  </si>
  <si>
    <t xml:space="preserve">921139195</t>
  </si>
  <si>
    <t xml:space="preserve">Transportation Safety &amp; Helmet Fitting Event - Council Distr</t>
  </si>
  <si>
    <t xml:space="preserve">Symphony Space, Inc., The</t>
  </si>
  <si>
    <t xml:space="preserve">132941455</t>
  </si>
  <si>
    <t xml:space="preserve">Jewish Association for Services for the Aged (JASA)</t>
  </si>
  <si>
    <t xml:space="preserve">132620896</t>
  </si>
  <si>
    <t xml:space="preserve">Services And Advocacy For Gay, Lesbian, Bisexual And Transgender Elders, Inc.</t>
  </si>
  <si>
    <t xml:space="preserve">132947657</t>
  </si>
  <si>
    <t xml:space="preserve">The SAGE Center - Council District 7</t>
  </si>
  <si>
    <t xml:space="preserve">William F. Ryan Community Health Center</t>
  </si>
  <si>
    <t xml:space="preserve">132884976</t>
  </si>
  <si>
    <t xml:space="preserve">Health &amp; Wellness - Council District 7</t>
  </si>
  <si>
    <t xml:space="preserve">Community Programming - Council District 7</t>
  </si>
  <si>
    <t xml:space="preserve">Vocal Ease, Inc.</t>
  </si>
  <si>
    <t xml:space="preserve">371469320</t>
  </si>
  <si>
    <t xml:space="preserve">Live Music Events - Council District 7 </t>
  </si>
  <si>
    <t xml:space="preserve">Gay Men's Health Crisis, Inc.</t>
  </si>
  <si>
    <t xml:space="preserve">133130146</t>
  </si>
  <si>
    <t xml:space="preserve">Meals &amp; Nutrition Program - Council District 7</t>
  </si>
  <si>
    <t xml:space="preserve">Mental Health Services - Council District 7</t>
  </si>
  <si>
    <t xml:space="preserve">Memory Center - Council District 7</t>
  </si>
  <si>
    <t xml:space="preserve">Dance Project of Washington Heights</t>
  </si>
  <si>
    <t xml:space="preserve">471583227</t>
  </si>
  <si>
    <t xml:space="preserve">Dance Programs - Council District 7</t>
  </si>
  <si>
    <t xml:space="preserve">Adult Literacy Program - Council District 7 </t>
  </si>
  <si>
    <t xml:space="preserve">Northern Manhattan Arts Alliance</t>
  </si>
  <si>
    <t xml:space="preserve">261997496</t>
  </si>
  <si>
    <t xml:space="preserve">Police Service Area 6 Community Council, Inc.</t>
  </si>
  <si>
    <t xml:space="preserve">465658652</t>
  </si>
  <si>
    <t xml:space="preserve">Every Voice Choirs</t>
  </si>
  <si>
    <t xml:space="preserve">461147587</t>
  </si>
  <si>
    <t xml:space="preserve">Intergenerational Choirs - Council District 7 </t>
  </si>
  <si>
    <t xml:space="preserve">Morris-Jumel Mansion, Inc.</t>
  </si>
  <si>
    <t xml:space="preserve">132800646</t>
  </si>
  <si>
    <t xml:space="preserve">Community Arts Programming - Council District 7</t>
  </si>
  <si>
    <t xml:space="preserve">Lotus Fine Arts Productions, Inc.</t>
  </si>
  <si>
    <t xml:space="preserve">133530544</t>
  </si>
  <si>
    <t xml:space="preserve">Drag Queen Story Hour NYC, Ltd.</t>
  </si>
  <si>
    <t xml:space="preserve">822613408</t>
  </si>
  <si>
    <t xml:space="preserve">Harlem Pride, Incorporated</t>
  </si>
  <si>
    <t xml:space="preserve">272191962</t>
  </si>
  <si>
    <t xml:space="preserve">Harlem Pride - Council District 7 </t>
  </si>
  <si>
    <t xml:space="preserve">Riverside Hawks, Hope, Health and Hoops Corporation</t>
  </si>
  <si>
    <t xml:space="preserve">061750000</t>
  </si>
  <si>
    <t xml:space="preserve">Lifeforce in Later Years Inc.</t>
  </si>
  <si>
    <t xml:space="preserve">800401075</t>
  </si>
  <si>
    <t xml:space="preserve">Older Adult Programming - Council District 7</t>
  </si>
  <si>
    <t xml:space="preserve">Upper West Side Cinema Center, Inc.</t>
  </si>
  <si>
    <t xml:space="preserve">993632277</t>
  </si>
  <si>
    <t xml:space="preserve">Manhattan Community Board #7</t>
  </si>
  <si>
    <t xml:space="preserve">NYCHA Manhattanville Tenants Association</t>
  </si>
  <si>
    <t xml:space="preserve">WSUR Brownstones Tenant Association</t>
  </si>
  <si>
    <t xml:space="preserve">Grant Houses Tenants Association </t>
  </si>
  <si>
    <t xml:space="preserve">Frederick Douglass Houses Tenants Association </t>
  </si>
  <si>
    <t xml:space="preserve">American Museum of Lesbian Gay Bisexual &amp; Transgender History &amp; Culture, The</t>
  </si>
  <si>
    <t xml:space="preserve">873251424</t>
  </si>
  <si>
    <t xml:space="preserve">De Hostos Tenant Association </t>
  </si>
  <si>
    <t xml:space="preserve">830 Amsterdam Avenue Tenant Association - Council District 7</t>
  </si>
  <si>
    <t xml:space="preserve">WSUR A Tenant Association. </t>
  </si>
  <si>
    <t xml:space="preserve">Manhattan Community Board #12</t>
  </si>
  <si>
    <t xml:space="preserve">Audobon House Tenants Association - Council District 7</t>
  </si>
  <si>
    <t xml:space="preserve">Washington Heights Rehab Tenants Association </t>
  </si>
  <si>
    <t xml:space="preserve">Frederick Douglass Rehab Tenant Association </t>
  </si>
  <si>
    <t xml:space="preserve">Broadway Mall Association, Inc.</t>
  </si>
  <si>
    <t xml:space="preserve">133419786</t>
  </si>
  <si>
    <t xml:space="preserve">Explore West Harlem, Taste of Harlem, and Explore the Height</t>
  </si>
  <si>
    <t xml:space="preserve">Riverside Park Conservancy, Inc.</t>
  </si>
  <si>
    <t xml:space="preserve">133443825</t>
  </si>
  <si>
    <t xml:space="preserve">Uptown Soccer, Inc.</t>
  </si>
  <si>
    <t xml:space="preserve">453856721</t>
  </si>
  <si>
    <t xml:space="preserve">Dances for a Variable Population, Inc.</t>
  </si>
  <si>
    <t xml:space="preserve">264572204</t>
  </si>
  <si>
    <t xml:space="preserve">God's Love We Deliver, Inc.</t>
  </si>
  <si>
    <t xml:space="preserve">133366846</t>
  </si>
  <si>
    <t xml:space="preserve">Public Health Solutions</t>
  </si>
  <si>
    <t xml:space="preserve">135669201</t>
  </si>
  <si>
    <t xml:space="preserve">Isabella Geriatric Center, Inc.</t>
  </si>
  <si>
    <t xml:space="preserve">133623808</t>
  </si>
  <si>
    <t xml:space="preserve">Boys and Girls Club of Harlem, Inc.</t>
  </si>
  <si>
    <t xml:space="preserve">133102951</t>
  </si>
  <si>
    <t xml:space="preserve">Mental Health &amp; Trauma Support - Council District 7</t>
  </si>
  <si>
    <t xml:space="preserve">Washington Heights Jaybie's Sports Academy</t>
  </si>
  <si>
    <t xml:space="preserve">550844926</t>
  </si>
  <si>
    <t xml:space="preserve">After-School Program - Council District 7</t>
  </si>
  <si>
    <t xml:space="preserve">Friends of Israel Scouts, Inc.</t>
  </si>
  <si>
    <t xml:space="preserve">133843506</t>
  </si>
  <si>
    <t xml:space="preserve">Youth Programming - Council District 7</t>
  </si>
  <si>
    <t xml:space="preserve">Environmental Program - Council District 7</t>
  </si>
  <si>
    <t xml:space="preserve">Community League of the Heights, Inc.</t>
  </si>
  <si>
    <t xml:space="preserve">132564241</t>
  </si>
  <si>
    <t xml:space="preserve">Public School 4M (06M004) - Council District 7 </t>
  </si>
  <si>
    <t xml:space="preserve">Grant Cornerstone Teen Center - Council District 7</t>
  </si>
  <si>
    <t xml:space="preserve">Wendy Hilliard Foundation</t>
  </si>
  <si>
    <t xml:space="preserve">133879321</t>
  </si>
  <si>
    <t xml:space="preserve">Gymnastics Programming - Council District 7 </t>
  </si>
  <si>
    <t xml:space="preserve">Harlem Dowling - West Side Center for Children and Family Services, Inc.</t>
  </si>
  <si>
    <t xml:space="preserve">133030378</t>
  </si>
  <si>
    <t xml:space="preserve">Afterschool Programs - Council District 7</t>
  </si>
  <si>
    <t xml:space="preserve">Bloomingdale School of Music, Inc.</t>
  </si>
  <si>
    <t xml:space="preserve">132562192</t>
  </si>
  <si>
    <t xml:space="preserve">Fresh Youth Initiatives, Inc.</t>
  </si>
  <si>
    <t xml:space="preserve">133723207</t>
  </si>
  <si>
    <t xml:space="preserve">Youth Initiatives - Council District 7 </t>
  </si>
  <si>
    <t xml:space="preserve">Muslim Community Network</t>
  </si>
  <si>
    <t xml:space="preserve">753163555</t>
  </si>
  <si>
    <t xml:space="preserve">OneGoal</t>
  </si>
  <si>
    <t xml:space="preserve">562369898</t>
  </si>
  <si>
    <t xml:space="preserve">Postsecondary Access &amp; Success Program</t>
  </si>
  <si>
    <t xml:space="preserve">Soccer Summer Camp - Council District 7</t>
  </si>
  <si>
    <t xml:space="preserve">Ice Theatre of New York, Inc.</t>
  </si>
  <si>
    <t xml:space="preserve">133258301</t>
  </si>
  <si>
    <t xml:space="preserve">Chess-in-the-Schools, Inc.</t>
  </si>
  <si>
    <t xml:space="preserve">136119036</t>
  </si>
  <si>
    <t xml:space="preserve">Ali Forney Center</t>
  </si>
  <si>
    <t xml:space="preserve">300104507</t>
  </si>
  <si>
    <t xml:space="preserve">Unhoused LGBTQ+ Youth - Council District 7 </t>
  </si>
  <si>
    <t xml:space="preserve">Baller City Inc.</t>
  </si>
  <si>
    <t xml:space="preserve">871823611</t>
  </si>
  <si>
    <t xml:space="preserve">Literacy (LINC), Inc.</t>
  </si>
  <si>
    <t xml:space="preserve">133911331</t>
  </si>
  <si>
    <t xml:space="preserve">Quisqueya Es Moda, Inc.</t>
  </si>
  <si>
    <t xml:space="preserve">873828219</t>
  </si>
  <si>
    <t xml:space="preserve">City Island Oyster Reef, Inc.</t>
  </si>
  <si>
    <t xml:space="preserve">843304186</t>
  </si>
  <si>
    <t xml:space="preserve">Educational &amp; Community Outreach - Council District 13</t>
  </si>
  <si>
    <t xml:space="preserve">School Trips &amp; Cleanups in Council District 13</t>
  </si>
  <si>
    <t xml:space="preserve">Hydroponic Classrooms </t>
  </si>
  <si>
    <t xml:space="preserve">Morris Park Tree Pit Maintenance</t>
  </si>
  <si>
    <t xml:space="preserve">Council on the Environment, Inc.</t>
  </si>
  <si>
    <t xml:space="preserve">132765465</t>
  </si>
  <si>
    <t xml:space="preserve">Community Garden and School Partnership in Council District </t>
  </si>
  <si>
    <t xml:space="preserve">City Island Chamber of Commerce</t>
  </si>
  <si>
    <t xml:space="preserve">133744227</t>
  </si>
  <si>
    <t xml:space="preserve">Holiday Lights on City Island Ave</t>
  </si>
  <si>
    <t xml:space="preserve">Allerton Avenue Homeowners and Tenants Association</t>
  </si>
  <si>
    <t xml:space="preserve">133101238</t>
  </si>
  <si>
    <t xml:space="preserve">Older Adult Center</t>
  </si>
  <si>
    <t xml:space="preserve">Ginsburg Older Adult Center</t>
  </si>
  <si>
    <t xml:space="preserve">North East Bronx Senior Citizens Center, Inc.</t>
  </si>
  <si>
    <t xml:space="preserve">132759045</t>
  </si>
  <si>
    <t xml:space="preserve">Northeast Bronx Older Adult Center</t>
  </si>
  <si>
    <t xml:space="preserve">Bronx House, Inc.</t>
  </si>
  <si>
    <t xml:space="preserve">131739935</t>
  </si>
  <si>
    <t xml:space="preserve">Community Center - Older Adult Services </t>
  </si>
  <si>
    <t xml:space="preserve">Preston Center of Compassion, Inc.</t>
  </si>
  <si>
    <t xml:space="preserve">571180937</t>
  </si>
  <si>
    <t xml:space="preserve">Older Adult Run Program - Council District 13</t>
  </si>
  <si>
    <t xml:space="preserve">City Island Older Adult Center</t>
  </si>
  <si>
    <t xml:space="preserve">Department for the Aging</t>
  </si>
  <si>
    <t xml:space="preserve">SenioRepair Program - Council District 13</t>
  </si>
  <si>
    <t xml:space="preserve">Food Pantry - Council District 13</t>
  </si>
  <si>
    <t xml:space="preserve">City Harvest, Inc.</t>
  </si>
  <si>
    <t xml:space="preserve">133170676</t>
  </si>
  <si>
    <t xml:space="preserve">Food Pantry &amp; Food Distribution - Council District 13</t>
  </si>
  <si>
    <t xml:space="preserve">Northeast Bronx Community Farmers Market Project</t>
  </si>
  <si>
    <t xml:space="preserve">821893489</t>
  </si>
  <si>
    <t xml:space="preserve">St. Benedict's Food Pantry - Council District 13</t>
  </si>
  <si>
    <t xml:space="preserve">Allerton Allies Community Fridge, Inc.</t>
  </si>
  <si>
    <t xml:space="preserve">934601552</t>
  </si>
  <si>
    <t xml:space="preserve">Food Distribution &amp; Community Fridge - Council District 13</t>
  </si>
  <si>
    <t xml:space="preserve">45th Precinct - Community Council</t>
  </si>
  <si>
    <t xml:space="preserve">49th Precinct - Community Council</t>
  </si>
  <si>
    <t xml:space="preserve">Health + Hospitals</t>
  </si>
  <si>
    <t xml:space="preserve">132655001</t>
  </si>
  <si>
    <t xml:space="preserve">Stand Up to Violence - Jacobi Hospital</t>
  </si>
  <si>
    <t xml:space="preserve">Fire Department of New York</t>
  </si>
  <si>
    <t xml:space="preserve">Council District 13 </t>
  </si>
  <si>
    <t xml:space="preserve">Civil Legal Services - Council District 13</t>
  </si>
  <si>
    <t xml:space="preserve">Edgewater Park Volunteer Hose Company No. 1, Inc.</t>
  </si>
  <si>
    <t xml:space="preserve">136125044</t>
  </si>
  <si>
    <t xml:space="preserve">Fire Suppression &amp; Emergency Response Operations - Council D</t>
  </si>
  <si>
    <t xml:space="preserve">Arts Connection, Inc., The</t>
  </si>
  <si>
    <t xml:space="preserve">132953240</t>
  </si>
  <si>
    <t xml:space="preserve">Public School 014X Senator John Calandra (08X014)</t>
  </si>
  <si>
    <t xml:space="preserve">Public School / Middle School 498X (11X498)</t>
  </si>
  <si>
    <t xml:space="preserve">Public School 108X Philip J. Abinanti (11X108)</t>
  </si>
  <si>
    <t xml:space="preserve">Bartow-Pell Landmark Fund</t>
  </si>
  <si>
    <t xml:space="preserve">510243951</t>
  </si>
  <si>
    <t xml:space="preserve">Public School 175X City Island (11X175)</t>
  </si>
  <si>
    <t xml:space="preserve">Bronx Arts Ensemble, Inc.</t>
  </si>
  <si>
    <t xml:space="preserve">510186869</t>
  </si>
  <si>
    <t xml:space="preserve">Public School 072X Dr. William Dorney (08X072)</t>
  </si>
  <si>
    <t xml:space="preserve">Bronx Delta School (08X392)</t>
  </si>
  <si>
    <t xml:space="preserve">Mott Hall Community School (08X467)</t>
  </si>
  <si>
    <t xml:space="preserve">Public School 10X (75X010)</t>
  </si>
  <si>
    <t xml:space="preserve">Public School 71X Rose E. Scala (08X071)</t>
  </si>
  <si>
    <t xml:space="preserve">Notes in Motion, Inc.</t>
  </si>
  <si>
    <t xml:space="preserve">320005633</t>
  </si>
  <si>
    <t xml:space="preserve">Public School 083X Donald Hertz (11X083)</t>
  </si>
  <si>
    <t xml:space="preserve">Reel Stories Teen Filmmaking, Inc.</t>
  </si>
  <si>
    <t xml:space="preserve">200936377</t>
  </si>
  <si>
    <t xml:space="preserve">Bronx High School for the Visual Arts (11X418)</t>
  </si>
  <si>
    <t xml:space="preserve">Young Voices Academy of the Bronx (11X357)</t>
  </si>
  <si>
    <t xml:space="preserve">Public School 105X Sen Abraham Bernstein (11X105)</t>
  </si>
  <si>
    <t xml:space="preserve">Society of the Third Street Music School Settlement</t>
  </si>
  <si>
    <t xml:space="preserve">135596825</t>
  </si>
  <si>
    <t xml:space="preserve">Public School 089X Bronx (11X089)</t>
  </si>
  <si>
    <t xml:space="preserve">Morris Park Community Association, Inc.</t>
  </si>
  <si>
    <t xml:space="preserve">237429900</t>
  </si>
  <si>
    <t xml:space="preserve">Italian-American Morris Park Parade &amp; Festival</t>
  </si>
  <si>
    <t xml:space="preserve">New York Botanical Garden</t>
  </si>
  <si>
    <t xml:space="preserve">131693134</t>
  </si>
  <si>
    <t xml:space="preserve">Community Cultural Enrichment Event</t>
  </si>
  <si>
    <t xml:space="preserve">Concerts in Council District 13</t>
  </si>
  <si>
    <t xml:space="preserve">Throggs Neck Benevolent Association, Inc.</t>
  </si>
  <si>
    <t xml:space="preserve">133718885</t>
  </si>
  <si>
    <t xml:space="preserve">St. Patrick's Day Parade</t>
  </si>
  <si>
    <t xml:space="preserve">City Island Historical Society</t>
  </si>
  <si>
    <t xml:space="preserve">112734516</t>
  </si>
  <si>
    <t xml:space="preserve">City Island Nautical Museum Operations</t>
  </si>
  <si>
    <t xml:space="preserve">Yemeni American Merchants Association</t>
  </si>
  <si>
    <t xml:space="preserve">823539502</t>
  </si>
  <si>
    <t xml:space="preserve">Merchant Outreach Support &amp; Parade</t>
  </si>
  <si>
    <t xml:space="preserve">Outreach &amp; Events in Council District </t>
  </si>
  <si>
    <t xml:space="preserve">Educational Programming and Events in Council District 13</t>
  </si>
  <si>
    <t xml:space="preserve">East Bronx History Forum</t>
  </si>
  <si>
    <t xml:space="preserve">320409208</t>
  </si>
  <si>
    <t xml:space="preserve">History Events in Council District 13</t>
  </si>
  <si>
    <t xml:space="preserve">Educational Enrichment for schools in district 13</t>
  </si>
  <si>
    <t xml:space="preserve">New York Edge, Inc.</t>
  </si>
  <si>
    <t xml:space="preserve">113112635</t>
  </si>
  <si>
    <t xml:space="preserve">P.S.121X Throop (11X121)</t>
  </si>
  <si>
    <t xml:space="preserve">BronxNet Public Media Corporation</t>
  </si>
  <si>
    <t xml:space="preserve">133545233</t>
  </si>
  <si>
    <t xml:space="preserve">BronxNet’s Journalism, Arts, and Media Internship program </t>
  </si>
  <si>
    <t xml:space="preserve">The Bronx STEAM Center </t>
  </si>
  <si>
    <t xml:space="preserve">Services for DV Survivors in Council District 13</t>
  </si>
  <si>
    <t xml:space="preserve">Yeshiva University</t>
  </si>
  <si>
    <t xml:space="preserve">131624225</t>
  </si>
  <si>
    <t xml:space="preserve">The Max and Celia Parnes Family Psychological &amp; Psychoeducat</t>
  </si>
  <si>
    <t xml:space="preserve">Astor Services for Children &amp; Families</t>
  </si>
  <si>
    <t xml:space="preserve">141397918</t>
  </si>
  <si>
    <t xml:space="preserve">Program and Services for Students and Families in council di</t>
  </si>
  <si>
    <t xml:space="preserve">45th Precinct - Public Safety and Domestic Violence Preventi</t>
  </si>
  <si>
    <t xml:space="preserve">49th Precinct - Public Safety and Domestic Violence Preventi</t>
  </si>
  <si>
    <t xml:space="preserve">LSNY Bronx Corporation</t>
  </si>
  <si>
    <t xml:space="preserve">161759590</t>
  </si>
  <si>
    <t xml:space="preserve">Legal Services for Residents of Council District 13</t>
  </si>
  <si>
    <t xml:space="preserve">Children's Rescue Fund, The</t>
  </si>
  <si>
    <t xml:space="preserve">133486829</t>
  </si>
  <si>
    <t xml:space="preserve">Poplar House</t>
  </si>
  <si>
    <t xml:space="preserve">Children's Village, Inc.</t>
  </si>
  <si>
    <t xml:space="preserve">131739945</t>
  </si>
  <si>
    <t xml:space="preserve">Victory House</t>
  </si>
  <si>
    <t xml:space="preserve">Suicide Prevention Education in Council District 13</t>
  </si>
  <si>
    <t xml:space="preserve">Family Legal Care, Inc.</t>
  </si>
  <si>
    <t xml:space="preserve">133910567</t>
  </si>
  <si>
    <t xml:space="preserve">Access to Justice in New York State Family Court for Constit</t>
  </si>
  <si>
    <t xml:space="preserve">Benefit Access and Assistance for residents of Council Distr</t>
  </si>
  <si>
    <t xml:space="preserve">New Bronx Chamber of Commerce, The</t>
  </si>
  <si>
    <t xml:space="preserve">371443165</t>
  </si>
  <si>
    <t xml:space="preserve">Neighborhood Level Initiatives - Council District 13</t>
  </si>
  <si>
    <t xml:space="preserve">Neighborhood Initiatives Development Corporation (NIDC)</t>
  </si>
  <si>
    <t xml:space="preserve">133110811</t>
  </si>
  <si>
    <t xml:space="preserve">Housing Preservation </t>
  </si>
  <si>
    <t xml:space="preserve">Neighborhood Business Support - Council District 13</t>
  </si>
  <si>
    <t xml:space="preserve">Kips Bay Boys &amp; Girls Club</t>
  </si>
  <si>
    <t xml:space="preserve">131623850</t>
  </si>
  <si>
    <t xml:space="preserve">Throggs Neck Community Center</t>
  </si>
  <si>
    <t xml:space="preserve">Montefiore Medical Center</t>
  </si>
  <si>
    <t xml:space="preserve">131740114</t>
  </si>
  <si>
    <t xml:space="preserve">Bronx Oncology Living Daily (BOLD) Cancer Wellness Program</t>
  </si>
  <si>
    <t xml:space="preserve">Animal Care and Control of New York City</t>
  </si>
  <si>
    <t xml:space="preserve">133788986</t>
  </si>
  <si>
    <t xml:space="preserve">Council District 13</t>
  </si>
  <si>
    <t xml:space="preserve">Morris Park District Management Association, Inc.</t>
  </si>
  <si>
    <t xml:space="preserve">830740820</t>
  </si>
  <si>
    <t xml:space="preserve">Winter Holiday Tree Lighting - Loreto Playground</t>
  </si>
  <si>
    <t xml:space="preserve">Neighborhood Support - White Plains Road BID</t>
  </si>
  <si>
    <t xml:space="preserve">Providence Rest</t>
  </si>
  <si>
    <t xml:space="preserve">131740301</t>
  </si>
  <si>
    <t xml:space="preserve">Nursing Home Event - Council District 13</t>
  </si>
  <si>
    <t xml:space="preserve">Regional Aid for Interim Needs, Inc.</t>
  </si>
  <si>
    <t xml:space="preserve">136213586</t>
  </si>
  <si>
    <t xml:space="preserve">Boston Road Older Adult Center</t>
  </si>
  <si>
    <t xml:space="preserve">Middletown Older Adult Center</t>
  </si>
  <si>
    <t xml:space="preserve">Throggs Neck District Management Association, Inc.</t>
  </si>
  <si>
    <t xml:space="preserve">842946779</t>
  </si>
  <si>
    <t xml:space="preserve">Community Cleanup - Council District 13</t>
  </si>
  <si>
    <t xml:space="preserve">Birch Family Services, Inc.</t>
  </si>
  <si>
    <t xml:space="preserve">112503193</t>
  </si>
  <si>
    <t xml:space="preserve">Community Outreach &amp; Training Services </t>
  </si>
  <si>
    <t xml:space="preserve">Museum’s School Access initiative - St. Joseph’s School for </t>
  </si>
  <si>
    <t xml:space="preserve">Pelham Bay Outreach - Council District 13</t>
  </si>
  <si>
    <t xml:space="preserve">Tree Lighting Events - White Plains Rd &amp; Council District 13</t>
  </si>
  <si>
    <t xml:space="preserve">Breast Cancer Outreach - Council District 13</t>
  </si>
  <si>
    <t xml:space="preserve">Center for NYC Neighborhoods, Inc.</t>
  </si>
  <si>
    <t xml:space="preserve">830506416</t>
  </si>
  <si>
    <t xml:space="preserve">Housing Preservation - Council District 13</t>
  </si>
  <si>
    <t xml:space="preserve">Bronx Community Board #11</t>
  </si>
  <si>
    <t xml:space="preserve">Bronx Community Board #10</t>
  </si>
  <si>
    <t xml:space="preserve">Community Programs &amp; Events</t>
  </si>
  <si>
    <t xml:space="preserve">Veteran Advocacy Project, Inc.</t>
  </si>
  <si>
    <t xml:space="preserve">823103233</t>
  </si>
  <si>
    <t xml:space="preserve">Resources for Children with Special Needs, Inc.</t>
  </si>
  <si>
    <t xml:space="preserve">112594790</t>
  </si>
  <si>
    <t xml:space="preserve">Help Line &amp; Workshops - Council District 13</t>
  </si>
  <si>
    <t xml:space="preserve">Orthodox Christian Harbour, Inc.</t>
  </si>
  <si>
    <t xml:space="preserve">333510156</t>
  </si>
  <si>
    <t xml:space="preserve">Supplemental Sanitation Services - Council District 13</t>
  </si>
  <si>
    <t xml:space="preserve">Supplemental Cleanups and Trash bin in Council District 13</t>
  </si>
  <si>
    <t xml:space="preserve">Throgs Neck Tree Pit Maintenance </t>
  </si>
  <si>
    <t xml:space="preserve">Waterway Cleanup</t>
  </si>
  <si>
    <t xml:space="preserve">White Plains Road BID &amp; Holiday Programming </t>
  </si>
  <si>
    <t xml:space="preserve">Pelham Bay Merchant Organizing &amp; Outreach </t>
  </si>
  <si>
    <t xml:space="preserve">Community Group Support in Council District 13 </t>
  </si>
  <si>
    <t xml:space="preserve">Events in Council District 13 Parks</t>
  </si>
  <si>
    <t xml:space="preserve">Skate and Movies in the Parks in Council District 13</t>
  </si>
  <si>
    <t xml:space="preserve">Concerts in City Island</t>
  </si>
  <si>
    <t xml:space="preserve">Lehman College Art Gallery</t>
  </si>
  <si>
    <t xml:space="preserve">133391212</t>
  </si>
  <si>
    <t xml:space="preserve">Bronx House Weinberg Neighborhood Senior Center</t>
  </si>
  <si>
    <t xml:space="preserve">PSS City Island</t>
  </si>
  <si>
    <t xml:space="preserve">Senior Programming - Council District 13</t>
  </si>
  <si>
    <t xml:space="preserve">Preston Center of Compassion Senior Programming </t>
  </si>
  <si>
    <t xml:space="preserve">Throggs Neck Older Adult Center</t>
  </si>
  <si>
    <t xml:space="preserve">Nursing Home Event in Council District 13</t>
  </si>
  <si>
    <t xml:space="preserve">City Island Older Adult Center Programming</t>
  </si>
  <si>
    <t xml:space="preserve">Afterschool Program - Council District 13</t>
  </si>
  <si>
    <t xml:space="preserve">Forest Playground Neighborhood Association, Inc.</t>
  </si>
  <si>
    <t xml:space="preserve">010907562</t>
  </si>
  <si>
    <t xml:space="preserve">Basketball Tournaments - Pelham Parkway Houses</t>
  </si>
  <si>
    <t xml:space="preserve">Pelham Bay Little League</t>
  </si>
  <si>
    <t xml:space="preserve">510256113</t>
  </si>
  <si>
    <t xml:space="preserve">Youth Sports Community Programs</t>
  </si>
  <si>
    <t xml:space="preserve">Throgs Neck Little League, Inc.</t>
  </si>
  <si>
    <t xml:space="preserve">521287397</t>
  </si>
  <si>
    <t xml:space="preserve">2027 Little League &amp; Softball Season</t>
  </si>
  <si>
    <t xml:space="preserve">Edgewater Athletic Association Corp</t>
  </si>
  <si>
    <t xml:space="preserve">263151839</t>
  </si>
  <si>
    <t xml:space="preserve">Labor Day Olympics &amp; Sport Festival</t>
  </si>
  <si>
    <t xml:space="preserve">Hoops in the Sun Group, Inc.</t>
  </si>
  <si>
    <t xml:space="preserve">043701631</t>
  </si>
  <si>
    <t xml:space="preserve">Youth Basketball &amp; Enrichment Programs- Council District 13</t>
  </si>
  <si>
    <t xml:space="preserve">Scouting &amp; Exploring - Council District 13 </t>
  </si>
  <si>
    <t xml:space="preserve">Access to Girl Scouting - Council District 13</t>
  </si>
  <si>
    <t xml:space="preserve">Beyond Bedtime, Inc.</t>
  </si>
  <si>
    <t xml:space="preserve">020588068</t>
  </si>
  <si>
    <t xml:space="preserve">Sleep Health Education - Council District 13</t>
  </si>
  <si>
    <t xml:space="preserve">Woodhaven District Management Association, Inc.</t>
  </si>
  <si>
    <t xml:space="preserve">113149139</t>
  </si>
  <si>
    <t xml:space="preserve">Beautification and clean-up Council District 32</t>
  </si>
  <si>
    <t xml:space="preserve">Boxed food giveaways throughout Council District 32</t>
  </si>
  <si>
    <t xml:space="preserve">Forest Park Trust, Inc.</t>
  </si>
  <si>
    <t xml:space="preserve">311558645</t>
  </si>
  <si>
    <t xml:space="preserve">Festivals - Council District 32</t>
  </si>
  <si>
    <t xml:space="preserve">Queens Botanical Garden Society, Inc.</t>
  </si>
  <si>
    <t xml:space="preserve">111635083</t>
  </si>
  <si>
    <t xml:space="preserve">Planter Maintenance Program- Albert Road- Council District 3</t>
  </si>
  <si>
    <t xml:space="preserve">Water Debris Removal </t>
  </si>
  <si>
    <t xml:space="preserve">Jewish Community Council of the Rockaway Peninsula, Inc.</t>
  </si>
  <si>
    <t xml:space="preserve">112425813</t>
  </si>
  <si>
    <t xml:space="preserve">Kosher Food Pantry &amp; Holocaust Survivor Services</t>
  </si>
  <si>
    <t xml:space="preserve">Social Services Program - Council District 32</t>
  </si>
  <si>
    <t xml:space="preserve">Variety Boys and Girls Club of Queens, Inc.</t>
  </si>
  <si>
    <t xml:space="preserve">116014770</t>
  </si>
  <si>
    <t xml:space="preserve">Community Concert - Council District 32</t>
  </si>
  <si>
    <t xml:space="preserve">Rockaway Park Older Adult Center (OAC)</t>
  </si>
  <si>
    <t xml:space="preserve">Queens Jewish Community Council, Inc.</t>
  </si>
  <si>
    <t xml:space="preserve">237172152</t>
  </si>
  <si>
    <t xml:space="preserve">Older Adult Food Pantry</t>
  </si>
  <si>
    <t xml:space="preserve">Catholic Charities Neighborhood Services, Inc.</t>
  </si>
  <si>
    <t xml:space="preserve">112047151</t>
  </si>
  <si>
    <t xml:space="preserve">Park Haven Older Adult Center</t>
  </si>
  <si>
    <t xml:space="preserve">Seaside Older Adult Center</t>
  </si>
  <si>
    <t xml:space="preserve">Howard Beach Older Adult Center</t>
  </si>
  <si>
    <t xml:space="preserve">Thanksgiving &amp; Easter Meals- Council District 32</t>
  </si>
  <si>
    <t xml:space="preserve">Therapeutic Riding &amp; Programs for Older Adults </t>
  </si>
  <si>
    <t xml:space="preserve">Older Adults Social Services</t>
  </si>
  <si>
    <t xml:space="preserve">St. Camillus Golden Age</t>
  </si>
  <si>
    <t xml:space="preserve">111674392</t>
  </si>
  <si>
    <t xml:space="preserve">Golden Age</t>
  </si>
  <si>
    <t xml:space="preserve">Alphapointe</t>
  </si>
  <si>
    <t xml:space="preserve">440552486</t>
  </si>
  <si>
    <t xml:space="preserve">Thanksgiving and Easter Meals- Council District 32</t>
  </si>
  <si>
    <t xml:space="preserve">Food Pantry – Glendale &amp; Council District 32</t>
  </si>
  <si>
    <t xml:space="preserve">Council District 32</t>
  </si>
  <si>
    <t xml:space="preserve">Domestic Violence Program - 100th Precinct</t>
  </si>
  <si>
    <t xml:space="preserve">Domestic Violence Program - 102nd Precinct</t>
  </si>
  <si>
    <t xml:space="preserve">Domestic Violence Program - 104th Precinct</t>
  </si>
  <si>
    <t xml:space="preserve">Domestic Violence Program - 106th Precinct</t>
  </si>
  <si>
    <t xml:space="preserve">Public School 97Q Forest Park (27Q97)</t>
  </si>
  <si>
    <t xml:space="preserve">Public School 65Q (27Q65)</t>
  </si>
  <si>
    <t xml:space="preserve">Blue Unicorn Learning League</t>
  </si>
  <si>
    <t xml:space="preserve">883385654</t>
  </si>
  <si>
    <t xml:space="preserve">Public School 64 (27Q 064)</t>
  </si>
  <si>
    <t xml:space="preserve">Public School 65Q The Raymond York Elementary School (27Q 06</t>
  </si>
  <si>
    <t xml:space="preserve">Queens College Foundation-Kupferberg Center for the Arts - J</t>
  </si>
  <si>
    <t xml:space="preserve">Queens College Foundation-Kupferberg Center for the Arts - R</t>
  </si>
  <si>
    <t xml:space="preserve">Colonial Farmhouse Restoration Society of Bellerose, Inc.</t>
  </si>
  <si>
    <t xml:space="preserve">112508369</t>
  </si>
  <si>
    <t xml:space="preserve">Public School 316Q Queens Explorers Elementary School (27Q31</t>
  </si>
  <si>
    <t xml:space="preserve">Public School 63Q Old South (27Q063)</t>
  </si>
  <si>
    <t xml:space="preserve">Waterside Children's Studio School (27Q317)</t>
  </si>
  <si>
    <t xml:space="preserve">Public School 146Q (27Q146)</t>
  </si>
  <si>
    <t xml:space="preserve">Public School 91Q (24Q091) Richard Arkwright</t>
  </si>
  <si>
    <t xml:space="preserve">Midori Foundation, Inc.</t>
  </si>
  <si>
    <t xml:space="preserve">133682472</t>
  </si>
  <si>
    <t xml:space="preserve">Public School 232Q (27Q232)</t>
  </si>
  <si>
    <t xml:space="preserve">Public School 207Q (27Q207)</t>
  </si>
  <si>
    <t xml:space="preserve">Public School 377Q (27Q377)</t>
  </si>
  <si>
    <t xml:space="preserve">Public School47Q Chris Galas (27Q047)</t>
  </si>
  <si>
    <t xml:space="preserve">Public School/ Middle School 114Q Belle Harbor (27Q114)</t>
  </si>
  <si>
    <t xml:space="preserve">Queens Symphony Orchestra, Inc.</t>
  </si>
  <si>
    <t xml:space="preserve">112106191</t>
  </si>
  <si>
    <t xml:space="preserve">Scholar's Academy (27Q323)</t>
  </si>
  <si>
    <t xml:space="preserve">Night at the Opera</t>
  </si>
  <si>
    <t xml:space="preserve">Concerts Council District 32</t>
  </si>
  <si>
    <t xml:space="preserve">Concert Series - Council District 32</t>
  </si>
  <si>
    <t xml:space="preserve">Rockaway Waterfront Alliance, Inc.</t>
  </si>
  <si>
    <t xml:space="preserve">113783397</t>
  </si>
  <si>
    <t xml:space="preserve">Beach Channel Campus and Scholars Middle School </t>
  </si>
  <si>
    <t xml:space="preserve">Public School 119Q The Glendale School (24Q 119)</t>
  </si>
  <si>
    <t xml:space="preserve">Middle School 137Q America's School of Heroes (27Q137)</t>
  </si>
  <si>
    <t xml:space="preserve">Inside Broadway PS/IS 113Q Anthony J. Pranzo (24Q113)</t>
  </si>
  <si>
    <t xml:space="preserve">Public School 060Q Woodhaven (27Q060) &amp; Public School 097Q F</t>
  </si>
  <si>
    <t xml:space="preserve">Child Center of NY, Inc., The</t>
  </si>
  <si>
    <t xml:space="preserve">111733454</t>
  </si>
  <si>
    <t xml:space="preserve">Middle School 318Q Waterside School for Leadership (27Q318)</t>
  </si>
  <si>
    <t xml:space="preserve">Boys &amp; Girls Club of Metro Queens, Inc.</t>
  </si>
  <si>
    <t xml:space="preserve">111966067</t>
  </si>
  <si>
    <t xml:space="preserve">Afterschool and Summer Program- Council District 32</t>
  </si>
  <si>
    <t xml:space="preserve">School Sisters of Notre Dame Educational Center</t>
  </si>
  <si>
    <t xml:space="preserve">651217975</t>
  </si>
  <si>
    <t xml:space="preserve">GED/ HSE &amp;ESL Programs</t>
  </si>
  <si>
    <t xml:space="preserve">District Attorney-Queens</t>
  </si>
  <si>
    <t xml:space="preserve">Domestic Violence Services- Council District 32</t>
  </si>
  <si>
    <t xml:space="preserve">Public School 207Q Rockwood Park (27Q207)</t>
  </si>
  <si>
    <t xml:space="preserve">Tribute Park Beautification - Council District 32</t>
  </si>
  <si>
    <t xml:space="preserve">Chamber of Commerce Borough of Queens, Inc.</t>
  </si>
  <si>
    <t xml:space="preserve">110559220</t>
  </si>
  <si>
    <t xml:space="preserve">Ozone Park Lights &amp; Tree Lighting - Council District 32</t>
  </si>
  <si>
    <t xml:space="preserve">Rockaway Civic &amp; Ozone Park </t>
  </si>
  <si>
    <t xml:space="preserve">Mental Health Outreach, Counseling, Wellness Programs &amp; Even</t>
  </si>
  <si>
    <t xml:space="preserve">Rockaway Theatre Company, Inc.</t>
  </si>
  <si>
    <t xml:space="preserve">113505908</t>
  </si>
  <si>
    <t xml:space="preserve">Mainstage Productions &amp; Adult and Children's Theater Worksho</t>
  </si>
  <si>
    <t xml:space="preserve">HeartShare Human Services of NY, R.C. Diocese of Brooklyn </t>
  </si>
  <si>
    <t xml:space="preserve">111633549</t>
  </si>
  <si>
    <t xml:space="preserve">Canine Therapy Program - Kiwanis First Step</t>
  </si>
  <si>
    <t xml:space="preserve">S.T.A.R. Leadership Academy (27Q377)</t>
  </si>
  <si>
    <t xml:space="preserve">STEM Supplies - Public School/Middle School 114Q Belle Harbo</t>
  </si>
  <si>
    <t xml:space="preserve">Fireworks - Council District 32</t>
  </si>
  <si>
    <t xml:space="preserve">Broad Channel Volunteers, Inc.</t>
  </si>
  <si>
    <t xml:space="preserve">112557794</t>
  </si>
  <si>
    <t xml:space="preserve">Firefighting &amp; Emergency Medical Services</t>
  </si>
  <si>
    <t xml:space="preserve">Fight For Firefighters Foundation, Inc.</t>
  </si>
  <si>
    <t xml:space="preserve">842117580</t>
  </si>
  <si>
    <t xml:space="preserve">Wheelchair Ramps &amp; Home Modifications</t>
  </si>
  <si>
    <t xml:space="preserve">Zion's Mission Animal Rescue, Inc.</t>
  </si>
  <si>
    <t xml:space="preserve">843185889</t>
  </si>
  <si>
    <t xml:space="preserve">Emergency &amp; Preventive Veterinary Care for Rescue Animals</t>
  </si>
  <si>
    <t xml:space="preserve">Point Breeze Volunteer Fire Department, Inc.</t>
  </si>
  <si>
    <t xml:space="preserve">112452399</t>
  </si>
  <si>
    <t xml:space="preserve">Rockaway Point Volunteer Emergency Services, Inc.</t>
  </si>
  <si>
    <t xml:space="preserve">112665405</t>
  </si>
  <si>
    <t xml:space="preserve">Roxbury Volunteer Emergency Services, Inc.</t>
  </si>
  <si>
    <t xml:space="preserve">113084367</t>
  </si>
  <si>
    <t xml:space="preserve">West Hamilton Beach Volunteers, Inc.</t>
  </si>
  <si>
    <t xml:space="preserve">112741267</t>
  </si>
  <si>
    <t xml:space="preserve">SAT Preparation  - Robert H. Goddard School of Communication</t>
  </si>
  <si>
    <t xml:space="preserve">SAT Preparation - Scholars Academy (27Q323)</t>
  </si>
  <si>
    <t xml:space="preserve">Food Pantry - Council District 32</t>
  </si>
  <si>
    <t xml:space="preserve">Rockaway/ Broad Channel Events- Flag Day</t>
  </si>
  <si>
    <t xml:space="preserve">Agudath Israel of America Community Services, Inc.</t>
  </si>
  <si>
    <t xml:space="preserve">133975090</t>
  </si>
  <si>
    <t xml:space="preserve">Howard Beach Holiday Events - Council District 32</t>
  </si>
  <si>
    <t xml:space="preserve">Neponsit Community</t>
  </si>
  <si>
    <t xml:space="preserve">New Hamilton Beach Civic</t>
  </si>
  <si>
    <t xml:space="preserve">Cityline Ozone Park Civilian Patrol, Inc.</t>
  </si>
  <si>
    <t xml:space="preserve">844635316</t>
  </si>
  <si>
    <t xml:space="preserve">Ozone Park Pantry - Council District 32</t>
  </si>
  <si>
    <t xml:space="preserve">JROTC Program - John Adams High School (27Q480)</t>
  </si>
  <si>
    <t xml:space="preserve">Glendale Civilian Observation Patrol, Inc., The</t>
  </si>
  <si>
    <t xml:space="preserve">112502910</t>
  </si>
  <si>
    <t xml:space="preserve">Civilian Neighborhood Patrol</t>
  </si>
  <si>
    <t xml:space="preserve">QueensRail Corporation</t>
  </si>
  <si>
    <t xml:space="preserve">475388098</t>
  </si>
  <si>
    <t xml:space="preserve">Vietnam Veterans of America Chapter #32, Queens, New York, Inc.</t>
  </si>
  <si>
    <t xml:space="preserve">112629339</t>
  </si>
  <si>
    <t xml:space="preserve">Woodhaven Residents Block Association, Inc.</t>
  </si>
  <si>
    <t xml:space="preserve">237388148</t>
  </si>
  <si>
    <t xml:space="preserve">Concert - Council District 32</t>
  </si>
  <si>
    <t xml:space="preserve">Allied Veterans Memorial Committee of Ridgewood and Glendale, Inc.</t>
  </si>
  <si>
    <t xml:space="preserve">383853340</t>
  </si>
  <si>
    <t xml:space="preserve">Memorial Day Parade</t>
  </si>
  <si>
    <t xml:space="preserve">Meowsquad, Inc.</t>
  </si>
  <si>
    <t xml:space="preserve">842533806</t>
  </si>
  <si>
    <t xml:space="preserve">Puppy Kitty NY City, Inc.</t>
  </si>
  <si>
    <t xml:space="preserve">831059040</t>
  </si>
  <si>
    <t xml:space="preserve">Trap, Neuter &amp; Return of Feral Cats - Council District 32</t>
  </si>
  <si>
    <t xml:space="preserve">Volunteer Firemans Association of the City of New York</t>
  </si>
  <si>
    <t xml:space="preserve">010783473</t>
  </si>
  <si>
    <t xml:space="preserve">Readiness Program</t>
  </si>
  <si>
    <t xml:space="preserve">Greater Ridgewood Youth Council, Inc., The</t>
  </si>
  <si>
    <t xml:space="preserve">112518141</t>
  </si>
  <si>
    <t xml:space="preserve">Public School 060Q Woodhaven (27Q060)</t>
  </si>
  <si>
    <t xml:space="preserve">Queens Community Board #9</t>
  </si>
  <si>
    <t xml:space="preserve">Cleaning Services Council District 32</t>
  </si>
  <si>
    <t xml:space="preserve">Supplemental Sanitation Services Council District 32</t>
  </si>
  <si>
    <t xml:space="preserve">Queens Economic Development Corporation</t>
  </si>
  <si>
    <t xml:space="preserve">112436149</t>
  </si>
  <si>
    <t xml:space="preserve">Graffiti Removal &amp; Cleanup - Council District 32</t>
  </si>
  <si>
    <t xml:space="preserve">Outstanding Renewal Enterprises, Inc.</t>
  </si>
  <si>
    <t xml:space="preserve">133320984</t>
  </si>
  <si>
    <t xml:space="preserve">E-Waste collection Event </t>
  </si>
  <si>
    <t xml:space="preserve">Holiday Lights- Howard Beach </t>
  </si>
  <si>
    <t xml:space="preserve">Operations and events</t>
  </si>
  <si>
    <t xml:space="preserve">Holiday Events- Council District 32</t>
  </si>
  <si>
    <t xml:space="preserve">Movie Nights- Council District 32</t>
  </si>
  <si>
    <t xml:space="preserve">Rockaway Events- Flag Day and Fall Festival</t>
  </si>
  <si>
    <t xml:space="preserve">Tudor Park Event- Council District 32</t>
  </si>
  <si>
    <t xml:space="preserve">Forest Park Events</t>
  </si>
  <si>
    <t xml:space="preserve">Shoreline Clean-ups Council District 32</t>
  </si>
  <si>
    <t xml:space="preserve">Community Tennis Program- Charles Park </t>
  </si>
  <si>
    <t xml:space="preserve">CCNS Howard Beach Older Adult Center</t>
  </si>
  <si>
    <t xml:space="preserve">Council District 32 </t>
  </si>
  <si>
    <t xml:space="preserve">CCNS Seaside Older Adult Center</t>
  </si>
  <si>
    <t xml:space="preserve">Aging Mastery Program - Kingsborough Community College</t>
  </si>
  <si>
    <t xml:space="preserve">Children's Concerts - Council District 32</t>
  </si>
  <si>
    <t xml:space="preserve">Belle Harbor (27Q114), Chris Galas (27Q047) &amp; Robert H. Godd</t>
  </si>
  <si>
    <t xml:space="preserve">St. Francis de Sales – Council District 32</t>
  </si>
  <si>
    <t xml:space="preserve">St. Helen's - Council District 32</t>
  </si>
  <si>
    <t xml:space="preserve">St. Rose of Lima Catholic Academy</t>
  </si>
  <si>
    <t xml:space="preserve">Sacred Heart Catholic Academy</t>
  </si>
  <si>
    <t xml:space="preserve">Belle Harbor Youth &amp; Community Organization, Inc.</t>
  </si>
  <si>
    <t xml:space="preserve">462457974</t>
  </si>
  <si>
    <t xml:space="preserve">Yacht Club Future All - Stars Summer Camps</t>
  </si>
  <si>
    <t xml:space="preserve">Queens Explorers Elementary School (27Q316)</t>
  </si>
  <si>
    <t xml:space="preserve">National September 11 Memorial and Museum at the World Trade Center</t>
  </si>
  <si>
    <t xml:space="preserve">611745872</t>
  </si>
  <si>
    <t xml:space="preserve">afterschool program at Public School 060Q Woodhaven (27Q060)</t>
  </si>
  <si>
    <t xml:space="preserve">Gateway Bike &amp; Boathouse, Inc.</t>
  </si>
  <si>
    <t xml:space="preserve">262745119</t>
  </si>
  <si>
    <t xml:space="preserve">NY Softball, Inc.</t>
  </si>
  <si>
    <t xml:space="preserve">453276015</t>
  </si>
  <si>
    <t xml:space="preserve">Special Olympics New York, Inc.</t>
  </si>
  <si>
    <t xml:space="preserve">237061382</t>
  </si>
  <si>
    <t xml:space="preserve">Special Olympics - Council District 32</t>
  </si>
  <si>
    <t xml:space="preserve">GrowNYC Food For Families program in Council District 38</t>
  </si>
  <si>
    <t xml:space="preserve">Hydroponic Classrooms in Council District 38</t>
  </si>
  <si>
    <t xml:space="preserve">Street Tree Care in Council District 38</t>
  </si>
  <si>
    <t xml:space="preserve">Community Recycling Events &amp; Compost Soil Distribution in Co</t>
  </si>
  <si>
    <t xml:space="preserve">Seeds in the Middle</t>
  </si>
  <si>
    <t xml:space="preserve">271847142</t>
  </si>
  <si>
    <t xml:space="preserve">Hip2B Healthy Farmstands in Council District 38</t>
  </si>
  <si>
    <t xml:space="preserve">Mixteca Organization, Inc.</t>
  </si>
  <si>
    <t xml:space="preserve">113561651</t>
  </si>
  <si>
    <t xml:space="preserve">Mixteca's Green Education and OSHA Workforce Training Progra</t>
  </si>
  <si>
    <t xml:space="preserve">136202692</t>
  </si>
  <si>
    <t xml:space="preserve">Brooklyn Community Center - Senior Services &amp; Digital Litera</t>
  </si>
  <si>
    <t xml:space="preserve">Older Adults Recreation, Assistance &amp; Support Services - Cou</t>
  </si>
  <si>
    <t xml:space="preserve">Young Dancers in Repertory, Inc.</t>
  </si>
  <si>
    <t xml:space="preserve">112799128</t>
  </si>
  <si>
    <t xml:space="preserve">Older Adults Arts Dance &amp; Movement Program - Council Distric</t>
  </si>
  <si>
    <t xml:space="preserve">NORC Older Adults Wellness Program - Council District 38</t>
  </si>
  <si>
    <t xml:space="preserve">Heights and Hills, Inc.</t>
  </si>
  <si>
    <t xml:space="preserve">237237927</t>
  </si>
  <si>
    <t xml:space="preserve">Older Adults &amp; Caregivers Services - Council District 38</t>
  </si>
  <si>
    <t xml:space="preserve">Older Adults Transportation Services - Council District 38</t>
  </si>
  <si>
    <t xml:space="preserve">Alzheimers Disease and Related Disorders Association - New York City, Inc.</t>
  </si>
  <si>
    <t xml:space="preserve">133277408</t>
  </si>
  <si>
    <t xml:space="preserve">Wandering Safety Program - Council District 38</t>
  </si>
  <si>
    <t xml:space="preserve">113604756</t>
  </si>
  <si>
    <t xml:space="preserve">Adult Education Program &amp; Workshops</t>
  </si>
  <si>
    <t xml:space="preserve">New York Legal Assistance Group, Inc.</t>
  </si>
  <si>
    <t xml:space="preserve">133505428</t>
  </si>
  <si>
    <t xml:space="preserve">Mobile Legal Help Center</t>
  </si>
  <si>
    <t xml:space="preserve">Alex House Project, Inc., The</t>
  </si>
  <si>
    <t xml:space="preserve">475488301</t>
  </si>
  <si>
    <t xml:space="preserve">TAHP Healthy Mommy &amp; Healthy Babies Fellowship - Council Dis</t>
  </si>
  <si>
    <t xml:space="preserve">South Brooklyn Sanctuary, Inc.</t>
  </si>
  <si>
    <t xml:space="preserve">932387040</t>
  </si>
  <si>
    <t xml:space="preserve">Immigration Support &amp; Case Management - Council District 38</t>
  </si>
  <si>
    <t xml:space="preserve">Advocates for Children of New York, Inc.</t>
  </si>
  <si>
    <t xml:space="preserve">112247307</t>
  </si>
  <si>
    <t xml:space="preserve">Jill Chaifetz Education Helpline - Council District 38</t>
  </si>
  <si>
    <t xml:space="preserve">JustFix, Inc.</t>
  </si>
  <si>
    <t xml:space="preserve">813080695</t>
  </si>
  <si>
    <t xml:space="preserve">Digital Tools - Council District 38</t>
  </si>
  <si>
    <t xml:space="preserve">Public Utility Law Project of New York, Inc.</t>
  </si>
  <si>
    <t xml:space="preserve">141634870</t>
  </si>
  <si>
    <t xml:space="preserve">Low-income Utility Consumer Assistance &amp; Advocacy</t>
  </si>
  <si>
    <t xml:space="preserve">Community Justice Center &amp; Housing Resource Center - Council</t>
  </si>
  <si>
    <t xml:space="preserve">Third Sector New England</t>
  </si>
  <si>
    <t xml:space="preserve">042261109</t>
  </si>
  <si>
    <t xml:space="preserve">Immigrant Worker Outreach &amp; Safety Education - Council Distr</t>
  </si>
  <si>
    <t xml:space="preserve">Homecrest Community Services, Inc.</t>
  </si>
  <si>
    <t xml:space="preserve">113373115</t>
  </si>
  <si>
    <t xml:space="preserve">Community Access &amp; Benefits Navigation - Council District 38</t>
  </si>
  <si>
    <t xml:space="preserve">Women’s Empowerment Coalition of New York City</t>
  </si>
  <si>
    <t xml:space="preserve">844687643</t>
  </si>
  <si>
    <t xml:space="preserve">WECNYC Community Education and Family Support</t>
  </si>
  <si>
    <t xml:space="preserve">New York Asian Women's Center, Inc.</t>
  </si>
  <si>
    <t xml:space="preserve">133286250</t>
  </si>
  <si>
    <t xml:space="preserve">WomanKind Support for Survivors - Council District 38</t>
  </si>
  <si>
    <t xml:space="preserve">Trinity Healing Center, Inc.</t>
  </si>
  <si>
    <t xml:space="preserve">203235905</t>
  </si>
  <si>
    <t xml:space="preserve">Daughters of the Lotus Youth Program - Council District 38</t>
  </si>
  <si>
    <t xml:space="preserve">Brooklyn Arts Council, Inc.</t>
  </si>
  <si>
    <t xml:space="preserve">237072915</t>
  </si>
  <si>
    <t xml:space="preserve">Public School 094K The Henry Longfellow (15K094)</t>
  </si>
  <si>
    <t xml:space="preserve">Brooklyn Queens Conservatory of Music</t>
  </si>
  <si>
    <t xml:space="preserve">111532426</t>
  </si>
  <si>
    <t xml:space="preserve">Public School 024K (15K024)</t>
  </si>
  <si>
    <t xml:space="preserve">Public School 124K Silas B. Dutcher (15K124)</t>
  </si>
  <si>
    <t xml:space="preserve">Counseling In Schools, Inc.</t>
  </si>
  <si>
    <t xml:space="preserve">133637647</t>
  </si>
  <si>
    <t xml:space="preserve">Habor Middle School (15K676)</t>
  </si>
  <si>
    <t xml:space="preserve">Groundswell Community Mural Project, Inc.</t>
  </si>
  <si>
    <t xml:space="preserve">113427213</t>
  </si>
  <si>
    <t xml:space="preserve">Public School 001K The Bergen (15K001)</t>
  </si>
  <si>
    <t xml:space="preserve">Public School 69K Vincent D. Grippo School (20K069)</t>
  </si>
  <si>
    <t xml:space="preserve">Public School 169K Sunset Park (15K169)</t>
  </si>
  <si>
    <t xml:space="preserve">Center for Family Life in Sunset Park, Inc.</t>
  </si>
  <si>
    <t xml:space="preserve">851058164</t>
  </si>
  <si>
    <t xml:space="preserve">Intermediate School 136K Charles O. Dewey (15K136)</t>
  </si>
  <si>
    <t xml:space="preserve">Cora, Inc.</t>
  </si>
  <si>
    <t xml:space="preserve">113639921</t>
  </si>
  <si>
    <t xml:space="preserve">Public School 15K (15K015)</t>
  </si>
  <si>
    <t xml:space="preserve">Public School 721K - Brooklyn Occupational Training Center (</t>
  </si>
  <si>
    <t xml:space="preserve">Public School 127K Mckinley Park (20K127)</t>
  </si>
  <si>
    <t xml:space="preserve">Junior High School 259K William McKinley (20K259)</t>
  </si>
  <si>
    <t xml:space="preserve">Public School 516k Sunset Park Avenues Elementary School (15</t>
  </si>
  <si>
    <t xml:space="preserve">Public School 172K Beacon School of Excellence (15K172)</t>
  </si>
  <si>
    <t xml:space="preserve">National Dance Institute, Inc.</t>
  </si>
  <si>
    <t xml:space="preserve">132890779</t>
  </si>
  <si>
    <t xml:space="preserve">Public School 503K The School of Discovery (20K503)</t>
  </si>
  <si>
    <t xml:space="preserve">Sunset Park High School (15K667)</t>
  </si>
  <si>
    <t xml:space="preserve">Research Foundation of the City University of New York</t>
  </si>
  <si>
    <t xml:space="preserve">131988190</t>
  </si>
  <si>
    <t xml:space="preserve">School of Math, Science, and Healthy Living (20K971)</t>
  </si>
  <si>
    <t xml:space="preserve">Mixteca’s Immigrant Justice &amp; Advocacy services</t>
  </si>
  <si>
    <t xml:space="preserve">Cultural Expo at Public School 15K (15K015)</t>
  </si>
  <si>
    <t xml:space="preserve">Muslim American Society of Brooklyn and Staten Island, Inc.</t>
  </si>
  <si>
    <t xml:space="preserve">MAS Youth Center - Council District 38</t>
  </si>
  <si>
    <t xml:space="preserve">NARS Foundation, Inc.</t>
  </si>
  <si>
    <t xml:space="preserve">205292405</t>
  </si>
  <si>
    <t xml:space="preserve">Arts Educational Outreach Programs &amp; Workshops - Council Dis</t>
  </si>
  <si>
    <t xml:space="preserve">Academy of Medical and Public Health Services</t>
  </si>
  <si>
    <t xml:space="preserve">272206293</t>
  </si>
  <si>
    <t xml:space="preserve">Workforce Literacy &amp; Cultural Wraparound Support - Council D</t>
  </si>
  <si>
    <t xml:space="preserve">Bay Ridge Community Development Center, Inc.</t>
  </si>
  <si>
    <t xml:space="preserve">832708042</t>
  </si>
  <si>
    <t xml:space="preserve">BRCDC Community Case Work</t>
  </si>
  <si>
    <t xml:space="preserve">Celebrating Diversity through Dance in Sunset Park</t>
  </si>
  <si>
    <t xml:space="preserve">NIA After-School, Family, and Community Services - Sunset Sc</t>
  </si>
  <si>
    <t xml:space="preserve">Boro Park Jewish Community Council</t>
  </si>
  <si>
    <t xml:space="preserve">113475993</t>
  </si>
  <si>
    <t xml:space="preserve">BPJCC Workforce Development and Social Services</t>
  </si>
  <si>
    <t xml:space="preserve">New York City Urban Debate League, Inc.</t>
  </si>
  <si>
    <t xml:space="preserve">455249743</t>
  </si>
  <si>
    <t xml:space="preserve">School Debate Programs - Council District 38</t>
  </si>
  <si>
    <t xml:space="preserve">Opportunities for a Better Tomorrow, Inc.</t>
  </si>
  <si>
    <t xml:space="preserve">112934620</t>
  </si>
  <si>
    <t xml:space="preserve">OBT Tech Pathways Program</t>
  </si>
  <si>
    <t xml:space="preserve">Red Hook Community Justice Center: Community Healing and Wel</t>
  </si>
  <si>
    <t xml:space="preserve">WECNYC Domestic Violence Survivor Support Program</t>
  </si>
  <si>
    <t xml:space="preserve">Victim Services &amp; Outreach</t>
  </si>
  <si>
    <t xml:space="preserve">Violence Intervention Program</t>
  </si>
  <si>
    <t xml:space="preserve">133540337</t>
  </si>
  <si>
    <t xml:space="preserve">VIP Outreach &amp; Services for Survivors of Domestic and Sexual</t>
  </si>
  <si>
    <t xml:space="preserve">Sunset Park Health Council, Inc.</t>
  </si>
  <si>
    <t xml:space="preserve">202508411</t>
  </si>
  <si>
    <t xml:space="preserve">NYU Family Health Centers: Family Support Center </t>
  </si>
  <si>
    <t xml:space="preserve">Family Legal Care programs - Council District 38</t>
  </si>
  <si>
    <t xml:space="preserve">Asiyah Women's Center, Inc.</t>
  </si>
  <si>
    <t xml:space="preserve">832104070</t>
  </si>
  <si>
    <t xml:space="preserve">School-Based Programs - Council District 38</t>
  </si>
  <si>
    <t xml:space="preserve">Adult Education Program - Council District 38</t>
  </si>
  <si>
    <t xml:space="preserve">Social Services - Brooklyn Community Center</t>
  </si>
  <si>
    <t xml:space="preserve">City Lore, Inc.</t>
  </si>
  <si>
    <t xml:space="preserve">112740189</t>
  </si>
  <si>
    <t xml:space="preserve">Naming the Lost: COVID Memorial Community Engagement - Counc</t>
  </si>
  <si>
    <t xml:space="preserve">Dance Training Programs at PAVE Academy - Council District 3</t>
  </si>
  <si>
    <t xml:space="preserve">Parent Child Relationship Association</t>
  </si>
  <si>
    <t xml:space="preserve">831900689</t>
  </si>
  <si>
    <t xml:space="preserve">Family Support Program - Council District 38</t>
  </si>
  <si>
    <t xml:space="preserve">Holiday &amp; Food Distribution Events - Council District 38</t>
  </si>
  <si>
    <t xml:space="preserve">Hook Arts Media, Inc.</t>
  </si>
  <si>
    <t xml:space="preserve">133015965</t>
  </si>
  <si>
    <t xml:space="preserve">Arts Forward &amp; Doc Lab Youth Programs - Council District 38</t>
  </si>
  <si>
    <t xml:space="preserve">Neighbors Helping Neighbors, Inc.</t>
  </si>
  <si>
    <t xml:space="preserve">113059958</t>
  </si>
  <si>
    <t xml:space="preserve">Tenant Organizing &amp; Advocacy - Council District 38</t>
  </si>
  <si>
    <t xml:space="preserve">Community Organizing - Council District 38</t>
  </si>
  <si>
    <t xml:space="preserve">Red Hook Art Project, Inc.</t>
  </si>
  <si>
    <t xml:space="preserve">266658925</t>
  </si>
  <si>
    <t xml:space="preserve">Emerging Artist Council - Council District 38</t>
  </si>
  <si>
    <t xml:space="preserve">Brooklyn Book Bodega, Inc.</t>
  </si>
  <si>
    <t xml:space="preserve">833811732</t>
  </si>
  <si>
    <t xml:space="preserve">Book Distribution Program - Council District 38</t>
  </si>
  <si>
    <t xml:space="preserve">Red Hook Initiative, Inc.</t>
  </si>
  <si>
    <t xml:space="preserve">203904662</t>
  </si>
  <si>
    <t xml:space="preserve">Community Building - Council District 38</t>
  </si>
  <si>
    <t xml:space="preserve">PortSide NewYork, Inc.</t>
  </si>
  <si>
    <t xml:space="preserve">200176184</t>
  </si>
  <si>
    <t xml:space="preserve">WaterStories &amp; Mary A. Whalen Programs - Council District 38</t>
  </si>
  <si>
    <t xml:space="preserve">Regina Opera Company, Inc.</t>
  </si>
  <si>
    <t xml:space="preserve">112734261</t>
  </si>
  <si>
    <t xml:space="preserve">Operas &amp; Concerts - Council District 38</t>
  </si>
  <si>
    <t xml:space="preserve">Target Margin Theater</t>
  </si>
  <si>
    <t xml:space="preserve">133697027</t>
  </si>
  <si>
    <t xml:space="preserve">Sunset Park Community Programming - Council District 38</t>
  </si>
  <si>
    <t xml:space="preserve">Waterfront Museum, The</t>
  </si>
  <si>
    <t xml:space="preserve">113569896</t>
  </si>
  <si>
    <t xml:space="preserve">Waterfront Museum Showboat Barge</t>
  </si>
  <si>
    <t xml:space="preserve">Buddhist Tzu Chi Medical Foundation</t>
  </si>
  <si>
    <t xml:space="preserve">954457939</t>
  </si>
  <si>
    <t xml:space="preserve">Vision and Dental Mobile Free Clinics - Council District 38</t>
  </si>
  <si>
    <t xml:space="preserve">Vision Zero Free Helmet Giveaway &amp; Fitting - Council Distric</t>
  </si>
  <si>
    <t xml:space="preserve">APNA Community Services, Inc.</t>
  </si>
  <si>
    <t xml:space="preserve">820706930</t>
  </si>
  <si>
    <t xml:space="preserve">Immigration Support, Community Safety &amp; Hate Crime Preventio</t>
  </si>
  <si>
    <t xml:space="preserve">4heads, Inc.</t>
  </si>
  <si>
    <t xml:space="preserve">273651792</t>
  </si>
  <si>
    <t xml:space="preserve">Red Hook Open Studios - Council District 38</t>
  </si>
  <si>
    <t xml:space="preserve">Brooklyn Public Library</t>
  </si>
  <si>
    <t xml:space="preserve">111904261</t>
  </si>
  <si>
    <t xml:space="preserve">Older Adults Wellness &amp; Arts Programs - New Utrecht Public L</t>
  </si>
  <si>
    <t xml:space="preserve">Red Hook New York Rising Community Reconstruction Planning Committee, Ltd.</t>
  </si>
  <si>
    <t xml:space="preserve">810714759</t>
  </si>
  <si>
    <t xml:space="preserve">Red Hook Climate Justice Action Plan - Council District 38</t>
  </si>
  <si>
    <t xml:space="preserve">Resilience Education Training and Innovation Center, Ltd.</t>
  </si>
  <si>
    <t xml:space="preserve">812381283</t>
  </si>
  <si>
    <t xml:space="preserve">Pathways to Local Power Youth Internship - Red Hook Neighbor</t>
  </si>
  <si>
    <t xml:space="preserve">Coastal Cleanup - Council District 38</t>
  </si>
  <si>
    <t xml:space="preserve">United Cultural Association, Inc.</t>
  </si>
  <si>
    <t xml:space="preserve">920556826</t>
  </si>
  <si>
    <t xml:space="preserve">Community Development Programming</t>
  </si>
  <si>
    <t xml:space="preserve">Humane Pet Outreach Programming</t>
  </si>
  <si>
    <t xml:space="preserve">Sanitation Service - Council District 38</t>
  </si>
  <si>
    <t xml:space="preserve">Cleanup Services &amp; Trash Receptacles in Council District 38</t>
  </si>
  <si>
    <t xml:space="preserve">Foundation for New York's Strongest</t>
  </si>
  <si>
    <t xml:space="preserve">813523248</t>
  </si>
  <si>
    <t xml:space="preserve">NYC Trash Academy &amp; Community Stewards</t>
  </si>
  <si>
    <t xml:space="preserve">Red Hook Community Justice Center: AmeriCorps &amp; Restoration </t>
  </si>
  <si>
    <t xml:space="preserve">Red Hook Community Business Alliance</t>
  </si>
  <si>
    <t xml:space="preserve">881472299</t>
  </si>
  <si>
    <t xml:space="preserve">Merchant Organizing/BID Formation</t>
  </si>
  <si>
    <t xml:space="preserve">Brooklyn Sunset Park Lions Club, Corp</t>
  </si>
  <si>
    <t xml:space="preserve">472994664</t>
  </si>
  <si>
    <t xml:space="preserve">Organizational Development/Project Management Support</t>
  </si>
  <si>
    <t xml:space="preserve">Park Slope Fifth Avenue District Management Association, Inc.</t>
  </si>
  <si>
    <t xml:space="preserve">263926626</t>
  </si>
  <si>
    <t xml:space="preserve">Place making/Plaza/Public Space Activation/Public Art</t>
  </si>
  <si>
    <t xml:space="preserve">Sunset Park District Management Association, Inc.</t>
  </si>
  <si>
    <t xml:space="preserve">113251860</t>
  </si>
  <si>
    <t xml:space="preserve">PCR Green Community Program</t>
  </si>
  <si>
    <t xml:space="preserve">Street Tree Care Captain trainings in Council District 38</t>
  </si>
  <si>
    <t xml:space="preserve">Rooftop Films, Inc.</t>
  </si>
  <si>
    <t xml:space="preserve">352323897</t>
  </si>
  <si>
    <t xml:space="preserve">Summer Movies in Council District 38</t>
  </si>
  <si>
    <t xml:space="preserve">Green-Wood Historic Fund, Inc.</t>
  </si>
  <si>
    <t xml:space="preserve">113450678</t>
  </si>
  <si>
    <t xml:space="preserve">Green-Wood Environmental Education Programs</t>
  </si>
  <si>
    <t xml:space="preserve">Sports programs in Council District 38</t>
  </si>
  <si>
    <t xml:space="preserve">GrowNYC Green Space program supporting community gardening i</t>
  </si>
  <si>
    <t xml:space="preserve">Cora Dance Training Programs at the Red Hook Older Adult Cen</t>
  </si>
  <si>
    <t xml:space="preserve">Dance Programs at Older Adult Centers in Sunset Park</t>
  </si>
  <si>
    <t xml:space="preserve">CPC Brooklyn Community Center: Older Adult Center</t>
  </si>
  <si>
    <t xml:space="preserve">Spanish Speaking Elderly Council - RAICES</t>
  </si>
  <si>
    <t xml:space="preserve">112730462</t>
  </si>
  <si>
    <t xml:space="preserve">Red Hook Older Adult Center</t>
  </si>
  <si>
    <t xml:space="preserve">HCS Sunset Park Center &amp; Bensonhurst Center</t>
  </si>
  <si>
    <t xml:space="preserve">Sunset Park Older Adult Center</t>
  </si>
  <si>
    <t xml:space="preserve">Park Slope Center for Successful Aging</t>
  </si>
  <si>
    <t xml:space="preserve">United Senior Citizens Center of Sunset Park, Inc.</t>
  </si>
  <si>
    <t xml:space="preserve">112358277</t>
  </si>
  <si>
    <t xml:space="preserve">United Senior Center of Sunset Park</t>
  </si>
  <si>
    <t xml:space="preserve">Brooklyn Chinese-American Association, Inc.</t>
  </si>
  <si>
    <t xml:space="preserve">113065859</t>
  </si>
  <si>
    <t xml:space="preserve">BCA Senior Centers: Dyker Heights Senior Center and Sixth Av</t>
  </si>
  <si>
    <t xml:space="preserve">College &amp; Career Success - Council District 38</t>
  </si>
  <si>
    <t xml:space="preserve">Good Shepherd Services</t>
  </si>
  <si>
    <t xml:space="preserve">135598710</t>
  </si>
  <si>
    <t xml:space="preserve">Joseph Miccio Community Center Cornerstone Programs - Counci</t>
  </si>
  <si>
    <t xml:space="preserve">Youth Impact Program - Council District 38</t>
  </si>
  <si>
    <t xml:space="preserve">School Network - Council District 38</t>
  </si>
  <si>
    <t xml:space="preserve">City Growers, Inc.</t>
  </si>
  <si>
    <t xml:space="preserve">452149344</t>
  </si>
  <si>
    <t xml:space="preserve">Environmental Education, Stewardship &amp; Career Pathway Progra</t>
  </si>
  <si>
    <t xml:space="preserve">Youth Services - Council District 38</t>
  </si>
  <si>
    <t xml:space="preserve">Street Soccer USA, Inc.</t>
  </si>
  <si>
    <t xml:space="preserve">264694946</t>
  </si>
  <si>
    <t xml:space="preserve">Soccer Club - Council District 38</t>
  </si>
  <si>
    <t xml:space="preserve">Sunset Spark, Inc.</t>
  </si>
  <si>
    <t xml:space="preserve">454683418</t>
  </si>
  <si>
    <t xml:space="preserve">STEM Education Programming - Council District 38</t>
  </si>
  <si>
    <t xml:space="preserve">Roman Catholic Church of Our Lady of Perpetual Help</t>
  </si>
  <si>
    <t xml:space="preserve">111666873</t>
  </si>
  <si>
    <t xml:space="preserve">Soccer Program - Council District 38</t>
  </si>
  <si>
    <t xml:space="preserve">Cypress Hills Local Development Corporation, Inc.</t>
  </si>
  <si>
    <t xml:space="preserve">112683663</t>
  </si>
  <si>
    <t xml:space="preserve">East New York Farms! Project - Compost Program (In Council D</t>
  </si>
  <si>
    <t xml:space="preserve">GreenThumb Support - Council District 42</t>
  </si>
  <si>
    <t xml:space="preserve">Green Guerillas, Inc.</t>
  </si>
  <si>
    <t xml:space="preserve">132903183</t>
  </si>
  <si>
    <t xml:space="preserve">GreenThumb Support and programming - CD 42</t>
  </si>
  <si>
    <t xml:space="preserve">Bergen Basin Community Development Corporation d/b/a Millennium Development</t>
  </si>
  <si>
    <t xml:space="preserve">113199040</t>
  </si>
  <si>
    <t xml:space="preserve">Senior Programming &amp; Cultural Trip Activities -  Council Dis</t>
  </si>
  <si>
    <t xml:space="preserve">Brookdale Hospital Medical Center, The</t>
  </si>
  <si>
    <t xml:space="preserve">111631746</t>
  </si>
  <si>
    <t xml:space="preserve">OBH At Your Door: Senior Health &amp; Wellness Workshops -  Coun</t>
  </si>
  <si>
    <t xml:space="preserve">Parodneck Foundation For Self Help Housing and Community Development, The </t>
  </si>
  <si>
    <t xml:space="preserve">112229635</t>
  </si>
  <si>
    <t xml:space="preserve">Senior Citizen Homeowner Assistance Program (SCHAP) -  Counc</t>
  </si>
  <si>
    <t xml:space="preserve">Spring Creek Recreational Fund</t>
  </si>
  <si>
    <t xml:space="preserve">271770637</t>
  </si>
  <si>
    <t xml:space="preserve">Senior Programming - Council District 42</t>
  </si>
  <si>
    <t xml:space="preserve">Fort Greene Council, Inc.</t>
  </si>
  <si>
    <t xml:space="preserve">112300840</t>
  </si>
  <si>
    <t xml:space="preserve">Teresa Moore Older Adult Center - Council District 42</t>
  </si>
  <si>
    <t xml:space="preserve">Jewish Community Council of Canarsie, Inc.</t>
  </si>
  <si>
    <t xml:space="preserve">112608645</t>
  </si>
  <si>
    <t xml:space="preserve">NYCHA Residents Programming -  Council District 42</t>
  </si>
  <si>
    <t xml:space="preserve">River Fund New York, Inc.</t>
  </si>
  <si>
    <t xml:space="preserve">113450363</t>
  </si>
  <si>
    <t xml:space="preserve">Emergency Food Pantry Access Services - Brooklyn &amp; Council D</t>
  </si>
  <si>
    <t xml:space="preserve">Boulevard Houses - Council District 42 </t>
  </si>
  <si>
    <t xml:space="preserve">Carter G. Woodson Houses - Council District 42</t>
  </si>
  <si>
    <t xml:space="preserve">Cypress Houses - Council District 42</t>
  </si>
  <si>
    <t xml:space="preserve">Hope Center Development Corporation</t>
  </si>
  <si>
    <t xml:space="preserve">203249774</t>
  </si>
  <si>
    <t xml:space="preserve">Access to Healthy Food &amp; Nutritional Education - Council Dis</t>
  </si>
  <si>
    <t xml:space="preserve">Breukelen Houses - Council District 42 </t>
  </si>
  <si>
    <t xml:space="preserve">Florentino Plaza Houses - Council District 42</t>
  </si>
  <si>
    <t xml:space="preserve">Linden Houses - Council District 42</t>
  </si>
  <si>
    <t xml:space="preserve">Long Island Baptist Houses - Council District 42</t>
  </si>
  <si>
    <t xml:space="preserve">Louis Pink Houses - Council District 42 </t>
  </si>
  <si>
    <t xml:space="preserve">Penn-Wortman Houses - Council District 42</t>
  </si>
  <si>
    <t xml:space="preserve">Unity Plaza Houses - Council District 42</t>
  </si>
  <si>
    <t xml:space="preserve">Vandalia Houses - Council District 42</t>
  </si>
  <si>
    <t xml:space="preserve">Man Up, Inc.</t>
  </si>
  <si>
    <t xml:space="preserve">030553092</t>
  </si>
  <si>
    <t xml:space="preserve">Afterschool, Summer Camp &amp; Workforce Development Program - C</t>
  </si>
  <si>
    <t xml:space="preserve">Mylah's Organization, Inc.</t>
  </si>
  <si>
    <t xml:space="preserve">853728407</t>
  </si>
  <si>
    <t xml:space="preserve">Job Readiness, Food Pantry &amp; Mental Health Program - Council</t>
  </si>
  <si>
    <t xml:space="preserve">Workforce Development, Supplemental Cleaning &amp; Job Training </t>
  </si>
  <si>
    <t xml:space="preserve">CAMBA, Inc.</t>
  </si>
  <si>
    <t xml:space="preserve">112480339</t>
  </si>
  <si>
    <t xml:space="preserve">Pink Houses Cornerstone Community Center</t>
  </si>
  <si>
    <t xml:space="preserve">Full Effect Gospel Crusade</t>
  </si>
  <si>
    <t xml:space="preserve">113439984</t>
  </si>
  <si>
    <t xml:space="preserve">Community Food Pantry - Council District 42</t>
  </si>
  <si>
    <t xml:space="preserve">Grace Deliverance Tabernacle Church of God, Inc.</t>
  </si>
  <si>
    <t xml:space="preserve">113627729</t>
  </si>
  <si>
    <t xml:space="preserve">Youth Mentorship &amp; Anti-Gun Violence Prevention Program - Co</t>
  </si>
  <si>
    <t xml:space="preserve">Juneteenth NYC, Inc.</t>
  </si>
  <si>
    <t xml:space="preserve">873965180</t>
  </si>
  <si>
    <t xml:space="preserve">Festival + Parade </t>
  </si>
  <si>
    <t xml:space="preserve">Neighborhood Beautification Program - Council District 42</t>
  </si>
  <si>
    <t xml:space="preserve">Victory Music and Dance Company, Inc.</t>
  </si>
  <si>
    <t xml:space="preserve">472167056</t>
  </si>
  <si>
    <t xml:space="preserve">CASA Programming - Council District 42 - East New York Famil</t>
  </si>
  <si>
    <t xml:space="preserve">CASA Programming - Kappa V (Knowledge and Power Prep Academy</t>
  </si>
  <si>
    <t xml:space="preserve">CASA Programming PATHS High School - Council District 42</t>
  </si>
  <si>
    <t xml:space="preserve">CASA Programming - PS 013 - Council District 42</t>
  </si>
  <si>
    <t xml:space="preserve">CASA Programming - Ida Posner - Council District 42</t>
  </si>
  <si>
    <t xml:space="preserve">CASA programming at PS. 190 - Sheffield School - Council Dis</t>
  </si>
  <si>
    <t xml:space="preserve">CASA Programming at PS 273 wortman School - Council District</t>
  </si>
  <si>
    <t xml:space="preserve">CASA Funding - PS 273 Wortman School - Council District 42 (</t>
  </si>
  <si>
    <t xml:space="preserve">That Suits You, Inc.</t>
  </si>
  <si>
    <t xml:space="preserve">462088497</t>
  </si>
  <si>
    <t xml:space="preserve">CASA programming at PS 66 - Council District 42</t>
  </si>
  <si>
    <t xml:space="preserve">Empowering Youth Towards Excellence, Inc.</t>
  </si>
  <si>
    <t xml:space="preserve">272246317</t>
  </si>
  <si>
    <t xml:space="preserve">CASA Programming - East New York Arts and Civics H.S. - CD 4</t>
  </si>
  <si>
    <t xml:space="preserve">Elite Learners, Inc.</t>
  </si>
  <si>
    <t xml:space="preserve">814482839</t>
  </si>
  <si>
    <t xml:space="preserve">CASA Programming - ENY Family Academy - Council District 42</t>
  </si>
  <si>
    <t xml:space="preserve">CASA Programming - P.S 149 Danny Kaye </t>
  </si>
  <si>
    <t xml:space="preserve">CASA Programming - Fresh Creek School - Council District 42</t>
  </si>
  <si>
    <t xml:space="preserve">Entertainers for Education Alliance, Inc.</t>
  </si>
  <si>
    <t xml:space="preserve">432115174</t>
  </si>
  <si>
    <t xml:space="preserve">CASA Programming - I will graduate - CD 42 - Frederick Dougl</t>
  </si>
  <si>
    <t xml:space="preserve">Brooklyn Ballet, Inc.</t>
  </si>
  <si>
    <t xml:space="preserve">020569320</t>
  </si>
  <si>
    <t xml:space="preserve">Ballet Programming - Council District 42 (P.S. 273)</t>
  </si>
  <si>
    <t xml:space="preserve">BRIC Arts Media Brooklyn, Inc.</t>
  </si>
  <si>
    <t xml:space="preserve">112547268</t>
  </si>
  <si>
    <t xml:space="preserve">BRIC After School Arts and Media Education Programs - CD 42 </t>
  </si>
  <si>
    <t xml:space="preserve">FAN4Kids</t>
  </si>
  <si>
    <t xml:space="preserve">260092086</t>
  </si>
  <si>
    <t xml:space="preserve">Fan4Kids Healthy eating programming - CD 42 </t>
  </si>
  <si>
    <t xml:space="preserve">Community Development and Cultural Programming - Old Timers </t>
  </si>
  <si>
    <t xml:space="preserve">Brownsville Heritage House, Inc.</t>
  </si>
  <si>
    <t xml:space="preserve">112552201</t>
  </si>
  <si>
    <t xml:space="preserve">BHH - Cultural Programming - Council DIstrict 42 </t>
  </si>
  <si>
    <t xml:space="preserve">Tropicalfete, Inc.</t>
  </si>
  <si>
    <t xml:space="preserve">452940435</t>
  </si>
  <si>
    <t xml:space="preserve">Music, Art &amp; Dance programs - Council District 42</t>
  </si>
  <si>
    <t xml:space="preserve">Sesame Flyers International, Inc.</t>
  </si>
  <si>
    <t xml:space="preserve">112692485</t>
  </si>
  <si>
    <t xml:space="preserve">SFI Youth Steel Orchestra - CD 42</t>
  </si>
  <si>
    <t xml:space="preserve">West Indian American Day Carnival Association, Inc.</t>
  </si>
  <si>
    <t xml:space="preserve">237176396</t>
  </si>
  <si>
    <t xml:space="preserve">WIADCA Cares - Council District 42</t>
  </si>
  <si>
    <t xml:space="preserve">Youth &amp; Community Development programming - Council District</t>
  </si>
  <si>
    <t xml:space="preserve">Youth Design Center, Inc.</t>
  </si>
  <si>
    <t xml:space="preserve">810693987</t>
  </si>
  <si>
    <t xml:space="preserve">Youth Development programming Council District 42</t>
  </si>
  <si>
    <t xml:space="preserve">LINC’s Community Literacy Model - Council District 42</t>
  </si>
  <si>
    <t xml:space="preserve">NYCHA STEM Programming - Council District 42</t>
  </si>
  <si>
    <t xml:space="preserve">Digital Girl, Inc.</t>
  </si>
  <si>
    <t xml:space="preserve">472288307</t>
  </si>
  <si>
    <t xml:space="preserve">Digital Inclusion programming - CD 42</t>
  </si>
  <si>
    <t xml:space="preserve">Hope Empowerment and Development Zone, Inc.</t>
  </si>
  <si>
    <t xml:space="preserve">204598911</t>
  </si>
  <si>
    <t xml:space="preserve">ZOE, HEADZ Mental Health Program - CD 42</t>
  </si>
  <si>
    <t xml:space="preserve">DoVE Programming - Council District 42</t>
  </si>
  <si>
    <t xml:space="preserve">Worldwide Association of Small Churches, Inc.</t>
  </si>
  <si>
    <t xml:space="preserve">273471540</t>
  </si>
  <si>
    <t xml:space="preserve">Volunteers of America - Greater New York, Inc.</t>
  </si>
  <si>
    <t xml:space="preserve">581959781</t>
  </si>
  <si>
    <t xml:space="preserve">DoVE - Outreach to and support for Survivors of Domestic Vio</t>
  </si>
  <si>
    <t xml:space="preserve">Domestic Violence Prevention and Mental Health Outreach</t>
  </si>
  <si>
    <t xml:space="preserve">Christopher Rose Community Empowerment Campaign, Inc.</t>
  </si>
  <si>
    <t xml:space="preserve">113423612</t>
  </si>
  <si>
    <t xml:space="preserve">CAMERA - Community Action and Mobilization Effort to Raise A</t>
  </si>
  <si>
    <t xml:space="preserve">RISE - Council District 42</t>
  </si>
  <si>
    <t xml:space="preserve">We All Really Matter, Inc.</t>
  </si>
  <si>
    <t xml:space="preserve">452455826</t>
  </si>
  <si>
    <t xml:space="preserve">WARM - Council District 42 (End Gender based domestic Violen</t>
  </si>
  <si>
    <t xml:space="preserve">DoVE Programming - CD 42</t>
  </si>
  <si>
    <t xml:space="preserve">Tailor Made For A King, Inc.</t>
  </si>
  <si>
    <t xml:space="preserve">883992897</t>
  </si>
  <si>
    <t xml:space="preserve">Funds will go towards Domestic Violence awareness - CD 42 </t>
  </si>
  <si>
    <t xml:space="preserve">DoVE programming - CD 42</t>
  </si>
  <si>
    <t xml:space="preserve">Families Rise Up Against Violence, Inc.</t>
  </si>
  <si>
    <t xml:space="preserve">932388976</t>
  </si>
  <si>
    <t xml:space="preserve">DoVE Programming and Women Empowerment - CD 42</t>
  </si>
  <si>
    <t xml:space="preserve">Wholesome Family Network, Inc.</t>
  </si>
  <si>
    <t xml:space="preserve">933008444</t>
  </si>
  <si>
    <t xml:space="preserve">DoVE + Women's +Men's Mental Health Initiative </t>
  </si>
  <si>
    <t xml:space="preserve">CaribBeing, Inc.</t>
  </si>
  <si>
    <t xml:space="preserve">455192099</t>
  </si>
  <si>
    <t xml:space="preserve">East New York CLT, Inc. </t>
  </si>
  <si>
    <t xml:space="preserve">854288954</t>
  </si>
  <si>
    <t xml:space="preserve">Council District 42</t>
  </si>
  <si>
    <t xml:space="preserve">Millennium Neighborhood Development - Council District 42</t>
  </si>
  <si>
    <t xml:space="preserve">Southeastern Brooklyn Special Community Support</t>
  </si>
  <si>
    <t xml:space="preserve">Progressive Youths Soccer Club</t>
  </si>
  <si>
    <t xml:space="preserve">272272990</t>
  </si>
  <si>
    <t xml:space="preserve">Soccer Programming - Council District 42</t>
  </si>
  <si>
    <t xml:space="preserve">Campaign Against Hunger, Inc., The</t>
  </si>
  <si>
    <t xml:space="preserve">200934854</t>
  </si>
  <si>
    <t xml:space="preserve">Hot Food &amp; Holiday Food Programming - Council District 42</t>
  </si>
  <si>
    <t xml:space="preserve">Brownsville Think Tank Matters, Inc.</t>
  </si>
  <si>
    <t xml:space="preserve">472440990</t>
  </si>
  <si>
    <t xml:space="preserve">Anti-Violence Equipment &amp; Community events - Council Distric</t>
  </si>
  <si>
    <t xml:space="preserve">East New York Community Partnership Program - Council Distri</t>
  </si>
  <si>
    <t xml:space="preserve">My Time, Inc.</t>
  </si>
  <si>
    <t xml:space="preserve">680646329</t>
  </si>
  <si>
    <t xml:space="preserve">Autism Caregivers Program - Council District 42</t>
  </si>
  <si>
    <t xml:space="preserve">Nourishing Wells, Inc.</t>
  </si>
  <si>
    <t xml:space="preserve">994498650</t>
  </si>
  <si>
    <t xml:space="preserve">Hope Day Programming - Council District 42</t>
  </si>
  <si>
    <t xml:space="preserve">UA3, Inc.</t>
  </si>
  <si>
    <t xml:space="preserve">474803090</t>
  </si>
  <si>
    <t xml:space="preserve">Community First Food Pantry (CFFP) Program - Council Distric</t>
  </si>
  <si>
    <t xml:space="preserve">Out of the Walls Ministries, Inc.</t>
  </si>
  <si>
    <t xml:space="preserve">833165623</t>
  </si>
  <si>
    <t xml:space="preserve">Food Pantry, Fitness and Social &amp; Emotional Awareness Suppor</t>
  </si>
  <si>
    <t xml:space="preserve">Legal Services - Council District 42</t>
  </si>
  <si>
    <t xml:space="preserve">Urban Justice Center</t>
  </si>
  <si>
    <t xml:space="preserve">133442022</t>
  </si>
  <si>
    <t xml:space="preserve">Community Outreach &amp; Education for Street Vendors - Council </t>
  </si>
  <si>
    <t xml:space="preserve">Community Outreach &amp; Anti-violence Programming - Council Dis</t>
  </si>
  <si>
    <t xml:space="preserve">Merchant Promotion &amp; Support - Council District 42</t>
  </si>
  <si>
    <t xml:space="preserve">Football Helmets - FDNY High School - Council District 42</t>
  </si>
  <si>
    <t xml:space="preserve">Programatic Support - Council District 42</t>
  </si>
  <si>
    <t xml:space="preserve">George Walker, Jr. Community Coalition, Inc., The</t>
  </si>
  <si>
    <t xml:space="preserve">113341395</t>
  </si>
  <si>
    <t xml:space="preserve">East New York Youth Court &amp; Career Readiness - Council Distr</t>
  </si>
  <si>
    <t xml:space="preserve">Community Programs - Council District 42</t>
  </si>
  <si>
    <t xml:space="preserve">Comprehensive Academics Tutoring Services, Inc.</t>
  </si>
  <si>
    <t xml:space="preserve">271395375</t>
  </si>
  <si>
    <t xml:space="preserve">Job Training &amp; Community Outreach Programs - Council Distric</t>
  </si>
  <si>
    <t xml:space="preserve">Council of Supervisors &amp; Administrators</t>
  </si>
  <si>
    <t xml:space="preserve">112024569</t>
  </si>
  <si>
    <t xml:space="preserve">Executive/School Leadership Institute (ELI) - Council Distri</t>
  </si>
  <si>
    <t xml:space="preserve">Youth mentorship, Food Pantry &amp; Gun-violence Prevention - Co</t>
  </si>
  <si>
    <t xml:space="preserve">Grand Street Settlement, Inc.</t>
  </si>
  <si>
    <t xml:space="preserve">135562230</t>
  </si>
  <si>
    <t xml:space="preserve">Rethink Food USA, Inc.</t>
  </si>
  <si>
    <t xml:space="preserve">852420028</t>
  </si>
  <si>
    <t xml:space="preserve">Meal Programs &amp; Community Kitchen Initiatives - Council Dist</t>
  </si>
  <si>
    <t xml:space="preserve">Tea Arts and Cultures, Inc.</t>
  </si>
  <si>
    <t xml:space="preserve">863679997</t>
  </si>
  <si>
    <t xml:space="preserve">Older Adults Golden Tea &amp; Art Program - Council District 42</t>
  </si>
  <si>
    <t xml:space="preserve">Village Griots of East New York, Inc.</t>
  </si>
  <si>
    <t xml:space="preserve">884142151</t>
  </si>
  <si>
    <t xml:space="preserve">Mental Health Initiatives &amp; Youth Programming - Council Dist</t>
  </si>
  <si>
    <t xml:space="preserve">Per Scholas, Inc.</t>
  </si>
  <si>
    <t xml:space="preserve">043252955</t>
  </si>
  <si>
    <t xml:space="preserve">Tech Training Program - Council District 42</t>
  </si>
  <si>
    <t xml:space="preserve">Youth &amp; Community programming - Council District 42</t>
  </si>
  <si>
    <t xml:space="preserve">Power in the Pen Writers Workshop</t>
  </si>
  <si>
    <t xml:space="preserve">852409795</t>
  </si>
  <si>
    <t xml:space="preserve">Power in the Pencil - Council District 42</t>
  </si>
  <si>
    <t xml:space="preserve">Community Leaders &amp; Neighborhood Business Grant Program - Co</t>
  </si>
  <si>
    <t xml:space="preserve">Brooklyn Multi-Service Community Center, Corp.</t>
  </si>
  <si>
    <t xml:space="preserve">811829990</t>
  </si>
  <si>
    <t xml:space="preserve">Access to STEM Careers - Council District 42</t>
  </si>
  <si>
    <t xml:space="preserve">Sankofa Bridge, Inc.</t>
  </si>
  <si>
    <t xml:space="preserve">990791143</t>
  </si>
  <si>
    <t xml:space="preserve">Support for Violence &amp; Injustice Programming - Council Distr</t>
  </si>
  <si>
    <t xml:space="preserve">Mangrove Community Wealth, Inc.</t>
  </si>
  <si>
    <t xml:space="preserve">874373793</t>
  </si>
  <si>
    <t xml:space="preserve">Mangrove FC’s Level Up - Council District 42</t>
  </si>
  <si>
    <t xml:space="preserve">Gateway 1 &amp; 2 Day Habilitation Programing - Council District</t>
  </si>
  <si>
    <t xml:space="preserve">Dance Instruction - Council District 42</t>
  </si>
  <si>
    <t xml:space="preserve">Holocaust Education &amp; Combating Hate Program - Council Distr</t>
  </si>
  <si>
    <t xml:space="preserve">Book Distribution Program - Council District 42</t>
  </si>
  <si>
    <t xml:space="preserve">Brooklyn Youth Sports Club, Inc.</t>
  </si>
  <si>
    <t xml:space="preserve">271404772</t>
  </si>
  <si>
    <t xml:space="preserve">BK Youth Sports STEM + Mentorship Program - Council District</t>
  </si>
  <si>
    <t xml:space="preserve">Society for the Preservation of Weeksville and Bedford Stuyvesant History</t>
  </si>
  <si>
    <t xml:space="preserve">237330454</t>
  </si>
  <si>
    <t xml:space="preserve">Cultural Programming, Celebrating Caribbean Heritage and Fes</t>
  </si>
  <si>
    <t xml:space="preserve">Community Development Project, Inc.</t>
  </si>
  <si>
    <t xml:space="preserve">831441257</t>
  </si>
  <si>
    <t xml:space="preserve">Community Land Trust Initiative - Council District 42</t>
  </si>
  <si>
    <t xml:space="preserve">Incredible Credible Messengers, Inc.</t>
  </si>
  <si>
    <t xml:space="preserve">823382948</t>
  </si>
  <si>
    <t xml:space="preserve">Afterschool Restorative Justice &amp; Peer Support Program - Cou</t>
  </si>
  <si>
    <t xml:space="preserve">Italian American Civil Rights League, Canarsie, Inc.</t>
  </si>
  <si>
    <t xml:space="preserve">112352099</t>
  </si>
  <si>
    <t xml:space="preserve">Youth Services &amp; Afterschool Enrichment Programming - Counci</t>
  </si>
  <si>
    <t xml:space="preserve">Child With A Mission, Inc.</t>
  </si>
  <si>
    <t xml:space="preserve">800858768</t>
  </si>
  <si>
    <t xml:space="preserve">Dance, Drama &amp; Steel PAN Programming - Council District 42</t>
  </si>
  <si>
    <t xml:space="preserve">Creative Spoken Word Program </t>
  </si>
  <si>
    <t xml:space="preserve">Supplemental Cleaning - Council District 42</t>
  </si>
  <si>
    <t xml:space="preserve">East Flatbush Village, Inc.</t>
  </si>
  <si>
    <t xml:space="preserve">800612019</t>
  </si>
  <si>
    <t xml:space="preserve">E.N.O.U.G.H  Community Beautification Project - Council Dist</t>
  </si>
  <si>
    <t xml:space="preserve">Neighborhood Beautification - Council District 42</t>
  </si>
  <si>
    <t xml:space="preserve">Local Development Corporation of East New York</t>
  </si>
  <si>
    <t xml:space="preserve">112556667</t>
  </si>
  <si>
    <t xml:space="preserve">The LDCENY's Brooklyn Women’s Business Center (BWBC) &amp; Green</t>
  </si>
  <si>
    <t xml:space="preserve">Fencing Programming - Council District 42 (ages 7-18) </t>
  </si>
  <si>
    <t xml:space="preserve">Park Update - Railroad Park - Council District 42</t>
  </si>
  <si>
    <t xml:space="preserve">East New York Farm (UCC) Programming - Council District 42</t>
  </si>
  <si>
    <t xml:space="preserve">Joseph Prison to Palace Program, Inc.</t>
  </si>
  <si>
    <t xml:space="preserve">851603288</t>
  </si>
  <si>
    <t xml:space="preserve">Programming - Pickle Ball, family and movie night programmin</t>
  </si>
  <si>
    <t xml:space="preserve">Community Programming in NYC Parks - Council District 42</t>
  </si>
  <si>
    <t xml:space="preserve">Penn Wortman Older Adult Center - CD 42 Programming</t>
  </si>
  <si>
    <t xml:space="preserve">Vandalia Older Adult Center - Council District 42</t>
  </si>
  <si>
    <t xml:space="preserve">Abe Stark Older Adult Center - CD 42 </t>
  </si>
  <si>
    <t xml:space="preserve">Cypress Hills Fulton Street Senior Citizens Center, Inc.</t>
  </si>
  <si>
    <t xml:space="preserve">112297647</t>
  </si>
  <si>
    <t xml:space="preserve">Cypress Hills Fulton Street Senior Citizens Center, Inc. - C</t>
  </si>
  <si>
    <t xml:space="preserve">Older ADULT Programming Council District 42</t>
  </si>
  <si>
    <t xml:space="preserve">Older Adult resources and programming - 42 council DISTRICT </t>
  </si>
  <si>
    <t xml:space="preserve">CABS Home Attendants Service, Inc.</t>
  </si>
  <si>
    <t xml:space="preserve">112503313</t>
  </si>
  <si>
    <t xml:space="preserve">CABS - Healthy Community + Nourish Initiative, a community-b</t>
  </si>
  <si>
    <t xml:space="preserve">Estate Planning - Medicare + Medicaid Programming -CD 42</t>
  </si>
  <si>
    <t xml:space="preserve">American Debate League, Inc.</t>
  </si>
  <si>
    <t xml:space="preserve">471624385</t>
  </si>
  <si>
    <t xml:space="preserve">Debate, Speech &amp; Academic Enrichment Programs - Council Dist</t>
  </si>
  <si>
    <t xml:space="preserve">Swim Program - Council District 42</t>
  </si>
  <si>
    <t xml:space="preserve">Empowering Spring Creek Community Event Series - Council Dis</t>
  </si>
  <si>
    <t xml:space="preserve">H.E.L.P. Social Service Corporation</t>
  </si>
  <si>
    <t xml:space="preserve">133678724</t>
  </si>
  <si>
    <t xml:space="preserve">Genesis Academy Afterschool Programming - Council District 4</t>
  </si>
  <si>
    <t xml:space="preserve">STEM/AI Programming - Council District 42</t>
  </si>
  <si>
    <t xml:space="preserve">Ballin Out Loud, Inc.</t>
  </si>
  <si>
    <t xml:space="preserve">472433652</t>
  </si>
  <si>
    <t xml:space="preserve">Youth Basketball Programming - Council District 42</t>
  </si>
  <si>
    <t xml:space="preserve">Project BOOST &amp; STEM Program - Council District 42</t>
  </si>
  <si>
    <t xml:space="preserve">Chess Education - Council District 42</t>
  </si>
  <si>
    <t xml:space="preserve">Press Pass NYC - Journalism &amp; Writing Program - Council Dist</t>
  </si>
  <si>
    <t xml:space="preserve">Brooklyn Scholars Charter School (84K740), J.H.S. 292K (19K2</t>
  </si>
  <si>
    <t xml:space="preserve">Prince Joshua Avitto Community Center - Council District 42</t>
  </si>
  <si>
    <t xml:space="preserve">East New York Youth Justice Programs - Council District 42</t>
  </si>
  <si>
    <t xml:space="preserve">Hetrick-Martin Institute, Inc.</t>
  </si>
  <si>
    <t xml:space="preserve">133104537</t>
  </si>
  <si>
    <t xml:space="preserve">LGBTQIA+ Youth Support - Council District 42</t>
  </si>
  <si>
    <t xml:space="preserve">Integrated Athletic Initiative - Youth Sports League for Spe</t>
  </si>
  <si>
    <t xml:space="preserve">Mo Better Jaguars Football, Inc.</t>
  </si>
  <si>
    <t xml:space="preserve">113501430</t>
  </si>
  <si>
    <t xml:space="preserve">Youth Sports &amp; Cheerleading Programing - Council District 42</t>
  </si>
  <si>
    <t xml:space="preserve">SCO Family of Services</t>
  </si>
  <si>
    <t xml:space="preserve">112777066</t>
  </si>
  <si>
    <t xml:space="preserve">ParentChild+ Program: SCO’s Early Head Start Program - Counc</t>
  </si>
  <si>
    <t xml:space="preserve">Th Kids, Inc.</t>
  </si>
  <si>
    <t xml:space="preserve">842593579</t>
  </si>
  <si>
    <t xml:space="preserve">Toy's for Hospitalized Children </t>
  </si>
  <si>
    <t xml:space="preserve">Youth Educational Trips - Council District 42</t>
  </si>
  <si>
    <t xml:space="preserve">204297703</t>
  </si>
  <si>
    <t xml:space="preserve">Cooks for Health - Council District 42</t>
  </si>
  <si>
    <t xml:space="preserve">Publicolor, Inc.</t>
  </si>
  <si>
    <t xml:space="preserve">133912768</t>
  </si>
  <si>
    <t xml:space="preserve">COLOR Club - Council District 42</t>
  </si>
  <si>
    <t xml:space="preserve">Power of Two  Early Childhood &amp; Parent Support - Council Dis</t>
  </si>
  <si>
    <t xml:space="preserve">Egbe Iwa Odo Kunrin Egbe Iwa Odo Binrin, Inc.</t>
  </si>
  <si>
    <t xml:space="preserve">204135646</t>
  </si>
  <si>
    <t xml:space="preserve">Scholarships, Mentorship &amp; Workshops – Council  District 42</t>
  </si>
  <si>
    <t xml:space="preserve">Youth Football Programming - Council District 42</t>
  </si>
  <si>
    <t xml:space="preserve">Green Keepers Initiative - Council District 6</t>
  </si>
  <si>
    <t xml:space="preserve">School Network - Council District 6</t>
  </si>
  <si>
    <t xml:space="preserve">Friends of Hudson River Park, Inc.</t>
  </si>
  <si>
    <t xml:space="preserve">134112913</t>
  </si>
  <si>
    <t xml:space="preserve">Friends of Hudson River Park Volunteer Program - Council Dis</t>
  </si>
  <si>
    <t xml:space="preserve">Water Ecology, Engineering Field Trips &amp; Virtual Lessons - C</t>
  </si>
  <si>
    <t xml:space="preserve">Hydroponic Classrooms - Council District 6</t>
  </si>
  <si>
    <t xml:space="preserve">Teens for Food Justice, Inc.</t>
  </si>
  <si>
    <t xml:space="preserve">453591508</t>
  </si>
  <si>
    <t xml:space="preserve">Hydroponic Farm, Nutrition &amp; Advocacy Program - Council Dist</t>
  </si>
  <si>
    <t xml:space="preserve">West 88th Street Older Adult Center</t>
  </si>
  <si>
    <t xml:space="preserve">Council of Senior Centers and Services of NYC, Inc.</t>
  </si>
  <si>
    <t xml:space="preserve">132967277</t>
  </si>
  <si>
    <t xml:space="preserve">Rights &amp; Information for Older Adults Empowerment - Council </t>
  </si>
  <si>
    <t xml:space="preserve">Older Adults Programs - Council District 6</t>
  </si>
  <si>
    <t xml:space="preserve">Encore Community Services</t>
  </si>
  <si>
    <t xml:space="preserve">133104293</t>
  </si>
  <si>
    <t xml:space="preserve">Older Adult Home Delivered Meal Program</t>
  </si>
  <si>
    <t xml:space="preserve">Find Aid for the Aged, Inc.</t>
  </si>
  <si>
    <t xml:space="preserve">132666921</t>
  </si>
  <si>
    <t xml:space="preserve">Hamilton Adult Center - Project FIND Older Adult Classes</t>
  </si>
  <si>
    <t xml:space="preserve">Health Advocates for Older People, Inc.</t>
  </si>
  <si>
    <t xml:space="preserve">134165807</t>
  </si>
  <si>
    <t xml:space="preserve">Healthy Aging - Council District 6</t>
  </si>
  <si>
    <t xml:space="preserve">Holocaust Music Lost &amp; Found, Inc.</t>
  </si>
  <si>
    <t xml:space="preserve">871567482</t>
  </si>
  <si>
    <t xml:space="preserve">Holocaust Music History - Council District 6</t>
  </si>
  <si>
    <t xml:space="preserve">Club 76 Older Adult Center</t>
  </si>
  <si>
    <t xml:space="preserve">St. Martins Tower NORC - Supportive Services Program</t>
  </si>
  <si>
    <t xml:space="preserve">Lincoln House Outreach, Inc.</t>
  </si>
  <si>
    <t xml:space="preserve">133668207</t>
  </si>
  <si>
    <t xml:space="preserve">Community Outreach - Council District 6</t>
  </si>
  <si>
    <t xml:space="preserve">Medicare Rights Center, Inc.</t>
  </si>
  <si>
    <t xml:space="preserve">133505372</t>
  </si>
  <si>
    <t xml:space="preserve">Education &amp; Enrollment Program - Council District 6</t>
  </si>
  <si>
    <t xml:space="preserve">New York Foundation for Senior Citizens, Inc.</t>
  </si>
  <si>
    <t xml:space="preserve">132618568</t>
  </si>
  <si>
    <t xml:space="preserve">Home Sharing &amp; Respite Care Program</t>
  </si>
  <si>
    <t xml:space="preserve">Estate Planning Program - Council District 6</t>
  </si>
  <si>
    <t xml:space="preserve">SHARE: Self-Help for Women with Breast or Ovarian Cancer, Inc.</t>
  </si>
  <si>
    <t xml:space="preserve">133131914</t>
  </si>
  <si>
    <t xml:space="preserve">Ovarian, Cervical &amp; Uterine Cancer Outreach, Education &amp; Sup</t>
  </si>
  <si>
    <t xml:space="preserve">Older Adult Center Musical Programs</t>
  </si>
  <si>
    <t xml:space="preserve">Project Open, Inc.</t>
  </si>
  <si>
    <t xml:space="preserve">133744003</t>
  </si>
  <si>
    <t xml:space="preserve">Older Adult Services - Lincoln Towers</t>
  </si>
  <si>
    <t xml:space="preserve">Blind or Visually Impaired Older Adult Services - Council Di</t>
  </si>
  <si>
    <t xml:space="preserve">GrowNYC Fresh Food Box - Council District 6</t>
  </si>
  <si>
    <t xml:space="preserve">Fresh Food for Seniors - Council District 6</t>
  </si>
  <si>
    <t xml:space="preserve">Housing Conservation Coordinators, Inc.</t>
  </si>
  <si>
    <t xml:space="preserve">510141489</t>
  </si>
  <si>
    <t xml:space="preserve">Community Legal &amp; Organizing Program - Council District 6</t>
  </si>
  <si>
    <t xml:space="preserve">Housing Court Answers, Inc.</t>
  </si>
  <si>
    <t xml:space="preserve">133317188</t>
  </si>
  <si>
    <t xml:space="preserve">Information Table, Hotline &amp; Housing Court Assistance</t>
  </si>
  <si>
    <t xml:space="preserve">Jewish Community Center in Manhattan, Inc., The</t>
  </si>
  <si>
    <t xml:space="preserve">133490745</t>
  </si>
  <si>
    <t xml:space="preserve">Bereavement &amp; Support Programs</t>
  </si>
  <si>
    <t xml:space="preserve">Project Rousseau, Inc</t>
  </si>
  <si>
    <t xml:space="preserve">274529216</t>
  </si>
  <si>
    <t xml:space="preserve">Legal Services - Council District 6</t>
  </si>
  <si>
    <t xml:space="preserve">Creating Opportunities for Amsterdam</t>
  </si>
  <si>
    <t xml:space="preserve">453023036</t>
  </si>
  <si>
    <t xml:space="preserve">Frank McCourt High School - Brandeis Campus (03M417)</t>
  </si>
  <si>
    <t xml:space="preserve">Martin Luther King Educational Complex (03M492)</t>
  </si>
  <si>
    <t xml:space="preserve">Middle School 245M The Computer School (03M245)</t>
  </si>
  <si>
    <t xml:space="preserve">Public School 084M Lillian Weber (03M084)</t>
  </si>
  <si>
    <t xml:space="preserve">Children's Museum of Manhattan</t>
  </si>
  <si>
    <t xml:space="preserve">132761376</t>
  </si>
  <si>
    <t xml:space="preserve">Public School 811M Mickey Mantle School (75M811)</t>
  </si>
  <si>
    <t xml:space="preserve">Innovation Diploma Plus (03M404)</t>
  </si>
  <si>
    <t xml:space="preserve">Public School 075M Emily Dickinson (03M075)</t>
  </si>
  <si>
    <t xml:space="preserve">Public School 333M Manhattan School for Children (03M333) ND</t>
  </si>
  <si>
    <t xml:space="preserve">New York Historical Society</t>
  </si>
  <si>
    <t xml:space="preserve">131624124</t>
  </si>
  <si>
    <t xml:space="preserve">High School of Arts and Technology (03M494)</t>
  </si>
  <si>
    <t xml:space="preserve">Middle School 247M Dual Language Middle School (03M247)</t>
  </si>
  <si>
    <t xml:space="preserve">Studio in a School Association, Inc.</t>
  </si>
  <si>
    <t xml:space="preserve">133003112</t>
  </si>
  <si>
    <t xml:space="preserve">Vivian Beaumont Theater, Inc., The</t>
  </si>
  <si>
    <t xml:space="preserve">133004747</t>
  </si>
  <si>
    <t xml:space="preserve">Fiorello H. LaGuardia High School of Music &amp; Art and Perform</t>
  </si>
  <si>
    <t xml:space="preserve">New York City Ballet, Inc.</t>
  </si>
  <si>
    <t xml:space="preserve">132947386</t>
  </si>
  <si>
    <t xml:space="preserve">Public Schools 009 - Sarah Anderson School (03M009)</t>
  </si>
  <si>
    <t xml:space="preserve">Fiji Theater Company, Inc.</t>
  </si>
  <si>
    <t xml:space="preserve">132874863</t>
  </si>
  <si>
    <t xml:space="preserve">Secret Histories Arts Education - Council District 6</t>
  </si>
  <si>
    <t xml:space="preserve">Landmark West!, Inc.</t>
  </si>
  <si>
    <t xml:space="preserve">133363655</t>
  </si>
  <si>
    <t xml:space="preserve"> They Were Here - Council District 6</t>
  </si>
  <si>
    <t xml:space="preserve">Bienvenidos Ticket Program - Council District 6</t>
  </si>
  <si>
    <t xml:space="preserve">Israeli-American Youth Movement - Council District 6</t>
  </si>
  <si>
    <t xml:space="preserve">Annual NYC Multicultural Festival - Council District 6</t>
  </si>
  <si>
    <t xml:space="preserve">New York Scandia Symphony</t>
  </si>
  <si>
    <t xml:space="preserve">133574230</t>
  </si>
  <si>
    <t xml:space="preserve">Concert Series - Council District 6</t>
  </si>
  <si>
    <t xml:space="preserve">New Yorkers for Parks</t>
  </si>
  <si>
    <t xml:space="preserve">136167879</t>
  </si>
  <si>
    <t xml:space="preserve">The Daffodil Civic Engagement Project - Council District 6</t>
  </si>
  <si>
    <t xml:space="preserve">Shadow Box Theatre, Inc., The</t>
  </si>
  <si>
    <t xml:space="preserve">132725580</t>
  </si>
  <si>
    <t xml:space="preserve">Free Ticket Program - Council District 6</t>
  </si>
  <si>
    <t xml:space="preserve">Fordham University</t>
  </si>
  <si>
    <t xml:space="preserve">131740451</t>
  </si>
  <si>
    <t xml:space="preserve"> Feerick Center Immigrant Justice Project</t>
  </si>
  <si>
    <t xml:space="preserve">Global Arts: Cultural Literacy &amp; Heritage </t>
  </si>
  <si>
    <t xml:space="preserve">Digital Chess Education - Teachers &amp; Students</t>
  </si>
  <si>
    <t xml:space="preserve">AI League stem program - Council District 06</t>
  </si>
  <si>
    <t xml:space="preserve">Older Adults Technology Services (OATS), Inc.</t>
  </si>
  <si>
    <t xml:space="preserve">550882599</t>
  </si>
  <si>
    <t xml:space="preserve">Digital Inclusion for Older Adults - Council District 06</t>
  </si>
  <si>
    <t xml:space="preserve">FamilyKind, Ltd.</t>
  </si>
  <si>
    <t xml:space="preserve">454636528</t>
  </si>
  <si>
    <t xml:space="preserve">2-Generational STEAM Education - District 6</t>
  </si>
  <si>
    <t xml:space="preserve">BetaNYC's Civic Innovation Lab - Council District 6</t>
  </si>
  <si>
    <t xml:space="preserve">NYC First, Inc.</t>
  </si>
  <si>
    <t xml:space="preserve">462754933</t>
  </si>
  <si>
    <t xml:space="preserve">Youth Robotics Leagues &amp; STEM Programs - Council District 6</t>
  </si>
  <si>
    <t xml:space="preserve">Crime Victims Treatment Center, Inc.</t>
  </si>
  <si>
    <t xml:space="preserve">815080860</t>
  </si>
  <si>
    <t xml:space="preserve">Survivor &amp; Sexual Violence Prevention Program - Council Dist</t>
  </si>
  <si>
    <t xml:space="preserve">Healthcare Access for Victims of Domestic Violence</t>
  </si>
  <si>
    <t xml:space="preserve">New York City Parents of Lesbians and Gay Men, Inc.</t>
  </si>
  <si>
    <t xml:space="preserve">133049626</t>
  </si>
  <si>
    <t xml:space="preserve">LGBTQ+ youth and families impacted by domestic violence </t>
  </si>
  <si>
    <t xml:space="preserve">Center for Anti-Violence Education (CAE), Inc., The </t>
  </si>
  <si>
    <t xml:space="preserve">112444676</t>
  </si>
  <si>
    <t xml:space="preserve">Empowerment Self-Defense - Council District 6</t>
  </si>
  <si>
    <t xml:space="preserve">Children &amp; Families in Shelters - Council District 6</t>
  </si>
  <si>
    <t xml:space="preserve">Connect, Inc.</t>
  </si>
  <si>
    <t xml:space="preserve">020694269</t>
  </si>
  <si>
    <t xml:space="preserve">Community Empowerment Program - Council District 6</t>
  </si>
  <si>
    <t xml:space="preserve">Domestic Violence Survivor Programming - Council District 6</t>
  </si>
  <si>
    <t xml:space="preserve">Her Justice, Inc.</t>
  </si>
  <si>
    <t xml:space="preserve">133688519</t>
  </si>
  <si>
    <t xml:space="preserve">Survivor services - Council District 6</t>
  </si>
  <si>
    <t xml:space="preserve">Manhattan Legal Services</t>
  </si>
  <si>
    <t xml:space="preserve">132613958</t>
  </si>
  <si>
    <t xml:space="preserve">Intimate Partner and Family Abuse Services - Council Distric</t>
  </si>
  <si>
    <t xml:space="preserve">Domestic Violence Awareness Education</t>
  </si>
  <si>
    <t xml:space="preserve">New York City Gay and Lesbian Anti-Violence Project, Inc.</t>
  </si>
  <si>
    <t xml:space="preserve">133149200</t>
  </si>
  <si>
    <t xml:space="preserve">Intimate Partner Violence Counseling &amp; Services Program - Co</t>
  </si>
  <si>
    <t xml:space="preserve">New York Immigration Coalition, Inc.</t>
  </si>
  <si>
    <t xml:space="preserve">133573409</t>
  </si>
  <si>
    <t xml:space="preserve">John Jay College</t>
  </si>
  <si>
    <t xml:space="preserve">Upper West Side Housing Clinics &amp; Tenant Rights Workshops - </t>
  </si>
  <si>
    <t xml:space="preserve">Law Project Housing Clinics - Council District 6</t>
  </si>
  <si>
    <t xml:space="preserve">Food Access Program - Council District 6</t>
  </si>
  <si>
    <t xml:space="preserve">Beautification &amp; Maintenance Program - Council District 6</t>
  </si>
  <si>
    <t xml:space="preserve">Center at West Park, The</t>
  </si>
  <si>
    <t xml:space="preserve">814802422</t>
  </si>
  <si>
    <t xml:space="preserve">Inclusion Concert</t>
  </si>
  <si>
    <t xml:space="preserve">Middle School 245M Computer School (03M245)</t>
  </si>
  <si>
    <t xml:space="preserve">Public School 84M (03M084) Lillian Weber </t>
  </si>
  <si>
    <t xml:space="preserve">Keeping the Past for the Future</t>
  </si>
  <si>
    <t xml:space="preserve">The Riverside School for Makers and Artists (03M191) </t>
  </si>
  <si>
    <t xml:space="preserve">Public School 452M (03M452)</t>
  </si>
  <si>
    <t xml:space="preserve">Columbus Avenue District Management Association, Inc.</t>
  </si>
  <si>
    <t xml:space="preserve">061561857</t>
  </si>
  <si>
    <t xml:space="preserve">Seasonal &amp; Open Streets Programming -  Council District 6</t>
  </si>
  <si>
    <t xml:space="preserve">Lincoln Square District Management Association, Inc.</t>
  </si>
  <si>
    <t xml:space="preserve">133922300</t>
  </si>
  <si>
    <t xml:space="preserve">Seasonal Programming</t>
  </si>
  <si>
    <t xml:space="preserve">Bike Helmet Giveaways - Council District 6</t>
  </si>
  <si>
    <t xml:space="preserve">Council District 6</t>
  </si>
  <si>
    <t xml:space="preserve">Alvin Ailey Dance Foundation, Inc.</t>
  </si>
  <si>
    <t xml:space="preserve">132584273</t>
  </si>
  <si>
    <t xml:space="preserve">Youth Dance Program</t>
  </si>
  <si>
    <t xml:space="preserve">American Folk Art Museum</t>
  </si>
  <si>
    <t xml:space="preserve">131985627</t>
  </si>
  <si>
    <t xml:space="preserve">Museum Career Internship Program</t>
  </si>
  <si>
    <t xml:space="preserve">American Museum of Natural History</t>
  </si>
  <si>
    <t xml:space="preserve">136162659</t>
  </si>
  <si>
    <t xml:space="preserve">Discovery Days Program - Council District 6</t>
  </si>
  <si>
    <t xml:space="preserve">Breast and Prostate Cancer Outreach, Education &amp; Navigation </t>
  </si>
  <si>
    <t xml:space="preserve">Art Beyond Sight, Inc.</t>
  </si>
  <si>
    <t xml:space="preserve">133477104</t>
  </si>
  <si>
    <t xml:space="preserve">Disability Pride Parade </t>
  </si>
  <si>
    <t xml:space="preserve">Ballet and Beyond NYC, Inc.</t>
  </si>
  <si>
    <t xml:space="preserve">811705519</t>
  </si>
  <si>
    <t xml:space="preserve">Summer Performing Arts Conservatory - Council District 6</t>
  </si>
  <si>
    <t xml:space="preserve">Big Apple Greeter, Inc.</t>
  </si>
  <si>
    <t xml:space="preserve">133733413</t>
  </si>
  <si>
    <t xml:space="preserve">Small Business Program - Council District 6</t>
  </si>
  <si>
    <t xml:space="preserve">CityParks Plays &amp; Shows</t>
  </si>
  <si>
    <t xml:space="preserve">Congregation B'nai Jeshurun Starafroler Hebria</t>
  </si>
  <si>
    <t xml:space="preserve">130594858</t>
  </si>
  <si>
    <t xml:space="preserve">Judith Bernstein Lunch Program</t>
  </si>
  <si>
    <t xml:space="preserve">Community Action School - Middle School 258M (03M258)</t>
  </si>
  <si>
    <t xml:space="preserve">The Richard Rodgers School of the Arts &amp; Technology 166M (03</t>
  </si>
  <si>
    <t xml:space="preserve">Elaine Kaufman Cultural Center/Lucy Moses School for Music and Dance</t>
  </si>
  <si>
    <t xml:space="preserve">131991118</t>
  </si>
  <si>
    <t xml:space="preserve">Special Music School - Music Program</t>
  </si>
  <si>
    <t xml:space="preserve">Evangelical Lutheran Church of the Advent</t>
  </si>
  <si>
    <t xml:space="preserve">131635264</t>
  </si>
  <si>
    <t xml:space="preserve">Music Mondays</t>
  </si>
  <si>
    <t xml:space="preserve">Film Society of Lincoln Center</t>
  </si>
  <si>
    <t xml:space="preserve">237042553</t>
  </si>
  <si>
    <t xml:space="preserve">Film Program</t>
  </si>
  <si>
    <t xml:space="preserve">Frog &amp; Peach Theatre Co., Inc.</t>
  </si>
  <si>
    <t xml:space="preserve">133916149</t>
  </si>
  <si>
    <t xml:space="preserve">Main Stage Programming</t>
  </si>
  <si>
    <t xml:space="preserve">Protecting Against Predatory Practices - Council District 6</t>
  </si>
  <si>
    <t xml:space="preserve">Jazz at Lincoln Center, Inc.</t>
  </si>
  <si>
    <t xml:space="preserve">133888641</t>
  </si>
  <si>
    <t xml:space="preserve">Middle School Jazz Academy</t>
  </si>
  <si>
    <t xml:space="preserve">D3 Open Arms Coalition</t>
  </si>
  <si>
    <t xml:space="preserve">Who Owns What, Tenant App &amp; Eviction Free NY - Council Distr</t>
  </si>
  <si>
    <t xml:space="preserve">Midtown Community Justice Center: Community Justice Initiati</t>
  </si>
  <si>
    <t xml:space="preserve">Civil Legal Services - Council District 6</t>
  </si>
  <si>
    <t xml:space="preserve">Lincoln Center for the Performing Arts, Inc.</t>
  </si>
  <si>
    <t xml:space="preserve">131847137</t>
  </si>
  <si>
    <t xml:space="preserve">Autism Spectrum &amp; Developmental Disabilities Programs</t>
  </si>
  <si>
    <t xml:space="preserve">Make Music New York, Inc.</t>
  </si>
  <si>
    <t xml:space="preserve">205751217</t>
  </si>
  <si>
    <t xml:space="preserve">Festival - Council District 6</t>
  </si>
  <si>
    <t xml:space="preserve">Housing Mutual Aid Program</t>
  </si>
  <si>
    <t xml:space="preserve">Metropolitan Museum of Art, The</t>
  </si>
  <si>
    <t xml:space="preserve">131624086</t>
  </si>
  <si>
    <t xml:space="preserve">Teens Take the Met - Council District 6</t>
  </si>
  <si>
    <t xml:space="preserve">Summer Recital Series - Council District 6</t>
  </si>
  <si>
    <t xml:space="preserve">Metropolitan Opera Association, Inc.</t>
  </si>
  <si>
    <t xml:space="preserve">131624087</t>
  </si>
  <si>
    <t xml:space="preserve">Museum of Arts and Design</t>
  </si>
  <si>
    <t xml:space="preserve">133585408</t>
  </si>
  <si>
    <t xml:space="preserve">Community Programming - Council District 6</t>
  </si>
  <si>
    <t xml:space="preserve">In-School Residency Program - Council District 6</t>
  </si>
  <si>
    <t xml:space="preserve">New York Shakespeare Festival</t>
  </si>
  <si>
    <t xml:space="preserve">131844852</t>
  </si>
  <si>
    <t xml:space="preserve">Shakespeare in the Park Movie Party - Central Park</t>
  </si>
  <si>
    <t xml:space="preserve">New York State Tenants and Neighbors Information Service, Inc.</t>
  </si>
  <si>
    <t xml:space="preserve">141761209</t>
  </si>
  <si>
    <t xml:space="preserve">Restoring &amp; Preserving Affordable Housing </t>
  </si>
  <si>
    <t xml:space="preserve">NYLaughs, Inc.</t>
  </si>
  <si>
    <t xml:space="preserve">262348306</t>
  </si>
  <si>
    <t xml:space="preserve">Free Stand-Up Comedy - Council District 6</t>
  </si>
  <si>
    <t xml:space="preserve">E-Waste Collection Events - Council District 6</t>
  </si>
  <si>
    <t xml:space="preserve">Homelessness Prevention &amp; Housing Services - Council Distric</t>
  </si>
  <si>
    <t xml:space="preserve">Philharmonic-Symphony Society of New York, Inc.</t>
  </si>
  <si>
    <t xml:space="preserve">131664054</t>
  </si>
  <si>
    <t xml:space="preserve">Music Education - Public School 199M Jessie Isador Straus Sc</t>
  </si>
  <si>
    <t xml:space="preserve">Drama Based Interactive Educational Workshops - MLK Educatio</t>
  </si>
  <si>
    <t xml:space="preserve">Lincoln Center Theater - Open Stages Education Program</t>
  </si>
  <si>
    <t xml:space="preserve">West 87th Street Park and Garden</t>
  </si>
  <si>
    <t xml:space="preserve">134067780</t>
  </si>
  <si>
    <t xml:space="preserve">Garden Events &amp; Stewardship</t>
  </si>
  <si>
    <t xml:space="preserve">Wild Bird Fund, Inc.</t>
  </si>
  <si>
    <t xml:space="preserve">320155774</t>
  </si>
  <si>
    <t xml:space="preserve">Wildlife Rehabilitation</t>
  </si>
  <si>
    <t xml:space="preserve">Society for Ethical Culture in the City of New York</t>
  </si>
  <si>
    <t xml:space="preserve">131624186</t>
  </si>
  <si>
    <t xml:space="preserve">Ethical Street Fair</t>
  </si>
  <si>
    <t xml:space="preserve">Educational Programs - Council District 6</t>
  </si>
  <si>
    <t xml:space="preserve">New York Classical Theatre, Inc.</t>
  </si>
  <si>
    <t xml:space="preserve">861056388</t>
  </si>
  <si>
    <t xml:space="preserve">Performances - Council District 6</t>
  </si>
  <si>
    <t xml:space="preserve">Reelabilities International, Inc.</t>
  </si>
  <si>
    <t xml:space="preserve">931851869</t>
  </si>
  <si>
    <t xml:space="preserve">Film Festiva &amp; Educational Program</t>
  </si>
  <si>
    <t xml:space="preserve">Project Renewal, Inc.</t>
  </si>
  <si>
    <t xml:space="preserve">132602882</t>
  </si>
  <si>
    <t xml:space="preserve">Homeless Support &amp; Community Safety Services - Council Distr</t>
  </si>
  <si>
    <t xml:space="preserve">West End Secondary School (03M291)</t>
  </si>
  <si>
    <t xml:space="preserve">Aperture Foundation, Inc.</t>
  </si>
  <si>
    <t xml:space="preserve">133120824</t>
  </si>
  <si>
    <t xml:space="preserve">Photography Education Programs - Council District 6</t>
  </si>
  <si>
    <t xml:space="preserve">CUNY Citizenship NOW Program - Council District 6</t>
  </si>
  <si>
    <t xml:space="preserve">WSUR (Brownstones) Tenant Association</t>
  </si>
  <si>
    <t xml:space="preserve">Amsterdam &amp; Amsterdam Addition Tenant Association</t>
  </si>
  <si>
    <t xml:space="preserve">Amsterdam Houses Tenant Association</t>
  </si>
  <si>
    <t xml:space="preserve">Harborview Terrace Tenant Association</t>
  </si>
  <si>
    <t xml:space="preserve">CUNY Scholarships - Council District 6</t>
  </si>
  <si>
    <t xml:space="preserve">Thomas Apartments Tenant Association</t>
  </si>
  <si>
    <t xml:space="preserve">Wise Rehab Tenant Association</t>
  </si>
  <si>
    <t xml:space="preserve">Wise Towers Tenant Association</t>
  </si>
  <si>
    <t xml:space="preserve">WSUR (Site B) 74 West 92nd Street</t>
  </si>
  <si>
    <t xml:space="preserve">Greenkeepers &amp; TOP Opportunities - District 6</t>
  </si>
  <si>
    <t xml:space="preserve">Environmental Initiatives - Council District 6</t>
  </si>
  <si>
    <t xml:space="preserve">Earth Matter NY</t>
  </si>
  <si>
    <t xml:space="preserve">270625845</t>
  </si>
  <si>
    <t xml:space="preserve">Zero Waste Youth Training &amp; Riverside Park Composting</t>
  </si>
  <si>
    <t xml:space="preserve">Upper West Side Recycling Center, Inc.</t>
  </si>
  <si>
    <t xml:space="preserve">133116064</t>
  </si>
  <si>
    <t xml:space="preserve">Environmental Education, Outreach &amp; Community Recycling  (E-</t>
  </si>
  <si>
    <t xml:space="preserve">Chashama Arts, Inc.</t>
  </si>
  <si>
    <t xml:space="preserve">133862422</t>
  </si>
  <si>
    <t xml:space="preserve">Business Attraction - Council District 6 </t>
  </si>
  <si>
    <t xml:space="preserve">Small Businesses &amp; Organizations Support - Council District </t>
  </si>
  <si>
    <t xml:space="preserve">Manhattan Chamber of Commerce Foundation</t>
  </si>
  <si>
    <t xml:space="preserve">134016593</t>
  </si>
  <si>
    <t xml:space="preserve">Chamber on the Go - Council District 6</t>
  </si>
  <si>
    <t xml:space="preserve">Street Vendor Project - Council District 6</t>
  </si>
  <si>
    <t xml:space="preserve">Women's Project Theater &amp; Productions, Inc., The </t>
  </si>
  <si>
    <t xml:space="preserve">133369451</t>
  </si>
  <si>
    <t xml:space="preserve">Mainstage Season - Council District 6</t>
  </si>
  <si>
    <t xml:space="preserve">Riverside Park Equity Program</t>
  </si>
  <si>
    <t xml:space="preserve">Beazers Garden Urban Environmental Education Services, Inc.</t>
  </si>
  <si>
    <t xml:space="preserve">932221740</t>
  </si>
  <si>
    <t xml:space="preserve">Garden After-School &amp; Summer Program - P.S. 084M Lillian Web</t>
  </si>
  <si>
    <t xml:space="preserve">Film Series - District 6</t>
  </si>
  <si>
    <t xml:space="preserve">West Side Community Garden, Inc.</t>
  </si>
  <si>
    <t xml:space="preserve">133993092</t>
  </si>
  <si>
    <t xml:space="preserve">Free Garden Programs - Council District 6</t>
  </si>
  <si>
    <t xml:space="preserve">Public programs district 6</t>
  </si>
  <si>
    <t xml:space="preserve">Macaulay Honors College Foundation - City Nature Challenge</t>
  </si>
  <si>
    <t xml:space="preserve">Project FIND - Council District 6</t>
  </si>
  <si>
    <t xml:space="preserve">Lincoln Square Neighborhood Center - Adult Center</t>
  </si>
  <si>
    <t xml:space="preserve">National Council of Jewish Women, New York Section</t>
  </si>
  <si>
    <t xml:space="preserve">131624132</t>
  </si>
  <si>
    <t xml:space="preserve">Council Lifetime Learning</t>
  </si>
  <si>
    <t xml:space="preserve">Carnegie Hall Corporation, The</t>
  </si>
  <si>
    <t xml:space="preserve">131923626</t>
  </si>
  <si>
    <t xml:space="preserve">Carnegie Hall Citywide Series 2025 - Council District 6</t>
  </si>
  <si>
    <t xml:space="preserve">Rights &amp; Information for Senior Empowerment - Council Distri</t>
  </si>
  <si>
    <t xml:space="preserve">Senior Dance &amp; Community Wellness Initiative - Council Distr</t>
  </si>
  <si>
    <t xml:space="preserve">Doula Program to Accompany and Comfort, Inc.</t>
  </si>
  <si>
    <t xml:space="preserve">461117388</t>
  </si>
  <si>
    <t xml:space="preserve">End of Life Program - Council District 6</t>
  </si>
  <si>
    <t xml:space="preserve">West Side NORC Program - Council District 6</t>
  </si>
  <si>
    <t xml:space="preserve">Search and Care, Inc.</t>
  </si>
  <si>
    <t xml:space="preserve">237444790</t>
  </si>
  <si>
    <t xml:space="preserve">Supportive Services for Older Adults - Council District 6</t>
  </si>
  <si>
    <t xml:space="preserve">Selfhelp Community Services, Inc.</t>
  </si>
  <si>
    <t xml:space="preserve">131624178</t>
  </si>
  <si>
    <t xml:space="preserve">Virtual Senior Center - Council District 6</t>
  </si>
  <si>
    <t xml:space="preserve">Mental Healthcare for Vulnerable Older Adults</t>
  </si>
  <si>
    <t xml:space="preserve">Volunteers of Legal Service, Inc.</t>
  </si>
  <si>
    <t xml:space="preserve">133234630</t>
  </si>
  <si>
    <t xml:space="preserve">Senior Law Project - Council District 6</t>
  </si>
  <si>
    <t xml:space="preserve">Lower Manhattan Cultural Council</t>
  </si>
  <si>
    <t xml:space="preserve">237348782</t>
  </si>
  <si>
    <t xml:space="preserve">Older Adult core partnership program</t>
  </si>
  <si>
    <t xml:space="preserve">Exercise for Health - Council District 6</t>
  </si>
  <si>
    <t xml:space="preserve">Youth programs including Amsterdam Houses &amp; Addition</t>
  </si>
  <si>
    <t xml:space="preserve">College Readiness Program - Innovation Diploma Plus (03M404)</t>
  </si>
  <si>
    <t xml:space="preserve">Young People's Chorus of New York City, Inc.</t>
  </si>
  <si>
    <t xml:space="preserve">113372980</t>
  </si>
  <si>
    <t xml:space="preserve">Music Education &amp; Performance Programs</t>
  </si>
  <si>
    <t xml:space="preserve">Adamah, Inc.</t>
  </si>
  <si>
    <t xml:space="preserve">432080719</t>
  </si>
  <si>
    <t xml:space="preserve">Climate Activism Programs - Council District 6</t>
  </si>
  <si>
    <t xml:space="preserve">Jill Chaifetz Education Helpline</t>
  </si>
  <si>
    <t xml:space="preserve">Arts in Action VAP, Inc.</t>
  </si>
  <si>
    <t xml:space="preserve">562322737</t>
  </si>
  <si>
    <t xml:space="preserve">Afterschool Fine Arts Classes</t>
  </si>
  <si>
    <t xml:space="preserve">Training Program</t>
  </si>
  <si>
    <t xml:space="preserve">Cash Camp, Inc.</t>
  </si>
  <si>
    <t xml:space="preserve">203813654</t>
  </si>
  <si>
    <t xml:space="preserve">Cash Camp, Inc. d/b/a World of Money</t>
  </si>
  <si>
    <t xml:space="preserve">Integrated Service Program - Council District 6</t>
  </si>
  <si>
    <t xml:space="preserve">Storytelling Programming - Council District 6</t>
  </si>
  <si>
    <t xml:space="preserve">Education Through Music Program - Council District 6</t>
  </si>
  <si>
    <t xml:space="preserve">Gardening, Horticulture &amp; Nutrition Education</t>
  </si>
  <si>
    <t xml:space="preserve">Juilliard School, The</t>
  </si>
  <si>
    <t xml:space="preserve">131624067</t>
  </si>
  <si>
    <t xml:space="preserve">Community Engagement Performance Series</t>
  </si>
  <si>
    <t xml:space="preserve">League of Women Voters of the City of New York, Inc.</t>
  </si>
  <si>
    <t xml:space="preserve">133100525</t>
  </si>
  <si>
    <t xml:space="preserve">Civic Engagement Initiatives - Council District 6</t>
  </si>
  <si>
    <t xml:space="preserve">New York Choral Society, Inc.</t>
  </si>
  <si>
    <t xml:space="preserve">136103602</t>
  </si>
  <si>
    <t xml:space="preserve">Season Performances &amp; Community Engagement Programs - Counci</t>
  </si>
  <si>
    <t xml:space="preserve">Stephen Gaynor School</t>
  </si>
  <si>
    <t xml:space="preserve">131969570</t>
  </si>
  <si>
    <t xml:space="preserve">Phonics Professional Development  - Public School 87M Willia</t>
  </si>
  <si>
    <t xml:space="preserve">Decode Hate Workshops - Council District 6</t>
  </si>
  <si>
    <t xml:space="preserve">Strycker's Bay Neighborhood Council, Inc.</t>
  </si>
  <si>
    <t xml:space="preserve">131943516</t>
  </si>
  <si>
    <t xml:space="preserve">Afterschool Program - the Commons</t>
  </si>
  <si>
    <t xml:space="preserve">Wellness in the Schools, Inc.</t>
  </si>
  <si>
    <t xml:space="preserve">251919494</t>
  </si>
  <si>
    <t xml:space="preserve">Coach for Kids - Council District 6</t>
  </si>
  <si>
    <t xml:space="preserve">West Side YMCA - Teen Programming</t>
  </si>
  <si>
    <t xml:space="preserve">Happiness Factory, Inc.</t>
  </si>
  <si>
    <t xml:space="preserve">991109180</t>
  </si>
  <si>
    <t xml:space="preserve">Intergenerational Concert Program -  Council District 6</t>
  </si>
  <si>
    <t xml:space="preserve">Art on the Block NYC, Inc.</t>
  </si>
  <si>
    <t xml:space="preserve">991231643</t>
  </si>
  <si>
    <t xml:space="preserve">Public Art Workshops &amp; Classes -  Council District 6</t>
  </si>
  <si>
    <t xml:space="preserve">Simon Wiesenthal Center, Inc.</t>
  </si>
  <si>
    <t xml:space="preserve">953964928</t>
  </si>
  <si>
    <t xml:space="preserve">Combatting Hate in Digital Spaces - Innovation Diploma Plus </t>
  </si>
  <si>
    <t xml:space="preserve">New York Bluebirds, Inc.</t>
  </si>
  <si>
    <t xml:space="preserve">334148414</t>
  </si>
  <si>
    <t xml:space="preserve">Baseball Mentoring Program - Council District 6</t>
  </si>
  <si>
    <t xml:space="preserve">Youth Food Access Program - Council District 6</t>
  </si>
  <si>
    <t xml:space="preserve">Bronx Civil Legal Services (Mobile Legal Help Center) - Coun</t>
  </si>
  <si>
    <t xml:space="preserve">Veteran Legal Services - Council District 12</t>
  </si>
  <si>
    <t xml:space="preserve">Kingsbridge Heights Community Center, Inc.</t>
  </si>
  <si>
    <t xml:space="preserve">132813809</t>
  </si>
  <si>
    <t xml:space="preserve">Council District 14 Housing Navigator - KHCC Connect</t>
  </si>
  <si>
    <t xml:space="preserve">Food Giveaways - Council District 18</t>
  </si>
  <si>
    <t xml:space="preserve">BeingEgypt Cares, Inc.</t>
  </si>
  <si>
    <t xml:space="preserve">921532576</t>
  </si>
  <si>
    <t xml:space="preserve">Kindness Carnival - Council District 12</t>
  </si>
  <si>
    <t xml:space="preserve">Children's Arts &amp; Science Workshops, Inc.</t>
  </si>
  <si>
    <t xml:space="preserve">132752494</t>
  </si>
  <si>
    <t xml:space="preserve">Flavors of the Community - Bronx River Community Center</t>
  </si>
  <si>
    <t xml:space="preserve">Roads to Success, Inc.</t>
  </si>
  <si>
    <t xml:space="preserve">113599459</t>
  </si>
  <si>
    <t xml:space="preserve">College/Career Readiness, Job Training &amp; Placement Initiativ</t>
  </si>
  <si>
    <t xml:space="preserve">Bronx Parent Housing Network, Inc.</t>
  </si>
  <si>
    <t xml:space="preserve">134100758</t>
  </si>
  <si>
    <t xml:space="preserve">Job Training &amp; Placement Initiative</t>
  </si>
  <si>
    <t xml:space="preserve">Wildlife Conservation Society</t>
  </si>
  <si>
    <t xml:space="preserve">131740011</t>
  </si>
  <si>
    <t xml:space="preserve">Science for ALL - Bronx Zoo / Council District 17</t>
  </si>
  <si>
    <t xml:space="preserve">Social Services - Council District 13</t>
  </si>
  <si>
    <t xml:space="preserve">Mental Health Services - Council District 13</t>
  </si>
  <si>
    <t xml:space="preserve">CUNY Citizenship Now! - Council District 13</t>
  </si>
  <si>
    <t xml:space="preserve">Bronx Council on the Arts, Inc.</t>
  </si>
  <si>
    <t xml:space="preserve">132601303</t>
  </si>
  <si>
    <t xml:space="preserve">Free Live Performances in The Bronx</t>
  </si>
  <si>
    <t xml:space="preserve">Bridge Fund of New York, Inc., The</t>
  </si>
  <si>
    <t xml:space="preserve">133824852</t>
  </si>
  <si>
    <t xml:space="preserve">Eviction Prevention - Council District 15</t>
  </si>
  <si>
    <t xml:space="preserve">Youth Services - Council District 15</t>
  </si>
  <si>
    <t xml:space="preserve">Community Fridge</t>
  </si>
  <si>
    <t xml:space="preserve">St. Ann's Corner of Harm Reduction, Inc.</t>
  </si>
  <si>
    <t xml:space="preserve">133724008</t>
  </si>
  <si>
    <t xml:space="preserve">Harm Reduction Services - Council District 14</t>
  </si>
  <si>
    <t xml:space="preserve">Girls in Chess Program - Council District 18</t>
  </si>
  <si>
    <t xml:space="preserve">HOPE Program, Inc., The</t>
  </si>
  <si>
    <t xml:space="preserve">133268539</t>
  </si>
  <si>
    <t xml:space="preserve">Job Training &amp; Placement Initiative - Council District 13</t>
  </si>
  <si>
    <t xml:space="preserve">Science for ALL - Bronx Zoo / Council District 11</t>
  </si>
  <si>
    <t xml:space="preserve">2070 Clinton Tenants Association</t>
  </si>
  <si>
    <t xml:space="preserve">Community Music Performances - Council District 14</t>
  </si>
  <si>
    <t xml:space="preserve">Council District 16</t>
  </si>
  <si>
    <t xml:space="preserve">City's First Readers -  Council District 8</t>
  </si>
  <si>
    <t xml:space="preserve">Community Connections for Youth, Inc.</t>
  </si>
  <si>
    <t xml:space="preserve">264482112</t>
  </si>
  <si>
    <t xml:space="preserve">Build Me - Council District 17</t>
  </si>
  <si>
    <t xml:space="preserve">Puerto Rican Organization To Motivate Enlighten &amp; Serve Addicts, Inc.</t>
  </si>
  <si>
    <t xml:space="preserve">132663328</t>
  </si>
  <si>
    <t xml:space="preserve">Opioid Street Outreach - Council District 17</t>
  </si>
  <si>
    <t xml:space="preserve">Hunger Free America, Inc.</t>
  </si>
  <si>
    <t xml:space="preserve">133471350</t>
  </si>
  <si>
    <t xml:space="preserve">Tawfeeq Organization</t>
  </si>
  <si>
    <t xml:space="preserve">933219755</t>
  </si>
  <si>
    <t xml:space="preserve">Power of Two - Council District 16 </t>
  </si>
  <si>
    <t xml:space="preserve">Edith and Carl Marks Jewish Community House of Bensonhurst, Inc.</t>
  </si>
  <si>
    <t xml:space="preserve">111633484</t>
  </si>
  <si>
    <t xml:space="preserve">Youth Programs</t>
  </si>
  <si>
    <t xml:space="preserve">United Jewish Organizations of Williamsburg, Inc.</t>
  </si>
  <si>
    <t xml:space="preserve">112728233</t>
  </si>
  <si>
    <t xml:space="preserve">Emergency Food Initiatives</t>
  </si>
  <si>
    <t xml:space="preserve">BINA Stroke and Brain Injury Assistance, Inc.</t>
  </si>
  <si>
    <t xml:space="preserve">562395556</t>
  </si>
  <si>
    <t xml:space="preserve">Referral &amp; Crisis Intervention Programs </t>
  </si>
  <si>
    <t xml:space="preserve">St. Paul Pentecostal Church of God, Inc.</t>
  </si>
  <si>
    <t xml:space="preserve">300327182</t>
  </si>
  <si>
    <t xml:space="preserve">Food Pantry</t>
  </si>
  <si>
    <t xml:space="preserve">Juan Neumann Center, Inc.</t>
  </si>
  <si>
    <t xml:space="preserve">861081834</t>
  </si>
  <si>
    <t xml:space="preserve">Immigration Legal Services - Council District 38</t>
  </si>
  <si>
    <t xml:space="preserve">SBH Community Service Network, Inc.</t>
  </si>
  <si>
    <t xml:space="preserve">237406410</t>
  </si>
  <si>
    <t xml:space="preserve">Brooklyn Rescue Mission Urban Harvest Center</t>
  </si>
  <si>
    <t xml:space="preserve">320019367</t>
  </si>
  <si>
    <t xml:space="preserve">Healthy Food Initiative</t>
  </si>
  <si>
    <t xml:space="preserve">Brooklyn Museum</t>
  </si>
  <si>
    <t xml:space="preserve">111672743</t>
  </si>
  <si>
    <t xml:space="preserve">Older Adults Senior Prom - Council District 35</t>
  </si>
  <si>
    <t xml:space="preserve">Brooklyn Ballers Basketball, Inc.</t>
  </si>
  <si>
    <t xml:space="preserve">208649870</t>
  </si>
  <si>
    <t xml:space="preserve">Youth Sports Programming - Council District 36</t>
  </si>
  <si>
    <t xml:space="preserve">Celebrate Brooklyn - Brower Park</t>
  </si>
  <si>
    <t xml:space="preserve">Bridge Street Development Corporation</t>
  </si>
  <si>
    <t xml:space="preserve">113250772</t>
  </si>
  <si>
    <t xml:space="preserve">Homeownership Preservation Services - Council District 36</t>
  </si>
  <si>
    <t xml:space="preserve">Churches United for Fair Housing, Inc.</t>
  </si>
  <si>
    <t xml:space="preserve">264698161</t>
  </si>
  <si>
    <t xml:space="preserve">Affordable Housing Services</t>
  </si>
  <si>
    <t xml:space="preserve">La Nueva Esperanza, Inc.</t>
  </si>
  <si>
    <t xml:space="preserve">204393724</t>
  </si>
  <si>
    <t xml:space="preserve">Art's House Schools, Inc.</t>
  </si>
  <si>
    <t xml:space="preserve">870790139</t>
  </si>
  <si>
    <t xml:space="preserve">Arts Education - Council District 47</t>
  </si>
  <si>
    <t xml:space="preserve">Bay Ridge Cares</t>
  </si>
  <si>
    <t xml:space="preserve">461784806</t>
  </si>
  <si>
    <t xml:space="preserve">Perimeter Sports, Inc.</t>
  </si>
  <si>
    <t xml:space="preserve">471393536</t>
  </si>
  <si>
    <t xml:space="preserve">After-school Program</t>
  </si>
  <si>
    <t xml:space="preserve">T.U.F.F Teaching Us Fitness &amp; Fundamentals</t>
  </si>
  <si>
    <t xml:space="preserve">881467364</t>
  </si>
  <si>
    <t xml:space="preserve">Wraparound services</t>
  </si>
  <si>
    <t xml:space="preserve">Youth Programs - Council District 42</t>
  </si>
  <si>
    <t xml:space="preserve">Affordable Housing Assistance - Council District 45</t>
  </si>
  <si>
    <t xml:space="preserve">Flatbush Development Corporation</t>
  </si>
  <si>
    <t xml:space="preserve">510188251</t>
  </si>
  <si>
    <t xml:space="preserve">Council District 45</t>
  </si>
  <si>
    <t xml:space="preserve">Council District 38</t>
  </si>
  <si>
    <t xml:space="preserve">Civil Legal Services - Council District 38</t>
  </si>
  <si>
    <t xml:space="preserve">Broadway Junction - Council District 37</t>
  </si>
  <si>
    <t xml:space="preserve">El Puente de Williamsburg, Inc.</t>
  </si>
  <si>
    <t xml:space="preserve">112614265</t>
  </si>
  <si>
    <t xml:space="preserve">Wellness Hub</t>
  </si>
  <si>
    <t xml:space="preserve">Mental Health Program</t>
  </si>
  <si>
    <t xml:space="preserve">CodyCares for Kids, Inc.</t>
  </si>
  <si>
    <t xml:space="preserve">542167738</t>
  </si>
  <si>
    <t xml:space="preserve">Teen Hall Meetings</t>
  </si>
  <si>
    <t xml:space="preserve">Brooklyn Children's Museum Corporation </t>
  </si>
  <si>
    <t xml:space="preserve">112495664</t>
  </si>
  <si>
    <t xml:space="preserve">Access Membership Program</t>
  </si>
  <si>
    <t xml:space="preserve">Van Alen Institute Projects In Public Architecture</t>
  </si>
  <si>
    <t xml:space="preserve">131655152</t>
  </si>
  <si>
    <t xml:space="preserve">Gowanus Urban Room</t>
  </si>
  <si>
    <t xml:space="preserve">Youth integrated Sports &amp; Cultural Workshops - Council Distr</t>
  </si>
  <si>
    <t xml:space="preserve">Power of Two</t>
  </si>
  <si>
    <t xml:space="preserve">Brooklyn Music School</t>
  </si>
  <si>
    <t xml:space="preserve">116000202</t>
  </si>
  <si>
    <t xml:space="preserve">Music Education Program</t>
  </si>
  <si>
    <t xml:space="preserve">Life of Hope</t>
  </si>
  <si>
    <t xml:space="preserve">205252137</t>
  </si>
  <si>
    <t xml:space="preserve">Direct Services &amp; Community Programming </t>
  </si>
  <si>
    <t xml:space="preserve">Haiti Cultural Exchange, Inc.</t>
  </si>
  <si>
    <t xml:space="preserve">342034041</t>
  </si>
  <si>
    <t xml:space="preserve">Arts Programs</t>
  </si>
  <si>
    <t xml:space="preserve">Helmet Giveaway - Council District 48</t>
  </si>
  <si>
    <t xml:space="preserve">Book Distribution Program - Council District 40 &amp; Brooklyn</t>
  </si>
  <si>
    <t xml:space="preserve">Cong Chasdei Lev</t>
  </si>
  <si>
    <t xml:space="preserve">454786470</t>
  </si>
  <si>
    <t xml:space="preserve">Food Distribution</t>
  </si>
  <si>
    <t xml:space="preserve">Food Pantry - Council District 37</t>
  </si>
  <si>
    <t xml:space="preserve">Positive Tails, Inc.</t>
  </si>
  <si>
    <t xml:space="preserve">320410872</t>
  </si>
  <si>
    <t xml:space="preserve">Veterinary &amp; Wellness Clinics</t>
  </si>
  <si>
    <t xml:space="preserve">Common Ground Community Services, Inc.</t>
  </si>
  <si>
    <t xml:space="preserve">922196829</t>
  </si>
  <si>
    <t xml:space="preserve">Council of Peoples Organization, Inc.</t>
  </si>
  <si>
    <t xml:space="preserve">753046891</t>
  </si>
  <si>
    <t xml:space="preserve">Halal Food Pantry</t>
  </si>
  <si>
    <t xml:space="preserve">Cornerstone Community Center - Stuyvesant Gardens I</t>
  </si>
  <si>
    <t xml:space="preserve">Youth Crisis Support &amp; Education Program</t>
  </si>
  <si>
    <t xml:space="preserve">77th Precinct Community Council, Inc.</t>
  </si>
  <si>
    <t xml:space="preserve">113463183</t>
  </si>
  <si>
    <t xml:space="preserve">88th Precinct Youth Council, Inc.</t>
  </si>
  <si>
    <t xml:space="preserve">112799514</t>
  </si>
  <si>
    <t xml:space="preserve">Urban Assembly Unison School (13K351)</t>
  </si>
  <si>
    <t xml:space="preserve">Brooklyn Ballers Sports, Youth and Educational Corporation</t>
  </si>
  <si>
    <t xml:space="preserve">651209020</t>
  </si>
  <si>
    <t xml:space="preserve">Basketball League &amp; Mentorship Program</t>
  </si>
  <si>
    <t xml:space="preserve">Central American Legal Assistance</t>
  </si>
  <si>
    <t xml:space="preserve">112859151</t>
  </si>
  <si>
    <t xml:space="preserve">Immigration Legal Services</t>
  </si>
  <si>
    <t xml:space="preserve">New Economy Project, Inc.</t>
  </si>
  <si>
    <t xml:space="preserve">133842270</t>
  </si>
  <si>
    <t xml:space="preserve">Council District 37</t>
  </si>
  <si>
    <t xml:space="preserve">BrooklynONE Productions, Inc.</t>
  </si>
  <si>
    <t xml:space="preserve">460692076</t>
  </si>
  <si>
    <t xml:space="preserve">Performing Arts &amp; Education Programming</t>
  </si>
  <si>
    <t xml:space="preserve">Community-based Digital Inclusion Program </t>
  </si>
  <si>
    <t xml:space="preserve">Brooklyn Book Festival, Inc.</t>
  </si>
  <si>
    <t xml:space="preserve">465328190</t>
  </si>
  <si>
    <t xml:space="preserve">Literary Program</t>
  </si>
  <si>
    <t xml:space="preserve">Powerhouse Arts, Inc.</t>
  </si>
  <si>
    <t xml:space="preserve">460776852</t>
  </si>
  <si>
    <t xml:space="preserve">Fabrication Services</t>
  </si>
  <si>
    <t xml:space="preserve">Legal Services &amp; Community Programs</t>
  </si>
  <si>
    <t xml:space="preserve">Park Slope Center for Successful Aging, Older Adults Center </t>
  </si>
  <si>
    <t xml:space="preserve">Make the Road New York</t>
  </si>
  <si>
    <t xml:space="preserve">113344389</t>
  </si>
  <si>
    <t xml:space="preserve">Women's City Club of New York, Inc.</t>
  </si>
  <si>
    <t xml:space="preserve">131484145</t>
  </si>
  <si>
    <t xml:space="preserve">Gender Equity &amp; Civic Leadership</t>
  </si>
  <si>
    <t xml:space="preserve">Hattie Carthan Community Garden</t>
  </si>
  <si>
    <t xml:space="preserve">Parks Events - Council District 36</t>
  </si>
  <si>
    <t xml:space="preserve">Eastern Queens Alliance, Inc.</t>
  </si>
  <si>
    <t xml:space="preserve">201723492</t>
  </si>
  <si>
    <t xml:space="preserve">Council District 31</t>
  </si>
  <si>
    <t xml:space="preserve">Southern Queens Park Association, Inc.</t>
  </si>
  <si>
    <t xml:space="preserve">112432846</t>
  </si>
  <si>
    <t xml:space="preserve">Roy Wilkins Park - Council District 31</t>
  </si>
  <si>
    <t xml:space="preserve">Services Now for Adult Persons (SNAP), Inc.</t>
  </si>
  <si>
    <t xml:space="preserve">112591783</t>
  </si>
  <si>
    <t xml:space="preserve">Roy Reuther Older Adult Center</t>
  </si>
  <si>
    <t xml:space="preserve">Braata Productions, Inc.</t>
  </si>
  <si>
    <t xml:space="preserve">273402327</t>
  </si>
  <si>
    <t xml:space="preserve">Singing for Seniors - Council District 31</t>
  </si>
  <si>
    <t xml:space="preserve">Greater Bethel Community Development Corporation</t>
  </si>
  <si>
    <t xml:space="preserve">320000557</t>
  </si>
  <si>
    <t xml:space="preserve">Older Adults Digital Literacy Education - Council District 3</t>
  </si>
  <si>
    <t xml:space="preserve">100 Suits for 100 Men, Inc.</t>
  </si>
  <si>
    <t xml:space="preserve">462971279</t>
  </si>
  <si>
    <t xml:space="preserve">Alpha Phi Alpha Senior Citizens Center, Inc.</t>
  </si>
  <si>
    <t xml:space="preserve">237436147</t>
  </si>
  <si>
    <t xml:space="preserve">Allen Community Senior Citizens Center, Inc.</t>
  </si>
  <si>
    <t xml:space="preserve">112326244</t>
  </si>
  <si>
    <t xml:space="preserve">Bartlett Foundation, The</t>
  </si>
  <si>
    <t xml:space="preserve">900952784</t>
  </si>
  <si>
    <t xml:space="preserve">CityMeals on Wheels</t>
  </si>
  <si>
    <t xml:space="preserve">133634381</t>
  </si>
  <si>
    <t xml:space="preserve">Vets, Inc.</t>
  </si>
  <si>
    <t xml:space="preserve">272280570</t>
  </si>
  <si>
    <t xml:space="preserve">Battalion Pentecostal Assembly, Inc.</t>
  </si>
  <si>
    <t xml:space="preserve">364391337</t>
  </si>
  <si>
    <t xml:space="preserve">Center for Family Representation</t>
  </si>
  <si>
    <t xml:space="preserve">510419496</t>
  </si>
  <si>
    <t xml:space="preserve">Father's Alive In The Hood, Inc.</t>
  </si>
  <si>
    <t xml:space="preserve">461091203</t>
  </si>
  <si>
    <t xml:space="preserve">Forestdale, Inc.</t>
  </si>
  <si>
    <t xml:space="preserve">111631747</t>
  </si>
  <si>
    <t xml:space="preserve">Rosedale Laurelton Post 483 American Legion-Department of New York, Inc.</t>
  </si>
  <si>
    <t xml:space="preserve">753247463</t>
  </si>
  <si>
    <t xml:space="preserve">Northeastern Conference of Seventh Day Adventists</t>
  </si>
  <si>
    <t xml:space="preserve">131865286</t>
  </si>
  <si>
    <t xml:space="preserve">Food Pantry Services - Council District 31</t>
  </si>
  <si>
    <t xml:space="preserve">Queens Royal Priest Hood, Inc.</t>
  </si>
  <si>
    <t xml:space="preserve">465640085</t>
  </si>
  <si>
    <t xml:space="preserve">King of Kings Foundation, Inc.</t>
  </si>
  <si>
    <t xml:space="preserve">030583790</t>
  </si>
  <si>
    <t xml:space="preserve">Cure Violence Intervention - Council District 31</t>
  </si>
  <si>
    <t xml:space="preserve">Life Camp, Inc.</t>
  </si>
  <si>
    <t xml:space="preserve">200814999</t>
  </si>
  <si>
    <t xml:space="preserve">Council District 31 </t>
  </si>
  <si>
    <t xml:space="preserve">Community Mediation Services, Inc.</t>
  </si>
  <si>
    <t xml:space="preserve">112663007</t>
  </si>
  <si>
    <t xml:space="preserve">Rising Ground, Inc.</t>
  </si>
  <si>
    <t xml:space="preserve">131860451</t>
  </si>
  <si>
    <t xml:space="preserve">Queens Preparatory Academy (29Q248)</t>
  </si>
  <si>
    <t xml:space="preserve">Collaborative Arts Middle School (29Q355)</t>
  </si>
  <si>
    <t xml:space="preserve">Public School 251Q Queens (29Q251)</t>
  </si>
  <si>
    <t xml:space="preserve">Public School/Middle School 138Q Sunrise (29Q138)</t>
  </si>
  <si>
    <t xml:space="preserve">The Gordon Parks School (29Q270)</t>
  </si>
  <si>
    <t xml:space="preserve">Public School 197Q The Ocean School (27Q197)</t>
  </si>
  <si>
    <t xml:space="preserve">Knowledge and Power Preparatory Academy VI (27Q282)</t>
  </si>
  <si>
    <t xml:space="preserve">DIVAS for Social Justice, Inc.</t>
  </si>
  <si>
    <t xml:space="preserve">300475160</t>
  </si>
  <si>
    <t xml:space="preserve">Public School 132Q Ralph Bunche (29Q132)</t>
  </si>
  <si>
    <t xml:space="preserve">Public School 156Q Laurelton (29Q156)</t>
  </si>
  <si>
    <t xml:space="preserve">Public School 052Q Queens (29Q052)</t>
  </si>
  <si>
    <t xml:space="preserve">Lighthouse Elementary School (27Q106)</t>
  </si>
  <si>
    <t xml:space="preserve">Queens Theatre In The Park, Inc.</t>
  </si>
  <si>
    <t xml:space="preserve">113381629</t>
  </si>
  <si>
    <t xml:space="preserve">Excelsior Preparatory High School (29Q265)</t>
  </si>
  <si>
    <t xml:space="preserve">Public School/Middle School 042Q R. Vernam (27Q042)</t>
  </si>
  <si>
    <t xml:space="preserve">Public School 183Q Dr. Richard R. Green (27Q183)</t>
  </si>
  <si>
    <t xml:space="preserve">Public School 105Q The Bay School (27Q105)</t>
  </si>
  <si>
    <t xml:space="preserve">Public School 043Q (27Q043)</t>
  </si>
  <si>
    <t xml:space="preserve">Black Spectrum Theatre Company, Inc.</t>
  </si>
  <si>
    <t xml:space="preserve">510135262</t>
  </si>
  <si>
    <t xml:space="preserve">Edge School of the Arts Dance Legacy, Inc.</t>
  </si>
  <si>
    <t xml:space="preserve">823426582</t>
  </si>
  <si>
    <t xml:space="preserve">Jamaica Center for Arts and Learning, Inc.</t>
  </si>
  <si>
    <t xml:space="preserve">112478709</t>
  </si>
  <si>
    <t xml:space="preserve">Middle School 053Q Brian Piccolo &amp; George Washington Carver </t>
  </si>
  <si>
    <t xml:space="preserve">Afrikan Poetry Theatre, Inc.</t>
  </si>
  <si>
    <t xml:space="preserve">112515828</t>
  </si>
  <si>
    <t xml:space="preserve">Public School 104Q The Bays Water (27Q104) &amp; Village Academy</t>
  </si>
  <si>
    <t xml:space="preserve">The initiative supports programming in each of the 51 Counci</t>
  </si>
  <si>
    <t xml:space="preserve">New York LGBT Network, Inc.</t>
  </si>
  <si>
    <t xml:space="preserve">208512786</t>
  </si>
  <si>
    <t xml:space="preserve">Queens Legal Services Corporation</t>
  </si>
  <si>
    <t xml:space="preserve">132605604</t>
  </si>
  <si>
    <t xml:space="preserve">Margert Community Corporation</t>
  </si>
  <si>
    <t xml:space="preserve">112534700</t>
  </si>
  <si>
    <t xml:space="preserve">Neighborhood-Level Initiatives &amp; Queens Carnival Fireworks –</t>
  </si>
  <si>
    <t xml:space="preserve">Deerfield Area Association, Inc.</t>
  </si>
  <si>
    <t xml:space="preserve">112877303</t>
  </si>
  <si>
    <t xml:space="preserve">Kickers Youth Sports Association of Southeast Queens, Inc.</t>
  </si>
  <si>
    <t xml:space="preserve">112988905</t>
  </si>
  <si>
    <t xml:space="preserve">Martin De Porres Youth and Family Services, Inc.</t>
  </si>
  <si>
    <t xml:space="preserve">237448478</t>
  </si>
  <si>
    <t xml:space="preserve">Peninsula Preparatory Academy Charter</t>
  </si>
  <si>
    <t xml:space="preserve">861106640</t>
  </si>
  <si>
    <t xml:space="preserve">Volunteers for Springfield Park, Inc.</t>
  </si>
  <si>
    <t xml:space="preserve">473317999</t>
  </si>
  <si>
    <t xml:space="preserve">Queens High School for Information, Research, and Technology</t>
  </si>
  <si>
    <t xml:space="preserve">Blaque Community Cares, Inc.</t>
  </si>
  <si>
    <t xml:space="preserve">921506708</t>
  </si>
  <si>
    <t xml:space="preserve">Caribbean American Society of New York, Inc.</t>
  </si>
  <si>
    <t xml:space="preserve">452796896</t>
  </si>
  <si>
    <t xml:space="preserve">Neighborhood Housing Services of Queens CDC, Inc.</t>
  </si>
  <si>
    <t xml:space="preserve">471267077</t>
  </si>
  <si>
    <t xml:space="preserve">Rising Tide Effect</t>
  </si>
  <si>
    <t xml:space="preserve">853590574</t>
  </si>
  <si>
    <t xml:space="preserve">Rosedale Civic Association, Inc.</t>
  </si>
  <si>
    <t xml:space="preserve">237283084</t>
  </si>
  <si>
    <t xml:space="preserve">Neighborhood Cleanup Services - Council District 31</t>
  </si>
  <si>
    <t xml:space="preserve">Allen Neighborhood Preservation &amp; Development Corporation</t>
  </si>
  <si>
    <t xml:space="preserve">112705085</t>
  </si>
  <si>
    <t xml:space="preserve">East River Development Alliance, Inc.</t>
  </si>
  <si>
    <t xml:space="preserve">861096987</t>
  </si>
  <si>
    <t xml:space="preserve">Urban Upbound - Council District 31</t>
  </si>
  <si>
    <t xml:space="preserve">United Black Men of Queens Foundation, Inc.</t>
  </si>
  <si>
    <t xml:space="preserve">112623993</t>
  </si>
  <si>
    <t xml:space="preserve">Rema 4 Us, Inc.</t>
  </si>
  <si>
    <t xml:space="preserve">832938159</t>
  </si>
  <si>
    <t xml:space="preserve">Business Retention - Council District 31</t>
  </si>
  <si>
    <t xml:space="preserve">Arverne Church of God, Inc.</t>
  </si>
  <si>
    <t xml:space="preserve">113031878</t>
  </si>
  <si>
    <t xml:space="preserve">Doing Right Under Guidance and Supervision (D.R.U.G.S.) Prog</t>
  </si>
  <si>
    <t xml:space="preserve">Bard College</t>
  </si>
  <si>
    <t xml:space="preserve">141713034</t>
  </si>
  <si>
    <t xml:space="preserve">Business Outreach Center Network, Inc.</t>
  </si>
  <si>
    <t xml:space="preserve">113306111</t>
  </si>
  <si>
    <t xml:space="preserve">District 29Q Community Education Council</t>
  </si>
  <si>
    <t xml:space="preserve">First Faith Baptist Church</t>
  </si>
  <si>
    <t xml:space="preserve">022916843</t>
  </si>
  <si>
    <t xml:space="preserve">Flying 3Sixty NAX, Inc.</t>
  </si>
  <si>
    <t xml:space="preserve">825169075</t>
  </si>
  <si>
    <t xml:space="preserve">Haitian Americans United for Progress, Inc.</t>
  </si>
  <si>
    <t xml:space="preserve">112423857</t>
  </si>
  <si>
    <t xml:space="preserve">Hatzoloh Incorporated</t>
  </si>
  <si>
    <t xml:space="preserve">800369977</t>
  </si>
  <si>
    <t xml:space="preserve">Non-Traditional Employment for Women</t>
  </si>
  <si>
    <t xml:space="preserve">133272001</t>
  </si>
  <si>
    <t xml:space="preserve">Ocean Bay Community Development Corporation</t>
  </si>
  <si>
    <t xml:space="preserve">841622031</t>
  </si>
  <si>
    <t xml:space="preserve">BRIDGE Family Enrichment - Council District 31</t>
  </si>
  <si>
    <t xml:space="preserve">Perfect Piece of the Puzzle, Inc.</t>
  </si>
  <si>
    <t xml:space="preserve">813810105</t>
  </si>
  <si>
    <t xml:space="preserve">QSAC, Inc.</t>
  </si>
  <si>
    <t xml:space="preserve">112482974</t>
  </si>
  <si>
    <t xml:space="preserve">Queens Borough Public Library</t>
  </si>
  <si>
    <t xml:space="preserve">Arverne Library</t>
  </si>
  <si>
    <t xml:space="preserve">Graffiti Clean-Up - Council District 31</t>
  </si>
  <si>
    <t xml:space="preserve">Showing Hearts Foundation, Inc., The</t>
  </si>
  <si>
    <t xml:space="preserve">810713547</t>
  </si>
  <si>
    <t xml:space="preserve">Entrepreneurial Training &amp; Workshops - Council District 31</t>
  </si>
  <si>
    <t xml:space="preserve">Tail Waggers Task Force, Inc.</t>
  </si>
  <si>
    <t xml:space="preserve">331854711</t>
  </si>
  <si>
    <t xml:space="preserve">PURR RBNY INC</t>
  </si>
  <si>
    <t xml:space="preserve">33-1656604</t>
  </si>
  <si>
    <t xml:space="preserve">Animal Welfare &amp; Veterinary Services - Council District 31</t>
  </si>
  <si>
    <t xml:space="preserve">Merrill Park Civic Association of Springfield Gardens, Inc.</t>
  </si>
  <si>
    <t xml:space="preserve">112304928</t>
  </si>
  <si>
    <t xml:space="preserve">Older Adult Services - Council District 31</t>
  </si>
  <si>
    <t xml:space="preserve">Queens Together, Inc.</t>
  </si>
  <si>
    <t xml:space="preserve">851338752</t>
  </si>
  <si>
    <t xml:space="preserve">Neighborhoold Services - Council District 31</t>
  </si>
  <si>
    <t xml:space="preserve">Queens Alumnae Chapter Delta Sigma Theta</t>
  </si>
  <si>
    <t xml:space="preserve">166098017</t>
  </si>
  <si>
    <t xml:space="preserve">Healthy Initiatives - Council District 31</t>
  </si>
  <si>
    <t xml:space="preserve">Sickle Cell Awareness Foundation Corp Int'l</t>
  </si>
  <si>
    <t xml:space="preserve">711037154</t>
  </si>
  <si>
    <t xml:space="preserve">Farrock Strong, Inc.</t>
  </si>
  <si>
    <t xml:space="preserve">823177369</t>
  </si>
  <si>
    <t xml:space="preserve">Youth Mentoring &amp; Athletic Programming - Council District 31</t>
  </si>
  <si>
    <t xml:space="preserve">Far Rockaway Library</t>
  </si>
  <si>
    <t xml:space="preserve">Far Rockaway Teen Library</t>
  </si>
  <si>
    <t xml:space="preserve">Friends of Rosedale Library</t>
  </si>
  <si>
    <t xml:space="preserve">Laurelton Library</t>
  </si>
  <si>
    <t xml:space="preserve">Rosedale Library</t>
  </si>
  <si>
    <t xml:space="preserve">Department of Emergency Management</t>
  </si>
  <si>
    <t xml:space="preserve">Community Emergency Response Team (CERT) – Queens Division 5</t>
  </si>
  <si>
    <t xml:space="preserve">Beach 41st Street</t>
  </si>
  <si>
    <t xml:space="preserve">Carleton Manor</t>
  </si>
  <si>
    <t xml:space="preserve">Hammels Houses</t>
  </si>
  <si>
    <t xml:space="preserve">Ocean Bay </t>
  </si>
  <si>
    <t xml:space="preserve">Ocean Bay Apartments (Oceanside)</t>
  </si>
  <si>
    <t xml:space="preserve">Redfern Houses</t>
  </si>
  <si>
    <t xml:space="preserve">Cleanup Services - Council District 31</t>
  </si>
  <si>
    <t xml:space="preserve">Cleanup Activities - Council District 31</t>
  </si>
  <si>
    <t xml:space="preserve">Rockaway Development and Revitalization Corporation</t>
  </si>
  <si>
    <t xml:space="preserve">112575794</t>
  </si>
  <si>
    <t xml:space="preserve">Cleanup Services - Beach 20th &amp; 21st Plazas</t>
  </si>
  <si>
    <t xml:space="preserve">Brooklyn Legal Services Corporation A</t>
  </si>
  <si>
    <t xml:space="preserve">132605599</t>
  </si>
  <si>
    <t xml:space="preserve">Far Rockaway Small Business Clinic</t>
  </si>
  <si>
    <t xml:space="preserve">Greater Jamaica Development Corporation</t>
  </si>
  <si>
    <t xml:space="preserve">237021273</t>
  </si>
  <si>
    <t xml:space="preserve">Technical Assistance - Council District 31</t>
  </si>
  <si>
    <t xml:space="preserve">Healthy Living You, Inc.</t>
  </si>
  <si>
    <t xml:space="preserve">843325963</t>
  </si>
  <si>
    <t xml:space="preserve">SNAP #2: Brookville OAC</t>
  </si>
  <si>
    <t xml:space="preserve">Ocean Bay CDC Older Adult Center</t>
  </si>
  <si>
    <t xml:space="preserve">Young Israel Wavecrest &amp; Bayswater Senior League</t>
  </si>
  <si>
    <t xml:space="preserve">JASA Brookdale Village</t>
  </si>
  <si>
    <t xml:space="preserve">Robert Couche Older Adult Center</t>
  </si>
  <si>
    <t xml:space="preserve">Senior Engagement - Council District 31</t>
  </si>
  <si>
    <t xml:space="preserve">Senior Support - Council District 31</t>
  </si>
  <si>
    <t xml:space="preserve">Senior Programming - Council District 31 </t>
  </si>
  <si>
    <t xml:space="preserve">Young Israel Programs, Inc.</t>
  </si>
  <si>
    <t xml:space="preserve">030381957</t>
  </si>
  <si>
    <t xml:space="preserve">Young Israel of Wavecrest And Bayswater</t>
  </si>
  <si>
    <t xml:space="preserve">Metropolitan Eagles Sports Club, Inc.</t>
  </si>
  <si>
    <t xml:space="preserve">113110973</t>
  </si>
  <si>
    <t xml:space="preserve">Rosedale Jets Football Association</t>
  </si>
  <si>
    <t xml:space="preserve">113401835</t>
  </si>
  <si>
    <t xml:space="preserve">Far Rockaway Educational Complex - Council District 31</t>
  </si>
  <si>
    <t xml:space="preserve">Water Safety - Public School 183Q (27Q183)</t>
  </si>
  <si>
    <t xml:space="preserve">A Better Jamaica, Inc.</t>
  </si>
  <si>
    <t xml:space="preserve">113804421</t>
  </si>
  <si>
    <t xml:space="preserve">A Vision To Empower, Inc.</t>
  </si>
  <si>
    <t xml:space="preserve">830703792</t>
  </si>
  <si>
    <t xml:space="preserve">Edeyouth, Inc.</t>
  </si>
  <si>
    <t xml:space="preserve">272935350</t>
  </si>
  <si>
    <t xml:space="preserve">Lewis Howard Latimer Fund, Inc.</t>
  </si>
  <si>
    <t xml:space="preserve">112983131</t>
  </si>
  <si>
    <t xml:space="preserve">Tinker Lab - Council District 31</t>
  </si>
  <si>
    <t xml:space="preserve">Goldie Maple Academy - Council District 31</t>
  </si>
  <si>
    <t xml:space="preserve">Rockaway Film Festival, Inc.</t>
  </si>
  <si>
    <t xml:space="preserve">832462823</t>
  </si>
  <si>
    <t xml:space="preserve">Delta Academy - District Council 31</t>
  </si>
  <si>
    <t xml:space="preserve">Hydroponic Education Programming - Council District 22</t>
  </si>
  <si>
    <t xml:space="preserve">Horticulture Services - Council District 22</t>
  </si>
  <si>
    <t xml:space="preserve">Hands-on Science Education - Council District 22</t>
  </si>
  <si>
    <t xml:space="preserve">Socrates Sculpture Park, Inc.</t>
  </si>
  <si>
    <t xml:space="preserve">113066597</t>
  </si>
  <si>
    <t xml:space="preserve">Socrateens Arts and Environmental Justice Program</t>
  </si>
  <si>
    <t xml:space="preserve">Compost Programming - Council District 22</t>
  </si>
  <si>
    <t xml:space="preserve">Global Kids, Inc.</t>
  </si>
  <si>
    <t xml:space="preserve">133629485</t>
  </si>
  <si>
    <t xml:space="preserve">Climate Justice Workshops - Council District 22</t>
  </si>
  <si>
    <t xml:space="preserve">Estuary Explorers Program - Council District 22</t>
  </si>
  <si>
    <t xml:space="preserve">Peter J. DellaMonica Older Adult Center</t>
  </si>
  <si>
    <t xml:space="preserve">HANAC, Inc.</t>
  </si>
  <si>
    <t xml:space="preserve">112290832</t>
  </si>
  <si>
    <t xml:space="preserve">Douris Tower</t>
  </si>
  <si>
    <t xml:space="preserve">Older Adult Services - Astoria Houses</t>
  </si>
  <si>
    <t xml:space="preserve">Astoria Older Adult Center</t>
  </si>
  <si>
    <t xml:space="preserve">Boulevard Gardens NORC</t>
  </si>
  <si>
    <t xml:space="preserve">Central Astoria Local Development Coalition, Inc.</t>
  </si>
  <si>
    <t xml:space="preserve">112652331</t>
  </si>
  <si>
    <t xml:space="preserve">Older Adult Services</t>
  </si>
  <si>
    <t xml:space="preserve">Older Adult Services - Council District 22</t>
  </si>
  <si>
    <t xml:space="preserve">Tenant Assistance - Council District 22</t>
  </si>
  <si>
    <t xml:space="preserve">Astoria Cornerstone</t>
  </si>
  <si>
    <t xml:space="preserve">Public Utility Law Project - Council District 22</t>
  </si>
  <si>
    <t xml:space="preserve">CUNY School of Law Justice &amp; Auxiliary Services Corporation </t>
  </si>
  <si>
    <t xml:space="preserve">After-School Music Program - Astoria Houses</t>
  </si>
  <si>
    <t xml:space="preserve">In-School Support - Public School 122Q Mamie Fay (30Q122)</t>
  </si>
  <si>
    <t xml:space="preserve">Restorative Justice Program - Council District 22</t>
  </si>
  <si>
    <t xml:space="preserve">Supporting Survivors - Council District 22</t>
  </si>
  <si>
    <t xml:space="preserve">Malikah, Inc.</t>
  </si>
  <si>
    <t xml:space="preserve">471277862</t>
  </si>
  <si>
    <t xml:space="preserve">Council District 22</t>
  </si>
  <si>
    <t xml:space="preserve">Latinas On The Verge of Excellence Love, Inc.</t>
  </si>
  <si>
    <t xml:space="preserve">463732667</t>
  </si>
  <si>
    <t xml:space="preserve">L.O.V.E. Mentoring &amp; Community Programming - Council Distric</t>
  </si>
  <si>
    <t xml:space="preserve">Witness to Mass Incarceration, Inc.</t>
  </si>
  <si>
    <t xml:space="preserve">825460402</t>
  </si>
  <si>
    <t xml:space="preserve">MAP Project - Council District 22</t>
  </si>
  <si>
    <t xml:space="preserve">Alley Pond Environmental Center, Inc.</t>
  </si>
  <si>
    <t xml:space="preserve">112405466</t>
  </si>
  <si>
    <t xml:space="preserve">Public School 151Q (30Q151)</t>
  </si>
  <si>
    <t xml:space="preserve">Public School 993Q (75Q993) - District 75</t>
  </si>
  <si>
    <t xml:space="preserve">American Museum of the Moving Image</t>
  </si>
  <si>
    <t xml:space="preserve">112730714</t>
  </si>
  <si>
    <t xml:space="preserve">Young Women's Leadership School, Astoria (30Q286)</t>
  </si>
  <si>
    <t xml:space="preserve">Queens College - Kupferberg Center for the Arts - Intermedia</t>
  </si>
  <si>
    <t xml:space="preserve">Public School 2Q Alfred Zimberg (30Q002)</t>
  </si>
  <si>
    <t xml:space="preserve">Community-Word Project, Inc.</t>
  </si>
  <si>
    <t xml:space="preserve">134114145</t>
  </si>
  <si>
    <t xml:space="preserve">Public School 85Q Judge Charles Vallone (30Q085)</t>
  </si>
  <si>
    <t xml:space="preserve">Flushing Council on Culture and the Arts, Inc.</t>
  </si>
  <si>
    <t xml:space="preserve">112652182</t>
  </si>
  <si>
    <t xml:space="preserve">Public School 17Q Henry David Thoreau (30Q017)</t>
  </si>
  <si>
    <t xml:space="preserve">Public School 122Q Mamie Fay (30Q122)</t>
  </si>
  <si>
    <t xml:space="preserve">Public School 70Q (30Q070)</t>
  </si>
  <si>
    <t xml:space="preserve">Queens Museum of Art</t>
  </si>
  <si>
    <t xml:space="preserve">112278998</t>
  </si>
  <si>
    <t xml:space="preserve">District 30 Pre-K Center - 397Q</t>
  </si>
  <si>
    <t xml:space="preserve">Intermediate School 10Q (30Q010)</t>
  </si>
  <si>
    <t xml:space="preserve">Intermediate School 235Q (30Q235)</t>
  </si>
  <si>
    <t xml:space="preserve">Public School 171Q Peter G. Van Alst (30Q171) - Creative Art</t>
  </si>
  <si>
    <t xml:space="preserve">Spanish Theatre Repertory Company, Ltd.</t>
  </si>
  <si>
    <t xml:space="preserve">132672755</t>
  </si>
  <si>
    <t xml:space="preserve">Long Island City High School (30Q450)</t>
  </si>
  <si>
    <t xml:space="preserve">Public School 234Q (30Q234)</t>
  </si>
  <si>
    <t xml:space="preserve">Public School 171Q Peter G. Van Alst (30Q171)</t>
  </si>
  <si>
    <t xml:space="preserve">Intermediate School 126Q (30Q126)</t>
  </si>
  <si>
    <t xml:space="preserve">Celebrate Astoria! International Cultural Fests - Council Di</t>
  </si>
  <si>
    <t xml:space="preserve">Cypreco of America, Inc.</t>
  </si>
  <si>
    <t xml:space="preserve">112644226</t>
  </si>
  <si>
    <t xml:space="preserve">Cultural Programming - Council District 22</t>
  </si>
  <si>
    <t xml:space="preserve">Our Diverse Universe programming - Council District 22</t>
  </si>
  <si>
    <t xml:space="preserve">Queens Programming</t>
  </si>
  <si>
    <t xml:space="preserve">Society of the Educational Arts, Inc.</t>
  </si>
  <si>
    <t xml:space="preserve">113210593</t>
  </si>
  <si>
    <t xml:space="preserve">Immigrant Youth Development Through the Arts</t>
  </si>
  <si>
    <t xml:space="preserve">Community Education Programming - Council District 22</t>
  </si>
  <si>
    <t xml:space="preserve">Murals - Council District 22</t>
  </si>
  <si>
    <t xml:space="preserve">Bangladesh Institute of Performing Arts, Inc.</t>
  </si>
  <si>
    <t xml:space="preserve">113249055</t>
  </si>
  <si>
    <t xml:space="preserve">Collaborative Arts Residency - Council District 22</t>
  </si>
  <si>
    <t xml:space="preserve">Art House Astoria Conservatory for Music and Art, Inc.</t>
  </si>
  <si>
    <t xml:space="preserve">270940116</t>
  </si>
  <si>
    <t xml:space="preserve">Digital Inclusion Programming - Council District 22</t>
  </si>
  <si>
    <t xml:space="preserve">Digital Inclusion for Older Adults - Council District 22</t>
  </si>
  <si>
    <t xml:space="preserve">Digital inclusion &amp; SEL programing - Council District 22</t>
  </si>
  <si>
    <t xml:space="preserve">United Cerebral Palsy of New York City, Inc.</t>
  </si>
  <si>
    <t xml:space="preserve">135654532</t>
  </si>
  <si>
    <t xml:space="preserve">Adaptive Computer-Based Training - Council District 22</t>
  </si>
  <si>
    <t xml:space="preserve">Sapna NYC, Inc.</t>
  </si>
  <si>
    <t xml:space="preserve">263124969</t>
  </si>
  <si>
    <t xml:space="preserve">Empowering Immigrant Communities Through Digital Literacy</t>
  </si>
  <si>
    <t xml:space="preserve">Domestic Violence &amp; Empowerment Programming</t>
  </si>
  <si>
    <t xml:space="preserve">Anti-Violence Programming - Council District 22</t>
  </si>
  <si>
    <t xml:space="preserve">Victim Assistance Program</t>
  </si>
  <si>
    <t xml:space="preserve">APICHA Community Health Center</t>
  </si>
  <si>
    <t xml:space="preserve">133706365</t>
  </si>
  <si>
    <t xml:space="preserve">Case Management Services</t>
  </si>
  <si>
    <t xml:space="preserve">Caribbean Equality Project, Inc., The</t>
  </si>
  <si>
    <t xml:space="preserve">472806715</t>
  </si>
  <si>
    <t xml:space="preserve">Anti-Violence Programming</t>
  </si>
  <si>
    <t xml:space="preserve">Domestic Violence &amp; Empowerment Programming - Council Distri</t>
  </si>
  <si>
    <t xml:space="preserve">Youth Mental Health Programming</t>
  </si>
  <si>
    <t xml:space="preserve">Survivors of Violence Counseling &amp; Other Services</t>
  </si>
  <si>
    <t xml:space="preserve">Queens Community House, Inc.</t>
  </si>
  <si>
    <t xml:space="preserve">112375583</t>
  </si>
  <si>
    <t xml:space="preserve">LGBTQ+ Youth Services</t>
  </si>
  <si>
    <t xml:space="preserve">Free to Be Youth Project - Anti-Violence Programming</t>
  </si>
  <si>
    <t xml:space="preserve">Sex Workers Project - Anti-Violence Programming</t>
  </si>
  <si>
    <t xml:space="preserve">Engaging Communities to End Domestic Violence</t>
  </si>
  <si>
    <t xml:space="preserve">Appellate Advocates</t>
  </si>
  <si>
    <t xml:space="preserve">113305212</t>
  </si>
  <si>
    <t xml:space="preserve">Domestic Violence Survivors Justice Act Program</t>
  </si>
  <si>
    <t xml:space="preserve">Commercial Revitalization</t>
  </si>
  <si>
    <t xml:space="preserve">Trash Bins + Pickup Service - Council District 22</t>
  </si>
  <si>
    <t xml:space="preserve">Ansob Center for Refugees, Inc.</t>
  </si>
  <si>
    <t xml:space="preserve">113534833</t>
  </si>
  <si>
    <t xml:space="preserve">Immigration Legal Services Program - Council District 22</t>
  </si>
  <si>
    <t xml:space="preserve">UnLocal, Inc.</t>
  </si>
  <si>
    <t xml:space="preserve">412278265</t>
  </si>
  <si>
    <t xml:space="preserve">Community Safety &amp; Promotores Outreach Initiative - Council </t>
  </si>
  <si>
    <t xml:space="preserve">Youth Theater - Astoria Houses &amp; Council District 22</t>
  </si>
  <si>
    <t xml:space="preserve">Astoria/Queens Share-ing and Care-ing, Inc.</t>
  </si>
  <si>
    <t xml:space="preserve">113220371</t>
  </si>
  <si>
    <t xml:space="preserve">Cancer Prevention Initiative</t>
  </si>
  <si>
    <t xml:space="preserve">EV Loves</t>
  </si>
  <si>
    <t xml:space="preserve">851549014</t>
  </si>
  <si>
    <t xml:space="preserve">Meals Distribution - Council District 22</t>
  </si>
  <si>
    <t xml:space="preserve">Adult ESOL Program - Council District 22</t>
  </si>
  <si>
    <t xml:space="preserve">Tax Preparation Services &amp; Financial Fitness Program - Counc</t>
  </si>
  <si>
    <t xml:space="preserve">Connected Chef Foundation, Inc.</t>
  </si>
  <si>
    <t xml:space="preserve">852348659</t>
  </si>
  <si>
    <t xml:space="preserve">Food Equity Programming - Council District 22</t>
  </si>
  <si>
    <t xml:space="preserve">Astoria Houses Tenants Association</t>
  </si>
  <si>
    <t xml:space="preserve">Jacob A. Riis Neighborhood Settlement, The</t>
  </si>
  <si>
    <t xml:space="preserve">111729398</t>
  </si>
  <si>
    <t xml:space="preserve">ESOL &amp; Case Management</t>
  </si>
  <si>
    <t xml:space="preserve">Old Astoria Neighborhood Association, Inc.</t>
  </si>
  <si>
    <t xml:space="preserve">471688610</t>
  </si>
  <si>
    <t xml:space="preserve">Community Support</t>
  </si>
  <si>
    <t xml:space="preserve">Right to Family and Home for Good</t>
  </si>
  <si>
    <t xml:space="preserve">Emergency Fund</t>
  </si>
  <si>
    <t xml:space="preserve">Autism Programs &amp; Services - Council District 22</t>
  </si>
  <si>
    <t xml:space="preserve">AKTINA Productions, Inc.</t>
  </si>
  <si>
    <t xml:space="preserve">113220961</t>
  </si>
  <si>
    <t xml:space="preserve">Greek Television Program - Council District 22</t>
  </si>
  <si>
    <t xml:space="preserve">Small Business Support</t>
  </si>
  <si>
    <t xml:space="preserve">CityParks Play, CityParks Learn &amp; Partnership for Parks - Co</t>
  </si>
  <si>
    <t xml:space="preserve">Collaborative Arts Residency Program - Council District 22</t>
  </si>
  <si>
    <t xml:space="preserve">Cypriot Folk Arts Programming - Council District 22</t>
  </si>
  <si>
    <t xml:space="preserve">Programming &amp; Readings</t>
  </si>
  <si>
    <t xml:space="preserve">Cancer Screenings - Council District 22</t>
  </si>
  <si>
    <t xml:space="preserve">IndieSpace, Inc.</t>
  </si>
  <si>
    <t xml:space="preserve">474523884</t>
  </si>
  <si>
    <t xml:space="preserve">Consulting &amp; Advising Program - Council District 22</t>
  </si>
  <si>
    <t xml:space="preserve">Music Program - Public School 122Q (30Q122)</t>
  </si>
  <si>
    <t xml:space="preserve">Planned Parenthood of Greater New York, Inc.</t>
  </si>
  <si>
    <t xml:space="preserve">132621497</t>
  </si>
  <si>
    <t xml:space="preserve">Youth Promoters &amp; Health Services - Council District 22</t>
  </si>
  <si>
    <t xml:space="preserve">After-School Programs</t>
  </si>
  <si>
    <t xml:space="preserve">Park Events</t>
  </si>
  <si>
    <t xml:space="preserve">Stella Adler Studio of Acting</t>
  </si>
  <si>
    <t xml:space="preserve">134112234</t>
  </si>
  <si>
    <t xml:space="preserve">Rikers Island Programming</t>
  </si>
  <si>
    <t xml:space="preserve">CollegeBound Initiative (CBI) - Council District 22</t>
  </si>
  <si>
    <t xml:space="preserve">Low Wage Worker Support Initiative - Council District 22</t>
  </si>
  <si>
    <t xml:space="preserve">Senior Concerts - Queens Culture &amp; Art Network</t>
  </si>
  <si>
    <t xml:space="preserve">Science for All - Council District 22</t>
  </si>
  <si>
    <t xml:space="preserve">Western Queens Community Land Trust, Inc.</t>
  </si>
  <si>
    <t xml:space="preserve">853774663</t>
  </si>
  <si>
    <t xml:space="preserve">Tenant Organizing - Council District 22</t>
  </si>
  <si>
    <t xml:space="preserve">Baccalaureate Program - Public School 151 Mary D. Carter (30</t>
  </si>
  <si>
    <t xml:space="preserve">Astoria Branch Library</t>
  </si>
  <si>
    <t xml:space="preserve">CUNY Citizenship Now - Council District 22</t>
  </si>
  <si>
    <t xml:space="preserve">Youth Justice Network, Inc.</t>
  </si>
  <si>
    <t xml:space="preserve">133576756</t>
  </si>
  <si>
    <t xml:space="preserve">Youth Advocacy Services - Council District 22 </t>
  </si>
  <si>
    <t xml:space="preserve">Sanitation Services - Council District 22</t>
  </si>
  <si>
    <t xml:space="preserve">Extra Pickups - Steinway Street &amp; 31st Street</t>
  </si>
  <si>
    <t xml:space="preserve">Central Astoria Neighborhood Development</t>
  </si>
  <si>
    <t xml:space="preserve">Asian American Federation, Inc.</t>
  </si>
  <si>
    <t xml:space="preserve">133572287</t>
  </si>
  <si>
    <t xml:space="preserve">Empowering Futures: Advancing Justice, Equity, and Opportuni</t>
  </si>
  <si>
    <t xml:space="preserve">Consortium for Worker Education (CWE)</t>
  </si>
  <si>
    <t xml:space="preserve">133564313</t>
  </si>
  <si>
    <t xml:space="preserve">Astoria Park</t>
  </si>
  <si>
    <t xml:space="preserve">General Parks Support &amp; Programming - Council District 22</t>
  </si>
  <si>
    <t xml:space="preserve">GreenThumb Programming - Council District 22</t>
  </si>
  <si>
    <t xml:space="preserve">Athens Square Park</t>
  </si>
  <si>
    <t xml:space="preserve">Movie Nights in the Parks - Council District 22</t>
  </si>
  <si>
    <t xml:space="preserve">CityParks Play, CityParks Build  &amp; CityParks Learn – Council</t>
  </si>
  <si>
    <t xml:space="preserve">Stewardship Program - Council District 22</t>
  </si>
  <si>
    <t xml:space="preserve">Services - NYCHA Astoria Houses Campus</t>
  </si>
  <si>
    <t xml:space="preserve">Archbishop Lakovos Senior Center</t>
  </si>
  <si>
    <t xml:space="preserve">Senior Services - George Douris Tower</t>
  </si>
  <si>
    <t xml:space="preserve">Queensview NORC</t>
  </si>
  <si>
    <t xml:space="preserve">Financial Justice for Seniors</t>
  </si>
  <si>
    <t xml:space="preserve">Health Outreach &amp; Support - Council District 22</t>
  </si>
  <si>
    <t xml:space="preserve">After-School Programming</t>
  </si>
  <si>
    <t xml:space="preserve">Councilmatic After School Program</t>
  </si>
  <si>
    <t xml:space="preserve">Scholars of the Zone - Long Island City High School (30Q450)</t>
  </si>
  <si>
    <t xml:space="preserve">STEM Program - Public School 2Q (30Q002)</t>
  </si>
  <si>
    <t xml:space="preserve">LGBTQ+ Homeless Youth - Council District 22</t>
  </si>
  <si>
    <t xml:space="preserve">NYC Kids RISE, Inc.</t>
  </si>
  <si>
    <t xml:space="preserve">814526739</t>
  </si>
  <si>
    <t xml:space="preserve">Save for College Program</t>
  </si>
  <si>
    <t xml:space="preserve">Hellenic Film Society USA, The</t>
  </si>
  <si>
    <t xml:space="preserve">822227711</t>
  </si>
  <si>
    <t xml:space="preserve">Greek Film Expo</t>
  </si>
  <si>
    <t xml:space="preserve">L.O.V.E. Mentoring - Council District 22</t>
  </si>
  <si>
    <t xml:space="preserve">Loukoumi Make A Difference Foundation, Inc.</t>
  </si>
  <si>
    <t xml:space="preserve">465599131</t>
  </si>
  <si>
    <t xml:space="preserve">Book Distribution &amp; Education Program</t>
  </si>
  <si>
    <t xml:space="preserve">South Asian Youth Action, Inc.</t>
  </si>
  <si>
    <t xml:space="preserve">133943630</t>
  </si>
  <si>
    <t xml:space="preserve">Our World Neighborhood Charter School</t>
  </si>
  <si>
    <t xml:space="preserve">Community Waterfront Education &amp; Recreational Programming - </t>
  </si>
  <si>
    <t xml:space="preserve">Women In Need, Inc.</t>
  </si>
  <si>
    <t xml:space="preserve">133164477</t>
  </si>
  <si>
    <t xml:space="preserve">Specialization of Children's Services - Council District 22</t>
  </si>
  <si>
    <t xml:space="preserve">After-School Drop-in Program &amp; LGBTQ Community Awareness Eve</t>
  </si>
  <si>
    <t xml:space="preserve">Community-Led Coastal Clean-Up Events - Council District 10</t>
  </si>
  <si>
    <t xml:space="preserve">Green Jobs Trainings - Council District 10</t>
  </si>
  <si>
    <t xml:space="preserve">Row New York, Inc.</t>
  </si>
  <si>
    <t xml:space="preserve">113632924</t>
  </si>
  <si>
    <t xml:space="preserve">High School Youth Program - Council District 10</t>
  </si>
  <si>
    <t xml:space="preserve">Renaissance Technical Institute, Inc.</t>
  </si>
  <si>
    <t xml:space="preserve">472048750</t>
  </si>
  <si>
    <t xml:space="preserve">Free Workforce training - Council District 10</t>
  </si>
  <si>
    <t xml:space="preserve">OSS Project, Inc.</t>
  </si>
  <si>
    <t xml:space="preserve">823552775</t>
  </si>
  <si>
    <t xml:space="preserve">Garden's Program - Dyckman Houses &amp; Marble Hill Houses.</t>
  </si>
  <si>
    <t xml:space="preserve">Pre-apprenticeship in Construction and Building Trades for W</t>
  </si>
  <si>
    <t xml:space="preserve">New York Restoration Project</t>
  </si>
  <si>
    <t xml:space="preserve">133959056</t>
  </si>
  <si>
    <t xml:space="preserve">Community Growing and Green Space Stewardship - Council Dist</t>
  </si>
  <si>
    <t xml:space="preserve">Futures Ignite, Inc.</t>
  </si>
  <si>
    <t xml:space="preserve">421775449</t>
  </si>
  <si>
    <t xml:space="preserve">Environmental Programming &amp; Education and Community Cleanup </t>
  </si>
  <si>
    <t xml:space="preserve">School Network - Council District 10</t>
  </si>
  <si>
    <t xml:space="preserve">WHIST Transportation - Council District 10</t>
  </si>
  <si>
    <t xml:space="preserve">Dyckman Older Adult Center</t>
  </si>
  <si>
    <t xml:space="preserve">Inwood Older Adult Center</t>
  </si>
  <si>
    <t xml:space="preserve">Social Adult Day Care - Riverstone's Memory Center</t>
  </si>
  <si>
    <t xml:space="preserve">Washington Heights Community Services, Inc.</t>
  </si>
  <si>
    <t xml:space="preserve">132792876</t>
  </si>
  <si>
    <t xml:space="preserve">STAR Older Adult Center</t>
  </si>
  <si>
    <t xml:space="preserve">Marble Hill Older Adult Citizen Center</t>
  </si>
  <si>
    <t xml:space="preserve">Moriah Older Adult Luncheon Club</t>
  </si>
  <si>
    <t xml:space="preserve">Hellenic Older Adults Program - St. Spyridon</t>
  </si>
  <si>
    <t xml:space="preserve">Health &amp; Wellness Program - Council District 10</t>
  </si>
  <si>
    <t xml:space="preserve">Civil Legal Services - Council District 10</t>
  </si>
  <si>
    <t xml:space="preserve">Homelessness Prevention &amp; Housing Preservation - Council Dis</t>
  </si>
  <si>
    <t xml:space="preserve">Holocaust Survivor Assistance Program - Council District 10</t>
  </si>
  <si>
    <t xml:space="preserve">Tenant Advocacy Services - Council District 10</t>
  </si>
  <si>
    <t xml:space="preserve">Food Access Program - Council District 10</t>
  </si>
  <si>
    <t xml:space="preserve">Broadway Housing Communities, Inc.</t>
  </si>
  <si>
    <t xml:space="preserve">133212867</t>
  </si>
  <si>
    <t xml:space="preserve">Dorothy Day Early Childhood Center - Council District 10</t>
  </si>
  <si>
    <t xml:space="preserve">New York County Defender Services, Inc.</t>
  </si>
  <si>
    <t xml:space="preserve">113361008</t>
  </si>
  <si>
    <t xml:space="preserve">Community Engagement Program - Council District 10</t>
  </si>
  <si>
    <t xml:space="preserve">Tenant Organizing - Council District 10</t>
  </si>
  <si>
    <t xml:space="preserve">Uplift NYC, Inc.</t>
  </si>
  <si>
    <t xml:space="preserve">465401925</t>
  </si>
  <si>
    <t xml:space="preserve">Uptown Basketball Academy - Council District 10</t>
  </si>
  <si>
    <t xml:space="preserve">Center for Community Alternatives, Inc.</t>
  </si>
  <si>
    <t xml:space="preserve">161395992</t>
  </si>
  <si>
    <t xml:space="preserve">ATI Programming - Council District 10</t>
  </si>
  <si>
    <t xml:space="preserve">Career Access Success Hub (CASH) &amp; Job Training &amp; Placement </t>
  </si>
  <si>
    <t xml:space="preserve">Community Voices Heard, Inc.</t>
  </si>
  <si>
    <t xml:space="preserve">133901997</t>
  </si>
  <si>
    <t xml:space="preserve">Council District 10</t>
  </si>
  <si>
    <t xml:space="preserve">Domestic Violence Survivor Services - Council District 10</t>
  </si>
  <si>
    <t xml:space="preserve">Inwood Community Services, Inc.</t>
  </si>
  <si>
    <t xml:space="preserve">133087407</t>
  </si>
  <si>
    <t xml:space="preserve">Community Services - Council District 10</t>
  </si>
  <si>
    <t xml:space="preserve">JFK Campus Driving Classes (79M379)</t>
  </si>
  <si>
    <t xml:space="preserve">Paid Internships - Council District 10</t>
  </si>
  <si>
    <t xml:space="preserve">Gregorio Luperon High School for Science and Math (06M552)</t>
  </si>
  <si>
    <t xml:space="preserve">Public School 115M Alexander Humboldt (06M115)</t>
  </si>
  <si>
    <t xml:space="preserve">Washington Heights Academy (06M366)</t>
  </si>
  <si>
    <t xml:space="preserve">Public School 098M Shorac Kappock (06M098)</t>
  </si>
  <si>
    <t xml:space="preserve">Intermediate School 528M Bea Fuller Rodgers School (06M528)</t>
  </si>
  <si>
    <t xml:space="preserve">Public School 173M (06M173)</t>
  </si>
  <si>
    <t xml:space="preserve">Public School 152M Dyckman Valley (06M152)</t>
  </si>
  <si>
    <t xml:space="preserve">Public School 48M Michael J. Buczek (06M048)</t>
  </si>
  <si>
    <t xml:space="preserve">Community Math &amp; Science Prep (06M328)</t>
  </si>
  <si>
    <t xml:space="preserve">Community Health Academy of the Heights (06M346)</t>
  </si>
  <si>
    <t xml:space="preserve">Washington Heights Expeditionary Learning School (06M348)</t>
  </si>
  <si>
    <t xml:space="preserve">Partnership with Children, Inc.</t>
  </si>
  <si>
    <t xml:space="preserve">135596751</t>
  </si>
  <si>
    <t xml:space="preserve">Public School 005M Ellen Lurie (06M005)</t>
  </si>
  <si>
    <t xml:space="preserve">Amistad Dual Language School (06M311)</t>
  </si>
  <si>
    <t xml:space="preserve">Public School / Middle School 278M Paula Hedbavny School (06</t>
  </si>
  <si>
    <t xml:space="preserve">Jazz Drama Program, The </t>
  </si>
  <si>
    <t xml:space="preserve">061722131</t>
  </si>
  <si>
    <t xml:space="preserve">Public School 004M Duke Ellington (06M004)</t>
  </si>
  <si>
    <t xml:space="preserve">P.S. 48M P.O. Michael J. Buczek (06M048) </t>
  </si>
  <si>
    <t xml:space="preserve">P.S./Intermediate School 187M Hudson Cliffs (06M187)</t>
  </si>
  <si>
    <t xml:space="preserve">Community Arts &amp; Culture Programming - Council District 10</t>
  </si>
  <si>
    <t xml:space="preserve">Conservatory &amp; Concert Series - Council District 10</t>
  </si>
  <si>
    <t xml:space="preserve">Public Art Youth Employment Program - Council District 10</t>
  </si>
  <si>
    <t xml:space="preserve">Dance Kids Program</t>
  </si>
  <si>
    <t xml:space="preserve">Dominican Collectives Dance Ensemble, Inc.</t>
  </si>
  <si>
    <t xml:space="preserve">843001909</t>
  </si>
  <si>
    <t xml:space="preserve">Arts &amp; Dance Programming - Council District 10</t>
  </si>
  <si>
    <t xml:space="preserve">Dyckman Farmhouse Museum Alliance</t>
  </si>
  <si>
    <t xml:space="preserve">320035632</t>
  </si>
  <si>
    <t xml:space="preserve">Volunteer Garden &amp; Composting Program - Council District 10</t>
  </si>
  <si>
    <t xml:space="preserve">Inwood Art Works, Inc.</t>
  </si>
  <si>
    <t xml:space="preserve">814379932</t>
  </si>
  <si>
    <t xml:space="preserve">Film Works Alfresco - Council District 10</t>
  </si>
  <si>
    <t xml:space="preserve">Scandinavian Music Festival - Council District 10</t>
  </si>
  <si>
    <t xml:space="preserve">Arts Programming - Council District 10</t>
  </si>
  <si>
    <t xml:space="preserve">Orchestrating Dreams, Inc.</t>
  </si>
  <si>
    <t xml:space="preserve">463758797</t>
  </si>
  <si>
    <t xml:space="preserve">Side-by-Side Performance &amp; Music Mentorship - Washington Hei</t>
  </si>
  <si>
    <t xml:space="preserve">Seven Stories Institute</t>
  </si>
  <si>
    <t xml:space="preserve">383713884</t>
  </si>
  <si>
    <t xml:space="preserve">Word Up</t>
  </si>
  <si>
    <t xml:space="preserve">United Palace of Cultural Arts, Inc.</t>
  </si>
  <si>
    <t xml:space="preserve">900884007</t>
  </si>
  <si>
    <t xml:space="preserve"> Cultural Film Festival </t>
  </si>
  <si>
    <t xml:space="preserve">Young Men's and Young Women's Hebrew Association of Washington Heights and Inwood</t>
  </si>
  <si>
    <t xml:space="preserve">131635308</t>
  </si>
  <si>
    <t xml:space="preserve">Immigrant Teens Programming</t>
  </si>
  <si>
    <t xml:space="preserve">College &amp; Career Pathways Program </t>
  </si>
  <si>
    <t xml:space="preserve">Youth Robotics Leagues &amp; STEM Programs- Council District 10</t>
  </si>
  <si>
    <t xml:space="preserve">Workforce Training - Council District 10</t>
  </si>
  <si>
    <t xml:space="preserve">Women's Digital Cooperative for Economic Empowerment - Counc</t>
  </si>
  <si>
    <t xml:space="preserve">Nuevo Amanecer/New Dawn Anti-Domestic Violence Program</t>
  </si>
  <si>
    <t xml:space="preserve">Domestic Abuse Survivors Programming</t>
  </si>
  <si>
    <t xml:space="preserve">Domestic Violence Prevention Program - Council District 10</t>
  </si>
  <si>
    <t xml:space="preserve">Legal Services for Low-Income Victims - Council District 10</t>
  </si>
  <si>
    <t xml:space="preserve">Latinx Survivor Outreach - Council District 10</t>
  </si>
  <si>
    <t xml:space="preserve">VIP’s Child and Adolescent Program (CAP) - Council District </t>
  </si>
  <si>
    <t xml:space="preserve">Centro Civico Cultural Dominicano, Inc.</t>
  </si>
  <si>
    <t xml:space="preserve">134027383</t>
  </si>
  <si>
    <t xml:space="preserve">Domestic Violence Survivors Programming - Council District 1</t>
  </si>
  <si>
    <t xml:space="preserve">Latino Film Market, Inc.</t>
  </si>
  <si>
    <t xml:space="preserve">824925064</t>
  </si>
  <si>
    <t xml:space="preserve">LGBTQ Youth Drop In Center - La Sala</t>
  </si>
  <si>
    <t xml:space="preserve">After-school Program - Council District 10</t>
  </si>
  <si>
    <t xml:space="preserve">Film Works Alfresco</t>
  </si>
  <si>
    <t xml:space="preserve">Jazz Power Youth Programming - Council District 10</t>
  </si>
  <si>
    <t xml:space="preserve">Youth Programming - Council District 10</t>
  </si>
  <si>
    <t xml:space="preserve">Marble Hill Houses</t>
  </si>
  <si>
    <t xml:space="preserve">Summer Camp &amp; After School Training - Council District 10</t>
  </si>
  <si>
    <t xml:space="preserve">Anti-violence Program - Council District 10</t>
  </si>
  <si>
    <t xml:space="preserve">Ercilia Pepin Parent Leadership Institute - Council District</t>
  </si>
  <si>
    <t xml:space="preserve">Holyrood Church</t>
  </si>
  <si>
    <t xml:space="preserve">131844844</t>
  </si>
  <si>
    <t xml:space="preserve">Choir Programming - Council District 10</t>
  </si>
  <si>
    <t xml:space="preserve">Drums Along the Hudson - Council District 10</t>
  </si>
  <si>
    <t xml:space="preserve">Dyckman Inwood United Foundation, Inc.</t>
  </si>
  <si>
    <t xml:space="preserve">392501350</t>
  </si>
  <si>
    <t xml:space="preserve">Food Pantry - Council District 10</t>
  </si>
  <si>
    <t xml:space="preserve">Foundation de Prevencion de Adicciones y Violencia Domestica Carlos Martinez, Inc.</t>
  </si>
  <si>
    <t xml:space="preserve">332785261</t>
  </si>
  <si>
    <t xml:space="preserve">Addiction Recovery Programming</t>
  </si>
  <si>
    <t xml:space="preserve">Armory Foundation, The</t>
  </si>
  <si>
    <t xml:space="preserve">133680286</t>
  </si>
  <si>
    <t xml:space="preserve">Older Adults Aim High Program - Council District 10</t>
  </si>
  <si>
    <t xml:space="preserve">AhHa!Broadway, Inc.</t>
  </si>
  <si>
    <t xml:space="preserve">852492020</t>
  </si>
  <si>
    <t xml:space="preserve">Spectacular Older Adults Programming - Council District 10</t>
  </si>
  <si>
    <t xml:space="preserve">Behind the Book, Inc.</t>
  </si>
  <si>
    <t xml:space="preserve">320086097</t>
  </si>
  <si>
    <t xml:space="preserve">Building for the Arts NY, Inc.</t>
  </si>
  <si>
    <t xml:space="preserve">132852371</t>
  </si>
  <si>
    <t xml:space="preserve">Music &amp; The Brain - Council District 10</t>
  </si>
  <si>
    <t xml:space="preserve">Music Education - Council District 10</t>
  </si>
  <si>
    <t xml:space="preserve">Connectemonos</t>
  </si>
  <si>
    <t xml:space="preserve">061603193</t>
  </si>
  <si>
    <t xml:space="preserve">El Conuco: Growing Youth Leadership Through Urban Farming</t>
  </si>
  <si>
    <t xml:space="preserve">Fifa's Social Cultural Global Organization NY-RD, Inc.</t>
  </si>
  <si>
    <t xml:space="preserve">883564676</t>
  </si>
  <si>
    <t xml:space="preserve">Dominican Cultural Programming - Council District 10</t>
  </si>
  <si>
    <t xml:space="preserve">Heart Speaks Foundation, Inc.</t>
  </si>
  <si>
    <t xml:space="preserve">842151999</t>
  </si>
  <si>
    <t xml:space="preserve">Helping Our People Evolve Incorporated</t>
  </si>
  <si>
    <t xml:space="preserve">842929615</t>
  </si>
  <si>
    <t xml:space="preserve">Thyroid Cancer Screening - Council District 10</t>
  </si>
  <si>
    <t xml:space="preserve">Hudson River Community Sailing, Inc.</t>
  </si>
  <si>
    <t xml:space="preserve">261784215</t>
  </si>
  <si>
    <t xml:space="preserve">Sail Academy - Council District 10</t>
  </si>
  <si>
    <t xml:space="preserve">Internal Creations, Inc.</t>
  </si>
  <si>
    <t xml:space="preserve">471831397</t>
  </si>
  <si>
    <t xml:space="preserve">Guitar Music Programming - Council District 10</t>
  </si>
  <si>
    <t xml:space="preserve">Isham Park Restoration Program 1970, Inc.</t>
  </si>
  <si>
    <t xml:space="preserve">811703530</t>
  </si>
  <si>
    <t xml:space="preserve">Inwood Jazz Festival</t>
  </si>
  <si>
    <t xml:space="preserve">Mental Health Services - Council District 10</t>
  </si>
  <si>
    <t xml:space="preserve">La Asociacion Americana De Estudios Culturales Universales, Inc.</t>
  </si>
  <si>
    <t xml:space="preserve">133059518</t>
  </si>
  <si>
    <t xml:space="preserve">Tarde Holistica &amp; Portal de Luz</t>
  </si>
  <si>
    <t xml:space="preserve">Community Growing - Council District 10</t>
  </si>
  <si>
    <t xml:space="preserve">Nido de Esperanza Charitable Society</t>
  </si>
  <si>
    <t xml:space="preserve">825510616</t>
  </si>
  <si>
    <t xml:space="preserve">Paint Club Programming - Public School 098M Shorac Kappock (</t>
  </si>
  <si>
    <t xml:space="preserve">Rosie's Theater Kids, Inc.</t>
  </si>
  <si>
    <t xml:space="preserve">331194964</t>
  </si>
  <si>
    <t xml:space="preserve">PS Broadway Programming - Council District 10</t>
  </si>
  <si>
    <t xml:space="preserve">LifeLinks Building Connections &amp; Preventing Suicide - Counci</t>
  </si>
  <si>
    <t xml:space="preserve">Pantaleon Programming - Council District 10</t>
  </si>
  <si>
    <t xml:space="preserve">Sports and Health in the City, Inc.</t>
  </si>
  <si>
    <t xml:space="preserve">832547786</t>
  </si>
  <si>
    <t xml:space="preserve">United Palace for Arts and Culture, Inc.</t>
  </si>
  <si>
    <t xml:space="preserve">921790740</t>
  </si>
  <si>
    <t xml:space="preserve">Latino Film Festival </t>
  </si>
  <si>
    <t xml:space="preserve">UP Theater Company, Inc.</t>
  </si>
  <si>
    <t xml:space="preserve">273236745</t>
  </si>
  <si>
    <t xml:space="preserve">Bread of Life - Council District 10</t>
  </si>
  <si>
    <t xml:space="preserve">Dyckman Houses Residents Association</t>
  </si>
  <si>
    <t xml:space="preserve">Care Cafe - Council District 10</t>
  </si>
  <si>
    <t xml:space="preserve">High School for Excellence and Innovation (06M423)</t>
  </si>
  <si>
    <t xml:space="preserve">Kan Cobra Tiger Alliance, Inc.</t>
  </si>
  <si>
    <t xml:space="preserve">463766464</t>
  </si>
  <si>
    <t xml:space="preserve">Community Programming - Council District 10</t>
  </si>
  <si>
    <t xml:space="preserve">CUNY Creative Arts Team - Violence Prevention &amp; Intervention</t>
  </si>
  <si>
    <t xml:space="preserve">Coalition on Positive Health Empowerment, Inc.</t>
  </si>
  <si>
    <t xml:space="preserve">272654975</t>
  </si>
  <si>
    <t xml:space="preserve">Community Walking Group - Council District 10</t>
  </si>
  <si>
    <t xml:space="preserve">School in the Square Public Charter School</t>
  </si>
  <si>
    <t xml:space="preserve">810932728</t>
  </si>
  <si>
    <t xml:space="preserve">Borough of Manhattan Community College - CUNY in The Heights</t>
  </si>
  <si>
    <t xml:space="preserve">Washington Heights Child Care Center, Inc.</t>
  </si>
  <si>
    <t xml:space="preserve">132709329</t>
  </si>
  <si>
    <t xml:space="preserve">Washington Heights Child Care Center </t>
  </si>
  <si>
    <t xml:space="preserve">Dyckman Gardens Corp</t>
  </si>
  <si>
    <t xml:space="preserve">851772060</t>
  </si>
  <si>
    <t xml:space="preserve">Quisqueya Plaza</t>
  </si>
  <si>
    <t xml:space="preserve">Dominican Day Parade Incorporated</t>
  </si>
  <si>
    <t xml:space="preserve">473537708</t>
  </si>
  <si>
    <t xml:space="preserve">Additional Sanitation Services - Council District 10</t>
  </si>
  <si>
    <t xml:space="preserve">Cleanup Services - Council District 10</t>
  </si>
  <si>
    <t xml:space="preserve">Community Cleanup Programming</t>
  </si>
  <si>
    <t xml:space="preserve">Washington Heights Business Improvement District Mgmt Association, Inc.</t>
  </si>
  <si>
    <t xml:space="preserve">133348873</t>
  </si>
  <si>
    <t xml:space="preserve">Cleaning &amp; Beautification - Washington Heights</t>
  </si>
  <si>
    <t xml:space="preserve">Bameso USA</t>
  </si>
  <si>
    <t xml:space="preserve">342056362</t>
  </si>
  <si>
    <t xml:space="preserve">Cleanup Services &amp; Beautification </t>
  </si>
  <si>
    <t xml:space="preserve">181st Beautification </t>
  </si>
  <si>
    <t xml:space="preserve">Production &amp; Operations Capacity Development - Council Distr</t>
  </si>
  <si>
    <t xml:space="preserve">Spring Festival - Council District 10</t>
  </si>
  <si>
    <t xml:space="preserve">MMCC-CDC Older Adult Center Marble Hill</t>
  </si>
  <si>
    <t xml:space="preserve">NYFSC Dyckman Older Adult Center</t>
  </si>
  <si>
    <t xml:space="preserve">Older Adult Center Programs</t>
  </si>
  <si>
    <t xml:space="preserve">Moriah Older Adult Luncheon Club - Council District 10</t>
  </si>
  <si>
    <t xml:space="preserve">Hebrew Tabernacle of Washington Heights, Inc.</t>
  </si>
  <si>
    <t xml:space="preserve">130831470</t>
  </si>
  <si>
    <t xml:space="preserve">Older Adults Programming - Council District 10</t>
  </si>
  <si>
    <t xml:space="preserve">Tarde Holistica &amp; Portal de Luz Programming</t>
  </si>
  <si>
    <t xml:space="preserve">Digital/Virtual Literacy &amp; Technology Training for Older Adu</t>
  </si>
  <si>
    <t xml:space="preserve">Senior Center Programming - Council District 10</t>
  </si>
  <si>
    <t xml:space="preserve">Seniors Helping Seniors, Inc.</t>
  </si>
  <si>
    <t xml:space="preserve">133111915</t>
  </si>
  <si>
    <t xml:space="preserve">Washington Heights-Inwood Preservation and Restoration Corporation</t>
  </si>
  <si>
    <t xml:space="preserve">132944830</t>
  </si>
  <si>
    <t xml:space="preserve">Older Adults Services - Council District 10</t>
  </si>
  <si>
    <t xml:space="preserve">Isabella NORC</t>
  </si>
  <si>
    <t xml:space="preserve">Life is Precious Program - Council District 10</t>
  </si>
  <si>
    <t xml:space="preserve">Inwood-Manhattan Little League Baseball, Inc.</t>
  </si>
  <si>
    <t xml:space="preserve">136271595</t>
  </si>
  <si>
    <t xml:space="preserve">Inwood Little League - Council District 10</t>
  </si>
  <si>
    <t xml:space="preserve">Community School After-School Program - Public School 005M E</t>
  </si>
  <si>
    <t xml:space="preserve">TEENS in Action - Salomé Ureña Campus</t>
  </si>
  <si>
    <t xml:space="preserve">Iconos Kids, Inc.</t>
  </si>
  <si>
    <t xml:space="preserve">833267386</t>
  </si>
  <si>
    <t xml:space="preserve">Van Cortlandt Titans Youth Football Program, Inc.</t>
  </si>
  <si>
    <t xml:space="preserve">320420611</t>
  </si>
  <si>
    <t xml:space="preserve">Titans Programming - Council District 10</t>
  </si>
  <si>
    <t xml:space="preserve">Washington Heights Tennis Association, Inc.</t>
  </si>
  <si>
    <t xml:space="preserve">133950591</t>
  </si>
  <si>
    <t xml:space="preserve">Junior Tennis Program - Council District 10</t>
  </si>
  <si>
    <t xml:space="preserve">Young Women's Leadership (YWL) Group</t>
  </si>
  <si>
    <t xml:space="preserve">Services for Unhoused LGBTQ+ Youth - Council District 10</t>
  </si>
  <si>
    <t xml:space="preserve">Environmental Program - Council District 10</t>
  </si>
  <si>
    <t xml:space="preserve">Marble Hill Cornerstone</t>
  </si>
  <si>
    <t xml:space="preserve">New York City Outward Bound Center, Inc.</t>
  </si>
  <si>
    <t xml:space="preserve">133471084</t>
  </si>
  <si>
    <t xml:space="preserve">College &amp; Career Readiness - Washington Heights Expeditionar</t>
  </si>
  <si>
    <t xml:space="preserve">CollegeBound Initiative (CBI) - Council District 10</t>
  </si>
  <si>
    <t xml:space="preserve">Uptown Paddling, Inc.</t>
  </si>
  <si>
    <t xml:space="preserve">832429862</t>
  </si>
  <si>
    <t xml:space="preserve">Youth Kayaking - Council District 10</t>
  </si>
  <si>
    <t xml:space="preserve">Fraternidad de Los Angeles, Inc.</t>
  </si>
  <si>
    <t xml:space="preserve">582672102</t>
  </si>
  <si>
    <t xml:space="preserve">Healing Circles &amp; Social Emotional Learning (SEL) Workshops </t>
  </si>
  <si>
    <t xml:space="preserve">Youth Choir and Music Programming - Council District 10</t>
  </si>
  <si>
    <t xml:space="preserve">High School Transition Program - Council District 10</t>
  </si>
  <si>
    <t xml:space="preserve">Amber Charter School</t>
  </si>
  <si>
    <t xml:space="preserve">134119814</t>
  </si>
  <si>
    <t xml:space="preserve">Family Engagement Program</t>
  </si>
  <si>
    <t xml:space="preserve">Student Athlete Programming - Council District 10</t>
  </si>
  <si>
    <t xml:space="preserve">Youth Program - Council District 10</t>
  </si>
  <si>
    <t xml:space="preserve">Van Cortlandt Park Alliance, Inc.</t>
  </si>
  <si>
    <t xml:space="preserve">133843182</t>
  </si>
  <si>
    <t xml:space="preserve">Environmental Education &amp; Community Programs - Council Distr</t>
  </si>
  <si>
    <t xml:space="preserve">Bronx River Alliance, Inc.</t>
  </si>
  <si>
    <t xml:space="preserve">753001587</t>
  </si>
  <si>
    <t xml:space="preserve">Greening the Bronx D11</t>
  </si>
  <si>
    <t xml:space="preserve">Woodlawn Conservancy, Inc.</t>
  </si>
  <si>
    <t xml:space="preserve">311695037</t>
  </si>
  <si>
    <t xml:space="preserve">Bridge To Crafts Careers Workforce Development Initiative</t>
  </si>
  <si>
    <t xml:space="preserve">Bronx Community Partner Day - Free Access Vouchers</t>
  </si>
  <si>
    <t xml:space="preserve">Riverdale Neighborhood House, Inc.</t>
  </si>
  <si>
    <t xml:space="preserve">131740024</t>
  </si>
  <si>
    <t xml:space="preserve">RNH's Food &amp; Farm Hub</t>
  </si>
  <si>
    <t xml:space="preserve">NYRP Community Garden Support in Council District 11</t>
  </si>
  <si>
    <t xml:space="preserve">Young Men &amp; Young Women's Hebrew Association of the Bronx dba Riverdale YM/YWHA</t>
  </si>
  <si>
    <t xml:space="preserve">131740507</t>
  </si>
  <si>
    <t xml:space="preserve">Riverdale Y - New Beginnings Center for Contemporary Adults</t>
  </si>
  <si>
    <t xml:space="preserve">Mosholu Montefiore Older Adult Center</t>
  </si>
  <si>
    <t xml:space="preserve">Riverdale Senior Services, Inc.</t>
  </si>
  <si>
    <t xml:space="preserve">237357997</t>
  </si>
  <si>
    <t xml:space="preserve">Center of Excellence for Caregiver Services - Council Distri</t>
  </si>
  <si>
    <t xml:space="preserve">Bedford Park Multi-Service Center for Senior Citizens, Inc.</t>
  </si>
  <si>
    <t xml:space="preserve">132745303</t>
  </si>
  <si>
    <t xml:space="preserve">Access to Critical Services for Older Adults - Council Distr</t>
  </si>
  <si>
    <t xml:space="preserve">Emerald Isle Immigration Center</t>
  </si>
  <si>
    <t xml:space="preserve">112932528</t>
  </si>
  <si>
    <t xml:space="preserve">Senior Services - Council District 11 &amp; Woodlawn</t>
  </si>
  <si>
    <t xml:space="preserve">Nereid Older Adult Center - Council District 11</t>
  </si>
  <si>
    <t xml:space="preserve">Mental Health Services - Council District 11</t>
  </si>
  <si>
    <t xml:space="preserve">West Bronx Housing and Neighborhood Resource Center, Inc.</t>
  </si>
  <si>
    <t xml:space="preserve">132941841</t>
  </si>
  <si>
    <t xml:space="preserve">Housing Services - Council District 11</t>
  </si>
  <si>
    <t xml:space="preserve">Mindbuilders Creative Arts, Inc.</t>
  </si>
  <si>
    <t xml:space="preserve">132988157</t>
  </si>
  <si>
    <t xml:space="preserve">Arts Instruction for Youth &amp; Families - Council District 11</t>
  </si>
  <si>
    <t xml:space="preserve">Council District 11</t>
  </si>
  <si>
    <t xml:space="preserve">Changing Futures / Rape Crisis Program - Council District 11</t>
  </si>
  <si>
    <t xml:space="preserve">Healing Centered Schools Working Group</t>
  </si>
  <si>
    <t xml:space="preserve">District Attorney-Bronx</t>
  </si>
  <si>
    <t xml:space="preserve">Council District 11 Schools</t>
  </si>
  <si>
    <t xml:space="preserve">Teen Center &amp; Changing Futures Program(s) - Court Involved Y</t>
  </si>
  <si>
    <t xml:space="preserve">Riverdale Mental Health Association, Inc.</t>
  </si>
  <si>
    <t xml:space="preserve">131930700</t>
  </si>
  <si>
    <t xml:space="preserve">DreamYard Project, Inc.</t>
  </si>
  <si>
    <t xml:space="preserve">133759661</t>
  </si>
  <si>
    <t xml:space="preserve">DreamYard CASA Program in PS95</t>
  </si>
  <si>
    <t xml:space="preserve">DreamYard CASA programming at PS7 (Milton Fein)</t>
  </si>
  <si>
    <t xml:space="preserve">Hort CASA Program PS8</t>
  </si>
  <si>
    <t xml:space="preserve">Hort CASA funding at PS20</t>
  </si>
  <si>
    <t xml:space="preserve">The Hort CASA Program at PS 81</t>
  </si>
  <si>
    <t xml:space="preserve">The Hort CASA PS94</t>
  </si>
  <si>
    <t xml:space="preserve">The Hort CASA program at PS 168</t>
  </si>
  <si>
    <t xml:space="preserve">The Hort CASA Program at In-Tech</t>
  </si>
  <si>
    <t xml:space="preserve">TFFJ CASA Program at RKA</t>
  </si>
  <si>
    <t xml:space="preserve">TFFJ's CASA program at DeWitt Clinton</t>
  </si>
  <si>
    <t xml:space="preserve">Bronx Arts Ensemble's CASA Program at PS16</t>
  </si>
  <si>
    <t xml:space="preserve">Inside Broadway's CASA program at PS19</t>
  </si>
  <si>
    <t xml:space="preserve">NYC H2O's CASA program at PS24</t>
  </si>
  <si>
    <t xml:space="preserve">Alvin Ailey CASA at PS56</t>
  </si>
  <si>
    <t xml:space="preserve">NY Historical CASA Program at PS344 (AMPARK)</t>
  </si>
  <si>
    <t xml:space="preserve">Midori &amp; Friends' CASA Program Celia Cruz</t>
  </si>
  <si>
    <t xml:space="preserve">CEI's CASA program at PS483</t>
  </si>
  <si>
    <t xml:space="preserve">Arts Education &amp; Music Concerts - Council District 11</t>
  </si>
  <si>
    <t xml:space="preserve">Enslaved People Project - Van Cortlandt Park - Council Distr</t>
  </si>
  <si>
    <t xml:space="preserve">Ballroom Basix School Programming in CD 11</t>
  </si>
  <si>
    <t xml:space="preserve">Bronx Opera Company, Inc.</t>
  </si>
  <si>
    <t xml:space="preserve">237170675</t>
  </si>
  <si>
    <t xml:space="preserve">Mainstage Productions &amp; Opera-in-the-Schools</t>
  </si>
  <si>
    <t xml:space="preserve">Kingsbridge-Riverdale-Van Cortlandt Development Corporation</t>
  </si>
  <si>
    <t xml:space="preserve">133097905</t>
  </si>
  <si>
    <t xml:space="preserve">KRVC's 4Bronx Project</t>
  </si>
  <si>
    <t xml:space="preserve">Education Video Center's programming at Dewitt Clinton Highs</t>
  </si>
  <si>
    <t xml:space="preserve">Lehman College Art Gallery's “First Curtain” family programs</t>
  </si>
  <si>
    <t xml:space="preserve">Free Filmmaking for Youth - DeWitt Clinton High School (10X4</t>
  </si>
  <si>
    <t xml:space="preserve">Center for Jewish History, Inc., The</t>
  </si>
  <si>
    <t xml:space="preserve">133863344</t>
  </si>
  <si>
    <t xml:space="preserve">Professional Development for NYC Educators at the Center for</t>
  </si>
  <si>
    <t xml:space="preserve">Youth Robotics Leagues &amp; STEM Programs - Council District 11</t>
  </si>
  <si>
    <t xml:space="preserve">BetaNYC - Mapping for Equity Initiative and other programmin</t>
  </si>
  <si>
    <t xml:space="preserve">Holocaust Education &amp; Anti-Hate Programming - Council Distri</t>
  </si>
  <si>
    <t xml:space="preserve">JASA Digital Literacy programming in District 11</t>
  </si>
  <si>
    <t xml:space="preserve">Civil Legal Services - Council District 11</t>
  </si>
  <si>
    <t xml:space="preserve">Hebrew Home for the Aged at Riverdale, The</t>
  </si>
  <si>
    <t xml:space="preserve">131739971</t>
  </si>
  <si>
    <t xml:space="preserve">The Weinberg Center for Elder Justice</t>
  </si>
  <si>
    <t xml:space="preserve">CD11 - Changing  Future</t>
  </si>
  <si>
    <t xml:space="preserve">Shalom Task Force, Inc.</t>
  </si>
  <si>
    <t xml:space="preserve">113207504</t>
  </si>
  <si>
    <t xml:space="preserve">Telephone Reassurance Program (TRP) - Council District 11</t>
  </si>
  <si>
    <t xml:space="preserve">Mosholu Preservation Corporation</t>
  </si>
  <si>
    <t xml:space="preserve">133109387</t>
  </si>
  <si>
    <t xml:space="preserve">Holiday Lights - Council District 11</t>
  </si>
  <si>
    <t xml:space="preserve">Wave Hill Incorporated</t>
  </si>
  <si>
    <t xml:space="preserve">136178903</t>
  </si>
  <si>
    <t xml:space="preserve">Performing Arts at Wave Hill - Council District 11</t>
  </si>
  <si>
    <t xml:space="preserve">Community Events &amp; 4Bronx Project - Council District 11</t>
  </si>
  <si>
    <t xml:space="preserve">Speech &amp; Debate in Schools - Council District 11</t>
  </si>
  <si>
    <t xml:space="preserve">AmPark NORC Meals Program </t>
  </si>
  <si>
    <t xml:space="preserve">Music Concerts - Council District 11</t>
  </si>
  <si>
    <t xml:space="preserve">Bronx Children's Museum</t>
  </si>
  <si>
    <t xml:space="preserve">260579140</t>
  </si>
  <si>
    <t xml:space="preserve">Ampark Neighborhood (10X344) - Nature of the Bronx</t>
  </si>
  <si>
    <t xml:space="preserve">Bronx County Historical Society</t>
  </si>
  <si>
    <t xml:space="preserve">136153378</t>
  </si>
  <si>
    <t xml:space="preserve">Community Leader Grants &amp; Neighborhood Business Services - C</t>
  </si>
  <si>
    <t xml:space="preserve">Kingsbridge Historical Society</t>
  </si>
  <si>
    <t xml:space="preserve">463952918</t>
  </si>
  <si>
    <t xml:space="preserve">2026 Exhibition &amp; Lecture Series - Council District 11</t>
  </si>
  <si>
    <t xml:space="preserve">Mental Health Services for Vulnerable Populations - Council </t>
  </si>
  <si>
    <t xml:space="preserve">Senior Services - Van Cortlandt Green - Council District 11</t>
  </si>
  <si>
    <t xml:space="preserve">Orchestra of The Bronx, Inc., The</t>
  </si>
  <si>
    <t xml:space="preserve">133940188</t>
  </si>
  <si>
    <t xml:space="preserve">A Bronx MESSIAH - Council District 11</t>
  </si>
  <si>
    <t xml:space="preserve">Special Olympics in NYC Schools - Council District 11</t>
  </si>
  <si>
    <t xml:space="preserve">Movies Under the Stars - Council District 11</t>
  </si>
  <si>
    <t xml:space="preserve">Older Adult Programs - Council District 11</t>
  </si>
  <si>
    <t xml:space="preserve">Music in the Gardens </t>
  </si>
  <si>
    <t xml:space="preserve">Bike Helmet Giveaway - Council District 11</t>
  </si>
  <si>
    <t xml:space="preserve">Bronx School for Music, Inc.</t>
  </si>
  <si>
    <t xml:space="preserve">854066770</t>
  </si>
  <si>
    <t xml:space="preserve">Music Education Programs for Youth - Council District 11</t>
  </si>
  <si>
    <t xml:space="preserve">Holocaust Education - Council District 11</t>
  </si>
  <si>
    <t xml:space="preserve">School Programs - Council District 11</t>
  </si>
  <si>
    <t xml:space="preserve">Project Witness</t>
  </si>
  <si>
    <t xml:space="preserve">113456787</t>
  </si>
  <si>
    <t xml:space="preserve">Digital Learning Hub</t>
  </si>
  <si>
    <t xml:space="preserve">Environmental Justice - Council District 11</t>
  </si>
  <si>
    <t xml:space="preserve">Speech &amp; Debate Program - Council District 11</t>
  </si>
  <si>
    <t xml:space="preserve">HealthBucks - Council District 11</t>
  </si>
  <si>
    <t xml:space="preserve">Skate Party - Council District 11</t>
  </si>
  <si>
    <t xml:space="preserve">Riverdale Children's Theatre, Inc.</t>
  </si>
  <si>
    <t xml:space="preserve">454460685</t>
  </si>
  <si>
    <t xml:space="preserve">Theatrical Performance &amp; Arts Education Programming - Counci</t>
  </si>
  <si>
    <t xml:space="preserve">Music Education Programming - Council District 11</t>
  </si>
  <si>
    <t xml:space="preserve">READing programs - Council District 11</t>
  </si>
  <si>
    <t xml:space="preserve">Project Media Zone, Inc.</t>
  </si>
  <si>
    <t xml:space="preserve">853511986</t>
  </si>
  <si>
    <t xml:space="preserve">Bronx Music Podcast &amp; Bronx Gets Together</t>
  </si>
  <si>
    <t xml:space="preserve">Riverdale Main Streets Alliance, Inc.</t>
  </si>
  <si>
    <t xml:space="preserve">452758681</t>
  </si>
  <si>
    <t xml:space="preserve">Street Beautification &amp; Cleanup - Council District 11</t>
  </si>
  <si>
    <t xml:space="preserve">Neighborhood Development &amp; Commercial Revitalization</t>
  </si>
  <si>
    <t xml:space="preserve">COLOR Club - Council District 11</t>
  </si>
  <si>
    <t xml:space="preserve">Keeping VCP Clean - Council District 11</t>
  </si>
  <si>
    <t xml:space="preserve">Streetscape Beautification – Council District 11</t>
  </si>
  <si>
    <t xml:space="preserve">SBS: Horticulture, Education, Therapeutic Horticulture, &amp; Pu</t>
  </si>
  <si>
    <t xml:space="preserve">Creative Arts &amp; Cultural Space Activations - Council Distric</t>
  </si>
  <si>
    <t xml:space="preserve">Council District 11 - JGHB</t>
  </si>
  <si>
    <t xml:space="preserve">Community Events &amp; Street Fairs - Council District 11</t>
  </si>
  <si>
    <t xml:space="preserve">Park Stewardship in the Natural Areas (Van Cortlandt Park)</t>
  </si>
  <si>
    <t xml:space="preserve">Tree Guards</t>
  </si>
  <si>
    <t xml:space="preserve">Council District 11: CityParks Play and Partnerships for Par</t>
  </si>
  <si>
    <t xml:space="preserve">NYJTL’s Community Tennis Programs (CTP)</t>
  </si>
  <si>
    <t xml:space="preserve">New Beginnings</t>
  </si>
  <si>
    <t xml:space="preserve">R.A.I.N. NEREID OLDER ADULT CENTER</t>
  </si>
  <si>
    <t xml:space="preserve">Bronx Opera's Mainstage Performances</t>
  </si>
  <si>
    <t xml:space="preserve">Council District 11 JASA VC OAC</t>
  </si>
  <si>
    <t xml:space="preserve">Older Adult Programs at Sister Annunciata</t>
  </si>
  <si>
    <t xml:space="preserve">Harry &amp; Jeanette Weinberg Center for Elder Justice</t>
  </si>
  <si>
    <t xml:space="preserve">Association for the Development of Vocal Artistry and Neighborhood Cultural Enrichmen</t>
  </si>
  <si>
    <t xml:space="preserve">31-1224121</t>
  </si>
  <si>
    <t xml:space="preserve">MORE Opera’s “Vocal Arts in the Open Air” Initiative</t>
  </si>
  <si>
    <t xml:space="preserve">AmPark Amalgamated Houses Teen Center (Van Cortlandt Village</t>
  </si>
  <si>
    <t xml:space="preserve">Teen Center</t>
  </si>
  <si>
    <t xml:space="preserve">Youth Market - Council District 11</t>
  </si>
  <si>
    <t xml:space="preserve">Learn to Swim</t>
  </si>
  <si>
    <t xml:space="preserve">Intergenerational Enrichment - Council District 11</t>
  </si>
  <si>
    <t xml:space="preserve">Community Youth Sports and Media Movement</t>
  </si>
  <si>
    <t xml:space="preserve">453999019</t>
  </si>
  <si>
    <t xml:space="preserve">Bronx Knights &amp; Cheerleading Equipment Upgrades - Council Di</t>
  </si>
  <si>
    <t xml:space="preserve">NYC Israeli Scouts - Council District 11</t>
  </si>
  <si>
    <t xml:space="preserve">DeWitt Clinton High School (10X440)</t>
  </si>
  <si>
    <t xml:space="preserve">Union Settlement Association, Inc.</t>
  </si>
  <si>
    <t xml:space="preserve">131632530</t>
  </si>
  <si>
    <t xml:space="preserve">Senior Services - Healthy Aging </t>
  </si>
  <si>
    <t xml:space="preserve">BronxWorks, Inc.</t>
  </si>
  <si>
    <t xml:space="preserve">133254484</t>
  </si>
  <si>
    <t xml:space="preserve">Community Food Tour - Moore Senior Center </t>
  </si>
  <si>
    <t xml:space="preserve">Carter Burden Center for the Aging, Inc., The</t>
  </si>
  <si>
    <t xml:space="preserve">237129499</t>
  </si>
  <si>
    <t xml:space="preserve">Lehman Senior Center</t>
  </si>
  <si>
    <t xml:space="preserve">Leonard Covello Senior Center </t>
  </si>
  <si>
    <t xml:space="preserve">East Side House, Inc.</t>
  </si>
  <si>
    <t xml:space="preserve">131623989</t>
  </si>
  <si>
    <t xml:space="preserve">Patterson Senior Center </t>
  </si>
  <si>
    <t xml:space="preserve">Institute for the Puerto Rican/Hispanic Elderly, Inc.</t>
  </si>
  <si>
    <t xml:space="preserve">132987263</t>
  </si>
  <si>
    <t xml:space="preserve">Carver Senior Center </t>
  </si>
  <si>
    <t xml:space="preserve">Enrichment Programming workshops - Betances Senior Center</t>
  </si>
  <si>
    <t xml:space="preserve">General Operating Support</t>
  </si>
  <si>
    <t xml:space="preserve">Borinquen Court Mitchel Older Adult Center</t>
  </si>
  <si>
    <t xml:space="preserve">1199 NORC</t>
  </si>
  <si>
    <t xml:space="preserve">Terence Cardinal Cooke Health Care Center</t>
  </si>
  <si>
    <t xml:space="preserve">133007801</t>
  </si>
  <si>
    <t xml:space="preserve">Music Therapy</t>
  </si>
  <si>
    <t xml:space="preserve">Elderly Project - Council District 8</t>
  </si>
  <si>
    <t xml:space="preserve">St. Cecilia's Food Pantry </t>
  </si>
  <si>
    <t xml:space="preserve">Healthy &amp; Livable Mott Haven Program</t>
  </si>
  <si>
    <t xml:space="preserve">Little Sisters of the Assumption Family Health Service, Inc.</t>
  </si>
  <si>
    <t xml:space="preserve">132867881</t>
  </si>
  <si>
    <t xml:space="preserve">Advocacy Program - Council District 8</t>
  </si>
  <si>
    <t xml:space="preserve">Mercy Center, Inc.</t>
  </si>
  <si>
    <t xml:space="preserve">133865634</t>
  </si>
  <si>
    <t xml:space="preserve">Family Skills Program</t>
  </si>
  <si>
    <t xml:space="preserve">NY Community Fridge Corp</t>
  </si>
  <si>
    <t xml:space="preserve">862346983</t>
  </si>
  <si>
    <t xml:space="preserve">Fridge Program - Council District 08.</t>
  </si>
  <si>
    <t xml:space="preserve">Phipps Neighborhoods, Inc.</t>
  </si>
  <si>
    <t xml:space="preserve">132707665</t>
  </si>
  <si>
    <t xml:space="preserve">Equitable Food - Council District 08 South Bronx</t>
  </si>
  <si>
    <t xml:space="preserve">Mott Haven Community Land Stewards</t>
  </si>
  <si>
    <t xml:space="preserve">824463916</t>
  </si>
  <si>
    <t xml:space="preserve">Civic Engagement</t>
  </si>
  <si>
    <t xml:space="preserve">Community &amp; Social Services Program - Betance Houses</t>
  </si>
  <si>
    <t xml:space="preserve">MASA-MexEd, Inc. d/b/a Masa</t>
  </si>
  <si>
    <t xml:space="preserve">113640210</t>
  </si>
  <si>
    <t xml:space="preserve">Council District 08</t>
  </si>
  <si>
    <t xml:space="preserve">Home-Delivered Meals - Council District 08</t>
  </si>
  <si>
    <t xml:space="preserve">Bronx Project HEAL - Council District 08</t>
  </si>
  <si>
    <t xml:space="preserve">Not Another Child, Inc.</t>
  </si>
  <si>
    <t xml:space="preserve">260894097</t>
  </si>
  <si>
    <t xml:space="preserve">Heal, Recover, Grow: Violence Survivor Support Services</t>
  </si>
  <si>
    <t xml:space="preserve">Keep Rising to the Top, Inc.</t>
  </si>
  <si>
    <t xml:space="preserve">133948379</t>
  </si>
  <si>
    <t xml:space="preserve">Victim Services Program</t>
  </si>
  <si>
    <t xml:space="preserve">Hot Bread Kitchen, Ltd.</t>
  </si>
  <si>
    <t xml:space="preserve">263332972</t>
  </si>
  <si>
    <t xml:space="preserve">Culinary Fundamentals Program - Council District 08</t>
  </si>
  <si>
    <t xml:space="preserve">Programming &amp; Services - Isaacs Center </t>
  </si>
  <si>
    <t xml:space="preserve">Visual Arts Research and Resource Center Relating to the Caribbean</t>
  </si>
  <si>
    <t xml:space="preserve">133054001</t>
  </si>
  <si>
    <t xml:space="preserve">Cultural History of Immigrant Community Initiative</t>
  </si>
  <si>
    <t xml:space="preserve">Los Pleneros de la 21, Inc.</t>
  </si>
  <si>
    <t xml:space="preserve">133353110</t>
  </si>
  <si>
    <t xml:space="preserve">Bomba &amp; Plena - Council District 8</t>
  </si>
  <si>
    <t xml:space="preserve">Boundless Theatre Company, Inc.</t>
  </si>
  <si>
    <t xml:space="preserve">861164716</t>
  </si>
  <si>
    <t xml:space="preserve">El Barrio Raices Summer Camp Program </t>
  </si>
  <si>
    <t xml:space="preserve">Music Matters - Council District 8</t>
  </si>
  <si>
    <t xml:space="preserve">Museum of the City of New York</t>
  </si>
  <si>
    <t xml:space="preserve">131624098</t>
  </si>
  <si>
    <t xml:space="preserve">CD08 Cultural Programing </t>
  </si>
  <si>
    <t xml:space="preserve">Turkey Distribution - Council District 08</t>
  </si>
  <si>
    <t xml:space="preserve">SCAN-Harbor, Inc.</t>
  </si>
  <si>
    <t xml:space="preserve">132912963</t>
  </si>
  <si>
    <t xml:space="preserve">Youth Programming - Council District 08</t>
  </si>
  <si>
    <t xml:space="preserve">Community Activities  - Council District 08</t>
  </si>
  <si>
    <t xml:space="preserve">Uptown Grand Central</t>
  </si>
  <si>
    <t xml:space="preserve">811133229</t>
  </si>
  <si>
    <t xml:space="preserve">Open Space Community Programming</t>
  </si>
  <si>
    <t xml:space="preserve">Asian Americans For Equality, Inc.</t>
  </si>
  <si>
    <t xml:space="preserve">133187792</t>
  </si>
  <si>
    <t xml:space="preserve">Community Services - Council District 08</t>
  </si>
  <si>
    <t xml:space="preserve">Millbrook Houses</t>
  </si>
  <si>
    <t xml:space="preserve">Bronx Community Board #1</t>
  </si>
  <si>
    <t xml:space="preserve">Power 4 Puerto Rico Education, Inc.</t>
  </si>
  <si>
    <t xml:space="preserve">932063358</t>
  </si>
  <si>
    <t xml:space="preserve">Dancing Classrooms, Inc.</t>
  </si>
  <si>
    <t xml:space="preserve">222542960</t>
  </si>
  <si>
    <t xml:space="preserve">Core Program Residences &amp; After School Programming - Council</t>
  </si>
  <si>
    <t xml:space="preserve">Ghetto Film School, Inc.</t>
  </si>
  <si>
    <t xml:space="preserve">134127229</t>
  </si>
  <si>
    <t xml:space="preserve">NY Talent Pipeline - Council District 08</t>
  </si>
  <si>
    <t xml:space="preserve">Bronx Legal Immigration Services - Council District 08</t>
  </si>
  <si>
    <t xml:space="preserve">Manhattan Community Board #11</t>
  </si>
  <si>
    <t xml:space="preserve">Monthly Board Meetings</t>
  </si>
  <si>
    <t xml:space="preserve">Safety Net Project - Council District 08</t>
  </si>
  <si>
    <t xml:space="preserve">Family Enrichment Center</t>
  </si>
  <si>
    <t xml:space="preserve">College Prep Initiative - Council District 08</t>
  </si>
  <si>
    <t xml:space="preserve">Book Bag Distribution - Council District 08</t>
  </si>
  <si>
    <t xml:space="preserve">Legal Services - Council District 08</t>
  </si>
  <si>
    <t xml:space="preserve">Neighborhood Defender Service, Inc.</t>
  </si>
  <si>
    <t xml:space="preserve">061296692</t>
  </si>
  <si>
    <t xml:space="preserve">Language Access &amp; Legal Services - Council District 08</t>
  </si>
  <si>
    <t xml:space="preserve">NYC Autism Charter Schools</t>
  </si>
  <si>
    <t xml:space="preserve">812958000</t>
  </si>
  <si>
    <t xml:space="preserve">Summer Programming - Council District 08</t>
  </si>
  <si>
    <t xml:space="preserve">Rem Center, Inc.</t>
  </si>
  <si>
    <t xml:space="preserve">873939856</t>
  </si>
  <si>
    <t xml:space="preserve">Bronx HYPE FEC</t>
  </si>
  <si>
    <t xml:space="preserve">Digital Literacy and Technology Training-CD08</t>
  </si>
  <si>
    <t xml:space="preserve">Restoring &amp; Preserving Affordable Housing-CD08</t>
  </si>
  <si>
    <t xml:space="preserve">Mott Haven Houses</t>
  </si>
  <si>
    <t xml:space="preserve">Nature of the Bronx</t>
  </si>
  <si>
    <t xml:space="preserve">Dog Run Programming &amp; Services - Thomas Jefferson Park Dog R</t>
  </si>
  <si>
    <t xml:space="preserve">More Gardens! Fund</t>
  </si>
  <si>
    <t xml:space="preserve">522415900</t>
  </si>
  <si>
    <t xml:space="preserve">More Gardens Beautification Project </t>
  </si>
  <si>
    <t xml:space="preserve">UpBeat NYC, Inc.</t>
  </si>
  <si>
    <t xml:space="preserve">272232366</t>
  </si>
  <si>
    <t xml:space="preserve">Bailey House, Inc.</t>
  </si>
  <si>
    <t xml:space="preserve">133165181</t>
  </si>
  <si>
    <t xml:space="preserve">Family Support Program - Schafer Hall</t>
  </si>
  <si>
    <t xml:space="preserve">Bindlestiff Family Variety Arts, Inc.</t>
  </si>
  <si>
    <t xml:space="preserve">113479226</t>
  </si>
  <si>
    <t xml:space="preserve">Theater Activation Initiative - Council District 08</t>
  </si>
  <si>
    <t xml:space="preserve">Adams Houses</t>
  </si>
  <si>
    <t xml:space="preserve">St. Mary's Houses </t>
  </si>
  <si>
    <t xml:space="preserve">Mitchel Houses</t>
  </si>
  <si>
    <t xml:space="preserve">Johnson Houses</t>
  </si>
  <si>
    <t xml:space="preserve">Patterson Houses</t>
  </si>
  <si>
    <t xml:space="preserve">23rd Precinct Community Council</t>
  </si>
  <si>
    <t xml:space="preserve">25th Precinct Community Council</t>
  </si>
  <si>
    <t xml:space="preserve">40th Precinct Community Council</t>
  </si>
  <si>
    <t xml:space="preserve">Jefferson Houses </t>
  </si>
  <si>
    <t xml:space="preserve">Holmes Houses</t>
  </si>
  <si>
    <t xml:space="preserve">Carver Houses</t>
  </si>
  <si>
    <t xml:space="preserve">East River Houses </t>
  </si>
  <si>
    <t xml:space="preserve">Wagner Houses</t>
  </si>
  <si>
    <t xml:space="preserve">Taft Houses</t>
  </si>
  <si>
    <t xml:space="preserve">Lexington Houses</t>
  </si>
  <si>
    <t xml:space="preserve">Lehman Houses</t>
  </si>
  <si>
    <t xml:space="preserve">Sanitation Services - Council District 8</t>
  </si>
  <si>
    <t xml:space="preserve">Sanitation Services - Council District 08</t>
  </si>
  <si>
    <t xml:space="preserve">Small Business Activations &amp; Promotions</t>
  </si>
  <si>
    <t xml:space="preserve">138th Street Merchant Association - Council District 8</t>
  </si>
  <si>
    <t xml:space="preserve">Community Gardens &amp; Local Park Groups-CD08</t>
  </si>
  <si>
    <t xml:space="preserve">East Harlem Programming-CD08</t>
  </si>
  <si>
    <t xml:space="preserve">South Bronx Programming-CD08 </t>
  </si>
  <si>
    <t xml:space="preserve">Randall's Island Park Alliance, Inc.</t>
  </si>
  <si>
    <t xml:space="preserve">133787630</t>
  </si>
  <si>
    <t xml:space="preserve">Community Food Education Program - Council District 08</t>
  </si>
  <si>
    <t xml:space="preserve">Summer Enrichment Program - East Harlem </t>
  </si>
  <si>
    <t xml:space="preserve">Boys Club of New York, Inc., The</t>
  </si>
  <si>
    <t xml:space="preserve">135591750</t>
  </si>
  <si>
    <t xml:space="preserve">Sports Club</t>
  </si>
  <si>
    <t xml:space="preserve">Betances Community Center</t>
  </si>
  <si>
    <t xml:space="preserve">Youth Mentorship Initiative</t>
  </si>
  <si>
    <t xml:space="preserve">South Bronx United, Inc.</t>
  </si>
  <si>
    <t xml:space="preserve">264064041</t>
  </si>
  <si>
    <t xml:space="preserve">Recreational Soccer Program - Patterson Park</t>
  </si>
  <si>
    <t xml:space="preserve">Edible Schoolyard New York</t>
  </si>
  <si>
    <t xml:space="preserve">271237249</t>
  </si>
  <si>
    <t xml:space="preserve">Groove With Me, Inc.</t>
  </si>
  <si>
    <t xml:space="preserve">133919147</t>
  </si>
  <si>
    <t xml:space="preserve">Youth Dance Classes - East Harlem </t>
  </si>
  <si>
    <t xml:space="preserve">Jill Chaifetz Education Helpline - Council District 08</t>
  </si>
  <si>
    <t xml:space="preserve">Project Boost</t>
  </si>
  <si>
    <t xml:space="preserve">Girls in Chess Program &amp; All-Girls Chess Tournament - Counci</t>
  </si>
  <si>
    <t xml:space="preserve">McLaughlin East Harlem Residence</t>
  </si>
  <si>
    <t xml:space="preserve">Community Literacy Model - Council District 08</t>
  </si>
  <si>
    <t xml:space="preserve">Northside Center for Child Development, Inc.</t>
  </si>
  <si>
    <t xml:space="preserve">131656679</t>
  </si>
  <si>
    <t xml:space="preserve">After-School &amp; Summer Programs </t>
  </si>
  <si>
    <t xml:space="preserve">School Year &amp; Summer READing Programs - Council District 08</t>
  </si>
  <si>
    <t xml:space="preserve">Youth Services - Council District 08</t>
  </si>
  <si>
    <t xml:space="preserve">Youth Action Programs and Homes, Inc.</t>
  </si>
  <si>
    <t xml:space="preserve">133203701</t>
  </si>
  <si>
    <t xml:space="preserve">YouthBuild Program - Council District 08</t>
  </si>
  <si>
    <t xml:space="preserve">Cooper Square Community Development Committee, Inc.</t>
  </si>
  <si>
    <t xml:space="preserve">132666211</t>
  </si>
  <si>
    <t xml:space="preserve">Cooper Square Green Buildings</t>
  </si>
  <si>
    <t xml:space="preserve">Council District 2</t>
  </si>
  <si>
    <t xml:space="preserve">Grow NYC Council District 2</t>
  </si>
  <si>
    <t xml:space="preserve">Stuyvesant Park Neighborhood Association</t>
  </si>
  <si>
    <t xml:space="preserve">132899445</t>
  </si>
  <si>
    <t xml:space="preserve">LES Ecology Center</t>
  </si>
  <si>
    <t xml:space="preserve">Educational Alliance, Inc., The</t>
  </si>
  <si>
    <t xml:space="preserve">135562210</t>
  </si>
  <si>
    <t xml:space="preserve">Sirovich Center</t>
  </si>
  <si>
    <t xml:space="preserve">Henry Street Settlement</t>
  </si>
  <si>
    <t xml:space="preserve">131562242</t>
  </si>
  <si>
    <t xml:space="preserve">Older Adult Services - Council District 2</t>
  </si>
  <si>
    <t xml:space="preserve">Grand Street - Older Adults Programs in Lower East Side</t>
  </si>
  <si>
    <t xml:space="preserve">NORC - Council District 2</t>
  </si>
  <si>
    <t xml:space="preserve">Stein Senior Center, Inc.</t>
  </si>
  <si>
    <t xml:space="preserve">237378342</t>
  </si>
  <si>
    <t xml:space="preserve">Council District 2 </t>
  </si>
  <si>
    <t xml:space="preserve">United Jewish Council of the East Side, Inc.</t>
  </si>
  <si>
    <t xml:space="preserve">132735378</t>
  </si>
  <si>
    <t xml:space="preserve">Lillian Wald Older Adult Center - Council District 2</t>
  </si>
  <si>
    <t xml:space="preserve">Good Old Lower East Side, Inc.</t>
  </si>
  <si>
    <t xml:space="preserve">132915659</t>
  </si>
  <si>
    <t xml:space="preserve">Visiting Neighbors, Inc.</t>
  </si>
  <si>
    <t xml:space="preserve">237379098</t>
  </si>
  <si>
    <t xml:space="preserve">Vision Urbana, Inc.</t>
  </si>
  <si>
    <t xml:space="preserve">133848575</t>
  </si>
  <si>
    <t xml:space="preserve">Music for Seniors - Council District 2</t>
  </si>
  <si>
    <t xml:space="preserve">Trinity's Services and Food for the Homeless, Inc.</t>
  </si>
  <si>
    <t xml:space="preserve">133401340</t>
  </si>
  <si>
    <t xml:space="preserve">Food Pantry &amp; Soup Kitchen - Council District 2</t>
  </si>
  <si>
    <t xml:space="preserve">Father's Heart Ministries, The</t>
  </si>
  <si>
    <t xml:space="preserve">223495873</t>
  </si>
  <si>
    <t xml:space="preserve">Campos Plaza Community Center - Council District 2</t>
  </si>
  <si>
    <t xml:space="preserve">PB - NYC Belongs - Council District 2 </t>
  </si>
  <si>
    <t xml:space="preserve">Recovery &amp; Wellness Programs - Council District 2</t>
  </si>
  <si>
    <t xml:space="preserve">Loisaida, Inc.</t>
  </si>
  <si>
    <t xml:space="preserve">133023183</t>
  </si>
  <si>
    <t xml:space="preserve">Cultural &amp; Immigrant programs - Council District 2</t>
  </si>
  <si>
    <t xml:space="preserve">Greenwich House, Inc.</t>
  </si>
  <si>
    <t xml:space="preserve">135562204</t>
  </si>
  <si>
    <t xml:space="preserve">Afterschool Programming - New York City School District 1</t>
  </si>
  <si>
    <t xml:space="preserve">Straus House - Council District 2</t>
  </si>
  <si>
    <t xml:space="preserve">Schools Program - Council District 2</t>
  </si>
  <si>
    <t xml:space="preserve">Public School 188M The Island School (01M188) @ Public Schoo</t>
  </si>
  <si>
    <t xml:space="preserve">The Children's Workshop School (01M361)</t>
  </si>
  <si>
    <t xml:space="preserve">Tompkins Square Middle School (01M839)</t>
  </si>
  <si>
    <t xml:space="preserve">Public School 188M The Island School (01M188)</t>
  </si>
  <si>
    <t xml:space="preserve">Manhattan School for Career Development (75M751)</t>
  </si>
  <si>
    <t xml:space="preserve">Public School 140M Nathan Straus (01M140)</t>
  </si>
  <si>
    <t xml:space="preserve">Public School 064M Robert Simon (01M064)</t>
  </si>
  <si>
    <t xml:space="preserve">Public School 47M American Sign Language  (02M347)</t>
  </si>
  <si>
    <t xml:space="preserve">The East Village Community School (01M315)</t>
  </si>
  <si>
    <t xml:space="preserve">Neighborhood School (01M363)</t>
  </si>
  <si>
    <t xml:space="preserve">Public School 63M The STAR Academy (01M063)</t>
  </si>
  <si>
    <t xml:space="preserve">School in Council District 2.</t>
  </si>
  <si>
    <t xml:space="preserve">Press Pass NYC in Council District 2</t>
  </si>
  <si>
    <t xml:space="preserve">The Earth School (01M364)</t>
  </si>
  <si>
    <t xml:space="preserve">Repertorio Espanol - Council District 2</t>
  </si>
  <si>
    <t xml:space="preserve">Teatro Circulo, Ltd.</t>
  </si>
  <si>
    <t xml:space="preserve">133805585</t>
  </si>
  <si>
    <t xml:space="preserve">Fourth Arts Block, Inc.</t>
  </si>
  <si>
    <t xml:space="preserve">043767933</t>
  </si>
  <si>
    <t xml:space="preserve">Program Operations &amp; Support in Council District 2</t>
  </si>
  <si>
    <t xml:space="preserve">La Mama Experimental Theatre Club, Inc.</t>
  </si>
  <si>
    <t xml:space="preserve">132620861</t>
  </si>
  <si>
    <t xml:space="preserve">Theater for the New City Foundation Incorporated</t>
  </si>
  <si>
    <t xml:space="preserve">132694851</t>
  </si>
  <si>
    <t xml:space="preserve">Ukrainian Museum</t>
  </si>
  <si>
    <t xml:space="preserve">132887818</t>
  </si>
  <si>
    <t xml:space="preserve">Digital &amp; Media Skills Program</t>
  </si>
  <si>
    <t xml:space="preserve">BetaNYC - Council District 02</t>
  </si>
  <si>
    <t xml:space="preserve">Cafeteria Culture Media &amp; Arts - Public School 034M Franklin</t>
  </si>
  <si>
    <t xml:space="preserve">Domestic Violence Shelters - Council District 2</t>
  </si>
  <si>
    <t xml:space="preserve">Cultural Programs - Council District 2</t>
  </si>
  <si>
    <t xml:space="preserve">Nazareth Housing, Inc.</t>
  </si>
  <si>
    <t xml:space="preserve">133176952</t>
  </si>
  <si>
    <t xml:space="preserve">Food Pantry - Council District 2</t>
  </si>
  <si>
    <t xml:space="preserve">Community First Food Pantry - Council District 2</t>
  </si>
  <si>
    <t xml:space="preserve">Food Safety Handler Training Program - Council District 2</t>
  </si>
  <si>
    <t xml:space="preserve">Movies Under the Stars - Council District 2</t>
  </si>
  <si>
    <t xml:space="preserve">El Bohío, Inc.</t>
  </si>
  <si>
    <t xml:space="preserve">414322378</t>
  </si>
  <si>
    <t xml:space="preserve">Arts &amp; Culture Hub - Council District 2</t>
  </si>
  <si>
    <t xml:space="preserve">Cafeteria Culture - Public School/Middle School 188M (01M188</t>
  </si>
  <si>
    <t xml:space="preserve">LES Film Festival, Inc.</t>
  </si>
  <si>
    <t xml:space="preserve">473358596</t>
  </si>
  <si>
    <t xml:space="preserve">Film Screening - Council District 2 </t>
  </si>
  <si>
    <t xml:space="preserve">Lower East Side Ecology Center - Council District 2</t>
  </si>
  <si>
    <t xml:space="preserve">Movie Screening Events - Council District 2</t>
  </si>
  <si>
    <t xml:space="preserve">University Settlement Society of New York</t>
  </si>
  <si>
    <t xml:space="preserve">135562374</t>
  </si>
  <si>
    <t xml:space="preserve">Project Home - Council District 2</t>
  </si>
  <si>
    <t xml:space="preserve">Wild Project Productions, Inc.</t>
  </si>
  <si>
    <t xml:space="preserve">811419414</t>
  </si>
  <si>
    <t xml:space="preserve">Wild Culture - Council District 2</t>
  </si>
  <si>
    <t xml:space="preserve">Beacon Soccer Program</t>
  </si>
  <si>
    <t xml:space="preserve">Youth Services - Council District 2</t>
  </si>
  <si>
    <t xml:space="preserve">School Programs - Council District 2</t>
  </si>
  <si>
    <t xml:space="preserve">NYCHA Developments Art Programs – Council District 2</t>
  </si>
  <si>
    <t xml:space="preserve">Allied Productions, Inc.</t>
  </si>
  <si>
    <t xml:space="preserve">133123525</t>
  </si>
  <si>
    <t xml:space="preserve">Le Petit Versailles - Council District 2</t>
  </si>
  <si>
    <t xml:space="preserve">American Friends of Chicken Shed, Inc.</t>
  </si>
  <si>
    <t xml:space="preserve">300099170</t>
  </si>
  <si>
    <t xml:space="preserve">Anthology Film Archives</t>
  </si>
  <si>
    <t xml:space="preserve">136227423</t>
  </si>
  <si>
    <t xml:space="preserve">Public Screening &amp; Exhibition Program - Council District 2</t>
  </si>
  <si>
    <t xml:space="preserve">Access to Healthcare - Council District 2</t>
  </si>
  <si>
    <t xml:space="preserve">Arts For All, Inc.</t>
  </si>
  <si>
    <t xml:space="preserve">261589570</t>
  </si>
  <si>
    <t xml:space="preserve">Youth Arts Education - Public School 015M  Roberto Clemente </t>
  </si>
  <si>
    <t xml:space="preserve">Community Services - Council District 2</t>
  </si>
  <si>
    <t xml:space="preserve">Center for Independence of the Disabled in New York, Inc.</t>
  </si>
  <si>
    <t xml:space="preserve">132984549</t>
  </si>
  <si>
    <t xml:space="preserve">Disability Access Programming - Council District 2</t>
  </si>
  <si>
    <t xml:space="preserve">Community Leaders Program &amp; Neighborhood Business Program - </t>
  </si>
  <si>
    <t xml:space="preserve">Clubbed Thumb, Inc.</t>
  </si>
  <si>
    <t xml:space="preserve">133947679</t>
  </si>
  <si>
    <t xml:space="preserve">Theater Program - Council District 2</t>
  </si>
  <si>
    <t xml:space="preserve">Dance Parade, Inc.</t>
  </si>
  <si>
    <t xml:space="preserve">208576378</t>
  </si>
  <si>
    <t xml:space="preserve">Dance Parade &amp; Festival - Council District 2</t>
  </si>
  <si>
    <t xml:space="preserve">FRIGID New York, Inc.</t>
  </si>
  <si>
    <t xml:space="preserve">270857099</t>
  </si>
  <si>
    <t xml:space="preserve">Theater Programming - Council District 2</t>
  </si>
  <si>
    <t xml:space="preserve">Press Pass: Newspaper and Journalism Programming – Council D</t>
  </si>
  <si>
    <t xml:space="preserve">Gina Gibney Dance, Inc.</t>
  </si>
  <si>
    <t xml:space="preserve">133623815</t>
  </si>
  <si>
    <t xml:space="preserve">Community Programs - Council District 2</t>
  </si>
  <si>
    <t xml:space="preserve">Greenwich Village Society for Historic Preservation</t>
  </si>
  <si>
    <t xml:space="preserve">133042600</t>
  </si>
  <si>
    <t xml:space="preserve">Educational Services - Council District 2</t>
  </si>
  <si>
    <t xml:space="preserve">LES Hispanic Festival - Council District 2</t>
  </si>
  <si>
    <t xml:space="preserve">Knafayim, Inc.</t>
  </si>
  <si>
    <t xml:space="preserve">812729166</t>
  </si>
  <si>
    <t xml:space="preserve">Lesbian and Gay Community Services Center (LGBT Center), Inc.</t>
  </si>
  <si>
    <t xml:space="preserve">133217805</t>
  </si>
  <si>
    <t xml:space="preserve">Manhattan Community Board #3</t>
  </si>
  <si>
    <t xml:space="preserve">City Council District 2</t>
  </si>
  <si>
    <t xml:space="preserve">Manhattan Community Board #6</t>
  </si>
  <si>
    <t xml:space="preserve">Movement Research, Inc.</t>
  </si>
  <si>
    <t xml:space="preserve">133041403</t>
  </si>
  <si>
    <t xml:space="preserve">Dance Makers in the Schools - Council District 2</t>
  </si>
  <si>
    <t xml:space="preserve">Museum of Music &amp; Entertainment in New York City</t>
  </si>
  <si>
    <t xml:space="preserve">383943443</t>
  </si>
  <si>
    <t xml:space="preserve">Music Education and Public Events - Council District 2</t>
  </si>
  <si>
    <t xml:space="preserve">Public School 40M Augustus Saint-Gaudens (02M040)</t>
  </si>
  <si>
    <t xml:space="preserve">Pioneers Go East Collective, Inc.</t>
  </si>
  <si>
    <t xml:space="preserve">464133322</t>
  </si>
  <si>
    <t xml:space="preserve">Dance Instruction - Council District 2</t>
  </si>
  <si>
    <t xml:space="preserve">Playwrights Horizons, Inc.</t>
  </si>
  <si>
    <t xml:space="preserve">132805131</t>
  </si>
  <si>
    <t xml:space="preserve">Theatre Residency Programs - City Council District 2</t>
  </si>
  <si>
    <t xml:space="preserve">LifeLinks: Building Connections, Preventing Suicide - Counci</t>
  </si>
  <si>
    <t xml:space="preserve">Washington Square Association Music Fund, Inc.</t>
  </si>
  <si>
    <t xml:space="preserve">136162576</t>
  </si>
  <si>
    <t xml:space="preserve">Bicycle helmet givaway and fitting in Council District 2</t>
  </si>
  <si>
    <t xml:space="preserve">Manhattan Community Board #2</t>
  </si>
  <si>
    <t xml:space="preserve">Manhattan Community Board #5</t>
  </si>
  <si>
    <t xml:space="preserve">Baruch Houses</t>
  </si>
  <si>
    <t xml:space="preserve">Riis Houses</t>
  </si>
  <si>
    <t xml:space="preserve">Lilian Wald House</t>
  </si>
  <si>
    <t xml:space="preserve">Helmet Giveaway in Council District 2</t>
  </si>
  <si>
    <t xml:space="preserve">Baruch &amp; Baruch Houses Addition</t>
  </si>
  <si>
    <t xml:space="preserve">Bracetti Plaza</t>
  </si>
  <si>
    <t xml:space="preserve">Meltzer Tower</t>
  </si>
  <si>
    <t xml:space="preserve">First Houses</t>
  </si>
  <si>
    <t xml:space="preserve">Gompers</t>
  </si>
  <si>
    <t xml:space="preserve">Lower East Side II</t>
  </si>
  <si>
    <t xml:space="preserve">Lower East Side Rehab (Group 5)</t>
  </si>
  <si>
    <t xml:space="preserve">LES III</t>
  </si>
  <si>
    <t xml:space="preserve">Straus Houses </t>
  </si>
  <si>
    <t xml:space="preserve">Supplemental Sanitation Services - Council District 2</t>
  </si>
  <si>
    <t xml:space="preserve">Large Item Truck Saturdays Manhattan </t>
  </si>
  <si>
    <t xml:space="preserve">Cafeteria Culture in Council District 2</t>
  </si>
  <si>
    <t xml:space="preserve">NYC Cleanup Council District 2</t>
  </si>
  <si>
    <t xml:space="preserve">East Village Merchants Association (EVIMA)</t>
  </si>
  <si>
    <t xml:space="preserve">Community Development &amp; Organizing - Council District 2</t>
  </si>
  <si>
    <t xml:space="preserve">It's My Park Days &amp; Summer Stage Programs - Council District</t>
  </si>
  <si>
    <t xml:space="preserve">SU-CASA Program in Council District 2</t>
  </si>
  <si>
    <t xml:space="preserve">LES Healthy Aging</t>
  </si>
  <si>
    <t xml:space="preserve">Grand Coalition of Seniors</t>
  </si>
  <si>
    <t xml:space="preserve">Meltzer Towers Senior Center</t>
  </si>
  <si>
    <t xml:space="preserve">Stein Senior Center</t>
  </si>
  <si>
    <t xml:space="preserve">Masaryk NORC &amp; Wald Houses Senior Center</t>
  </si>
  <si>
    <t xml:space="preserve">OATS Technology Programs</t>
  </si>
  <si>
    <t xml:space="preserve">Campos Cornerstone -  Council District 2</t>
  </si>
  <si>
    <t xml:space="preserve">Mentoring Program - Council District 2</t>
  </si>
  <si>
    <t xml:space="preserve">Environmental Stewardship - Council District 2</t>
  </si>
  <si>
    <t xml:space="preserve">Campos Plaza - Council District 2</t>
  </si>
  <si>
    <t xml:space="preserve">Mental Health Counseling Services - Council District 2</t>
  </si>
  <si>
    <t xml:space="preserve">Boys &amp; Girls Republic &amp; Public School 188M The Island School</t>
  </si>
  <si>
    <t xml:space="preserve">Sol Lain Athletic Association - Council District 2</t>
  </si>
  <si>
    <t xml:space="preserve">Public School 015M  Roberto Clemente (01M015) &amp; Council Dist</t>
  </si>
  <si>
    <t xml:space="preserve">Jacob Riis Early Childhood Center - Council District 2</t>
  </si>
  <si>
    <t xml:space="preserve">Dorill Initiative, Inc.</t>
  </si>
  <si>
    <t xml:space="preserve">824767340</t>
  </si>
  <si>
    <t xml:space="preserve">The STAR Academy - Public School 63M (01M063)</t>
  </si>
  <si>
    <t xml:space="preserve">Friends of Pool, Inc.</t>
  </si>
  <si>
    <t xml:space="preserve">611745367</t>
  </si>
  <si>
    <t xml:space="preserve">Swim Lessons - Council District 2</t>
  </si>
  <si>
    <t xml:space="preserve">International High School at Union Square (02M438)</t>
  </si>
  <si>
    <t xml:space="preserve">New York Transgender Advocacy Group</t>
  </si>
  <si>
    <t xml:space="preserve">811370263</t>
  </si>
  <si>
    <t xml:space="preserve">Youth Advocacy Fellowship Program - Council District 2</t>
  </si>
  <si>
    <t xml:space="preserve">Sophie Gerson Healthy Youth</t>
  </si>
  <si>
    <t xml:space="preserve">462977659</t>
  </si>
  <si>
    <t xml:space="preserve">Super Happy Healthy Kids, Inc.</t>
  </si>
  <si>
    <t xml:space="preserve">471435128</t>
  </si>
  <si>
    <t xml:space="preserve">After-School Programs - Council District 2</t>
  </si>
  <si>
    <t xml:space="preserve">Swim Strong Foundation, Inc.</t>
  </si>
  <si>
    <t xml:space="preserve">371526132</t>
  </si>
  <si>
    <t xml:space="preserve">Water Safety Education &amp; Swimming Lessons - Council District</t>
  </si>
  <si>
    <t xml:space="preserve">Support for Older Adults - Council District 18</t>
  </si>
  <si>
    <t xml:space="preserve">Castle Hill Clubhouse &amp; Senior Center</t>
  </si>
  <si>
    <t xml:space="preserve">Castle Hill YMCA: Glebe Senior Center</t>
  </si>
  <si>
    <t xml:space="preserve">James Monroe Houses - Council District 18</t>
  </si>
  <si>
    <t xml:space="preserve">Neighborhood Self Help by Older Persons Project, Inc.</t>
  </si>
  <si>
    <t xml:space="preserve">133077047</t>
  </si>
  <si>
    <t xml:space="preserve">NORC Program - Lafayette Estates</t>
  </si>
  <si>
    <t xml:space="preserve">NORC Program - Council District 18</t>
  </si>
  <si>
    <t xml:space="preserve">Council District 18</t>
  </si>
  <si>
    <t xml:space="preserve">Homeowner &amp; Tenant Services - Council District 18</t>
  </si>
  <si>
    <t xml:space="preserve">Safety Net Project - Council District 18</t>
  </si>
  <si>
    <t xml:space="preserve">Microenterprise Project (MEP) - Council District 18</t>
  </si>
  <si>
    <t xml:space="preserve">Small Business Services - Council District 18</t>
  </si>
  <si>
    <t xml:space="preserve">Ariva, Inc.</t>
  </si>
  <si>
    <t xml:space="preserve">320028598</t>
  </si>
  <si>
    <t xml:space="preserve">High School-based Programs - Stevenson Educational Campus</t>
  </si>
  <si>
    <t xml:space="preserve">NYC Health + Hospitals/Jacobi - SNUG (Stand Up to Violence) </t>
  </si>
  <si>
    <t xml:space="preserve">Life is Precious Program - Council District 18</t>
  </si>
  <si>
    <t xml:space="preserve">Street Vendor Project - Council District 18</t>
  </si>
  <si>
    <t xml:space="preserve">Legal Services - Council District 18</t>
  </si>
  <si>
    <t xml:space="preserve">Public School 069X Journey Prep School (08X069)</t>
  </si>
  <si>
    <t xml:space="preserve">Arthur Aviles Typical Theatre</t>
  </si>
  <si>
    <t xml:space="preserve">133997265</t>
  </si>
  <si>
    <t xml:space="preserve">Public School 36X Unionport (08X036)</t>
  </si>
  <si>
    <t xml:space="preserve">Bronx Documentary Center, The</t>
  </si>
  <si>
    <t xml:space="preserve">452403312</t>
  </si>
  <si>
    <t xml:space="preserve">Soundview Academy for Culture and Scholarship (08X448)</t>
  </si>
  <si>
    <t xml:space="preserve">Archimedes Academy For Math, Science and Technology Applicat</t>
  </si>
  <si>
    <t xml:space="preserve">Harmony Program</t>
  </si>
  <si>
    <t xml:space="preserve">050606695</t>
  </si>
  <si>
    <t xml:space="preserve">Public School 107X (08X107)</t>
  </si>
  <si>
    <t xml:space="preserve">Learning through an Expanded Arts Program, Inc.</t>
  </si>
  <si>
    <t xml:space="preserve">132925233</t>
  </si>
  <si>
    <t xml:space="preserve">Pugsley Preparatory Academy (08X562)</t>
  </si>
  <si>
    <t xml:space="preserve">Junior High School 123X James M. Kieran (08X123)</t>
  </si>
  <si>
    <t xml:space="preserve">Public School 012X Lewis and Clark School (75X012)</t>
  </si>
  <si>
    <t xml:space="preserve">Public School 100X Isaac Clason (08X100)</t>
  </si>
  <si>
    <t xml:space="preserve">Public School 182X (08X182)</t>
  </si>
  <si>
    <t xml:space="preserve">Bronx Charter School For Excellence</t>
  </si>
  <si>
    <t xml:space="preserve">The Bronx Mathematics Preparatory School (08X375)</t>
  </si>
  <si>
    <t xml:space="preserve">Public School 119X The Dr. Emmett W. Bassett School (08X119)</t>
  </si>
  <si>
    <t xml:space="preserve">Junior High School 131X Albert Einstein (08X131)</t>
  </si>
  <si>
    <t xml:space="preserve">Public School 106X Parkchester (11X106)</t>
  </si>
  <si>
    <t xml:space="preserve">BAFA - Bangladesh Academy of Fine Arts, Inc. </t>
  </si>
  <si>
    <t xml:space="preserve">454788710</t>
  </si>
  <si>
    <t xml:space="preserve">Cultural Arts &amp; Wellness Program - Council District 18</t>
  </si>
  <si>
    <t xml:space="preserve">Rivers On the Go! Unity (ROG) - Council District 18</t>
  </si>
  <si>
    <t xml:space="preserve">Latino Theater For Young Audiences &amp; Immigrant Communities</t>
  </si>
  <si>
    <t xml:space="preserve">Public School 138X Samuel Randall (08X138)</t>
  </si>
  <si>
    <t xml:space="preserve">Visual Arts Education Residency - Public School 182X (08X182</t>
  </si>
  <si>
    <t xml:space="preserve">Linden Tree Elementary School (11X567)</t>
  </si>
  <si>
    <t xml:space="preserve">Thrive Music: RHYME Hip Hop Education - Council District 18</t>
  </si>
  <si>
    <t xml:space="preserve">Youth Media Arts - Council District 18</t>
  </si>
  <si>
    <t xml:space="preserve">AI Design League - Council District 18</t>
  </si>
  <si>
    <t xml:space="preserve">STEAM Programs - Council District 18</t>
  </si>
  <si>
    <t xml:space="preserve">Digital Literacy - Council District 18</t>
  </si>
  <si>
    <t xml:space="preserve">Transition Services - Stevenson High School Educational Camp</t>
  </si>
  <si>
    <t xml:space="preserve">STEAM Clubs - Soundview &amp; Sotomayor Cornerstones</t>
  </si>
  <si>
    <t xml:space="preserve">Older Adult Group Tours - Council District 18</t>
  </si>
  <si>
    <t xml:space="preserve">Public School 069X Journey Prep School (08X069) - Council Di</t>
  </si>
  <si>
    <t xml:space="preserve">Play to Learn Chorus  - Public School 536X (12X536) &amp; Archer</t>
  </si>
  <si>
    <t xml:space="preserve">COLOR Club - Council District 18</t>
  </si>
  <si>
    <t xml:space="preserve">Family Nature Club - Council District 18</t>
  </si>
  <si>
    <t xml:space="preserve">43rd Precinct</t>
  </si>
  <si>
    <t xml:space="preserve">Pregones Touring Puerto Rican Theatre Collection, Inc.</t>
  </si>
  <si>
    <t xml:space="preserve">133266893</t>
  </si>
  <si>
    <t xml:space="preserve">ABRAZO / EMBRACE Mental Health Program - Council District 18</t>
  </si>
  <si>
    <t xml:space="preserve">Operation Backpack - Council District 18</t>
  </si>
  <si>
    <t xml:space="preserve">New York City Employment and Training Coalition</t>
  </si>
  <si>
    <t xml:space="preserve">New 42nd Street, Inc., The</t>
  </si>
  <si>
    <t xml:space="preserve">133584032</t>
  </si>
  <si>
    <t xml:space="preserve">New Victory Education Program- Council District 18</t>
  </si>
  <si>
    <t xml:space="preserve">Civic Education &amp; Engagement Program - Council District 18</t>
  </si>
  <si>
    <t xml:space="preserve">Anti-Violence Program - Council District 18</t>
  </si>
  <si>
    <t xml:space="preserve">Community &amp; Bodega Violence Prevention Project - Council Dis</t>
  </si>
  <si>
    <t xml:space="preserve">Housing Services - Council District 18</t>
  </si>
  <si>
    <t xml:space="preserve">Castle Hill Houses TA</t>
  </si>
  <si>
    <t xml:space="preserve">Monroe Houses TA</t>
  </si>
  <si>
    <t xml:space="preserve">Sotomayor Houses TA</t>
  </si>
  <si>
    <t xml:space="preserve">Soundview Houses TA</t>
  </si>
  <si>
    <t xml:space="preserve">Glebe TA</t>
  </si>
  <si>
    <t xml:space="preserve">Claosn Point Tenant Association - Council District 18</t>
  </si>
  <si>
    <t xml:space="preserve">Supplemental Sanitation - Council District 18</t>
  </si>
  <si>
    <t xml:space="preserve">Green Space - Council District 18</t>
  </si>
  <si>
    <t xml:space="preserve">Green Space Stewardship - Council District 18</t>
  </si>
  <si>
    <t xml:space="preserve">Small Business &amp; Non-Profit Support Program - Council Distri</t>
  </si>
  <si>
    <t xml:space="preserve">NYSARC, Inc., New York City Chapter</t>
  </si>
  <si>
    <t xml:space="preserve">135596746</t>
  </si>
  <si>
    <t xml:space="preserve">Bronx ArTech Collective Center - Council District 18</t>
  </si>
  <si>
    <t xml:space="preserve">New York City Industrial &amp; Technology Assistance Corporation</t>
  </si>
  <si>
    <t xml:space="preserve">133410779</t>
  </si>
  <si>
    <t xml:space="preserve">Business Best Practice Program - Council District 18</t>
  </si>
  <si>
    <t xml:space="preserve">Events and Programming - Council District 18 and the Friends</t>
  </si>
  <si>
    <t xml:space="preserve">Gardens at NYCHA - Council District 18</t>
  </si>
  <si>
    <t xml:space="preserve">Karols Garden</t>
  </si>
  <si>
    <t xml:space="preserve">Bronx is Blooming, The</t>
  </si>
  <si>
    <t xml:space="preserve">463141885</t>
  </si>
  <si>
    <t xml:space="preserve">GREEN Program - Council District 18</t>
  </si>
  <si>
    <t xml:space="preserve">SHOPP Soundview Social Club Older Adult Center </t>
  </si>
  <si>
    <t xml:space="preserve">Kips Bay Castle Hill Older Adult Center</t>
  </si>
  <si>
    <t xml:space="preserve">SHOPP Lafayette Estates NORC Program</t>
  </si>
  <si>
    <t xml:space="preserve">R.A.I.N. Mechler Hall Older Adult Center</t>
  </si>
  <si>
    <t xml:space="preserve">Digitial/Virtual Literacy &amp; Technology Training For Older Ad</t>
  </si>
  <si>
    <t xml:space="preserve">Parkchester Older Adult Center - Council District 18 </t>
  </si>
  <si>
    <t xml:space="preserve">Casa Celina - Council District 18</t>
  </si>
  <si>
    <t xml:space="preserve">Youth Ministries for Peace and Justice, Inc.</t>
  </si>
  <si>
    <t xml:space="preserve">134006535</t>
  </si>
  <si>
    <t xml:space="preserve">Lucile Palmaro Clubhouse - Council District 18</t>
  </si>
  <si>
    <t xml:space="preserve">Youth &amp; Teen Services - Council District 18</t>
  </si>
  <si>
    <t xml:space="preserve">Castle Hill YMCA -Teen Programming - Council District 18</t>
  </si>
  <si>
    <t xml:space="preserve">Community Tennis Programs - Council District 18</t>
  </si>
  <si>
    <t xml:space="preserve">Destination Tomorrow, Inc.</t>
  </si>
  <si>
    <t xml:space="preserve">800259180</t>
  </si>
  <si>
    <t xml:space="preserve">Prevention, Outreach, and Empowerment Services Programming -</t>
  </si>
  <si>
    <t xml:space="preserve">Castle Hill Little League, Inc.</t>
  </si>
  <si>
    <t xml:space="preserve">510256112</t>
  </si>
  <si>
    <t xml:space="preserve">Baseball &amp; Softball Program - Council District 18</t>
  </si>
  <si>
    <t xml:space="preserve">Parkchester Little League</t>
  </si>
  <si>
    <t xml:space="preserve">136162741</t>
  </si>
  <si>
    <t xml:space="preserve">Baseball &amp; Girls Little League Softball Program - Council Di</t>
  </si>
  <si>
    <t xml:space="preserve">Rocking the Boat, Inc.</t>
  </si>
  <si>
    <t xml:space="preserve">134177814</t>
  </si>
  <si>
    <t xml:space="preserve">Youth Development &amp; Community Programs - Council District 18</t>
  </si>
  <si>
    <t xml:space="preserve">Top of the Hill Classic Corporation</t>
  </si>
  <si>
    <t xml:space="preserve">923408963</t>
  </si>
  <si>
    <t xml:space="preserve">Youth Mentorship &amp; Violence Intervention Program - Council D</t>
  </si>
  <si>
    <t xml:space="preserve">Brookdale Senior Center</t>
  </si>
  <si>
    <t xml:space="preserve">Boro Park Senior Center</t>
  </si>
  <si>
    <t xml:space="preserve">Young Men's Young Women's Hebrew Association of Boro Park, Inc.</t>
  </si>
  <si>
    <t xml:space="preserve">111630917</t>
  </si>
  <si>
    <t xml:space="preserve">Congregation Bnai Yosef</t>
  </si>
  <si>
    <t xml:space="preserve">111994182</t>
  </si>
  <si>
    <t xml:space="preserve">Older Adults Services of Midwood - Council District 44</t>
  </si>
  <si>
    <t xml:space="preserve">Nachas Health and Family Network, Inc.</t>
  </si>
  <si>
    <t xml:space="preserve">113067201</t>
  </si>
  <si>
    <t xml:space="preserve">American-Italian Coalition of Organizations, Inc.</t>
  </si>
  <si>
    <t xml:space="preserve">112488439</t>
  </si>
  <si>
    <t xml:space="preserve">59th Street Older Adult Center</t>
  </si>
  <si>
    <t xml:space="preserve">Our Lady of Grace Roman Catholic Church</t>
  </si>
  <si>
    <t xml:space="preserve">111694947</t>
  </si>
  <si>
    <t xml:space="preserve">Golden Age Group</t>
  </si>
  <si>
    <t xml:space="preserve">Together We Are</t>
  </si>
  <si>
    <t xml:space="preserve">270213447</t>
  </si>
  <si>
    <t xml:space="preserve">Transportation Program</t>
  </si>
  <si>
    <t xml:space="preserve">Flatbush Shomrim Safety Patrol, Inc.</t>
  </si>
  <si>
    <t xml:space="preserve">203244567</t>
  </si>
  <si>
    <t xml:space="preserve">Safety Support - Council District 44</t>
  </si>
  <si>
    <t xml:space="preserve">Shmira Civilian Volunteer Patrol of Boro Park</t>
  </si>
  <si>
    <t xml:space="preserve">113260405</t>
  </si>
  <si>
    <t xml:space="preserve">Brighton Ballet Theater Company, Inc.</t>
  </si>
  <si>
    <t xml:space="preserve">113195590</t>
  </si>
  <si>
    <t xml:space="preserve">Intermediate School 228K David A. Boody (21K228)</t>
  </si>
  <si>
    <t xml:space="preserve">Public School 215K Morris H. Weiss (21K215)</t>
  </si>
  <si>
    <t xml:space="preserve">Public School 231K (75K231)</t>
  </si>
  <si>
    <t xml:space="preserve">Public School 95K The Gravesend (21K095)</t>
  </si>
  <si>
    <t xml:space="preserve">Saint Athanasius Catholic Academy</t>
  </si>
  <si>
    <t xml:space="preserve">Yeshiva of Flatbush</t>
  </si>
  <si>
    <t xml:space="preserve">Public School 177K The Marlboro (21K177)</t>
  </si>
  <si>
    <t xml:space="preserve">Public School 192K The Magnet School for Math and Science (2</t>
  </si>
  <si>
    <t xml:space="preserve">The SEEALL Academy (20K180)</t>
  </si>
  <si>
    <t xml:space="preserve">Barkai Yeshivah</t>
  </si>
  <si>
    <t xml:space="preserve">Ahi Ezer Yeshiva</t>
  </si>
  <si>
    <t xml:space="preserve">Public School 099K Isaac Asimov (21K099)</t>
  </si>
  <si>
    <t xml:space="preserve">Public School 121K Nelson A. Rockefeller (21K121)</t>
  </si>
  <si>
    <t xml:space="preserve">Public School 238K Anne Sullivan (21K238)</t>
  </si>
  <si>
    <t xml:space="preserve">Puppetry in Practice, Inc.</t>
  </si>
  <si>
    <t xml:space="preserve">113228052</t>
  </si>
  <si>
    <t xml:space="preserve">Public School 199K Frederick Wachtel (21K199)</t>
  </si>
  <si>
    <t xml:space="preserve">Franklin Delano Roosevelt High School (20K505)</t>
  </si>
  <si>
    <t xml:space="preserve">Chol Hamoed Festivals</t>
  </si>
  <si>
    <t xml:space="preserve">Council of Jewish Organizations of Flatbush, Inc.</t>
  </si>
  <si>
    <t xml:space="preserve">112864728</t>
  </si>
  <si>
    <t xml:space="preserve">D44 Chol Hamoed Festivals</t>
  </si>
  <si>
    <t xml:space="preserve">Ohel Children's Home and Family Services, Inc.</t>
  </si>
  <si>
    <t xml:space="preserve">116078704</t>
  </si>
  <si>
    <t xml:space="preserve">Council District 44</t>
  </si>
  <si>
    <t xml:space="preserve">Imeinu, Inc. dba Rachel's Place</t>
  </si>
  <si>
    <t xml:space="preserve">260774611</t>
  </si>
  <si>
    <t xml:space="preserve">Amudim Community Resources, Inc.</t>
  </si>
  <si>
    <t xml:space="preserve">470984801</t>
  </si>
  <si>
    <t xml:space="preserve">Chai Lifeline, Inc.</t>
  </si>
  <si>
    <t xml:space="preserve">112940331</t>
  </si>
  <si>
    <t xml:space="preserve">Ezras Cholim Yad Ephraim</t>
  </si>
  <si>
    <t xml:space="preserve">542196301</t>
  </si>
  <si>
    <t xml:space="preserve">Food Distribution Programs</t>
  </si>
  <si>
    <t xml:space="preserve">Project H.E.A.R.T. - Council District 44</t>
  </si>
  <si>
    <t xml:space="preserve">HOLD</t>
  </si>
  <si>
    <t xml:space="preserve">Beth Jacob Day Care Center</t>
  </si>
  <si>
    <t xml:space="preserve">112290419</t>
  </si>
  <si>
    <t xml:space="preserve">Gan Day Care Center, Inc.</t>
  </si>
  <si>
    <t xml:space="preserve">112302049</t>
  </si>
  <si>
    <t xml:space="preserve">SAFE Foundation, Inc.</t>
  </si>
  <si>
    <t xml:space="preserve">260102131</t>
  </si>
  <si>
    <t xml:space="preserve">Educational Supplement - Council District 44</t>
  </si>
  <si>
    <t xml:space="preserve">Care For Special Needs Children Foundation, Inc.</t>
  </si>
  <si>
    <t xml:space="preserve">472616448</t>
  </si>
  <si>
    <t xml:space="preserve">Housing and Family Services of Greater New York, Inc.</t>
  </si>
  <si>
    <t xml:space="preserve">112412584</t>
  </si>
  <si>
    <t xml:space="preserve">New York Cancer Center, Inc.</t>
  </si>
  <si>
    <t xml:space="preserve">272464042</t>
  </si>
  <si>
    <t xml:space="preserve">Counseling &amp; Therapy Services</t>
  </si>
  <si>
    <t xml:space="preserve">Masbia of Boro Park</t>
  </si>
  <si>
    <t xml:space="preserve">263851559</t>
  </si>
  <si>
    <t xml:space="preserve">Fighting Food Insecurity - Council District 44</t>
  </si>
  <si>
    <t xml:space="preserve">Masbia of Flatbush</t>
  </si>
  <si>
    <t xml:space="preserve">271209610</t>
  </si>
  <si>
    <t xml:space="preserve">Metro Chamber Orchestra, Inc.</t>
  </si>
  <si>
    <t xml:space="preserve">473034551</t>
  </si>
  <si>
    <t xml:space="preserve">Performances - Council District 44</t>
  </si>
  <si>
    <t xml:space="preserve">Work At It, Inc.</t>
  </si>
  <si>
    <t xml:space="preserve">831124450</t>
  </si>
  <si>
    <t xml:space="preserve">Food Distribution - Council District 44</t>
  </si>
  <si>
    <t xml:space="preserve">Guardians of the Sick, Inc.</t>
  </si>
  <si>
    <t xml:space="preserve">116003433</t>
  </si>
  <si>
    <t xml:space="preserve">Mental Health &amp; Trauma Services</t>
  </si>
  <si>
    <t xml:space="preserve">Vaad Refuah, Inc.</t>
  </si>
  <si>
    <t xml:space="preserve">201020908</t>
  </si>
  <si>
    <t xml:space="preserve">Save-A-Life Program in Schools &amp; Patient Advocacy</t>
  </si>
  <si>
    <t xml:space="preserve">Yaldeinu School, Inc.</t>
  </si>
  <si>
    <t xml:space="preserve">263373908</t>
  </si>
  <si>
    <t xml:space="preserve">Edward R. Murrow High School (21K525)</t>
  </si>
  <si>
    <t xml:space="preserve">Misaskim Corp.</t>
  </si>
  <si>
    <t xml:space="preserve">203957164</t>
  </si>
  <si>
    <t xml:space="preserve">Sparks PPD, Inc.</t>
  </si>
  <si>
    <t xml:space="preserve">260794276</t>
  </si>
  <si>
    <t xml:space="preserve">Kings Highway Beautification Association, Inc.</t>
  </si>
  <si>
    <t xml:space="preserve">204986882</t>
  </si>
  <si>
    <t xml:space="preserve">Boro Park Y</t>
  </si>
  <si>
    <t xml:space="preserve">D44 Holocaust Older Adults Services</t>
  </si>
  <si>
    <t xml:space="preserve">Chaveirim of Boro Park Williamsburg</t>
  </si>
  <si>
    <t xml:space="preserve">800004578</t>
  </si>
  <si>
    <t xml:space="preserve">Boro Park Senior Support</t>
  </si>
  <si>
    <t xml:space="preserve">New York United Jewish Association, Inc.</t>
  </si>
  <si>
    <t xml:space="preserve">262647383</t>
  </si>
  <si>
    <t xml:space="preserve">Job Development - Council District 44 </t>
  </si>
  <si>
    <t xml:space="preserve">Flatbush Chaveirim, Inc.</t>
  </si>
  <si>
    <t xml:space="preserve">412544288</t>
  </si>
  <si>
    <t xml:space="preserve">Flatbush Senior Support</t>
  </si>
  <si>
    <t xml:space="preserve">Be Proud, Inc.</t>
  </si>
  <si>
    <t xml:space="preserve">582674169</t>
  </si>
  <si>
    <t xml:space="preserve">Midwood Senior Center</t>
  </si>
  <si>
    <t xml:space="preserve">Congregation Kehilas Belz USA, Inc.</t>
  </si>
  <si>
    <t xml:space="preserve">113143733</t>
  </si>
  <si>
    <t xml:space="preserve">Yeshivath Kehilath Yakov, Inc.</t>
  </si>
  <si>
    <t xml:space="preserve">116003354</t>
  </si>
  <si>
    <t xml:space="preserve">Mothers Aligned Saving Kids (MASK), Inc.</t>
  </si>
  <si>
    <t xml:space="preserve">113495018</t>
  </si>
  <si>
    <t xml:space="preserve">HASC Center, Inc.</t>
  </si>
  <si>
    <t xml:space="preserve">112630071</t>
  </si>
  <si>
    <t xml:space="preserve">Mekimi</t>
  </si>
  <si>
    <t xml:space="preserve">550870419</t>
  </si>
  <si>
    <t xml:space="preserve">Kapayim, Inc.</t>
  </si>
  <si>
    <t xml:space="preserve">455065227</t>
  </si>
  <si>
    <t xml:space="preserve">Educational &amp; Recreational Programs</t>
  </si>
  <si>
    <t xml:space="preserve">Cong Lelameid</t>
  </si>
  <si>
    <t xml:space="preserve">993767491</t>
  </si>
  <si>
    <t xml:space="preserve">Council District 15</t>
  </si>
  <si>
    <t xml:space="preserve">PLACE &amp; GREEN Programming - Council District 15</t>
  </si>
  <si>
    <t xml:space="preserve">Community Outreach Program</t>
  </si>
  <si>
    <t xml:space="preserve">Council of Belmont Organizations, Inc.</t>
  </si>
  <si>
    <t xml:space="preserve">132755323</t>
  </si>
  <si>
    <t xml:space="preserve">Public Benefits Support - Council District 15</t>
  </si>
  <si>
    <t xml:space="preserve">Mt. Carmel Neighborhood Senior Center</t>
  </si>
  <si>
    <t xml:space="preserve">West Farms Senior Program</t>
  </si>
  <si>
    <t xml:space="preserve">Community Engagement - Council District 15</t>
  </si>
  <si>
    <t xml:space="preserve">East Concourse Senior Center</t>
  </si>
  <si>
    <t xml:space="preserve">Health Insurance Plan of Greater New York</t>
  </si>
  <si>
    <t xml:space="preserve">131828429</t>
  </si>
  <si>
    <t xml:space="preserve">Healthcare Services - Council District 15</t>
  </si>
  <si>
    <t xml:space="preserve">Health Bucks - Council District 15</t>
  </si>
  <si>
    <t xml:space="preserve">Housing Support - Council District 15</t>
  </si>
  <si>
    <t xml:space="preserve">Tax Preparation Services - Council District 15</t>
  </si>
  <si>
    <t xml:space="preserve">Liga De Vitilla Dominicana En USA Lividousa</t>
  </si>
  <si>
    <t xml:space="preserve">933806715</t>
  </si>
  <si>
    <t xml:space="preserve">Recreational Programming - Council District 15</t>
  </si>
  <si>
    <t xml:space="preserve">Tree Care - Council District 15</t>
  </si>
  <si>
    <t xml:space="preserve">East Tremont Avenue Commercial Revitalization</t>
  </si>
  <si>
    <t xml:space="preserve">City Squash, Inc.</t>
  </si>
  <si>
    <t xml:space="preserve">421535583</t>
  </si>
  <si>
    <t xml:space="preserve">Saturday Night Lights Program -  Public School 246X Poe Cent</t>
  </si>
  <si>
    <t xml:space="preserve">Belmont District Management Association, Inc.</t>
  </si>
  <si>
    <t xml:space="preserve">270834463</t>
  </si>
  <si>
    <t xml:space="preserve">Annual Gjergj Kastrioti Skenderbeu Way Ceremony</t>
  </si>
  <si>
    <t xml:space="preserve">Community Outreach - Council District 15</t>
  </si>
  <si>
    <t xml:space="preserve">Bronx Community Board #6</t>
  </si>
  <si>
    <t xml:space="preserve">Community Organizing &amp; Space Activation</t>
  </si>
  <si>
    <t xml:space="preserve">Public School 096X Richard Rodgers (11X096)</t>
  </si>
  <si>
    <t xml:space="preserve">Public School/Intermediate School 54X (10X054)</t>
  </si>
  <si>
    <t xml:space="preserve">Public School 070X Max Schoenfeld (09X070)</t>
  </si>
  <si>
    <t xml:space="preserve">Public School 085X Great Expectations (10X085)</t>
  </si>
  <si>
    <t xml:space="preserve">Center for Urban Pedagogy, Inc.</t>
  </si>
  <si>
    <t xml:space="preserve">113625306</t>
  </si>
  <si>
    <t xml:space="preserve">Knowledge and Power Preparatory Academy International High S</t>
  </si>
  <si>
    <t xml:space="preserve">Public School 9X Ryer Avenue Elementary School (10X009)</t>
  </si>
  <si>
    <t xml:space="preserve">Public School 046 Edgar Allan Poe (10X046)</t>
  </si>
  <si>
    <t xml:space="preserve">iMentor Incorporated</t>
  </si>
  <si>
    <t xml:space="preserve">300105507</t>
  </si>
  <si>
    <t xml:space="preserve">Bronx High School for Law and Community Service (10X439)</t>
  </si>
  <si>
    <t xml:space="preserve">Public School 058X (09X058)</t>
  </si>
  <si>
    <t xml:space="preserve">Thomas C. Giordano Middle School 45X (10X045)</t>
  </si>
  <si>
    <t xml:space="preserve">Fordham High School for the Arts (10X437)</t>
  </si>
  <si>
    <t xml:space="preserve">PS 44 David C. Farragut (12XX044)</t>
  </si>
  <si>
    <t xml:space="preserve">I.S. X318 Math, Science &amp; Technology Through Arts (12X318)</t>
  </si>
  <si>
    <t xml:space="preserve">M.S. 129 Academy for Independent Learning and Leadership (12</t>
  </si>
  <si>
    <t xml:space="preserve">Bronx Academy for Software Engineering (10X264)</t>
  </si>
  <si>
    <t xml:space="preserve">Young Audiences New York, Inc.</t>
  </si>
  <si>
    <t xml:space="preserve">131997754</t>
  </si>
  <si>
    <t xml:space="preserve">Public School 205X Fiorello LaGuardia (10X205)</t>
  </si>
  <si>
    <t xml:space="preserve">Community Engagement in District 15</t>
  </si>
  <si>
    <t xml:space="preserve">P.S. 059 The Community School of Technology (10X059)</t>
  </si>
  <si>
    <t xml:space="preserve">In-School Programming - Council District 15</t>
  </si>
  <si>
    <t xml:space="preserve">Youth Media Arts - Council District 15</t>
  </si>
  <si>
    <t xml:space="preserve">Council District 15 programming</t>
  </si>
  <si>
    <t xml:space="preserve">P.S. 023 The New Children's School (10X023)</t>
  </si>
  <si>
    <t xml:space="preserve">Bronx River Art Center, Inc.</t>
  </si>
  <si>
    <t xml:space="preserve">133261148</t>
  </si>
  <si>
    <t xml:space="preserve">Arts Programming</t>
  </si>
  <si>
    <t xml:space="preserve">STEAM Programs - Council District 15</t>
  </si>
  <si>
    <t xml:space="preserve">New York Tech Training Program</t>
  </si>
  <si>
    <t xml:space="preserve">District 10 Debate Tournaments</t>
  </si>
  <si>
    <t xml:space="preserve">Theatre Arts Production Company School (10X225)</t>
  </si>
  <si>
    <t xml:space="preserve">Combat Hate - Council District 15</t>
  </si>
  <si>
    <t xml:space="preserve">Family Court Resources</t>
  </si>
  <si>
    <t xml:space="preserve">Reproductive Health Services - Council District 15</t>
  </si>
  <si>
    <t xml:space="preserve">Laal NYC</t>
  </si>
  <si>
    <t xml:space="preserve">832947989</t>
  </si>
  <si>
    <t xml:space="preserve">Council District 15 Legal Support</t>
  </si>
  <si>
    <t xml:space="preserve">Council District 15 Services</t>
  </si>
  <si>
    <t xml:space="preserve">Community Programming - Council District 15</t>
  </si>
  <si>
    <t xml:space="preserve">CUNY School of Law - Legal Services at District Office</t>
  </si>
  <si>
    <t xml:space="preserve">Promotional Campaigns &amp; Community Events</t>
  </si>
  <si>
    <t xml:space="preserve">Fordham Road District Management Association, Inc.</t>
  </si>
  <si>
    <t xml:space="preserve">260117797</t>
  </si>
  <si>
    <t xml:space="preserve">BID Marketing &amp; Community Events</t>
  </si>
  <si>
    <t xml:space="preserve">College Bound Initiative</t>
  </si>
  <si>
    <t xml:space="preserve">Public School 028X Mount Hope (09X028)</t>
  </si>
  <si>
    <t xml:space="preserve">Public School 057X Crescent (12X057)</t>
  </si>
  <si>
    <t xml:space="preserve">Renaissance Youth Center</t>
  </si>
  <si>
    <t xml:space="preserve">134122438</t>
  </si>
  <si>
    <t xml:space="preserve">Jonas Bronk Academy (10X228)</t>
  </si>
  <si>
    <t xml:space="preserve">Music Program - Public School 54X (10X054)</t>
  </si>
  <si>
    <t xml:space="preserve">Housing Assistance - Council District 15</t>
  </si>
  <si>
    <t xml:space="preserve">Public School 54X (10X054)</t>
  </si>
  <si>
    <t xml:space="preserve">Hydroponics Labs - Council District 15</t>
  </si>
  <si>
    <t xml:space="preserve">Literacy Programming - Council District 15</t>
  </si>
  <si>
    <t xml:space="preserve">Youth Tennis Programming</t>
  </si>
  <si>
    <t xml:space="preserve">Bronx Filmmakers Collective, Inc.</t>
  </si>
  <si>
    <t xml:space="preserve">820886241</t>
  </si>
  <si>
    <t xml:space="preserve">Movie Programs - Council District 15</t>
  </si>
  <si>
    <t xml:space="preserve">Bronx Community Board #7</t>
  </si>
  <si>
    <t xml:space="preserve">Twin Parks East Tenant Association</t>
  </si>
  <si>
    <t xml:space="preserve">Supplemental Sanitation Services – Council District 15</t>
  </si>
  <si>
    <t xml:space="preserve">District 15 Plantings</t>
  </si>
  <si>
    <t xml:space="preserve">Small Business Engagement</t>
  </si>
  <si>
    <t xml:space="preserve">Supplemental Sanitation Services</t>
  </si>
  <si>
    <t xml:space="preserve">District Marketing/Local Tourism</t>
  </si>
  <si>
    <t xml:space="preserve">Summerstage in Crotona Park</t>
  </si>
  <si>
    <t xml:space="preserve">Grand Slam Foundation, Inc.</t>
  </si>
  <si>
    <t xml:space="preserve">271822546</t>
  </si>
  <si>
    <t xml:space="preserve">Baseball Programming in District 15</t>
  </si>
  <si>
    <t xml:space="preserve">Stewardship - Council District 15</t>
  </si>
  <si>
    <t xml:space="preserve">Green Spaces - Council District 15</t>
  </si>
  <si>
    <t xml:space="preserve">School Programming - Council District 15</t>
  </si>
  <si>
    <t xml:space="preserve">Senior Turkey Distributions</t>
  </si>
  <si>
    <t xml:space="preserve">Vocational Instruction Project Community Services</t>
  </si>
  <si>
    <t xml:space="preserve">133224700</t>
  </si>
  <si>
    <t xml:space="preserve">Fordham Bedford Community Services, Inc.</t>
  </si>
  <si>
    <t xml:space="preserve">133805049</t>
  </si>
  <si>
    <t xml:space="preserve">Social Services and Programming</t>
  </si>
  <si>
    <t xml:space="preserve">Senior Center Programming - Council District 15</t>
  </si>
  <si>
    <t xml:space="preserve">Poe Park Programming - Council District 15</t>
  </si>
  <si>
    <t xml:space="preserve">District 15 Programming</t>
  </si>
  <si>
    <t xml:space="preserve">Mary Mitchell Family and Youth Center, Inc.</t>
  </si>
  <si>
    <t xml:space="preserve">133385032</t>
  </si>
  <si>
    <t xml:space="preserve">Youth Programming - Council District 15</t>
  </si>
  <si>
    <t xml:space="preserve">Chess Programming - Council District 15</t>
  </si>
  <si>
    <t xml:space="preserve">Webster PAL</t>
  </si>
  <si>
    <t xml:space="preserve">Open Future Institute</t>
  </si>
  <si>
    <t xml:space="preserve">455494252</t>
  </si>
  <si>
    <t xml:space="preserve">The QUESTion Project - Belmont Preparatory High School (10X4</t>
  </si>
  <si>
    <t xml:space="preserve">Monterey Cornerstone Community Center</t>
  </si>
  <si>
    <t xml:space="preserve">Park Rangers - FMCP</t>
  </si>
  <si>
    <t xml:space="preserve">GrowNYC - Seed to Plate Public School 201Q (25Q201)</t>
  </si>
  <si>
    <t xml:space="preserve">D24 Family Fun Days</t>
  </si>
  <si>
    <t xml:space="preserve">Park Rangers - Captain Tilly</t>
  </si>
  <si>
    <t xml:space="preserve">India Home, Inc.</t>
  </si>
  <si>
    <t xml:space="preserve">208747291</t>
  </si>
  <si>
    <t xml:space="preserve">Young Israel of Queens Valley</t>
  </si>
  <si>
    <t xml:space="preserve">Council District 24</t>
  </si>
  <si>
    <t xml:space="preserve">Chamber On The Go &amp; Small Business Development</t>
  </si>
  <si>
    <t xml:space="preserve">TSQ, Inc.</t>
  </si>
  <si>
    <t xml:space="preserve">112693305</t>
  </si>
  <si>
    <t xml:space="preserve">Financial Support Seminars &amp; Tax Prep - Council District 24</t>
  </si>
  <si>
    <t xml:space="preserve">Masbia of Queens</t>
  </si>
  <si>
    <t xml:space="preserve">270363356</t>
  </si>
  <si>
    <t xml:space="preserve"> Council District 24</t>
  </si>
  <si>
    <t xml:space="preserve">Project Lead, Inc.</t>
  </si>
  <si>
    <t xml:space="preserve">133761446</t>
  </si>
  <si>
    <t xml:space="preserve">Hot Spots Outreach Program - Council District 24</t>
  </si>
  <si>
    <t xml:space="preserve">Queens Borough Safety Patrol, Inc.</t>
  </si>
  <si>
    <t xml:space="preserve">810865847</t>
  </si>
  <si>
    <t xml:space="preserve">Women for Afghan Women</t>
  </si>
  <si>
    <t xml:space="preserve">020539734</t>
  </si>
  <si>
    <t xml:space="preserve">P.S. 206 Horace Harding</t>
  </si>
  <si>
    <t xml:space="preserve">Middle School 131</t>
  </si>
  <si>
    <t xml:space="preserve">Public School 82Q</t>
  </si>
  <si>
    <t xml:space="preserve">Public School Q255</t>
  </si>
  <si>
    <t xml:space="preserve">Public School 173Q</t>
  </si>
  <si>
    <t xml:space="preserve">Public School 164Q</t>
  </si>
  <si>
    <t xml:space="preserve">PS 220 Edward Mandel</t>
  </si>
  <si>
    <t xml:space="preserve">Queens College Foundation/Kupferberg Center for the Arts @ P</t>
  </si>
  <si>
    <t xml:space="preserve">Public School 117Q</t>
  </si>
  <si>
    <t xml:space="preserve">Hillcrest High School</t>
  </si>
  <si>
    <t xml:space="preserve">Making Books Sing, Inc.</t>
  </si>
  <si>
    <t xml:space="preserve">134201577</t>
  </si>
  <si>
    <t xml:space="preserve">Public School 219Q</t>
  </si>
  <si>
    <t xml:space="preserve">Young Women's Leadership School</t>
  </si>
  <si>
    <t xml:space="preserve">The Queens College School for Math, Science and Technology -</t>
  </si>
  <si>
    <t xml:space="preserve">Public School/Middle School 200Q</t>
  </si>
  <si>
    <t xml:space="preserve">CD24 Fair</t>
  </si>
  <si>
    <t xml:space="preserve">PS 219, 201, 154 and 165.</t>
  </si>
  <si>
    <t xml:space="preserve">Music and the Brain</t>
  </si>
  <si>
    <t xml:space="preserve">New York Chinese Cultural Center, Inc.</t>
  </si>
  <si>
    <t xml:space="preserve">132928554</t>
  </si>
  <si>
    <t xml:space="preserve">Pomonok Food Pantry &amp; Forest Hills Community Center Food Pan</t>
  </si>
  <si>
    <t xml:space="preserve">Vernon Avenue Project, Inc.</t>
  </si>
  <si>
    <t xml:space="preserve">272995249</t>
  </si>
  <si>
    <t xml:space="preserve">Thomas Berry Place - Council District 24</t>
  </si>
  <si>
    <t xml:space="preserve">Strong Fathers Program &amp; Strong Mothers Program</t>
  </si>
  <si>
    <t xml:space="preserve">Chabad of Queens College</t>
  </si>
  <si>
    <t xml:space="preserve">202070019</t>
  </si>
  <si>
    <t xml:space="preserve">Kupferberg Holocaust Center - Queens Community College</t>
  </si>
  <si>
    <t xml:space="preserve">CHAZAQ Organization USA, Inc.</t>
  </si>
  <si>
    <t xml:space="preserve">462148352</t>
  </si>
  <si>
    <t xml:space="preserve">Pomonok Residents Association</t>
  </si>
  <si>
    <t xml:space="preserve">New York Committee for Occupational Safety and Health</t>
  </si>
  <si>
    <t xml:space="preserve">132935028</t>
  </si>
  <si>
    <t xml:space="preserve">E-Waste Events - Council District 24</t>
  </si>
  <si>
    <t xml:space="preserve">Commonpoint - Council District 24</t>
  </si>
  <si>
    <t xml:space="preserve">Student Tutors - Council District 24</t>
  </si>
  <si>
    <t xml:space="preserve">Commonpoint NY, Inc.</t>
  </si>
  <si>
    <t xml:space="preserve">113071518</t>
  </si>
  <si>
    <t xml:space="preserve">T-Building Programming - Council District 24</t>
  </si>
  <si>
    <t xml:space="preserve">Urban Studies Department - Queens College</t>
  </si>
  <si>
    <t xml:space="preserve">BHALO, Inc.</t>
  </si>
  <si>
    <t xml:space="preserve">863048818</t>
  </si>
  <si>
    <t xml:space="preserve">Food Access &amp; Social Service Programs - Council District 24 </t>
  </si>
  <si>
    <t xml:space="preserve">Climate Museum</t>
  </si>
  <si>
    <t xml:space="preserve">475518278</t>
  </si>
  <si>
    <t xml:space="preserve">Art Transforms, Inc.</t>
  </si>
  <si>
    <t xml:space="preserve">814182354</t>
  </si>
  <si>
    <t xml:space="preserve">Environmental Art Show</t>
  </si>
  <si>
    <t xml:space="preserve">Chhaya Community Development Corporation</t>
  </si>
  <si>
    <t xml:space="preserve">113580935</t>
  </si>
  <si>
    <t xml:space="preserve">Queens</t>
  </si>
  <si>
    <t xml:space="preserve">Korean American Family Service Center, The</t>
  </si>
  <si>
    <t xml:space="preserve">133609811</t>
  </si>
  <si>
    <t xml:space="preserve">Animal Shelter</t>
  </si>
  <si>
    <t xml:space="preserve">Events &amp; Programs - Briarwood Library</t>
  </si>
  <si>
    <t xml:space="preserve">Kew Gardens Hills Library</t>
  </si>
  <si>
    <t xml:space="preserve">Pomonok Library</t>
  </si>
  <si>
    <t xml:space="preserve">STACKS - Briarwood Library</t>
  </si>
  <si>
    <t xml:space="preserve">Older Adult Programming - Briarwood Library</t>
  </si>
  <si>
    <t xml:space="preserve">Older Adult Programming - Pomonok Library</t>
  </si>
  <si>
    <t xml:space="preserve">St. John's University</t>
  </si>
  <si>
    <t xml:space="preserve">111630830</t>
  </si>
  <si>
    <t xml:space="preserve">Partners Clinic</t>
  </si>
  <si>
    <t xml:space="preserve">Girls Leadership program (GLP)</t>
  </si>
  <si>
    <t xml:space="preserve">Footsteps Program - Queens College</t>
  </si>
  <si>
    <t xml:space="preserve">Taft Institute - Queens College</t>
  </si>
  <si>
    <t xml:space="preserve">All About Kindness, Inc.</t>
  </si>
  <si>
    <t xml:space="preserve">871914114</t>
  </si>
  <si>
    <t xml:space="preserve">Friends of Cunningham Park</t>
  </si>
  <si>
    <t xml:space="preserve">Extra Pickups - Council District 24</t>
  </si>
  <si>
    <t xml:space="preserve">Graffiti Clean Up</t>
  </si>
  <si>
    <t xml:space="preserve">CD 24 Family Days</t>
  </si>
  <si>
    <t xml:space="preserve">Hoover Playground, Electric Playground, Rufus King Park</t>
  </si>
  <si>
    <t xml:space="preserve">QCH Pomonok OAC</t>
  </si>
  <si>
    <t xml:space="preserve">Together in Dance, Inc.</t>
  </si>
  <si>
    <t xml:space="preserve">510646485</t>
  </si>
  <si>
    <t xml:space="preserve">FOREST HILLS COMMUNITY HOUSE NORC</t>
  </si>
  <si>
    <t xml:space="preserve">India Home Desi Senior Center</t>
  </si>
  <si>
    <t xml:space="preserve">CHAZAQ Seniors Program in Kew Gardens Hills</t>
  </si>
  <si>
    <t xml:space="preserve">Desi Senior Center</t>
  </si>
  <si>
    <t xml:space="preserve">COPE Program</t>
  </si>
  <si>
    <t xml:space="preserve">ADAPT Community Network</t>
  </si>
  <si>
    <t xml:space="preserve">After-School Programs - Council District 24</t>
  </si>
  <si>
    <t xml:space="preserve">Young Israel of Jamaica Estates</t>
  </si>
  <si>
    <t xml:space="preserve">112518593</t>
  </si>
  <si>
    <t xml:space="preserve">Queens Youth Justice Center’s Queens Engagement Strategies f</t>
  </si>
  <si>
    <t xml:space="preserve">B'nai B'rith Hillel Foundation at Queens College, Inc.</t>
  </si>
  <si>
    <t xml:space="preserve">113285824</t>
  </si>
  <si>
    <t xml:space="preserve">Beth Gavriel Bukharian Congregation</t>
  </si>
  <si>
    <t xml:space="preserve">113336257</t>
  </si>
  <si>
    <t xml:space="preserve">Boyscouts - Council District 24</t>
  </si>
  <si>
    <t xml:space="preserve">The Young Women’s Leadership School (TYWLS) - Council Distri</t>
  </si>
  <si>
    <t xml:space="preserve">Reviving Baseball in Inner Cities (RBI) Initative &amp; Breaking</t>
  </si>
  <si>
    <t xml:space="preserve">Hydroponic Classroom for STEM &amp; Climate Education Program Su</t>
  </si>
  <si>
    <t xml:space="preserve">Clean up Events - Council District 34</t>
  </si>
  <si>
    <t xml:space="preserve">Newtown Creek Alliance, Inc.</t>
  </si>
  <si>
    <t xml:space="preserve">261832918</t>
  </si>
  <si>
    <t xml:space="preserve">Environmental Education &amp; Community Stewardship - Council Di</t>
  </si>
  <si>
    <t xml:space="preserve">E-Waste Reuse &amp; Collection Events, Environmental Education &amp;</t>
  </si>
  <si>
    <t xml:space="preserve">Greater Ridgewood Historical Society, Inc.</t>
  </si>
  <si>
    <t xml:space="preserve">112409274</t>
  </si>
  <si>
    <t xml:space="preserve">Cultural &amp; Historical Programs - Council District 34</t>
  </si>
  <si>
    <t xml:space="preserve">Greater Ridgewood Restoration Corporation</t>
  </si>
  <si>
    <t xml:space="preserve">112382250</t>
  </si>
  <si>
    <t xml:space="preserve">St. Nick's Alliance Corporation</t>
  </si>
  <si>
    <t xml:space="preserve">510192170</t>
  </si>
  <si>
    <t xml:space="preserve">St Nicks Alliance's Greener NYC - District 34</t>
  </si>
  <si>
    <t xml:space="preserve">Southside United Housing Development Fund Corporation</t>
  </si>
  <si>
    <t xml:space="preserve">112268359</t>
  </si>
  <si>
    <t xml:space="preserve">Older Adult Center Program &amp; Services - Cooper Park OAC</t>
  </si>
  <si>
    <t xml:space="preserve">Williamsburg Older Adult Center</t>
  </si>
  <si>
    <t xml:space="preserve">Senior Support - Council District 34</t>
  </si>
  <si>
    <t xml:space="preserve">Digital Literacy &amp; Technology Training for Older Adults</t>
  </si>
  <si>
    <t xml:space="preserve">Peter Cardella Senior Citizen Center, Inc.</t>
  </si>
  <si>
    <t xml:space="preserve">112328536</t>
  </si>
  <si>
    <t xml:space="preserve">Senior Center Operations</t>
  </si>
  <si>
    <t xml:space="preserve">Riseboro Community Partnership, Inc.</t>
  </si>
  <si>
    <t xml:space="preserve">112453853</t>
  </si>
  <si>
    <t xml:space="preserve">Borinquen Plaza Senior Center</t>
  </si>
  <si>
    <t xml:space="preserve">Seniors Programs - East Williamsburg</t>
  </si>
  <si>
    <t xml:space="preserve">Bushwick/Hylan NORC SSP</t>
  </si>
  <si>
    <t xml:space="preserve">Meal Program</t>
  </si>
  <si>
    <t xml:space="preserve">Los Sures David Santiago Senior Center</t>
  </si>
  <si>
    <t xml:space="preserve">Youth Organizing - Council District 34</t>
  </si>
  <si>
    <t xml:space="preserve">Social Services &amp; Support - Council District 33 &amp; Council Di</t>
  </si>
  <si>
    <t xml:space="preserve">North Brooklyn Community Safety Coalition</t>
  </si>
  <si>
    <t xml:space="preserve">Youth Power Project</t>
  </si>
  <si>
    <t xml:space="preserve">Anti-Violence Program - Council District 34</t>
  </si>
  <si>
    <t xml:space="preserve">Public Safety Coalition - Anti-Violence &amp; Anti-Hate Crimes P</t>
  </si>
  <si>
    <t xml:space="preserve">Brooklyn Queens Land Trust</t>
  </si>
  <si>
    <t xml:space="preserve">611441052</t>
  </si>
  <si>
    <t xml:space="preserve">Community Garden Support</t>
  </si>
  <si>
    <t xml:space="preserve">Public School 319K (14K319)</t>
  </si>
  <si>
    <t xml:space="preserve">Public School 147K Isaac Remsen (14K147)</t>
  </si>
  <si>
    <t xml:space="preserve">Public School 196K (14K196)</t>
  </si>
  <si>
    <t xml:space="preserve">Public School 081Q (24Q081)</t>
  </si>
  <si>
    <t xml:space="preserve">Public School 120K (14K120)</t>
  </si>
  <si>
    <t xml:space="preserve">Public School 132K The Conselyea School (14K132)</t>
  </si>
  <si>
    <t xml:space="preserve">Public School 274K (32K274)</t>
  </si>
  <si>
    <t xml:space="preserve">Public School 145K (32K145)</t>
  </si>
  <si>
    <t xml:space="preserve">Public School 239Q (24Q239)</t>
  </si>
  <si>
    <t xml:space="preserve">Learners and Leaders (24Q305)</t>
  </si>
  <si>
    <t xml:space="preserve">Girl Be Heard Institute</t>
  </si>
  <si>
    <t xml:space="preserve">271848709</t>
  </si>
  <si>
    <t xml:space="preserve">Brooklyn Preparatory High School (14K488)</t>
  </si>
  <si>
    <t xml:space="preserve">Public School 414K BK Arbor (14K414)</t>
  </si>
  <si>
    <t xml:space="preserve">Public School 123K (32K123)</t>
  </si>
  <si>
    <t xml:space="preserve">Public School 257K (14K257)</t>
  </si>
  <si>
    <t xml:space="preserve">Junior High School 050K John D. Wells (14K050)</t>
  </si>
  <si>
    <t xml:space="preserve">Public School 016K Leonard Dunkly (14K016)</t>
  </si>
  <si>
    <t xml:space="preserve">Public School 084K Jose De Diego (14K084)</t>
  </si>
  <si>
    <t xml:space="preserve">Cultural Programming - Council District 34</t>
  </si>
  <si>
    <t xml:space="preserve">International Studio &amp; Curatorial Program, Inc.</t>
  </si>
  <si>
    <t xml:space="preserve">205052686</t>
  </si>
  <si>
    <t xml:space="preserve">Art for Resistance and Resilience Program - Council District</t>
  </si>
  <si>
    <t xml:space="preserve">Los Sures Museum - Council District 34</t>
  </si>
  <si>
    <t xml:space="preserve">UnionDocs, Inc.</t>
  </si>
  <si>
    <t xml:space="preserve">861150496</t>
  </si>
  <si>
    <t xml:space="preserve">Documentary Screening Series - Council District 34</t>
  </si>
  <si>
    <t xml:space="preserve">Community-Engaged Public Art Installations - Council Distric</t>
  </si>
  <si>
    <t xml:space="preserve">Repertorio Contigo - Council District 34</t>
  </si>
  <si>
    <t xml:space="preserve">Cultural Music Education - Council District 34</t>
  </si>
  <si>
    <t xml:space="preserve">Worthless Foundation, Inc.</t>
  </si>
  <si>
    <t xml:space="preserve">834240559</t>
  </si>
  <si>
    <t xml:space="preserve">BROOKLYN MADE - Council District 34</t>
  </si>
  <si>
    <t xml:space="preserve">Geographic Information System (GIS) Lessons</t>
  </si>
  <si>
    <t xml:space="preserve">Per Scholas New York Tech Training Program - Council Distric</t>
  </si>
  <si>
    <t xml:space="preserve">North Brooklyn Coalition Against Family Violence, Inc.</t>
  </si>
  <si>
    <t xml:space="preserve">113431280</t>
  </si>
  <si>
    <t xml:space="preserve">North Brooklyn Anti-Domestic Violence Program - Council Dist</t>
  </si>
  <si>
    <t xml:space="preserve">L.O.V.E Mentoring Program - Council District 34</t>
  </si>
  <si>
    <t xml:space="preserve">Housing Counseling &amp; Tenant Work - Council District 34</t>
  </si>
  <si>
    <t xml:space="preserve">Southside Community Mission, Inc.</t>
  </si>
  <si>
    <t xml:space="preserve">112306447</t>
  </si>
  <si>
    <t xml:space="preserve">Social Services, Immigration &amp; Food Pantry - Council Distric</t>
  </si>
  <si>
    <t xml:space="preserve">Trinity Human Services Corporation</t>
  </si>
  <si>
    <t xml:space="preserve">133171439</t>
  </si>
  <si>
    <t xml:space="preserve">Food Pantry, Social Services &amp; Clothing Programs - Council D</t>
  </si>
  <si>
    <t xml:space="preserve">Education Justice &amp; Know Your Rights Project</t>
  </si>
  <si>
    <t xml:space="preserve">Nuestros Niños Day Care Center, Inc.</t>
  </si>
  <si>
    <t xml:space="preserve">112315327</t>
  </si>
  <si>
    <t xml:space="preserve">Council District 34</t>
  </si>
  <si>
    <t xml:space="preserve">Bushwick Houses Basketball Summer League - Council District </t>
  </si>
  <si>
    <t xml:space="preserve">Committee for Hispanic Children and Families, Inc., The</t>
  </si>
  <si>
    <t xml:space="preserve">112622003</t>
  </si>
  <si>
    <t xml:space="preserve">Early Care and Education Institute (EC&amp;EI) &amp; Community Empow</t>
  </si>
  <si>
    <t xml:space="preserve">Sure We Can, Inc.</t>
  </si>
  <si>
    <t xml:space="preserve">261217947</t>
  </si>
  <si>
    <t xml:space="preserve">Community Resource Center &amp; Membership Outreach - Council Di</t>
  </si>
  <si>
    <t xml:space="preserve">Farmers Markets - Maria Hernandez</t>
  </si>
  <si>
    <t xml:space="preserve">Public Arts Programs - Council District 34</t>
  </si>
  <si>
    <t xml:space="preserve">Tenant/Landlord Counseling &amp; Outreach - Council District 34</t>
  </si>
  <si>
    <t xml:space="preserve">Grand Street District Management Association, Inc.</t>
  </si>
  <si>
    <t xml:space="preserve">112739527</t>
  </si>
  <si>
    <t xml:space="preserve">BID Outreach, Greening &amp; Cleaning Support - Council District</t>
  </si>
  <si>
    <t xml:space="preserve">Cooper Park Houses</t>
  </si>
  <si>
    <t xml:space="preserve">Cultural &amp; Historical Public Programs - Council District 34</t>
  </si>
  <si>
    <t xml:space="preserve">Organizing Community Clean Ups - Council District 34</t>
  </si>
  <si>
    <t xml:space="preserve">Make: STEAM, Inc.</t>
  </si>
  <si>
    <t xml:space="preserve">472123500</t>
  </si>
  <si>
    <t xml:space="preserve">Middle School 582K (14K582)</t>
  </si>
  <si>
    <t xml:space="preserve">After-school Programs - Public School 120K (14K120) &amp; Public</t>
  </si>
  <si>
    <t xml:space="preserve">Small Business Services - Council District 34</t>
  </si>
  <si>
    <t xml:space="preserve">BK ROT, Inc.</t>
  </si>
  <si>
    <t xml:space="preserve">473925112</t>
  </si>
  <si>
    <t xml:space="preserve">Environmental Jobs - Council District 34</t>
  </si>
  <si>
    <t xml:space="preserve">Brooklyn Community Pride Center, Inc.</t>
  </si>
  <si>
    <t xml:space="preserve">262214534</t>
  </si>
  <si>
    <t xml:space="preserve">LGBTQ+ Community Services - Council District 34</t>
  </si>
  <si>
    <t xml:space="preserve">Bushwick Film Festival, LLC</t>
  </si>
  <si>
    <t xml:space="preserve">465724068</t>
  </si>
  <si>
    <t xml:space="preserve">Free Public Film Screenings - Council District 34</t>
  </si>
  <si>
    <t xml:space="preserve">Center for Law and Human Values, Inc.</t>
  </si>
  <si>
    <t xml:space="preserve">133085049</t>
  </si>
  <si>
    <t xml:space="preserve">Justice for Immigrants</t>
  </si>
  <si>
    <t xml:space="preserve">Community Leader &amp; Neighborhood Business Support</t>
  </si>
  <si>
    <t xml:space="preserve">Legal Service Trainings - Council District 34</t>
  </si>
  <si>
    <t xml:space="preserve">Arts Residency - Public School 084K Jose De Diego (14K084)</t>
  </si>
  <si>
    <t xml:space="preserve">Voices of Community Activists &amp; Leaders (VOCAL-NY), Inc.</t>
  </si>
  <si>
    <t xml:space="preserve">134094385</t>
  </si>
  <si>
    <t xml:space="preserve">Overdose Prevention - Council District 34</t>
  </si>
  <si>
    <t xml:space="preserve">Urban Homesteading Assistance (U-HAB), Inc.</t>
  </si>
  <si>
    <t xml:space="preserve">132902798</t>
  </si>
  <si>
    <t xml:space="preserve">Co-op Improvement Program &amp; HDFC Outreach - Council District</t>
  </si>
  <si>
    <t xml:space="preserve">Transportation Alternatives, Inc.</t>
  </si>
  <si>
    <t xml:space="preserve">510186015</t>
  </si>
  <si>
    <t xml:space="preserve">Bethany Group Residential Program - Council District 34</t>
  </si>
  <si>
    <t xml:space="preserve">PS Broadway - Public School 196K Ten Eyck (14K196)</t>
  </si>
  <si>
    <t xml:space="preserve">Ridgewood Volunteer Ambulance Corps, Inc.</t>
  </si>
  <si>
    <t xml:space="preserve">237405104</t>
  </si>
  <si>
    <t xml:space="preserve">Volunteer EMS Services - Council District 34</t>
  </si>
  <si>
    <t xml:space="preserve">Ridgewood Nepalese Society, Inc.</t>
  </si>
  <si>
    <t xml:space="preserve">201238129</t>
  </si>
  <si>
    <t xml:space="preserve">Nepalese Society Community Center</t>
  </si>
  <si>
    <t xml:space="preserve">Open Space Alliance for North Brooklyn, Inc.</t>
  </si>
  <si>
    <t xml:space="preserve">010849087</t>
  </si>
  <si>
    <t xml:space="preserve">Community Board 1 - Parks &amp; Open Spaces</t>
  </si>
  <si>
    <t xml:space="preserve">Little Essentials</t>
  </si>
  <si>
    <t xml:space="preserve">275281758</t>
  </si>
  <si>
    <t xml:space="preserve">Donation Program - Council District 34</t>
  </si>
  <si>
    <t xml:space="preserve">Anti Graffiti Program - Ridgewood</t>
  </si>
  <si>
    <t xml:space="preserve">Expecting Relief</t>
  </si>
  <si>
    <t xml:space="preserve">364722105</t>
  </si>
  <si>
    <t xml:space="preserve">Food Pantry &amp; Maternal Relief</t>
  </si>
  <si>
    <t xml:space="preserve">Berry Street - South 9th Street</t>
  </si>
  <si>
    <t xml:space="preserve">Borinquen Plaza Houses</t>
  </si>
  <si>
    <t xml:space="preserve">Bushwick Houses</t>
  </si>
  <si>
    <t xml:space="preserve">Hylan Houses</t>
  </si>
  <si>
    <t xml:space="preserve">Independence Towers TA</t>
  </si>
  <si>
    <t xml:space="preserve">Jonathan Williams Plaza Tenant Association</t>
  </si>
  <si>
    <t xml:space="preserve">Jonathan Williams Tenant Association</t>
  </si>
  <si>
    <t xml:space="preserve">Williamsburg Houses</t>
  </si>
  <si>
    <t xml:space="preserve">Academic Acceleration, college &amp; Career Readiness – Council </t>
  </si>
  <si>
    <t xml:space="preserve">Chess Afterschool - Williamsburg Preparatory School (14K561)</t>
  </si>
  <si>
    <t xml:space="preserve">Conselyea Preparatory School (14K577)</t>
  </si>
  <si>
    <t xml:space="preserve">Graffiti Removal - Council District 34</t>
  </si>
  <si>
    <t xml:space="preserve">Horticulture - Council District 34</t>
  </si>
  <si>
    <t xml:space="preserve">Extra Pickups - Bushwick &amp; Williamsburg - Council District 3</t>
  </si>
  <si>
    <t xml:space="preserve">Extra Pickups - Myrtle Avenue &amp; Ridgewood - Council District</t>
  </si>
  <si>
    <t xml:space="preserve">Evergreen, Inc. - Your North Brooklyn Business Exchange</t>
  </si>
  <si>
    <t xml:space="preserve">112647339</t>
  </si>
  <si>
    <t xml:space="preserve">Your North Brooklyn Business Exchange - Council District 34</t>
  </si>
  <si>
    <t xml:space="preserve">Job Development - Council District 34</t>
  </si>
  <si>
    <t xml:space="preserve">Myrtle Avenue District Management Association</t>
  </si>
  <si>
    <t xml:space="preserve">112912570</t>
  </si>
  <si>
    <t xml:space="preserve">Ridgewood</t>
  </si>
  <si>
    <t xml:space="preserve">Bushwick Area &amp; Council District 34</t>
  </si>
  <si>
    <t xml:space="preserve">Programs &amp; Events - Council District 34</t>
  </si>
  <si>
    <t xml:space="preserve">Activating Parks - Bushwick &amp; Williamsburg</t>
  </si>
  <si>
    <t xml:space="preserve">Environmental Remediation - Ridgewood Reservoir - Council Di</t>
  </si>
  <si>
    <t xml:space="preserve">Parks - Council District 34</t>
  </si>
  <si>
    <t xml:space="preserve">Starr Street &amp; Grover Clevland Playground Yoga - Council Dis</t>
  </si>
  <si>
    <t xml:space="preserve">Parks Maintenance &amp; Community Building - Council District 34</t>
  </si>
  <si>
    <t xml:space="preserve">Rat Resistant Trash Cans - Council District 34</t>
  </si>
  <si>
    <t xml:space="preserve">Southside Los Sures "David Santiago"</t>
  </si>
  <si>
    <t xml:space="preserve">Bushwick Starr, Inc.</t>
  </si>
  <si>
    <t xml:space="preserve">264546315</t>
  </si>
  <si>
    <t xml:space="preserve">Riseboro Diana Jones ISC</t>
  </si>
  <si>
    <t xml:space="preserve">Digital/Virtual Literacy &amp; Technology Training - Council Dis</t>
  </si>
  <si>
    <t xml:space="preserve">Diana Jones Older Adult Center - Council District 34</t>
  </si>
  <si>
    <t xml:space="preserve">Borinquen Plaza Senior Center - Council District 34</t>
  </si>
  <si>
    <t xml:space="preserve">Health &amp; Wellness for Older Adults - Council District 34</t>
  </si>
  <si>
    <t xml:space="preserve">Ridgewood Older Adult Center and Services, Inc.</t>
  </si>
  <si>
    <t xml:space="preserve">050607283</t>
  </si>
  <si>
    <t xml:space="preserve">Ridgewood Older Adult Center - Council District 34</t>
  </si>
  <si>
    <t xml:space="preserve">Financial Training Older Adults</t>
  </si>
  <si>
    <t xml:space="preserve">Scholars Program</t>
  </si>
  <si>
    <t xml:space="preserve">After School Programs - Public School 239K (24Q239) &amp; Learne</t>
  </si>
  <si>
    <t xml:space="preserve">Youth Education &amp; Job Training Program - Council District 34</t>
  </si>
  <si>
    <t xml:space="preserve">Connect for Success - High School for Enterprise, Business a</t>
  </si>
  <si>
    <t xml:space="preserve">Hydroponic Farms - Council District 34 School</t>
  </si>
  <si>
    <t xml:space="preserve">Williamsburg, Bushwick High School Leadership Centers &amp; Gree</t>
  </si>
  <si>
    <t xml:space="preserve">Oye Group, Inc.</t>
  </si>
  <si>
    <t xml:space="preserve">810963322</t>
  </si>
  <si>
    <t xml:space="preserve">Shake on the Block - Summer Workshop Series</t>
  </si>
  <si>
    <t xml:space="preserve">Educational Program - Council District 34</t>
  </si>
  <si>
    <t xml:space="preserve">NYCHA South Williamsburg</t>
  </si>
  <si>
    <t xml:space="preserve">Local Youth Organizing &amp; Services - Council District 34</t>
  </si>
  <si>
    <t xml:space="preserve">Coalition for Hispanic Family Services</t>
  </si>
  <si>
    <t xml:space="preserve">133546023</t>
  </si>
  <si>
    <t xml:space="preserve">Comprehensive Youth Services - Council District 34</t>
  </si>
  <si>
    <t xml:space="preserve">Life is Precious Program</t>
  </si>
  <si>
    <t xml:space="preserve">Grand Street's Youth Programs - Council District 34</t>
  </si>
  <si>
    <t xml:space="preserve">Town Square, Inc.</t>
  </si>
  <si>
    <t xml:space="preserve">562489014</t>
  </si>
  <si>
    <t xml:space="preserve">Community Building &amp; Environmental Programs - Council Distri</t>
  </si>
  <si>
    <t xml:space="preserve">Reaching Across the World Ministries, Inc.</t>
  </si>
  <si>
    <t xml:space="preserve">113572515</t>
  </si>
  <si>
    <t xml:space="preserve">Filomeno Family Awards Foundation, Inc.</t>
  </si>
  <si>
    <t xml:space="preserve">462910749</t>
  </si>
  <si>
    <t xml:space="preserve">Gowanus Canal Conservancy, Inc.</t>
  </si>
  <si>
    <t xml:space="preserve">260681729</t>
  </si>
  <si>
    <t xml:space="preserve">Prospect Park Alliance, Inc.</t>
  </si>
  <si>
    <t xml:space="preserve">112843763</t>
  </si>
  <si>
    <t xml:space="preserve">Tree Stewardship - Council District 39</t>
  </si>
  <si>
    <t xml:space="preserve">Hydroponic Farm Programming - The Maurice Sendak Community S</t>
  </si>
  <si>
    <t xml:space="preserve">Gowanus Houses</t>
  </si>
  <si>
    <t xml:space="preserve">Wyckoff Gardens</t>
  </si>
  <si>
    <t xml:space="preserve">Senior Center Programming</t>
  </si>
  <si>
    <t xml:space="preserve">Council District 39 &amp; Neighborhoods</t>
  </si>
  <si>
    <t xml:space="preserve">Eileen C Dugan Amico Senior Center</t>
  </si>
  <si>
    <t xml:space="preserve">Senior Citizen Transportation Program</t>
  </si>
  <si>
    <t xml:space="preserve">NYCHA Community Supported Agriculture (CSA) Project</t>
  </si>
  <si>
    <t xml:space="preserve">Community Help in Park Slope, Inc.</t>
  </si>
  <si>
    <t xml:space="preserve">112449994</t>
  </si>
  <si>
    <t xml:space="preserve">Soup Kitchen &amp; Food Pantry</t>
  </si>
  <si>
    <t xml:space="preserve">CUNY School of Law - Community Legal Resource Network</t>
  </si>
  <si>
    <t xml:space="preserve">PB - Food Pantry</t>
  </si>
  <si>
    <t xml:space="preserve">Carroll Gardens Association Incorporated</t>
  </si>
  <si>
    <t xml:space="preserve">112573432</t>
  </si>
  <si>
    <t xml:space="preserve">PB - Immigrant Support Network</t>
  </si>
  <si>
    <t xml:space="preserve">Anti-Violence Program - Brooklyn Family Justice Centers</t>
  </si>
  <si>
    <t xml:space="preserve">Beam Center, Inc.</t>
  </si>
  <si>
    <t xml:space="preserve">454273449</t>
  </si>
  <si>
    <t xml:space="preserve">Work-Based Learning Apprenticeship</t>
  </si>
  <si>
    <t xml:space="preserve">Council District 39</t>
  </si>
  <si>
    <t xml:space="preserve">Chasdei Devorah, Inc.</t>
  </si>
  <si>
    <t xml:space="preserve">342006065</t>
  </si>
  <si>
    <t xml:space="preserve">Emergency Medical Technicians (EMTs) &amp; Operations</t>
  </si>
  <si>
    <t xml:space="preserve">Civil Legal Services - Council District 39</t>
  </si>
  <si>
    <t xml:space="preserve">Public School 130K The Parkside (15K130)</t>
  </si>
  <si>
    <t xml:space="preserve">BCT Brooklyn Children's Theatre, Inc.</t>
  </si>
  <si>
    <t xml:space="preserve">452906089</t>
  </si>
  <si>
    <t xml:space="preserve">Public School 179K (20K179)</t>
  </si>
  <si>
    <t xml:space="preserve">Cyberarts Studio Academy (15K463)</t>
  </si>
  <si>
    <t xml:space="preserve">John Jay School for Law (15K462)</t>
  </si>
  <si>
    <t xml:space="preserve">Cobble Hill School of American Studies (15K519)</t>
  </si>
  <si>
    <t xml:space="preserve">The Boerum Hill School for International Studies (15K497)</t>
  </si>
  <si>
    <t xml:space="preserve">Creative Minds NYC, Inc.</t>
  </si>
  <si>
    <t xml:space="preserve">020720786</t>
  </si>
  <si>
    <t xml:space="preserve">The Windsor Terrace School (15K154)</t>
  </si>
  <si>
    <t xml:space="preserve">Public School 32K Samuel Mills Sprole (15K032)</t>
  </si>
  <si>
    <t xml:space="preserve">Public School 372K The Children's School (75K372)</t>
  </si>
  <si>
    <t xml:space="preserve">Public School 77K (75K077)</t>
  </si>
  <si>
    <t xml:space="preserve">Public School 53K (75K053) @ Junior High School 088K Peter R</t>
  </si>
  <si>
    <t xml:space="preserve">Brooklyn Collaborative Studies (15K448)</t>
  </si>
  <si>
    <t xml:space="preserve">Millennium Brooklyn High School (15K684)</t>
  </si>
  <si>
    <t xml:space="preserve">Park Slope Collegiate (15K464)</t>
  </si>
  <si>
    <t xml:space="preserve">Public School 282K Park Slope (13K282)</t>
  </si>
  <si>
    <t xml:space="preserve">Singing Winds, Inc., The</t>
  </si>
  <si>
    <t xml:space="preserve">463805192</t>
  </si>
  <si>
    <t xml:space="preserve">Public School 230K Doris L. Cohen (15K230)</t>
  </si>
  <si>
    <t xml:space="preserve">The Brooklyn New School, Public School 146K (15K146)</t>
  </si>
  <si>
    <t xml:space="preserve">Artopolis Development</t>
  </si>
  <si>
    <t xml:space="preserve">134003325</t>
  </si>
  <si>
    <t xml:space="preserve">Arts &amp; Democracy, Inc.</t>
  </si>
  <si>
    <t xml:space="preserve">474287935</t>
  </si>
  <si>
    <t xml:space="preserve">Fifth Avenue Committee, Inc.</t>
  </si>
  <si>
    <t xml:space="preserve">112475743</t>
  </si>
  <si>
    <t xml:space="preserve">Sakhi for South Asian Survivors, Inc.</t>
  </si>
  <si>
    <t xml:space="preserve">133593806</t>
  </si>
  <si>
    <t xml:space="preserve">Sanctuary for Families, Inc.</t>
  </si>
  <si>
    <t xml:space="preserve">133193119</t>
  </si>
  <si>
    <t xml:space="preserve">PB - Supplemental Library Programming</t>
  </si>
  <si>
    <t xml:space="preserve">Gowanus Oversight Taskforce</t>
  </si>
  <si>
    <t xml:space="preserve">Workforce Development</t>
  </si>
  <si>
    <t xml:space="preserve">572 Warren Street Tenants Association</t>
  </si>
  <si>
    <t xml:space="preserve">Gowanus Houses Tenants Association </t>
  </si>
  <si>
    <t xml:space="preserve">Wyckoff Gardens Tenants Association</t>
  </si>
  <si>
    <t xml:space="preserve">Old Stone House of Brooklyn</t>
  </si>
  <si>
    <t xml:space="preserve">113032836</t>
  </si>
  <si>
    <t xml:space="preserve">Brooklyn Arts Exchange, Inc.</t>
  </si>
  <si>
    <t xml:space="preserve">113071458</t>
  </si>
  <si>
    <t xml:space="preserve">GrowNYC - Council District 39</t>
  </si>
  <si>
    <t xml:space="preserve">Gotham Food Pantry</t>
  </si>
  <si>
    <t xml:space="preserve">853425480</t>
  </si>
  <si>
    <t xml:space="preserve">Gowanus Houses Food Pantry</t>
  </si>
  <si>
    <t xml:space="preserve">Wyckoff Gardens &amp; Gowanus Houses </t>
  </si>
  <si>
    <t xml:space="preserve">Leap, Inc.</t>
  </si>
  <si>
    <t xml:space="preserve">113111694</t>
  </si>
  <si>
    <t xml:space="preserve">Backpack Giveaway - Kensington</t>
  </si>
  <si>
    <t xml:space="preserve">Overdose Reversal Trainings - Council District 39</t>
  </si>
  <si>
    <t xml:space="preserve">South Brooklyn Local Development Corporation</t>
  </si>
  <si>
    <t xml:space="preserve">112882656</t>
  </si>
  <si>
    <t xml:space="preserve">American Youth Soccer Academy for Bangladeshis, Inc.</t>
  </si>
  <si>
    <t xml:space="preserve">273722921</t>
  </si>
  <si>
    <t xml:space="preserve">Pacific Library Programming &amp; District 39 Seed Giveaways</t>
  </si>
  <si>
    <t xml:space="preserve">Annual Gowanus Artists Studio Tour, Inc.</t>
  </si>
  <si>
    <t xml:space="preserve">753192120</t>
  </si>
  <si>
    <t xml:space="preserve">Tree Stewardship Events - Council District 39</t>
  </si>
  <si>
    <t xml:space="preserve">Brooklyn Alliance of Neighborhood Gardens Land Trust</t>
  </si>
  <si>
    <t xml:space="preserve">274620010</t>
  </si>
  <si>
    <t xml:space="preserve">Brooklyn Youth Chorus Academy, Inc.</t>
  </si>
  <si>
    <t xml:space="preserve">113129249</t>
  </si>
  <si>
    <t xml:space="preserve">133571610</t>
  </si>
  <si>
    <t xml:space="preserve">Immigrant Civic Leadership Program</t>
  </si>
  <si>
    <t xml:space="preserve">Dancewave, Inc.</t>
  </si>
  <si>
    <t xml:space="preserve">112726558</t>
  </si>
  <si>
    <t xml:space="preserve">Family Crisis Program</t>
  </si>
  <si>
    <t xml:space="preserve">Living Traditions, Inc.</t>
  </si>
  <si>
    <t xml:space="preserve">113193909</t>
  </si>
  <si>
    <t xml:space="preserve">Brooklyn World Wide Festival &amp; Programs</t>
  </si>
  <si>
    <t xml:space="preserve">Case Workers &amp; SenioRepair Program</t>
  </si>
  <si>
    <t xml:space="preserve">Naturally Occurring Cultural Districts NY, Inc.</t>
  </si>
  <si>
    <t xml:space="preserve">811139923</t>
  </si>
  <si>
    <t xml:space="preserve">Brooklyn Collaborative Studies (15K448) </t>
  </si>
  <si>
    <t xml:space="preserve">Smith Street Stage, Inc.</t>
  </si>
  <si>
    <t xml:space="preserve">463003829</t>
  </si>
  <si>
    <t xml:space="preserve">Shakespeare - Carroll Park</t>
  </si>
  <si>
    <t xml:space="preserve">White Bird Productions, Inc.</t>
  </si>
  <si>
    <t xml:space="preserve">133585152</t>
  </si>
  <si>
    <t xml:space="preserve">Summer Arts Program for Low-Income Kindergartners</t>
  </si>
  <si>
    <t xml:space="preserve">New Neighbors Partnership Association</t>
  </si>
  <si>
    <t xml:space="preserve">853192882</t>
  </si>
  <si>
    <t xml:space="preserve">Hear Your Song, Inc.</t>
  </si>
  <si>
    <t xml:space="preserve">853483842</t>
  </si>
  <si>
    <t xml:space="preserve">New York Lawyers for the Public Interest, Inc.</t>
  </si>
  <si>
    <t xml:space="preserve">132860703</t>
  </si>
  <si>
    <t xml:space="preserve">Brooklyn Center for Independence of the Disabled, Inc.</t>
  </si>
  <si>
    <t xml:space="preserve">11-2247706</t>
  </si>
  <si>
    <t xml:space="preserve">Brooklyn Community Board #12</t>
  </si>
  <si>
    <t xml:space="preserve">Brooklyn Community Board #6</t>
  </si>
  <si>
    <t xml:space="preserve">Brooklyn Community Board #7</t>
  </si>
  <si>
    <t xml:space="preserve">Kensington - Council District 39</t>
  </si>
  <si>
    <t xml:space="preserve">Atlantic Avenue District Management Association, Inc.</t>
  </si>
  <si>
    <t xml:space="preserve">454949226</t>
  </si>
  <si>
    <t xml:space="preserve">North Flatbush BID - Council District 39</t>
  </si>
  <si>
    <t xml:space="preserve">Peer-Led Diversion Program</t>
  </si>
  <si>
    <t xml:space="preserve">Shema Kolainu - Hear Our Voices</t>
  </si>
  <si>
    <t xml:space="preserve">113503085</t>
  </si>
  <si>
    <t xml:space="preserve">Circle Up! Restorative Justice Arts</t>
  </si>
  <si>
    <t xml:space="preserve">991296105</t>
  </si>
  <si>
    <t xml:space="preserve">Debate Programming - Council District 39</t>
  </si>
  <si>
    <t xml:space="preserve">Albemarle Playground</t>
  </si>
  <si>
    <t xml:space="preserve">Friends of John Jay Jaguars Athletics, Inc.</t>
  </si>
  <si>
    <t xml:space="preserve">921050124</t>
  </si>
  <si>
    <t xml:space="preserve">Willie Mae Rock Camp for Girls, Inc.</t>
  </si>
  <si>
    <t xml:space="preserve">651237021</t>
  </si>
  <si>
    <t xml:space="preserve">Musical Theatre Classes</t>
  </si>
  <si>
    <t xml:space="preserve">Camp Friendship, Inc.</t>
  </si>
  <si>
    <t xml:space="preserve">510187589</t>
  </si>
  <si>
    <t xml:space="preserve">Field of Dreams: Baseball, Arts and Tutoring for Camp Friend</t>
  </si>
  <si>
    <t xml:space="preserve">Girls for Gender Equity, Inc.</t>
  </si>
  <si>
    <t xml:space="preserve">043697166</t>
  </si>
  <si>
    <t xml:space="preserve">Young Women’s Leadership Development Initiative &amp; Young Wome</t>
  </si>
  <si>
    <t xml:space="preserve">STEM Education Programs &amp; Youth Robotics Leagues - Council D</t>
  </si>
  <si>
    <t xml:space="preserve">BENGALIS OF NEW YORK INC.</t>
  </si>
  <si>
    <t xml:space="preserve">980883994</t>
  </si>
  <si>
    <t xml:space="preserve">Rochdale Village Social Services, Inc.</t>
  </si>
  <si>
    <t xml:space="preserve">113397470</t>
  </si>
  <si>
    <t xml:space="preserve">Rochdale Village Older Adult Center</t>
  </si>
  <si>
    <t xml:space="preserve">Rochdale Village NORC</t>
  </si>
  <si>
    <t xml:space="preserve">Council District 28</t>
  </si>
  <si>
    <t xml:space="preserve">Thomas White Jr. Foundation, Inc.</t>
  </si>
  <si>
    <t xml:space="preserve">112534753</t>
  </si>
  <si>
    <t xml:space="preserve">Southeast Queens Empowerment Training Program - Council Dist</t>
  </si>
  <si>
    <t xml:space="preserve">Greater JFK District Management Association, Inc.</t>
  </si>
  <si>
    <t xml:space="preserve">822193145</t>
  </si>
  <si>
    <t xml:space="preserve">Community Service Society of New York</t>
  </si>
  <si>
    <t xml:space="preserve">135562202</t>
  </si>
  <si>
    <t xml:space="preserve">Mitchell Lama Preservation Project</t>
  </si>
  <si>
    <t xml:space="preserve">Housing Solutions of New York - Council District 28</t>
  </si>
  <si>
    <t xml:space="preserve">Rochdale Village - Council District 28</t>
  </si>
  <si>
    <t xml:space="preserve">Queens Community Justice Center - Council District 28</t>
  </si>
  <si>
    <t xml:space="preserve">103rd Precinct</t>
  </si>
  <si>
    <t xml:space="preserve">106th Precinct</t>
  </si>
  <si>
    <t xml:space="preserve">113th Precinct</t>
  </si>
  <si>
    <t xml:space="preserve">Police Service Area 9</t>
  </si>
  <si>
    <t xml:space="preserve">United Sikhs</t>
  </si>
  <si>
    <t xml:space="preserve">113483921</t>
  </si>
  <si>
    <t xml:space="preserve">PS 123Q, MS 72Q, and MS 226Q</t>
  </si>
  <si>
    <t xml:space="preserve">PS 48Q, PS 223Q, and PS 124Q</t>
  </si>
  <si>
    <t xml:space="preserve">PS 124Q</t>
  </si>
  <si>
    <t xml:space="preserve">Brooklyn Steppers, Inc., The</t>
  </si>
  <si>
    <t xml:space="preserve">271223035</t>
  </si>
  <si>
    <t xml:space="preserve">Hawtree Creek Middle School</t>
  </si>
  <si>
    <t xml:space="preserve">PS 354Q</t>
  </si>
  <si>
    <t xml:space="preserve">PS 354 Q</t>
  </si>
  <si>
    <t xml:space="preserve">PS 160Q </t>
  </si>
  <si>
    <t xml:space="preserve">PS 40Q</t>
  </si>
  <si>
    <t xml:space="preserve">PS 48Q</t>
  </si>
  <si>
    <t xml:space="preserve">PS 96Q</t>
  </si>
  <si>
    <t xml:space="preserve">Indo-Caribbean Alliance, Inc.</t>
  </si>
  <si>
    <t xml:space="preserve">272848254</t>
  </si>
  <si>
    <t xml:space="preserve">Bangladeshi American Community Development and Youth Service Corporation</t>
  </si>
  <si>
    <t xml:space="preserve">452389573</t>
  </si>
  <si>
    <t xml:space="preserve">Divya Jyoti Association, Inc.</t>
  </si>
  <si>
    <t xml:space="preserve">273544316</t>
  </si>
  <si>
    <t xml:space="preserve">Guyanese Girls Rock Foundation, Inc.</t>
  </si>
  <si>
    <t xml:space="preserve">474548559</t>
  </si>
  <si>
    <t xml:space="preserve">American Pakistani Advocacy Group Cares, Inc.</t>
  </si>
  <si>
    <t xml:space="preserve">851997635</t>
  </si>
  <si>
    <t xml:space="preserve">Islamic Circle of North America, Inc.</t>
  </si>
  <si>
    <t xml:space="preserve">112925751</t>
  </si>
  <si>
    <t xml:space="preserve">Save The People Corp</t>
  </si>
  <si>
    <t xml:space="preserve">843145643</t>
  </si>
  <si>
    <t xml:space="preserve">South Queens Women's March, Inc.</t>
  </si>
  <si>
    <t xml:space="preserve">844882468</t>
  </si>
  <si>
    <t xml:space="preserve">Youth Referral and Placement Unit, Inc.</t>
  </si>
  <si>
    <t xml:space="preserve">020674289</t>
  </si>
  <si>
    <t xml:space="preserve">City Counseling Program - CUNY School of Law</t>
  </si>
  <si>
    <t xml:space="preserve">Community First Food Pantry</t>
  </si>
  <si>
    <t xml:space="preserve">Legal Outreach, Inc.</t>
  </si>
  <si>
    <t xml:space="preserve">133214627</t>
  </si>
  <si>
    <t xml:space="preserve">Academic Success Tutoring Program</t>
  </si>
  <si>
    <t xml:space="preserve">Post-Secondary Counseling - Voyages South Preparatory High S</t>
  </si>
  <si>
    <t xml:space="preserve">South Jamaica Houses TA</t>
  </si>
  <si>
    <t xml:space="preserve">Hopenyc, Inc.</t>
  </si>
  <si>
    <t xml:space="preserve">811270080</t>
  </si>
  <si>
    <t xml:space="preserve">Community Resource &amp; Youth Leadership Program - Council Dist</t>
  </si>
  <si>
    <t xml:space="preserve">Kindness &amp; Confidence Initiative</t>
  </si>
  <si>
    <t xml:space="preserve">Project HERE</t>
  </si>
  <si>
    <t xml:space="preserve">Baisley Park Houses TA</t>
  </si>
  <si>
    <t xml:space="preserve">Youthpreneur Summits and Cohorts &amp; Heart for Community Initi</t>
  </si>
  <si>
    <t xml:space="preserve">1 World Expo, Inc.</t>
  </si>
  <si>
    <t xml:space="preserve">813891758</t>
  </si>
  <si>
    <t xml:space="preserve">5th Annual "1World Fest."</t>
  </si>
  <si>
    <t xml:space="preserve">113th Precinct Community Council Board, Inc.</t>
  </si>
  <si>
    <t xml:space="preserve">113218377</t>
  </si>
  <si>
    <t xml:space="preserve">YouthBuild Project Initiative</t>
  </si>
  <si>
    <t xml:space="preserve">Aim Innovation, Inc.</t>
  </si>
  <si>
    <t xml:space="preserve">112207752</t>
  </si>
  <si>
    <t xml:space="preserve">Aim Innovation Programming</t>
  </si>
  <si>
    <t xml:space="preserve">Autizm Out Loud, Incorporated</t>
  </si>
  <si>
    <t xml:space="preserve">394862877</t>
  </si>
  <si>
    <t xml:space="preserve">Caregiver Support Groups &amp; Community Giveaway Program</t>
  </si>
  <si>
    <t xml:space="preserve">Safeguarding Access to Sexual &amp; Reproductive Health Care in </t>
  </si>
  <si>
    <t xml:space="preserve">Civic Engagement Initiatives - City Council District 28</t>
  </si>
  <si>
    <t xml:space="preserve">Urban Upbound - Council District 28</t>
  </si>
  <si>
    <t xml:space="preserve">Pearls &amp; Ivy Foundation of Queens, Inc.</t>
  </si>
  <si>
    <t xml:space="preserve">454427316</t>
  </si>
  <si>
    <t xml:space="preserve">Pearl Scholar Leadership Academy</t>
  </si>
  <si>
    <t xml:space="preserve">LifeLinks: Building Connections, Preventing Suicide</t>
  </si>
  <si>
    <t xml:space="preserve">Mentoring Program</t>
  </si>
  <si>
    <t xml:space="preserve">South Jamaica Infinity Garden, Inc.</t>
  </si>
  <si>
    <t xml:space="preserve">923537789</t>
  </si>
  <si>
    <t xml:space="preserve">South Jamaica Infinity Garden</t>
  </si>
  <si>
    <t xml:space="preserve">Freedom Block Party</t>
  </si>
  <si>
    <t xml:space="preserve">Queens Community Board #10</t>
  </si>
  <si>
    <t xml:space="preserve">Queens Community Board #12</t>
  </si>
  <si>
    <t xml:space="preserve">Food Distribution Services - Council District 28</t>
  </si>
  <si>
    <t xml:space="preserve">CGE LAB, Inc.</t>
  </si>
  <si>
    <t xml:space="preserve">824810947</t>
  </si>
  <si>
    <t xml:space="preserve">Youth Sports Performance &amp; Mentorship Program - Council Dist</t>
  </si>
  <si>
    <t xml:space="preserve">NonProfit HelpDesk to - Council District 28</t>
  </si>
  <si>
    <t xml:space="preserve">Hip-Hop Summit Youth Council, Inc.</t>
  </si>
  <si>
    <t xml:space="preserve">050542858</t>
  </si>
  <si>
    <t xml:space="preserve">Allen A.M.E. Housing Corp</t>
  </si>
  <si>
    <t xml:space="preserve">112600290</t>
  </si>
  <si>
    <t xml:space="preserve">Bridge to Blessings, Inc.</t>
  </si>
  <si>
    <t xml:space="preserve">474956711</t>
  </si>
  <si>
    <t xml:space="preserve">Organizational Development/Project Managemtn Support</t>
  </si>
  <si>
    <t xml:space="preserve">Business Attraction/Business Retention</t>
  </si>
  <si>
    <t xml:space="preserve">Brooks Senior Center, Inc.</t>
  </si>
  <si>
    <t xml:space="preserve">112329979</t>
  </si>
  <si>
    <t xml:space="preserve">Calvary Baptist Church</t>
  </si>
  <si>
    <t xml:space="preserve">112480945</t>
  </si>
  <si>
    <t xml:space="preserve">New Jerusalem Baptist Church of Jamaica</t>
  </si>
  <si>
    <t xml:space="preserve">112929820</t>
  </si>
  <si>
    <t xml:space="preserve">Youth Afterschool Initative</t>
  </si>
  <si>
    <t xml:space="preserve">Youth Link</t>
  </si>
  <si>
    <t xml:space="preserve">John Adams High School (27Q480)</t>
  </si>
  <si>
    <t xml:space="preserve">Jamaica YMCA</t>
  </si>
  <si>
    <t xml:space="preserve">I WILL GRADUATE - Council District 28</t>
  </si>
  <si>
    <t xml:space="preserve">Elite Marching Band of Queens, Inc</t>
  </si>
  <si>
    <t xml:space="preserve">471399956</t>
  </si>
  <si>
    <t xml:space="preserve">Elite Marching Band - Council District 28</t>
  </si>
  <si>
    <t xml:space="preserve">Big Brothers Big Sisters of New York City, Inc.</t>
  </si>
  <si>
    <t xml:space="preserve">135600383</t>
  </si>
  <si>
    <t xml:space="preserve">205540955</t>
  </si>
  <si>
    <t xml:space="preserve">Core Internship Program</t>
  </si>
  <si>
    <t xml:space="preserve">School Partner Program - Council District 28</t>
  </si>
  <si>
    <t xml:space="preserve">Practical Knowledge, Inc.</t>
  </si>
  <si>
    <t xml:space="preserve">921552648</t>
  </si>
  <si>
    <t xml:space="preserve">Scholarship Strategy Workshops</t>
  </si>
  <si>
    <t xml:space="preserve">Veterans Daddy Daughter Dance, Inc.</t>
  </si>
  <si>
    <t xml:space="preserve">852653307</t>
  </si>
  <si>
    <t xml:space="preserve">Annual Veteran's Daddy Daughter Dinner Dance</t>
  </si>
  <si>
    <t xml:space="preserve">Youth Mentoring Program</t>
  </si>
  <si>
    <t xml:space="preserve">You Can Go to College Program</t>
  </si>
  <si>
    <t xml:space="preserve">Youth Tennis Programming - Council District 28</t>
  </si>
  <si>
    <t xml:space="preserve">Afterschool Enrichment - Council District 28</t>
  </si>
  <si>
    <t xml:space="preserve">Beat the Streets Wrestling, Inc.</t>
  </si>
  <si>
    <t xml:space="preserve">204343247</t>
  </si>
  <si>
    <t xml:space="preserve">TUFF Active/Teaching TUFF Online Program – Council District </t>
  </si>
  <si>
    <t xml:space="preserve">CityParks Play, CityParks Learn &amp; CityParks Build - Council </t>
  </si>
  <si>
    <t xml:space="preserve">Green Workforce Development &amp; Education Program - Council Di</t>
  </si>
  <si>
    <t xml:space="preserve">Water Ecology &amp; Engineering Programming - Council District 4</t>
  </si>
  <si>
    <t xml:space="preserve">P.S 016 John J. Driscoll(31R016) &amp; P.S 59 The Harbor View Sc</t>
  </si>
  <si>
    <t xml:space="preserve">Public School 65R The Academy of Innovative Learning (31R065</t>
  </si>
  <si>
    <t xml:space="preserve">Public School 019R The Curtis School (31R019) &amp; Public Schoo</t>
  </si>
  <si>
    <t xml:space="preserve">Intermediate School 027R (31R027) &amp; Staten Island School of </t>
  </si>
  <si>
    <t xml:space="preserve">College of Staten Island - Liberty Partnership Student Succe</t>
  </si>
  <si>
    <t xml:space="preserve">District 31 Region 7 - Federation of Parent Teacher Associat</t>
  </si>
  <si>
    <t xml:space="preserve">Port Richmond High School (31R445) - Boy's Track &amp; Field Tea</t>
  </si>
  <si>
    <t xml:space="preserve">Port Richmond High School (31R445) - Girls Cross Country/Tra</t>
  </si>
  <si>
    <t xml:space="preserve">Annual Holiday Tree Lighting, Toy Giveaway &amp; Staten Island L</t>
  </si>
  <si>
    <t xml:space="preserve">Post-Secondary Success Initiative (PSSI) &amp; Eagles Soaring Be</t>
  </si>
  <si>
    <t xml:space="preserve">Community Youth Sports, Culture &amp; Recreation - Council Distr</t>
  </si>
  <si>
    <t xml:space="preserve">Fort Greene Park Conservancy, Inc.</t>
  </si>
  <si>
    <t xml:space="preserve">113637773</t>
  </si>
  <si>
    <t xml:space="preserve">Fort Greene Park Programming</t>
  </si>
  <si>
    <t xml:space="preserve">Environmental Programming and Events - District 35</t>
  </si>
  <si>
    <t xml:space="preserve">Urban Greening, Beautification, and Maintenance - District 3</t>
  </si>
  <si>
    <t xml:space="preserve">Brooklyn Botanic Garden Corporation</t>
  </si>
  <si>
    <t xml:space="preserve">112417338</t>
  </si>
  <si>
    <t xml:space="preserve">Community Greening Programs &amp; Programmatic Support - Distric</t>
  </si>
  <si>
    <t xml:space="preserve">Food Access - District 35</t>
  </si>
  <si>
    <t xml:space="preserve">Crown Heights North Association, Inc.</t>
  </si>
  <si>
    <t xml:space="preserve">200006693</t>
  </si>
  <si>
    <t xml:space="preserve">Crown Heights North Environmental Stewardship Education</t>
  </si>
  <si>
    <t xml:space="preserve">District 35 Hydroponic Labs</t>
  </si>
  <si>
    <t xml:space="preserve">Hip2B Healthy Markets/Cafes - District 35</t>
  </si>
  <si>
    <t xml:space="preserve">Crown Heights Jewish Community Council, Inc.</t>
  </si>
  <si>
    <t xml:space="preserve">237390996</t>
  </si>
  <si>
    <t xml:space="preserve">Older Adult Programs - Council District 35</t>
  </si>
  <si>
    <t xml:space="preserve">Educational &amp; Recreational Services - Grace Agard Harewood &amp;</t>
  </si>
  <si>
    <t xml:space="preserve">Brooklyn Academy of Music</t>
  </si>
  <si>
    <t xml:space="preserve">112201344</t>
  </si>
  <si>
    <t xml:space="preserve">Older Adults &amp; Education Programming - Council District 35</t>
  </si>
  <si>
    <t xml:space="preserve">LGBTQIA+ Social Isolations Programs (Elders) &amp; Health and We</t>
  </si>
  <si>
    <t xml:space="preserve">Crown Heights Preservation Committee Corporation</t>
  </si>
  <si>
    <t xml:space="preserve">112322490</t>
  </si>
  <si>
    <t xml:space="preserve">Shalom Senior Center</t>
  </si>
  <si>
    <t xml:space="preserve">GRIOT Circle, Inc.</t>
  </si>
  <si>
    <t xml:space="preserve">113364328</t>
  </si>
  <si>
    <t xml:space="preserve">Health &amp; Wellness - Council District 35</t>
  </si>
  <si>
    <t xml:space="preserve">Case Management Support - Council District 35</t>
  </si>
  <si>
    <t xml:space="preserve">Brooklyn Defender Services</t>
  </si>
  <si>
    <t xml:space="preserve">113305406</t>
  </si>
  <si>
    <t xml:space="preserve">Older Adult Legal Assistance - Council District 35</t>
  </si>
  <si>
    <t xml:space="preserve">Postsecondary Education Support Services - Council District </t>
  </si>
  <si>
    <t xml:space="preserve">School Education Programs &amp; First Saturdays - Council Distri</t>
  </si>
  <si>
    <t xml:space="preserve">Anthos Home, Inc.</t>
  </si>
  <si>
    <t xml:space="preserve">883100968</t>
  </si>
  <si>
    <t xml:space="preserve">Homeless Support Services - Council District 35</t>
  </si>
  <si>
    <t xml:space="preserve">Healthy Neighborhoods - Council District 35</t>
  </si>
  <si>
    <t xml:space="preserve">Job Readiness &amp; Social Support Programming - Council Distric</t>
  </si>
  <si>
    <t xml:space="preserve">133179546</t>
  </si>
  <si>
    <t xml:space="preserve">Nutrition &amp; Health Education Services &amp; Emergency Food Progr</t>
  </si>
  <si>
    <t xml:space="preserve">Greater Direction, Inc.</t>
  </si>
  <si>
    <t xml:space="preserve">884084210</t>
  </si>
  <si>
    <t xml:space="preserve">Justice Involved Youth Anti-Violence Program - Council Distr</t>
  </si>
  <si>
    <t xml:space="preserve">Switching Lifestylez, Inc.</t>
  </si>
  <si>
    <t xml:space="preserve">881538933</t>
  </si>
  <si>
    <t xml:space="preserve">Justice-Involved Youth Support Services - Council District 3</t>
  </si>
  <si>
    <t xml:space="preserve">Media Apprenticeship Program - Council District 35</t>
  </si>
  <si>
    <t xml:space="preserve">Prospect Heights Open Streets, Inc.</t>
  </si>
  <si>
    <t xml:space="preserve">413184040</t>
  </si>
  <si>
    <t xml:space="preserve">Vanderbilt Open Streets</t>
  </si>
  <si>
    <t xml:space="preserve">Asase Yaa Cultural Arts Foundation</t>
  </si>
  <si>
    <t xml:space="preserve">352381871</t>
  </si>
  <si>
    <t xml:space="preserve">P.S. 287 Bailey K. Ashford Public School 287K (13K287)</t>
  </si>
  <si>
    <t xml:space="preserve">Bedford Stuyvesant Restoration Corporation</t>
  </si>
  <si>
    <t xml:space="preserve">116083182</t>
  </si>
  <si>
    <t xml:space="preserve">Medgar Evers College Preparatory School (17K590)</t>
  </si>
  <si>
    <t xml:space="preserve">Clinton Hill (13K020)</t>
  </si>
  <si>
    <t xml:space="preserve">P.S. 067 Charles A. Dorsey (13K067)</t>
  </si>
  <si>
    <t xml:space="preserve">Ebbets Field Middle School - MS 352 (17K352)</t>
  </si>
  <si>
    <t xml:space="preserve">P.S. 270 Johann DeKalb (13K270)</t>
  </si>
  <si>
    <t xml:space="preserve">Ifetayo Cultural Arts Academy, Inc.</t>
  </si>
  <si>
    <t xml:space="preserve">113027538</t>
  </si>
  <si>
    <t xml:space="preserve">Emma L Johnston (17K241)</t>
  </si>
  <si>
    <t xml:space="preserve">Irondale Productions, Inc.</t>
  </si>
  <si>
    <t xml:space="preserve">133178772</t>
  </si>
  <si>
    <t xml:space="preserve">New Bridges Elementary (17K532)</t>
  </si>
  <si>
    <t xml:space="preserve">Jamel Gaines Creative Outlet, Inc.</t>
  </si>
  <si>
    <t xml:space="preserve">831788832</t>
  </si>
  <si>
    <t xml:space="preserve">MS 113 Ronald Edmonds Learning Center (13K113) </t>
  </si>
  <si>
    <t xml:space="preserve">P.S. 046 Edward C Blum (13K046)</t>
  </si>
  <si>
    <t xml:space="preserve">Museum of Contemporary African Diasporian Arts, Inc.</t>
  </si>
  <si>
    <t xml:space="preserve">113526774</t>
  </si>
  <si>
    <t xml:space="preserve">P.S. 316 Elijah Stroud (17K316)</t>
  </si>
  <si>
    <t xml:space="preserve">New Wave Dance Youth and Community Development, Inc.</t>
  </si>
  <si>
    <t xml:space="preserve">465109569</t>
  </si>
  <si>
    <t xml:space="preserve">M.S. 340 North Star Academy (I.S 340) (17K340)</t>
  </si>
  <si>
    <t xml:space="preserve">P.S. 161 The Crown (17K161)</t>
  </si>
  <si>
    <t xml:space="preserve">P.S. 375 Jackie Robinson (17K375)</t>
  </si>
  <si>
    <t xml:space="preserve">Reading Partners</t>
  </si>
  <si>
    <t xml:space="preserve">770568469</t>
  </si>
  <si>
    <t xml:space="preserve">Public School 056K Lewis H. Latimer (13K056)</t>
  </si>
  <si>
    <t xml:space="preserve">Urbanglass New York Contemporary Glass Center, Inc.</t>
  </si>
  <si>
    <t xml:space="preserve">133098471</t>
  </si>
  <si>
    <t xml:space="preserve">Public School 9 The Sarah Smith Garnet School (13K009)</t>
  </si>
  <si>
    <t xml:space="preserve">Cultural Arts Programming - District 35</t>
  </si>
  <si>
    <t xml:space="preserve">International African Arts Festival, Inc.</t>
  </si>
  <si>
    <t xml:space="preserve">112953522</t>
  </si>
  <si>
    <t xml:space="preserve">International African Arts Festival</t>
  </si>
  <si>
    <t xml:space="preserve">Citywide Professional Development and Entrepreneurial Assist</t>
  </si>
  <si>
    <t xml:space="preserve">Educational &amp; Cultural Activities for Public School Students</t>
  </si>
  <si>
    <t xml:space="preserve">Central Brooklyn Jazz Consortium, Inc.</t>
  </si>
  <si>
    <t xml:space="preserve">113549224</t>
  </si>
  <si>
    <t xml:space="preserve">Multi-Cultural Jazz Programming - District 35</t>
  </si>
  <si>
    <t xml:space="preserve">Family Engagement &amp; Personal Development - District 35</t>
  </si>
  <si>
    <t xml:space="preserve">Digital Music Classes &amp; Programming - District 35</t>
  </si>
  <si>
    <t xml:space="preserve">Caribbean Heritage Cultural Programming - District 35</t>
  </si>
  <si>
    <t xml:space="preserve">Afterschool, Summer and Enrichment Program (ASEP)</t>
  </si>
  <si>
    <t xml:space="preserve">Community Adult &amp; Youth Media Program - District 35</t>
  </si>
  <si>
    <t xml:space="preserve">Neighbors in Action’s (NIA) Youth Impact - Crown Heights (f/</t>
  </si>
  <si>
    <t xml:space="preserve">AI League - A STEM Program (District 35)</t>
  </si>
  <si>
    <t xml:space="preserve">Digital/Virtual Literacy and Technology Training for Older A</t>
  </si>
  <si>
    <t xml:space="preserve">YWCA of Brooklyn, Inc., The</t>
  </si>
  <si>
    <t xml:space="preserve">111630919</t>
  </si>
  <si>
    <t xml:space="preserve">Supportive Services for Domestic Violence &amp; Trauma Survivors</t>
  </si>
  <si>
    <t xml:space="preserve">Kings Against Violence Initiative, Inc.</t>
  </si>
  <si>
    <t xml:space="preserve">811626947</t>
  </si>
  <si>
    <t xml:space="preserve">Gender-Based and Family Violence Awareness &amp; Prevention Prog</t>
  </si>
  <si>
    <t xml:space="preserve">Gender-Based and Family Violence Awareness - District 35</t>
  </si>
  <si>
    <t xml:space="preserve">Civil Legal Services - District 35</t>
  </si>
  <si>
    <t xml:space="preserve">Anti-Violence Program - District 35</t>
  </si>
  <si>
    <t xml:space="preserve">Anti-Asian Hate Programming &amp; Support - District 35</t>
  </si>
  <si>
    <t xml:space="preserve">Sexual &amp; Gender-based Violence Awareness Programming - Distr</t>
  </si>
  <si>
    <t xml:space="preserve">Domestic Violence and Empowerment (DoVE) Support Programming</t>
  </si>
  <si>
    <t xml:space="preserve">Urban Resource Institute</t>
  </si>
  <si>
    <t xml:space="preserve">112561648</t>
  </si>
  <si>
    <t xml:space="preserve">Economic Empowerment Program - District 35</t>
  </si>
  <si>
    <t xml:space="preserve">TGNCIQ Justice Project</t>
  </si>
  <si>
    <t xml:space="preserve">Title I Schools Group Field Trips - Council District 35</t>
  </si>
  <si>
    <t xml:space="preserve">Multi-Cultural In-School &amp; Older Adult Dance Programming - C</t>
  </si>
  <si>
    <t xml:space="preserve">Turkey Giveaway &amp; Supports - Council District 35</t>
  </si>
  <si>
    <t xml:space="preserve">Community-wide Services</t>
  </si>
  <si>
    <t xml:space="preserve">START Treatment &amp; Recovery Centers</t>
  </si>
  <si>
    <t xml:space="preserve">132642451</t>
  </si>
  <si>
    <t xml:space="preserve">Treatment &amp; Recovery Operating Expenses - Council District 3</t>
  </si>
  <si>
    <t xml:space="preserve">Equity &amp; Access Youth Initiatives - Council District 35</t>
  </si>
  <si>
    <t xml:space="preserve">Chess Programming - Jackie Robinson Elementary (17K375 &amp; Cou</t>
  </si>
  <si>
    <t xml:space="preserve">Discalced, Inc.</t>
  </si>
  <si>
    <t xml:space="preserve">133577394</t>
  </si>
  <si>
    <t xml:space="preserve">Community Education &amp; Dance Programs - Council District 35</t>
  </si>
  <si>
    <t xml:space="preserve">In-Office Tax Prep Sessions - Council District 35</t>
  </si>
  <si>
    <t xml:space="preserve">Heights Hill Mental Health Service, SBPC, Community Advisory Board, Inc.</t>
  </si>
  <si>
    <t xml:space="preserve">112785605</t>
  </si>
  <si>
    <t xml:space="preserve">Mental Health Support Services - Council District 35</t>
  </si>
  <si>
    <t xml:space="preserve">Mercantile Library Association of the City of New York</t>
  </si>
  <si>
    <t xml:space="preserve">131624084</t>
  </si>
  <si>
    <t xml:space="preserve">Educational and Community Programs - Council District 35</t>
  </si>
  <si>
    <t xml:space="preserve">Neighborhood Housing Services of Brooklyn (Bedford-Stuyvesant) CDC, Inc.</t>
  </si>
  <si>
    <t xml:space="preserve">471717438</t>
  </si>
  <si>
    <t xml:space="preserve">Housing Support Services &amp; Financial Literacy - Council Dist</t>
  </si>
  <si>
    <t xml:space="preserve">Farragut Houses</t>
  </si>
  <si>
    <t xml:space="preserve">Ingersoll Houses</t>
  </si>
  <si>
    <t xml:space="preserve">Walt Whitman Houses</t>
  </si>
  <si>
    <t xml:space="preserve">Pratt Area Community Council, Inc.</t>
  </si>
  <si>
    <t xml:space="preserve">112451752</t>
  </si>
  <si>
    <t xml:space="preserve">Community Housing &amp; Preservation, Economic Development &amp; Mer</t>
  </si>
  <si>
    <t xml:space="preserve">Older Adult Programming – Ingersoll &amp; Atlantic Terminal</t>
  </si>
  <si>
    <t xml:space="preserve">Year-Round Program &amp; Community Initiative</t>
  </si>
  <si>
    <t xml:space="preserve">National Committee for the Furtherance of Jewish Education</t>
  </si>
  <si>
    <t xml:space="preserve">116003180</t>
  </si>
  <si>
    <t xml:space="preserve">Operation Survival - Council District 35</t>
  </si>
  <si>
    <t xml:space="preserve">Culturally Competent Medical Navigation - Council District 3</t>
  </si>
  <si>
    <t xml:space="preserve">Foreclosure Prevention - Council District 35</t>
  </si>
  <si>
    <t xml:space="preserve">Bike Helmet Fittings - Council District 35</t>
  </si>
  <si>
    <t xml:space="preserve">Medical Transportation for Older Adults - Council District 3</t>
  </si>
  <si>
    <t xml:space="preserve">African Voices Communications, Inc.</t>
  </si>
  <si>
    <t xml:space="preserve">133687018</t>
  </si>
  <si>
    <t xml:space="preserve">Artistic Programs - Council District 35</t>
  </si>
  <si>
    <t xml:space="preserve">Alliance of Resident Theatres/New York, Inc.</t>
  </si>
  <si>
    <t xml:space="preserve">132768583</t>
  </si>
  <si>
    <t xml:space="preserve">Removing Financial Burdens for NYC Theatres - Council Distri</t>
  </si>
  <si>
    <t xml:space="preserve">Brooklyn Ballet Performances &amp; Educational Programming - Cou</t>
  </si>
  <si>
    <t xml:space="preserve">Brooklyn Community Board #2</t>
  </si>
  <si>
    <t xml:space="preserve">Operational Support</t>
  </si>
  <si>
    <t xml:space="preserve">Brooklyn Community Board #8</t>
  </si>
  <si>
    <t xml:space="preserve">Brooklyn Community Board #9</t>
  </si>
  <si>
    <t xml:space="preserve">Microenterprise &amp; Small Business Development Services - Coun</t>
  </si>
  <si>
    <t xml:space="preserve">Carlos Lezama Archives and Caribbean Cultural Center</t>
  </si>
  <si>
    <t xml:space="preserve">020749266</t>
  </si>
  <si>
    <t xml:space="preserve">Caribbean Cultural Arts, Research &amp; Steelpan - Council Distr</t>
  </si>
  <si>
    <t xml:space="preserve">Schools - Council District 35</t>
  </si>
  <si>
    <t xml:space="preserve">Soup Kitchen and Food Pantry</t>
  </si>
  <si>
    <t xml:space="preserve">NYCHA Tenant Organizing - Council District 35</t>
  </si>
  <si>
    <t xml:space="preserve">Cool Culture, Inc.</t>
  </si>
  <si>
    <t xml:space="preserve">161636968</t>
  </si>
  <si>
    <t xml:space="preserve">CityWide Cultural Access - Council District 35</t>
  </si>
  <si>
    <t xml:space="preserve">EmblemHealth Neighborhood Cares Crown Heights &amp; Council Dist</t>
  </si>
  <si>
    <t xml:space="preserve">J'Ouvert City International, Inc.</t>
  </si>
  <si>
    <t xml:space="preserve">113362754</t>
  </si>
  <si>
    <t xml:space="preserve">Education &amp; Cultural Activities</t>
  </si>
  <si>
    <t xml:space="preserve">Kings Majestic Corporation</t>
  </si>
  <si>
    <t xml:space="preserve">112956108</t>
  </si>
  <si>
    <t xml:space="preserve">Artist Residency Programs - Council District 35</t>
  </si>
  <si>
    <t xml:space="preserve">Atlantic Terminal</t>
  </si>
  <si>
    <t xml:space="preserve">New York Tech Training Program - Council District 35</t>
  </si>
  <si>
    <t xml:space="preserve">Pratt Institute</t>
  </si>
  <si>
    <t xml:space="preserve">111630822</t>
  </si>
  <si>
    <t xml:space="preserve">Participatory Budgeting Outreach - Council District 35</t>
  </si>
  <si>
    <t xml:space="preserve">Skatepark Project, The</t>
  </si>
  <si>
    <t xml:space="preserve">330965889</t>
  </si>
  <si>
    <t xml:space="preserve">Skate Programs - Council District 35</t>
  </si>
  <si>
    <t xml:space="preserve">Theatre for a New Audience, Inc.</t>
  </si>
  <si>
    <t xml:space="preserve">133059081</t>
  </si>
  <si>
    <t xml:space="preserve">Ticket Discounts &amp; Open Caption Performances - Council Distr</t>
  </si>
  <si>
    <t xml:space="preserve">Caribbean Heritage Cultural Programming - Council District 3</t>
  </si>
  <si>
    <t xml:space="preserve">The Bead Project</t>
  </si>
  <si>
    <t xml:space="preserve">S'Cool Sounds</t>
  </si>
  <si>
    <t xml:space="preserve">352575478</t>
  </si>
  <si>
    <t xml:space="preserve">Music Education - Public School 056K Lewis H. Latimer (13K05</t>
  </si>
  <si>
    <t xml:space="preserve">Concert Series</t>
  </si>
  <si>
    <t xml:space="preserve">Arts Education &amp; Theater Performances for Youth - Council Di</t>
  </si>
  <si>
    <t xml:space="preserve">Franklin Furnace Archive, Inc.</t>
  </si>
  <si>
    <t xml:space="preserve">132879766</t>
  </si>
  <si>
    <t xml:space="preserve">Seq Art Kids - Public School 20K Clinton Hill (13K020)</t>
  </si>
  <si>
    <t xml:space="preserve">Haitian Cultural Arts Programming &amp; Events - Council Distric</t>
  </si>
  <si>
    <t xml:space="preserve">Community Donation Program - Council District 35</t>
  </si>
  <si>
    <t xml:space="preserve">Food Access - Council District 35</t>
  </si>
  <si>
    <t xml:space="preserve">Older Adults Prom - Council District 35</t>
  </si>
  <si>
    <t xml:space="preserve">Supplemental Sanitation Services - Council District 35</t>
  </si>
  <si>
    <t xml:space="preserve">Central Fulton Street District Management Association, Inc.</t>
  </si>
  <si>
    <t xml:space="preserve">800356502</t>
  </si>
  <si>
    <t xml:space="preserve">A Clean FAB FULTON</t>
  </si>
  <si>
    <t xml:space="preserve">Myrtle Avenue Brooklyn DMA, Inc.</t>
  </si>
  <si>
    <t xml:space="preserve">202659913</t>
  </si>
  <si>
    <t xml:space="preserve">Clean-Up Myrtle Ave</t>
  </si>
  <si>
    <t xml:space="preserve">North Flatbush Avenue District Management Association, Inc.</t>
  </si>
  <si>
    <t xml:space="preserve">112764038</t>
  </si>
  <si>
    <t xml:space="preserve">North Flatbush Ave - Supplemental Horticulture, Beautificati</t>
  </si>
  <si>
    <t xml:space="preserve">Placemaking/Plaza/Public Space Activation/Public Art- FAB FU</t>
  </si>
  <si>
    <t xml:space="preserve">Myrtle Avenue Community Programs</t>
  </si>
  <si>
    <t xml:space="preserve">Merchant Promotion and Support (District 35)</t>
  </si>
  <si>
    <t xml:space="preserve">Fort Greene Park Programming &amp; Trash Cans</t>
  </si>
  <si>
    <t xml:space="preserve">Community Garden Programming - District 35</t>
  </si>
  <si>
    <t xml:space="preserve">Prospect Park Programming &amp; Operations</t>
  </si>
  <si>
    <t xml:space="preserve">Parks Programming - Council District 35</t>
  </si>
  <si>
    <t xml:space="preserve">Rooftop Films Summer Series - District 35</t>
  </si>
  <si>
    <t xml:space="preserve">Educational &amp; Recreational Services for Older Adults - Distr</t>
  </si>
  <si>
    <t xml:space="preserve">MedicAlert NYC Wanderer's Safety Program</t>
  </si>
  <si>
    <t xml:space="preserve">Brooklyn Legal Services, Inc.</t>
  </si>
  <si>
    <t xml:space="preserve">132605605</t>
  </si>
  <si>
    <t xml:space="preserve">Direct Legal Services for Older Adults - District 35</t>
  </si>
  <si>
    <t xml:space="preserve">SAGE Center Brooklyn at Stonewall House</t>
  </si>
  <si>
    <t xml:space="preserve">Free Programs for Older Adults - District 35</t>
  </si>
  <si>
    <t xml:space="preserve">Older Adults and Service Providers Training - District 35</t>
  </si>
  <si>
    <t xml:space="preserve">End of Life Support Services - District 35</t>
  </si>
  <si>
    <t xml:space="preserve">Local Development Corporation of Crown Heights, Inc.</t>
  </si>
  <si>
    <t xml:space="preserve">112890302</t>
  </si>
  <si>
    <t xml:space="preserve">Older Adult Programming - District 35</t>
  </si>
  <si>
    <t xml:space="preserve">Social Services Program for Older Adults - District 35</t>
  </si>
  <si>
    <t xml:space="preserve">Project Assist</t>
  </si>
  <si>
    <t xml:space="preserve">VOLS Senior Law Project - District 35</t>
  </si>
  <si>
    <t xml:space="preserve">Jewish Children's Museum</t>
  </si>
  <si>
    <t xml:space="preserve">133798344</t>
  </si>
  <si>
    <t xml:space="preserve">Cultural &amp; Educational After School Program - Council Distri</t>
  </si>
  <si>
    <t xml:space="preserve">Community Book Events - Council District 35</t>
  </si>
  <si>
    <t xml:space="preserve">First Baptist Church of Crown Heights, Inc.</t>
  </si>
  <si>
    <t xml:space="preserve">112033058</t>
  </si>
  <si>
    <t xml:space="preserve">Community Outreach in Education &amp; Recognition Day - Council </t>
  </si>
  <si>
    <t xml:space="preserve">Getting Out and Staying Out, Inc.</t>
  </si>
  <si>
    <t xml:space="preserve">061711370</t>
  </si>
  <si>
    <t xml:space="preserve">Career Readiness Programming - Council District 35</t>
  </si>
  <si>
    <t xml:space="preserve">New Heights Youth, Inc.</t>
  </si>
  <si>
    <t xml:space="preserve">201903332</t>
  </si>
  <si>
    <t xml:space="preserve">College Bound &amp; Brooklyn Community-Based Services - Council </t>
  </si>
  <si>
    <t xml:space="preserve">New York WEB Center, Inc.</t>
  </si>
  <si>
    <t xml:space="preserve">205620848</t>
  </si>
  <si>
    <t xml:space="preserve">Anti-Gun Violence Multimedia Arts Campaign</t>
  </si>
  <si>
    <t xml:space="preserve">Trans Formative Schools, Inc.</t>
  </si>
  <si>
    <t xml:space="preserve">921285371</t>
  </si>
  <si>
    <t xml:space="preserve">Afterschool Program &amp; Organizing - Brooklyn</t>
  </si>
  <si>
    <t xml:space="preserve">Caribbean American Center of New York</t>
  </si>
  <si>
    <t xml:space="preserve">133443781</t>
  </si>
  <si>
    <t xml:space="preserve">Youth Ambassador Mentoring, Training &amp; STEM Youth Program (Y</t>
  </si>
  <si>
    <t xml:space="preserve">Outdoor Education &amp; Environmental Literacy for Youth - Counc</t>
  </si>
  <si>
    <t xml:space="preserve">Programming &amp; Readings - Council District 35</t>
  </si>
  <si>
    <t xml:space="preserve">Trail Blazer Camps, Inc.</t>
  </si>
  <si>
    <t xml:space="preserve">131771421</t>
  </si>
  <si>
    <t xml:space="preserve">Day Camp - Council District 35</t>
  </si>
  <si>
    <t xml:space="preserve">Fort Greene Youth Patrol, Inc.</t>
  </si>
  <si>
    <t xml:space="preserve">237112589</t>
  </si>
  <si>
    <t xml:space="preserve">Youth Mentorship &amp; Leadership Development Programs - Council</t>
  </si>
  <si>
    <t xml:space="preserve">Brooklyn Tech Alumni Foundation, Inc.</t>
  </si>
  <si>
    <t xml:space="preserve">112739496</t>
  </si>
  <si>
    <t xml:space="preserve">STEM Pathways Consortium - Brooklyn Technical High School</t>
  </si>
  <si>
    <t xml:space="preserve">Inquiring Minds Institute, Inc.</t>
  </si>
  <si>
    <t xml:space="preserve">823636328</t>
  </si>
  <si>
    <t xml:space="preserve">Kids Civics - Council District 35</t>
  </si>
  <si>
    <t xml:space="preserve">Brooklyn Bureau of Community Services</t>
  </si>
  <si>
    <t xml:space="preserve">111630780</t>
  </si>
  <si>
    <t xml:space="preserve">Afterschool Education Program - Council District 35 </t>
  </si>
  <si>
    <t xml:space="preserve">Kings County Tennis League</t>
  </si>
  <si>
    <t xml:space="preserve">273170420</t>
  </si>
  <si>
    <t xml:space="preserve">Tennis &amp; Education Programs - Council District 35</t>
  </si>
  <si>
    <t xml:space="preserve">Green Programming &amp; Services - Council District 17 </t>
  </si>
  <si>
    <t xml:space="preserve">Green Programming &amp; Services - Council District 17</t>
  </si>
  <si>
    <t xml:space="preserve">Housing Options and Geriatric Association Resources, Inc.</t>
  </si>
  <si>
    <t xml:space="preserve">133887707</t>
  </si>
  <si>
    <t xml:space="preserve">Older Adult Case Assistance Program &amp; Golden Age Clubhouse -</t>
  </si>
  <si>
    <t xml:space="preserve">Bronx River Older Adult Center</t>
  </si>
  <si>
    <t xml:space="preserve">Older Adults Programming - Commonpoint Bronx Center</t>
  </si>
  <si>
    <t xml:space="preserve">Casa Boricua Older Adult Center - Council District 17</t>
  </si>
  <si>
    <t xml:space="preserve">Stonewall Community Development Corporation - Council Distri</t>
  </si>
  <si>
    <t xml:space="preserve">Union Grove Baptist Church, The</t>
  </si>
  <si>
    <t xml:space="preserve">135078662</t>
  </si>
  <si>
    <t xml:space="preserve">Events &amp; Community Food Distributions - Council District 17 </t>
  </si>
  <si>
    <t xml:space="preserve">Coalition for the Homeless, Inc.</t>
  </si>
  <si>
    <t xml:space="preserve">133072967</t>
  </si>
  <si>
    <t xml:space="preserve">Food Pantry Van - Council District 17</t>
  </si>
  <si>
    <t xml:space="preserve">PRADO of Transitioning Forward, Inc.</t>
  </si>
  <si>
    <t xml:space="preserve">471039886</t>
  </si>
  <si>
    <t xml:space="preserve">Door - A Center of Alternatives, Inc., The</t>
  </si>
  <si>
    <t xml:space="preserve">136127348</t>
  </si>
  <si>
    <t xml:space="preserve">Point Community Development Corporation, The</t>
  </si>
  <si>
    <t xml:space="preserve">133765140</t>
  </si>
  <si>
    <t xml:space="preserve">ICNA Relief USA Programs, Inc.</t>
  </si>
  <si>
    <t xml:space="preserve">043810161</t>
  </si>
  <si>
    <t xml:space="preserve">HUB-Third Ave Merchants District Management Association, Inc.</t>
  </si>
  <si>
    <t xml:space="preserve">133455415</t>
  </si>
  <si>
    <t xml:space="preserve">Economic Opportunity &amp; Community Engagement Program</t>
  </si>
  <si>
    <t xml:space="preserve">Southern Boulevard District Management Association, Inc.</t>
  </si>
  <si>
    <t xml:space="preserve">263497932</t>
  </si>
  <si>
    <t xml:space="preserve">Bronx Academy for Multi-Media (08X424)</t>
  </si>
  <si>
    <t xml:space="preserve">Public School / Middle School 29X (07X029)</t>
  </si>
  <si>
    <t xml:space="preserve">Public School 1X (07X001)</t>
  </si>
  <si>
    <t xml:space="preserve">Academy of Public Relations (07X298)</t>
  </si>
  <si>
    <t xml:space="preserve">Public School 062X Inocensio Casanova (08X062)</t>
  </si>
  <si>
    <t xml:space="preserve">Public School 130X  Abram Stevens Hewitt (08X130)</t>
  </si>
  <si>
    <t xml:space="preserve">Public School 157X Grove Hill (07X157)</t>
  </si>
  <si>
    <t xml:space="preserve">Longwood Preparatory Academy (08X530)</t>
  </si>
  <si>
    <t xml:space="preserve">South Bronx Academy for Applied Media (07X296)</t>
  </si>
  <si>
    <t xml:space="preserve">School of Performing Arts (12X217)</t>
  </si>
  <si>
    <t xml:space="preserve">Public School 75X School of Research and Discovery (08X075)</t>
  </si>
  <si>
    <t xml:space="preserve">Public School 150X Charles James Fox (12X150)</t>
  </si>
  <si>
    <t xml:space="preserve">Middle School 301X Paul L. Dunbar (08X301)</t>
  </si>
  <si>
    <t xml:space="preserve">P.S. 146 Edward Collins</t>
  </si>
  <si>
    <t xml:space="preserve">Public School 66X School of Higher Expectations (12X066)</t>
  </si>
  <si>
    <t xml:space="preserve">The Longwood Academy of Discovery (08X333)</t>
  </si>
  <si>
    <t xml:space="preserve">P.S. 195 (12X195)</t>
  </si>
  <si>
    <t xml:space="preserve">Council District 17</t>
  </si>
  <si>
    <t xml:space="preserve">Community programming - Council District 17 </t>
  </si>
  <si>
    <t xml:space="preserve">Science Education - Council District 17</t>
  </si>
  <si>
    <t xml:space="preserve">Digital Capacity Development - Council District 17</t>
  </si>
  <si>
    <t xml:space="preserve">Microbusiness Support - Council District 17</t>
  </si>
  <si>
    <t xml:space="preserve">Comprehensive Legal Services - Council District 17</t>
  </si>
  <si>
    <t xml:space="preserve">Urban Health Plan, Inc.</t>
  </si>
  <si>
    <t xml:space="preserve">237360305</t>
  </si>
  <si>
    <t xml:space="preserve">Community Events - Council District 17</t>
  </si>
  <si>
    <t xml:space="preserve">Bronx Community Board #2</t>
  </si>
  <si>
    <t xml:space="preserve">Back to School Supply Kits - Council District 17</t>
  </si>
  <si>
    <t xml:space="preserve">Paralegals FTC, Inc.</t>
  </si>
  <si>
    <t xml:space="preserve">932043780</t>
  </si>
  <si>
    <t xml:space="preserve">Paralegal Services - Council District 17</t>
  </si>
  <si>
    <t xml:space="preserve">Bronx River Houses</t>
  </si>
  <si>
    <t xml:space="preserve">Community Engagement - Council District 17</t>
  </si>
  <si>
    <t xml:space="preserve">Bronx Borough Clean-up Series - Council District 17</t>
  </si>
  <si>
    <t xml:space="preserve">Bronx Community Board #9</t>
  </si>
  <si>
    <t xml:space="preserve">Bronx Community Board #3</t>
  </si>
  <si>
    <t xml:space="preserve">Youth Development Programs</t>
  </si>
  <si>
    <t xml:space="preserve">Access to Healthcare Services - Council District 17</t>
  </si>
  <si>
    <t xml:space="preserve">Children's Winter Coat Giveaway - Council District 17</t>
  </si>
  <si>
    <t xml:space="preserve">Forest Houses Development</t>
  </si>
  <si>
    <t xml:space="preserve">Jackson Houses Development</t>
  </si>
  <si>
    <t xml:space="preserve">Melrose Development</t>
  </si>
  <si>
    <t xml:space="preserve">Bronx Defenders, The</t>
  </si>
  <si>
    <t xml:space="preserve">133931074</t>
  </si>
  <si>
    <t xml:space="preserve">Legal Services - Council District 17</t>
  </si>
  <si>
    <t xml:space="preserve">McKinley Houses Development</t>
  </si>
  <si>
    <t xml:space="preserve">Neighborhood Housing Services of New York City, Inc.</t>
  </si>
  <si>
    <t xml:space="preserve">133098397</t>
  </si>
  <si>
    <t xml:space="preserve">Homeownership Opportunities &amp; Preservation - Council Distric</t>
  </si>
  <si>
    <t xml:space="preserve">Youth Sports &amp; Activities - Council District 17</t>
  </si>
  <si>
    <t xml:space="preserve">Mott Hall V (12X242)</t>
  </si>
  <si>
    <t xml:space="preserve">Comprehensive Behavioral Health - Council District 17</t>
  </si>
  <si>
    <t xml:space="preserve">Art Students League of New York, The</t>
  </si>
  <si>
    <t xml:space="preserve">131844837</t>
  </si>
  <si>
    <t xml:space="preserve">After School &amp; Summer Arts Programming - Council District 17</t>
  </si>
  <si>
    <t xml:space="preserve">Angellyh Yambo Foundation, Inc.</t>
  </si>
  <si>
    <t xml:space="preserve">882634587</t>
  </si>
  <si>
    <t xml:space="preserve">Youth Gun Violence Prevention - Council District 17</t>
  </si>
  <si>
    <t xml:space="preserve">1471-1473 Watson Ave</t>
  </si>
  <si>
    <t xml:space="preserve">Plaza Activations - District 17</t>
  </si>
  <si>
    <t xml:space="preserve">Boone Avenue Walls Foundation</t>
  </si>
  <si>
    <t xml:space="preserve">921065224</t>
  </si>
  <si>
    <t xml:space="preserve">Public Space Activation/Public Art - Council District 17</t>
  </si>
  <si>
    <t xml:space="preserve">Fiesta de San Juan Programming</t>
  </si>
  <si>
    <t xml:space="preserve">Julio Carballo</t>
  </si>
  <si>
    <t xml:space="preserve">Starlight Park</t>
  </si>
  <si>
    <t xml:space="preserve">Bill Rainey</t>
  </si>
  <si>
    <t xml:space="preserve">Afrikana Corporation</t>
  </si>
  <si>
    <t xml:space="preserve">932592894</t>
  </si>
  <si>
    <t xml:space="preserve">Rev James Polite Playground</t>
  </si>
  <si>
    <t xml:space="preserve">Hunts Point Riverside</t>
  </si>
  <si>
    <t xml:space="preserve">Captain William Harry Thompson Playground (Bx River)</t>
  </si>
  <si>
    <t xml:space="preserve">Golden Age Clubhouse</t>
  </si>
  <si>
    <t xml:space="preserve">Jackson Senior Center - Council District 17</t>
  </si>
  <si>
    <t xml:space="preserve">Davidson Senior Center - Council District 17</t>
  </si>
  <si>
    <t xml:space="preserve">Senior Center Services - Council District 17</t>
  </si>
  <si>
    <t xml:space="preserve">Senior Services - Council District 17</t>
  </si>
  <si>
    <t xml:space="preserve">Youth Workforce Development - Council District 17</t>
  </si>
  <si>
    <t xml:space="preserve">Casita Maria, Inc.</t>
  </si>
  <si>
    <t xml:space="preserve">131623994</t>
  </si>
  <si>
    <t xml:space="preserve">After-School Music Programming - Council District 17</t>
  </si>
  <si>
    <t xml:space="preserve">Youth Job Training - Council District 17</t>
  </si>
  <si>
    <t xml:space="preserve">The Baby Meetup</t>
  </si>
  <si>
    <t xml:space="preserve">33-4686702</t>
  </si>
  <si>
    <t xml:space="preserve">Early Childhood Programming - Council District 17</t>
  </si>
  <si>
    <t xml:space="preserve">Careers in the Film Industry - Council District 17</t>
  </si>
  <si>
    <t xml:space="preserve">School Debate Programming &amp; Tournament - Council District 17</t>
  </si>
  <si>
    <t xml:space="preserve">Generation Citizen, Inc.</t>
  </si>
  <si>
    <t xml:space="preserve">272039522</t>
  </si>
  <si>
    <t xml:space="preserve">Civic Education - Council District 17</t>
  </si>
  <si>
    <t xml:space="preserve">Youth Employment Services </t>
  </si>
  <si>
    <t xml:space="preserve">Youth Vitilla - Council District 17</t>
  </si>
  <si>
    <t xml:space="preserve">Water Ecology &amp; Engineering Field Trips &amp; Virtual Lessons - </t>
  </si>
  <si>
    <t xml:space="preserve">Jumpstart for Young Children, Inc.</t>
  </si>
  <si>
    <t xml:space="preserve">043262046</t>
  </si>
  <si>
    <t xml:space="preserve">Early Education and Literacy - Council District 17</t>
  </si>
  <si>
    <t xml:space="preserve">Peer Leaders Program - Bronx Latin (12X267)</t>
  </si>
  <si>
    <t xml:space="preserve">Environmental Initiatives</t>
  </si>
  <si>
    <t xml:space="preserve">Prospect Lefferts Gardens Neighborhood Association, Inc.</t>
  </si>
  <si>
    <t xml:space="preserve">237064386</t>
  </si>
  <si>
    <t xml:space="preserve">Dorchester Senior Citizens Center, Inc.</t>
  </si>
  <si>
    <t xml:space="preserve">112305581</t>
  </si>
  <si>
    <t xml:space="preserve">Support for Adults - Council District 40</t>
  </si>
  <si>
    <t xml:space="preserve">St. Gabriel's Episcopal Church</t>
  </si>
  <si>
    <t xml:space="preserve">112463892</t>
  </si>
  <si>
    <t xml:space="preserve">Support to Older Adults - Council District 40</t>
  </si>
  <si>
    <t xml:space="preserve">Older Adult Literacy - Council District 40</t>
  </si>
  <si>
    <t xml:space="preserve">Older Adult Services &amp; Food Pantry - Council District 40</t>
  </si>
  <si>
    <t xml:space="preserve">Fenimore Senior Center, Inc.</t>
  </si>
  <si>
    <t xml:space="preserve">112772287</t>
  </si>
  <si>
    <t xml:space="preserve">Arts &amp; Crafts Education - Council District 40</t>
  </si>
  <si>
    <t xml:space="preserve">Haitian Centers Council, Inc.</t>
  </si>
  <si>
    <t xml:space="preserve">112648501</t>
  </si>
  <si>
    <t xml:space="preserve">Older Adult English Adult Literacy &amp; Civics Engagement - Cou</t>
  </si>
  <si>
    <t xml:space="preserve">Case Management &amp; Caregiver Programs - Council District 40 </t>
  </si>
  <si>
    <t xml:space="preserve">Helen Keller International, Inc.</t>
  </si>
  <si>
    <t xml:space="preserve">135562162</t>
  </si>
  <si>
    <t xml:space="preserve">Vision Assistance for Older Adults - Council District 40</t>
  </si>
  <si>
    <t xml:space="preserve">Older Adults Social Services - Council District 40</t>
  </si>
  <si>
    <t xml:space="preserve">Older Adult Digital Literacy &amp; Technology Training - Council</t>
  </si>
  <si>
    <t xml:space="preserve">Older Adults Wellness Services - Joseph and Pauline Charatan</t>
  </si>
  <si>
    <t xml:space="preserve">St. Vincent's Services, Inc.</t>
  </si>
  <si>
    <t xml:space="preserve">111631823</t>
  </si>
  <si>
    <t xml:space="preserve">Mental Health Assistance - Older Adults</t>
  </si>
  <si>
    <t xml:space="preserve">Affordable Housing Assistance - Council District 40</t>
  </si>
  <si>
    <t xml:space="preserve">Morris Heights Health Center, Inc.</t>
  </si>
  <si>
    <t xml:space="preserve">061081232</t>
  </si>
  <si>
    <t xml:space="preserve">Maternal Health Assistance &amp; Hope Coalition (MHHCo) - Counci</t>
  </si>
  <si>
    <t xml:space="preserve">Council District 40</t>
  </si>
  <si>
    <t xml:space="preserve">Access Justice Brooklyn, Inc.</t>
  </si>
  <si>
    <t xml:space="preserve">113155182</t>
  </si>
  <si>
    <t xml:space="preserve">Legal Assistance - Council District 40 </t>
  </si>
  <si>
    <t xml:space="preserve">Mental Health Services - Council District 40</t>
  </si>
  <si>
    <t xml:space="preserve">Erasmus Neighborhood Federation, Inc.</t>
  </si>
  <si>
    <t xml:space="preserve">112490986</t>
  </si>
  <si>
    <t xml:space="preserve">Housing Assistance - Council District 40 </t>
  </si>
  <si>
    <t xml:space="preserve">Council District 40 </t>
  </si>
  <si>
    <t xml:space="preserve">Jewish Child Care Association of New York</t>
  </si>
  <si>
    <t xml:space="preserve">131624060</t>
  </si>
  <si>
    <t xml:space="preserve">Youth Violence Intervention Program - Council District 40</t>
  </si>
  <si>
    <t xml:space="preserve">Know Your Rights Trainings for Homeless New Yorkers - Counci</t>
  </si>
  <si>
    <t xml:space="preserve">One-on-One Business Assistance Program - Council District 40</t>
  </si>
  <si>
    <t xml:space="preserve">Purelements: An Evolution in Dance</t>
  </si>
  <si>
    <t xml:space="preserve">205332584</t>
  </si>
  <si>
    <t xml:space="preserve">viBe Theater Experience, Inc.</t>
  </si>
  <si>
    <t xml:space="preserve">200482372</t>
  </si>
  <si>
    <t xml:space="preserve">AbunDance Academy of the Arts, Inc.</t>
  </si>
  <si>
    <t xml:space="preserve">113811283</t>
  </si>
  <si>
    <t xml:space="preserve">Moving Mountains, Inc.</t>
  </si>
  <si>
    <t xml:space="preserve">261407568</t>
  </si>
  <si>
    <t xml:space="preserve">Women's Housing and Economic Development Corporation (WHEDco)</t>
  </si>
  <si>
    <t xml:space="preserve">113099604</t>
  </si>
  <si>
    <t xml:space="preserve">Women's Housing and Economic Development Corporation (WHEDco</t>
  </si>
  <si>
    <t xml:space="preserve">Domestic Violence and Empowerment (DoVE) Initiative</t>
  </si>
  <si>
    <t xml:space="preserve">Pakistani American Skilled Women Organization</t>
  </si>
  <si>
    <t xml:space="preserve">850869897</t>
  </si>
  <si>
    <t xml:space="preserve">Haitian Studies Institute - Council District 40</t>
  </si>
  <si>
    <t xml:space="preserve">Flatbush Youth Association, Inc.</t>
  </si>
  <si>
    <t xml:space="preserve">113287922</t>
  </si>
  <si>
    <t xml:space="preserve">Basketball Training</t>
  </si>
  <si>
    <t xml:space="preserve">Mobile Legal Help Center - Council District 40</t>
  </si>
  <si>
    <t xml:space="preserve">Family Programming - Council District 40</t>
  </si>
  <si>
    <t xml:space="preserve">Future Bound Program</t>
  </si>
  <si>
    <t xml:space="preserve">Caribbean Women's Health Association, Inc.</t>
  </si>
  <si>
    <t xml:space="preserve">133323168</t>
  </si>
  <si>
    <t xml:space="preserve">HIV Prevention Education Services - Council District 40</t>
  </si>
  <si>
    <t xml:space="preserve">Flatbush Avenue District Management Association</t>
  </si>
  <si>
    <t xml:space="preserve">112908148</t>
  </si>
  <si>
    <t xml:space="preserve">Venture House, Inc.</t>
  </si>
  <si>
    <t xml:space="preserve">112890587</t>
  </si>
  <si>
    <t xml:space="preserve">Community Programs - Council District 40</t>
  </si>
  <si>
    <t xml:space="preserve">LEAP Program </t>
  </si>
  <si>
    <t xml:space="preserve">Food Distribution and Food Pantry Program - Council District</t>
  </si>
  <si>
    <t xml:space="preserve">Ditmas Park Youth Group</t>
  </si>
  <si>
    <t xml:space="preserve">262442377</t>
  </si>
  <si>
    <t xml:space="preserve">1199 SEIU Employer Child Care Corporation</t>
  </si>
  <si>
    <t xml:space="preserve">134063281</t>
  </si>
  <si>
    <t xml:space="preserve">Career Services - Council District 40</t>
  </si>
  <si>
    <t xml:space="preserve">Youth Services</t>
  </si>
  <si>
    <t xml:space="preserve">People In Need, Inc.</t>
  </si>
  <si>
    <t xml:space="preserve">812473789</t>
  </si>
  <si>
    <t xml:space="preserve">Informational &amp; Training Workshops - Council District 40</t>
  </si>
  <si>
    <t xml:space="preserve">Breast Cancer Screening Mobile Van Events - Council District</t>
  </si>
  <si>
    <t xml:space="preserve">Neighborhood Housing Services of Brooklyn CDC, Inc.</t>
  </si>
  <si>
    <t xml:space="preserve">471169779</t>
  </si>
  <si>
    <t xml:space="preserve">Caribbean American Chamber of Commerce and Industry, Inc.</t>
  </si>
  <si>
    <t xml:space="preserve">112903423</t>
  </si>
  <si>
    <t xml:space="preserve">Helmet Giveaway Event - Council District 40</t>
  </si>
  <si>
    <t xml:space="preserve">American Council of Minority Women, Inc.</t>
  </si>
  <si>
    <t xml:space="preserve">270861591</t>
  </si>
  <si>
    <t xml:space="preserve">Haitian Center for Sacred Arts, Inc.</t>
  </si>
  <si>
    <t xml:space="preserve">414244620</t>
  </si>
  <si>
    <t xml:space="preserve">Anne Shore Sleep-Away Camp Program - Council District 40</t>
  </si>
  <si>
    <t xml:space="preserve">Domestic Violence Assistance Program</t>
  </si>
  <si>
    <t xml:space="preserve">Bridge Multicultural and Advocacy Project, Inc., The</t>
  </si>
  <si>
    <t xml:space="preserve">454634142</t>
  </si>
  <si>
    <t xml:space="preserve">Brooklyn Center for Quality Life</t>
  </si>
  <si>
    <t xml:space="preserve">262651830</t>
  </si>
  <si>
    <t xml:space="preserve">Social Services - Council District 40</t>
  </si>
  <si>
    <t xml:space="preserve">Civil Legal Services - Council District 40</t>
  </si>
  <si>
    <t xml:space="preserve">LaSante Health Center, Inc.</t>
  </si>
  <si>
    <t xml:space="preserve">464149537</t>
  </si>
  <si>
    <t xml:space="preserve">Care Coordination &amp; Referrals Program - Council District 40</t>
  </si>
  <si>
    <t xml:space="preserve">Congregate Meals &amp; Older Adults Programming - Council Distri</t>
  </si>
  <si>
    <t xml:space="preserve">Music Partners &amp; Music Therapy - Council District 40</t>
  </si>
  <si>
    <t xml:space="preserve">National Alliance on Mental Illness of New York City, Inc.</t>
  </si>
  <si>
    <t xml:space="preserve">133077692</t>
  </si>
  <si>
    <t xml:space="preserve">Kindred Enterprises Foundation, Inc.</t>
  </si>
  <si>
    <t xml:space="preserve">884112174</t>
  </si>
  <si>
    <t xml:space="preserve">MCCAP initiative &amp; Access Health NYC initiative - Council Di</t>
  </si>
  <si>
    <t xml:space="preserve">In This Together Community Food Kitchen, Food Pantry &amp; Clean</t>
  </si>
  <si>
    <t xml:space="preserve">Cumbe: Center for African and Diaspora Dance, Inc.</t>
  </si>
  <si>
    <t xml:space="preserve">475039336</t>
  </si>
  <si>
    <t xml:space="preserve">Brooklyn Institute for Liberal Arts (17K745)</t>
  </si>
  <si>
    <t xml:space="preserve">African Burial Ground Memorial Foundation, Inc.</t>
  </si>
  <si>
    <t xml:space="preserve">923747978</t>
  </si>
  <si>
    <t xml:space="preserve">Trauma Recovery Care and Prevention Community Engagement Pro</t>
  </si>
  <si>
    <t xml:space="preserve">Haitian Day Parade, Inc.</t>
  </si>
  <si>
    <t xml:space="preserve">923095431</t>
  </si>
  <si>
    <t xml:space="preserve">Caribbean Elite Foundation, Inc.</t>
  </si>
  <si>
    <t xml:space="preserve">994169271</t>
  </si>
  <si>
    <t xml:space="preserve">Youth Community Engagement &amp; Programming </t>
  </si>
  <si>
    <t xml:space="preserve">Youth Programs - Council District 40</t>
  </si>
  <si>
    <t xml:space="preserve">Carmel's Depression &amp; Anxiety Wellness Foundation, Inc.</t>
  </si>
  <si>
    <t xml:space="preserve">921964333</t>
  </si>
  <si>
    <t xml:space="preserve">Brooklyn Community Board #14</t>
  </si>
  <si>
    <t xml:space="preserve">Annual Youth Conference - Council District 40</t>
  </si>
  <si>
    <t xml:space="preserve">Brooklyn Community Board #17</t>
  </si>
  <si>
    <t xml:space="preserve">Association of Community Employment Programs for the Homeles</t>
  </si>
  <si>
    <t xml:space="preserve">Pakistani American Youth Organization, Inc.</t>
  </si>
  <si>
    <t xml:space="preserve">474022872</t>
  </si>
  <si>
    <t xml:space="preserve">Little Haiti BK, Inc.</t>
  </si>
  <si>
    <t xml:space="preserve">824710754</t>
  </si>
  <si>
    <t xml:space="preserve">Cultural Museum of African Art, Inc. - The Eric Edwards Collection</t>
  </si>
  <si>
    <t xml:space="preserve">900907203</t>
  </si>
  <si>
    <t xml:space="preserve">Cultural Museum of African Art, Inc. - The Eric Edwards Coll</t>
  </si>
  <si>
    <t xml:space="preserve">Alzheimers Disease and Related Disorders Association - New Y</t>
  </si>
  <si>
    <t xml:space="preserve">SHARE: Self-Help for Women with Breast or Ovarian Cancer, In</t>
  </si>
  <si>
    <t xml:space="preserve">Women's League Community Residences</t>
  </si>
  <si>
    <t xml:space="preserve">Children's Law Center, Inc., The</t>
  </si>
  <si>
    <t xml:space="preserve">113392591</t>
  </si>
  <si>
    <t xml:space="preserve">Children’s Voice Project - Council District 40</t>
  </si>
  <si>
    <t xml:space="preserve">Making the Impossible Possible</t>
  </si>
  <si>
    <t xml:space="preserve">900797118</t>
  </si>
  <si>
    <t xml:space="preserve">Financial &amp; Trading Workshop - Council District 40</t>
  </si>
  <si>
    <t xml:space="preserve">Child Health &amp; Wellness - Council District 40</t>
  </si>
  <si>
    <t xml:space="preserve">Asian-American Coalition for Children and Families, Inc.</t>
  </si>
  <si>
    <t xml:space="preserve">133682471</t>
  </si>
  <si>
    <t xml:space="preserve">Bonnie Boys Club</t>
  </si>
  <si>
    <t xml:space="preserve">116075963</t>
  </si>
  <si>
    <t xml:space="preserve">Brooklyn City Streetcar Company, Inc.</t>
  </si>
  <si>
    <t xml:space="preserve">200084429</t>
  </si>
  <si>
    <t xml:space="preserve">Brooklyn Kindergarten Society</t>
  </si>
  <si>
    <t xml:space="preserve">111631820</t>
  </si>
  <si>
    <t xml:space="preserve">Learning Program - Council District 40</t>
  </si>
  <si>
    <t xml:space="preserve">Future Bound Program - Council District 40</t>
  </si>
  <si>
    <t xml:space="preserve">Youth Empowerment Strategies for Success (YESS) - Council Di</t>
  </si>
  <si>
    <t xml:space="preserve">Youth Empowerment Program - Council District 40</t>
  </si>
  <si>
    <t xml:space="preserve">Guyana Cultural Association of New York, Inc.</t>
  </si>
  <si>
    <t xml:space="preserve">113624294</t>
  </si>
  <si>
    <t xml:space="preserve">Arts in the Community &amp; Caribbean Heritage Summer Workshop S</t>
  </si>
  <si>
    <t xml:space="preserve">Jewish Coalition for Youth Education &amp; Support, Inc.</t>
  </si>
  <si>
    <t xml:space="preserve">273152656</t>
  </si>
  <si>
    <t xml:space="preserve">Flatbush YMCA: Teen Programming - Council District 40</t>
  </si>
  <si>
    <t xml:space="preserve">Jump-in Enrichment, Inc.</t>
  </si>
  <si>
    <t xml:space="preserve">465743056</t>
  </si>
  <si>
    <t xml:space="preserve">Youth Empowerment Workshop &amp; Mental Health Support Program -</t>
  </si>
  <si>
    <t xml:space="preserve">Community Tennis Programs (CTP) - Council District 40</t>
  </si>
  <si>
    <t xml:space="preserve">Combat Hate - Council District 40</t>
  </si>
  <si>
    <t xml:space="preserve">Urban Assembly, Inc., The</t>
  </si>
  <si>
    <t xml:space="preserve">110332039</t>
  </si>
  <si>
    <t xml:space="preserve">START Treatment &amp; Recovery Centers - Council District 40</t>
  </si>
  <si>
    <t xml:space="preserve">GrowNYC, District 25 </t>
  </si>
  <si>
    <t xml:space="preserve">Programming, District 25 </t>
  </si>
  <si>
    <t xml:space="preserve">Programming, District 25</t>
  </si>
  <si>
    <t xml:space="preserve">Older Adult Programming - Council District 25 </t>
  </si>
  <si>
    <t xml:space="preserve">NORC Self Help Program</t>
  </si>
  <si>
    <t xml:space="preserve">South Asian Council for Social Services</t>
  </si>
  <si>
    <t xml:space="preserve">113632920</t>
  </si>
  <si>
    <t xml:space="preserve">Older Adult Casework</t>
  </si>
  <si>
    <t xml:space="preserve">Sunnyside Community Services, Inc.</t>
  </si>
  <si>
    <t xml:space="preserve">510189327</t>
  </si>
  <si>
    <t xml:space="preserve">Arts Programming - Queens Center</t>
  </si>
  <si>
    <t xml:space="preserve">Elmhurst/Jackson Heights Older Adult Center</t>
  </si>
  <si>
    <t xml:space="preserve">Older Adult Housing Empowerment – Council District 25</t>
  </si>
  <si>
    <t xml:space="preserve">Worker’s Justice Project’s - Council District 25</t>
  </si>
  <si>
    <t xml:space="preserve">Key to the City &amp; Welcome NYC - Council District 25</t>
  </si>
  <si>
    <t xml:space="preserve">Woodside on the Move, Inc.</t>
  </si>
  <si>
    <t xml:space="preserve">112435565</t>
  </si>
  <si>
    <t xml:space="preserve">Emergency Services - Council District 25</t>
  </si>
  <si>
    <t xml:space="preserve">Council District 25</t>
  </si>
  <si>
    <t xml:space="preserve">Community Programming - Council District 25</t>
  </si>
  <si>
    <t xml:space="preserve">Intermediate School 230Q (30Q230)</t>
  </si>
  <si>
    <t xml:space="preserve">Additional Pickup Services - Council District 25</t>
  </si>
  <si>
    <t xml:space="preserve">Hate Crime Victim Services - Council District 25</t>
  </si>
  <si>
    <t xml:space="preserve">Victim Services - Council District 25</t>
  </si>
  <si>
    <t xml:space="preserve">Elmhurst Hospital Anti-Violence Program</t>
  </si>
  <si>
    <t xml:space="preserve">Hate Crime Prevention Programming &amp; Support - Council Distri</t>
  </si>
  <si>
    <t xml:space="preserve">Korean Community Services of Metropolitan New York, Inc.</t>
  </si>
  <si>
    <t xml:space="preserve">237348989</t>
  </si>
  <si>
    <t xml:space="preserve">Protecting the Community Against Hate Program - Council Dist</t>
  </si>
  <si>
    <t xml:space="preserve">Intermediate School 145Q (30Q145)</t>
  </si>
  <si>
    <t xml:space="preserve">Public School 89Q The Jose Peralta School of Dreamers (24Q08</t>
  </si>
  <si>
    <t xml:space="preserve">Public School 148Q (30Q148)</t>
  </si>
  <si>
    <t xml:space="preserve">Public School 69Q Jackson Heights (30Q069)</t>
  </si>
  <si>
    <t xml:space="preserve">John F. Kennedy Jr. School (75Q721)</t>
  </si>
  <si>
    <t xml:space="preserve">Public School 13Q (24Q013)</t>
  </si>
  <si>
    <t xml:space="preserve">Public School 149Q Christa McAuliffe (30Q149)</t>
  </si>
  <si>
    <t xml:space="preserve">Public School 222Q Fire Fighter Christopher A. Santora Schoo</t>
  </si>
  <si>
    <t xml:space="preserve">Public School 7Q Louis F. Simeone (24Q007)</t>
  </si>
  <si>
    <t xml:space="preserve">Public School 152Q Gwendoline N. Alleyne School (30Q152)</t>
  </si>
  <si>
    <t xml:space="preserve">Public School 212Q (30Q212)</t>
  </si>
  <si>
    <t xml:space="preserve">Queens Culture and Arts Network - Public School 280Q (30Q280</t>
  </si>
  <si>
    <t xml:space="preserve">Queens Culture and Arts Network - Renaissance Charter School</t>
  </si>
  <si>
    <t xml:space="preserve">Queens College Foundation, Inc.</t>
  </si>
  <si>
    <t xml:space="preserve">116080521</t>
  </si>
  <si>
    <t xml:space="preserve">Queens College - Kupferberg Center for the Arts - Public Sch</t>
  </si>
  <si>
    <t xml:space="preserve">Houses on the Moon Theater Company</t>
  </si>
  <si>
    <t xml:space="preserve">204691926</t>
  </si>
  <si>
    <t xml:space="preserve">Community Programming, Council District 25</t>
  </si>
  <si>
    <t xml:space="preserve">VBGCQ programming, Council District 25.</t>
  </si>
  <si>
    <t xml:space="preserve">Calpulli Mexican Dance Company</t>
  </si>
  <si>
    <t xml:space="preserve">200642440</t>
  </si>
  <si>
    <t xml:space="preserve">Film Fleadh Foundation, Inc.</t>
  </si>
  <si>
    <t xml:space="preserve">134051235</t>
  </si>
  <si>
    <t xml:space="preserve">An Claidheamh Soluis, Inc.</t>
  </si>
  <si>
    <t xml:space="preserve">510244834</t>
  </si>
  <si>
    <t xml:space="preserve">Funding to support programming for Council District 25.</t>
  </si>
  <si>
    <t xml:space="preserve">Thalia Spanish Theatre, Inc.</t>
  </si>
  <si>
    <t xml:space="preserve">237448611</t>
  </si>
  <si>
    <t xml:space="preserve">Hispanic Information and Telecommunications Network, Inc.</t>
  </si>
  <si>
    <t xml:space="preserve">133112110</t>
  </si>
  <si>
    <t xml:space="preserve">Digital Inclusion &amp; Literacy - Council District 25</t>
  </si>
  <si>
    <t xml:space="preserve">Community Services, Council District 25</t>
  </si>
  <si>
    <t xml:space="preserve">DoVE Services, District 25 </t>
  </si>
  <si>
    <t xml:space="preserve">Manual Litter Basket Pickups - Council District 25</t>
  </si>
  <si>
    <t xml:space="preserve">New Immigrant Community Empowerment (NICE)</t>
  </si>
  <si>
    <t xml:space="preserve">113560625</t>
  </si>
  <si>
    <t xml:space="preserve">Immigrant Services - Council District 25</t>
  </si>
  <si>
    <t xml:space="preserve">Small Business Services - Council District 25</t>
  </si>
  <si>
    <t xml:space="preserve">Queens Pride Parade &amp; Multicultural Festival </t>
  </si>
  <si>
    <t xml:space="preserve">Adhikaar for Human Rights and Social Justice</t>
  </si>
  <si>
    <t xml:space="preserve">203384725</t>
  </si>
  <si>
    <t xml:space="preserve">Immigration services - Council District 25</t>
  </si>
  <si>
    <t xml:space="preserve">Paseo Park Alliance</t>
  </si>
  <si>
    <t xml:space="preserve">Jackson Heights Beautification Group</t>
  </si>
  <si>
    <t xml:space="preserve">112925587</t>
  </si>
  <si>
    <t xml:space="preserve">Daffodil Project - Council District 25</t>
  </si>
  <si>
    <t xml:space="preserve">Queens Arts &amp; Culture Network - Council District 25</t>
  </si>
  <si>
    <t xml:space="preserve">Academic &amp; Leadership Programming - Council District 25</t>
  </si>
  <si>
    <t xml:space="preserve">Re-entry Services - Council District 25</t>
  </si>
  <si>
    <t xml:space="preserve">Anti-violence Programming &amp; Services - Council District 25</t>
  </si>
  <si>
    <t xml:space="preserve">Community Programs - Council District 25</t>
  </si>
  <si>
    <t xml:space="preserve">Accompany Capital, Inc.</t>
  </si>
  <si>
    <t xml:space="preserve">810584343</t>
  </si>
  <si>
    <t xml:space="preserve">Small &amp; Micro Business Services - Council District 25</t>
  </si>
  <si>
    <t xml:space="preserve">Additional Pickups - Diversity Plaza</t>
  </si>
  <si>
    <t xml:space="preserve">Travers Park</t>
  </si>
  <si>
    <t xml:space="preserve">Elmhurst Library </t>
  </si>
  <si>
    <t xml:space="preserve">Jackson Heights Library</t>
  </si>
  <si>
    <t xml:space="preserve">Education &amp; Family Programs - Council District 25</t>
  </si>
  <si>
    <t xml:space="preserve">Jack and Shirley Silver Hub - Council District 25</t>
  </si>
  <si>
    <t xml:space="preserve">Arts Programming - Council District 25</t>
  </si>
  <si>
    <t xml:space="preserve">Workforce Development - Council District 25</t>
  </si>
  <si>
    <t xml:space="preserve">Community Outreach &amp; Education - Council District 25</t>
  </si>
  <si>
    <t xml:space="preserve">City Mission, Inc.</t>
  </si>
  <si>
    <t xml:space="preserve">472244424</t>
  </si>
  <si>
    <t xml:space="preserve">Mural Painting - Council District 25</t>
  </si>
  <si>
    <t xml:space="preserve">Corona Community Ambulance Corps, Inc.</t>
  </si>
  <si>
    <t xml:space="preserve">113214382</t>
  </si>
  <si>
    <t xml:space="preserve">Ecuadorian Civic Committee of New York City, Inc.</t>
  </si>
  <si>
    <t xml:space="preserve">113553172</t>
  </si>
  <si>
    <t xml:space="preserve">Ecuadorian Day Parade - Council District 25</t>
  </si>
  <si>
    <t xml:space="preserve">Elmhurst History and Cemeteries Preservation Society</t>
  </si>
  <si>
    <t xml:space="preserve">821513220</t>
  </si>
  <si>
    <t xml:space="preserve">Interpretive Signage &amp; Community Programming </t>
  </si>
  <si>
    <t xml:space="preserve">Kinding Sindaw Heritage Foundation, Inc.</t>
  </si>
  <si>
    <t xml:space="preserve">472655890</t>
  </si>
  <si>
    <t xml:space="preserve">Community Education Programming - Council District 25</t>
  </si>
  <si>
    <t xml:space="preserve">Epicenter Foundation Inc.</t>
  </si>
  <si>
    <t xml:space="preserve">932377007</t>
  </si>
  <si>
    <t xml:space="preserve">Queens Community Board #3</t>
  </si>
  <si>
    <t xml:space="preserve">Council District 25 </t>
  </si>
  <si>
    <t xml:space="preserve">Queens Community Board #4</t>
  </si>
  <si>
    <t xml:space="preserve">Queens World Film Initiative, Inc.</t>
  </si>
  <si>
    <t xml:space="preserve">465631277</t>
  </si>
  <si>
    <t xml:space="preserve">Translatina Network, Inc.</t>
  </si>
  <si>
    <t xml:space="preserve">474807380</t>
  </si>
  <si>
    <t xml:space="preserve">Community Outreach</t>
  </si>
  <si>
    <t xml:space="preserve">Queens Community College - Kupferberg Holocaust Center</t>
  </si>
  <si>
    <t xml:space="preserve">Cleanup Services in Council District 25</t>
  </si>
  <si>
    <t xml:space="preserve">Neighborhood Services, District 25 </t>
  </si>
  <si>
    <t xml:space="preserve">Neighborhood Services, Council District 25</t>
  </si>
  <si>
    <t xml:space="preserve">Travers Park Maintenance</t>
  </si>
  <si>
    <t xml:space="preserve">Parks Equity - Council District 25</t>
  </si>
  <si>
    <t xml:space="preserve">Seasonal Aide - Travers Park</t>
  </si>
  <si>
    <t xml:space="preserve">Movie Nights - Council District 25</t>
  </si>
  <si>
    <t xml:space="preserve">Queens Historical Society</t>
  </si>
  <si>
    <t xml:space="preserve">237016007</t>
  </si>
  <si>
    <t xml:space="preserve">QCH Queens Center for Gay Seniors (QCGS) OAC</t>
  </si>
  <si>
    <t xml:space="preserve">Elmhurst Older Adult Center</t>
  </si>
  <si>
    <t xml:space="preserve">CCNS Catherine Sheridan OAC</t>
  </si>
  <si>
    <t xml:space="preserve">SELFHELP NORTHRIDGE 11-BRULENE NORC</t>
  </si>
  <si>
    <t xml:space="preserve">Older Adult Services, Council District 25</t>
  </si>
  <si>
    <t xml:space="preserve">Older Adult Services, District 25 </t>
  </si>
  <si>
    <t xml:space="preserve">Newtown (Italian) Senior Citizens Center, Inc.</t>
  </si>
  <si>
    <t xml:space="preserve">112308129</t>
  </si>
  <si>
    <t xml:space="preserve">82nd Street Academics</t>
  </si>
  <si>
    <t xml:space="preserve">200788352</t>
  </si>
  <si>
    <t xml:space="preserve">Afterschool Program - Renaissance Charter School (84Q705)</t>
  </si>
  <si>
    <t xml:space="preserve">LGBTQ Youth Programming</t>
  </si>
  <si>
    <t xml:space="preserve">TGNCIQ Justice Project - Council District 25</t>
  </si>
  <si>
    <t xml:space="preserve">Asian American Student Advocacy Project (ASAP)</t>
  </si>
  <si>
    <t xml:space="preserve">Osborne Association, Inc., The</t>
  </si>
  <si>
    <t xml:space="preserve">135563028</t>
  </si>
  <si>
    <t xml:space="preserve">Swimming &amp; Water Safety Educational Programming - Council Di</t>
  </si>
  <si>
    <t xml:space="preserve">Class Size Matters</t>
  </si>
  <si>
    <t xml:space="preserve">202169746</t>
  </si>
  <si>
    <t xml:space="preserve">Young Adult Service Program (YASP)</t>
  </si>
  <si>
    <t xml:space="preserve">Troop 6000 - Council District 25</t>
  </si>
  <si>
    <t xml:space="preserve">Anti-Discrimination Programming - Council District 25</t>
  </si>
  <si>
    <t xml:space="preserve">Council District 23</t>
  </si>
  <si>
    <t xml:space="preserve">Science for All - Council District 23</t>
  </si>
  <si>
    <t xml:space="preserve">Eastern Queens Innovative Senior Center</t>
  </si>
  <si>
    <t xml:space="preserve">Older Adults Programming - Council District 23</t>
  </si>
  <si>
    <t xml:space="preserve">Holliswood Older Adult Center</t>
  </si>
  <si>
    <t xml:space="preserve">Fresh Meadows NORC</t>
  </si>
  <si>
    <t xml:space="preserve">Queensborough Community College Auxiliary Enterprise Associa</t>
  </si>
  <si>
    <t xml:space="preserve">Community Services - Council District 23</t>
  </si>
  <si>
    <t xml:space="preserve">Queens Day Program, Kiwanis &amp; Russo Preschools</t>
  </si>
  <si>
    <t xml:space="preserve">Hunger Prevention Program</t>
  </si>
  <si>
    <t xml:space="preserve">Junior Achievement of New York, Inc.</t>
  </si>
  <si>
    <t xml:space="preserve">133031828</t>
  </si>
  <si>
    <t xml:space="preserve">Middle School 74Q (26Q074)</t>
  </si>
  <si>
    <t xml:space="preserve">Ballet Theatre Foundation, Inc.</t>
  </si>
  <si>
    <t xml:space="preserve">131882106</t>
  </si>
  <si>
    <t xml:space="preserve">Public School 18Q Winchester (26Q018)</t>
  </si>
  <si>
    <t xml:space="preserve">Public School 046Q Alley Pond (26Q046)</t>
  </si>
  <si>
    <t xml:space="preserve">Queens College - Kupferberg Center for the Arts  - Public Sc</t>
  </si>
  <si>
    <t xml:space="preserve">Public School 191Q Mayflower (26Q191)</t>
  </si>
  <si>
    <t xml:space="preserve">The CIVIC School of Bayside Hills (26Q390)</t>
  </si>
  <si>
    <t xml:space="preserve">Public School 33Q (29Q033)</t>
  </si>
  <si>
    <t xml:space="preserve">Public School/Intermediate School 178Q (26Q178)</t>
  </si>
  <si>
    <t xml:space="preserve">Public School/Intermediate School 295Q (29Q295)</t>
  </si>
  <si>
    <t xml:space="preserve">Public School 133Q Queens (26Q133)</t>
  </si>
  <si>
    <t xml:space="preserve">Public School 203Q Oakland Gardens (26Q203)</t>
  </si>
  <si>
    <t xml:space="preserve">New York Hall of Science</t>
  </si>
  <si>
    <t xml:space="preserve">112104059</t>
  </si>
  <si>
    <t xml:space="preserve">Public School 115Q (26Q115)</t>
  </si>
  <si>
    <t xml:space="preserve">Public School 26Q (26Q026)</t>
  </si>
  <si>
    <t xml:space="preserve">Public School 135Q (29Q135)</t>
  </si>
  <si>
    <t xml:space="preserve">Intermediate School 109Q (29Q109)</t>
  </si>
  <si>
    <t xml:space="preserve">Irwin Altman Middle School 172Q (26Q172)</t>
  </si>
  <si>
    <t xml:space="preserve">Public School 186Q (26Q186)</t>
  </si>
  <si>
    <t xml:space="preserve">Public School 026Q Rufus King (26Q026), 191Q Mayflower (26Q1</t>
  </si>
  <si>
    <t xml:space="preserve">Public School 203Q (26Q203) &amp; Alexander Graham Bell (26Q205)</t>
  </si>
  <si>
    <t xml:space="preserve">Public School 224Q (75Q224), Public School/Intermediate Scho</t>
  </si>
  <si>
    <t xml:space="preserve">Public School 188Q Kingsbury (26Q188)</t>
  </si>
  <si>
    <t xml:space="preserve">Council District 23 </t>
  </si>
  <si>
    <t xml:space="preserve">Senior Programming</t>
  </si>
  <si>
    <t xml:space="preserve">Urban Farming &amp; Programming - Council District 23</t>
  </si>
  <si>
    <t xml:space="preserve">Deepdale Cares Program - Samuel Field YM &amp; YWHA</t>
  </si>
  <si>
    <t xml:space="preserve">Samuel Field Y Older Adult Center</t>
  </si>
  <si>
    <t xml:space="preserve">Cunningham Park &amp; Playgrounds</t>
  </si>
  <si>
    <t xml:space="preserve">Small Business Services - Council District 23</t>
  </si>
  <si>
    <t xml:space="preserve">Glen Oaks Volunteer Ambulance Corps, Inc.</t>
  </si>
  <si>
    <t xml:space="preserve">237336330</t>
  </si>
  <si>
    <t xml:space="preserve">Jamaica Estates Holliswood South Bayside Volunteer Ambulance Corp, Inc.</t>
  </si>
  <si>
    <t xml:space="preserve">237351959</t>
  </si>
  <si>
    <t xml:space="preserve">ESOL Programming - Council District 23</t>
  </si>
  <si>
    <t xml:space="preserve">Mental Health Services - Council District 23</t>
  </si>
  <si>
    <t xml:space="preserve">Queens Village-Hollis-Bellerose Volunteer Ambulance, Corp.</t>
  </si>
  <si>
    <t xml:space="preserve">237366237</t>
  </si>
  <si>
    <t xml:space="preserve">RiseWell Community Services, Inc.</t>
  </si>
  <si>
    <t xml:space="preserve">237237931</t>
  </si>
  <si>
    <t xml:space="preserve">Frank Padavan 6th Street Residence</t>
  </si>
  <si>
    <t xml:space="preserve">Public School/Intermediate School 208Q (29Q208) &amp; 266Q (26Q2</t>
  </si>
  <si>
    <t xml:space="preserve">Performing Arts &amp; Older Adults Ensemble Theatre</t>
  </si>
  <si>
    <t xml:space="preserve">Bike Helmet Giveaways - Council District 23</t>
  </si>
  <si>
    <t xml:space="preserve">Bayside Historical Society</t>
  </si>
  <si>
    <t xml:space="preserve">116049457</t>
  </si>
  <si>
    <t xml:space="preserve">MinKwon Center for Community Action, Inc.</t>
  </si>
  <si>
    <t xml:space="preserve">112710506</t>
  </si>
  <si>
    <t xml:space="preserve">Reproductive and Sexual Health Programming - Council Distric</t>
  </si>
  <si>
    <t xml:space="preserve">Case Management &amp; Mental Health Work - Council District 23</t>
  </si>
  <si>
    <t xml:space="preserve">Asian American Institute for Research and Engagement, Inc.</t>
  </si>
  <si>
    <t xml:space="preserve">874176595</t>
  </si>
  <si>
    <t xml:space="preserve">After-School Performance Workshops - Council District 23</t>
  </si>
  <si>
    <t xml:space="preserve">Young Women's Christian Association of Queens</t>
  </si>
  <si>
    <t xml:space="preserve">200351906</t>
  </si>
  <si>
    <t xml:space="preserve">Immigrant Services - Council District 23</t>
  </si>
  <si>
    <t xml:space="preserve">Korean American Association of Queens New York</t>
  </si>
  <si>
    <t xml:space="preserve">454685421</t>
  </si>
  <si>
    <t xml:space="preserve">Youth &amp; Schools Programming</t>
  </si>
  <si>
    <t xml:space="preserve">Supplemental Sanitation Services - Council District 23</t>
  </si>
  <si>
    <t xml:space="preserve">Sanitation Services - Council District 23</t>
  </si>
  <si>
    <t xml:space="preserve">Graffiti Free Queens! - Council District 23</t>
  </si>
  <si>
    <t xml:space="preserve">E-Waste Collection Event - Council District 23</t>
  </si>
  <si>
    <t xml:space="preserve">Small Business Services &amp; Workforce Development - Council Di</t>
  </si>
  <si>
    <t xml:space="preserve">Cunningham Park &amp; Alley Pond Park</t>
  </si>
  <si>
    <t xml:space="preserve">JASA Holliswood Older Adult Center</t>
  </si>
  <si>
    <t xml:space="preserve">Sam Field Older Adult Center</t>
  </si>
  <si>
    <t xml:space="preserve">CCNS Bayside OAC</t>
  </si>
  <si>
    <t xml:space="preserve">SELFHELP FRESH MEADOWS NORC</t>
  </si>
  <si>
    <t xml:space="preserve">SNAP #1: Eastern Queens OAC (ISC)</t>
  </si>
  <si>
    <t xml:space="preserve">Selfhelp Fresh Meadows NORC</t>
  </si>
  <si>
    <t xml:space="preserve">Senior Center Programs &amp; Support Services</t>
  </si>
  <si>
    <t xml:space="preserve">Bayside Senior Center</t>
  </si>
  <si>
    <t xml:space="preserve">JASA Club Holliswood Older Adult Center (OAC)</t>
  </si>
  <si>
    <t xml:space="preserve">Environmental Education Programs - Council District 23</t>
  </si>
  <si>
    <t xml:space="preserve">Community Tennis &amp; Educational Programs - Council District 2</t>
  </si>
  <si>
    <t xml:space="preserve">Junior High School 74Q Nathaniel Hawthorne (26Q074)</t>
  </si>
  <si>
    <t xml:space="preserve">Teen Programming - Council District 23</t>
  </si>
  <si>
    <t xml:space="preserve">New York Malayalae Sports Club</t>
  </si>
  <si>
    <t xml:space="preserve">112970755</t>
  </si>
  <si>
    <t xml:space="preserve">Youth Programming - Council District 23</t>
  </si>
  <si>
    <t xml:space="preserve">Broadway League, Inc., The</t>
  </si>
  <si>
    <t xml:space="preserve">130951470</t>
  </si>
  <si>
    <t xml:space="preserve">Chabad of Northeastern Queens, Inc.</t>
  </si>
  <si>
    <t xml:space="preserve">113207716</t>
  </si>
  <si>
    <t xml:space="preserve">Project Reach - Council District 23</t>
  </si>
  <si>
    <t xml:space="preserve">Elmhurst Center - Council District 23</t>
  </si>
  <si>
    <t xml:space="preserve">Partnership for After School Education, Inc.</t>
  </si>
  <si>
    <t xml:space="preserve">133976066</t>
  </si>
  <si>
    <t xml:space="preserve">Older Adult Services - Council District 45</t>
  </si>
  <si>
    <t xml:space="preserve">Philip Howard NORC - Council District 45</t>
  </si>
  <si>
    <t xml:space="preserve">Flatbush YMCA Older Adult Programming - Council District 45</t>
  </si>
  <si>
    <t xml:space="preserve">Glenwood Older Adult Center - Council District 45</t>
  </si>
  <si>
    <t xml:space="preserve">Older Adults Education Program - Council District 45</t>
  </si>
  <si>
    <t xml:space="preserve">Older Adults Immigrant Health Initiative - Council District </t>
  </si>
  <si>
    <t xml:space="preserve">Elderly Assistance Programs - Council District 45</t>
  </si>
  <si>
    <t xml:space="preserve">Older Adult Support &amp; Wellness Program - Council District 45</t>
  </si>
  <si>
    <t xml:space="preserve">Brooklyn Lifelong Learning, Inc.</t>
  </si>
  <si>
    <t xml:space="preserve">463634121</t>
  </si>
  <si>
    <t xml:space="preserve">Older Adults Programming - Council District 45</t>
  </si>
  <si>
    <t xml:space="preserve">Brookdale Neighborhood Center - Council District 45</t>
  </si>
  <si>
    <t xml:space="preserve">Older Adult Center Programs - Council District 45</t>
  </si>
  <si>
    <t xml:space="preserve">Maternal and Child Health, Food Pantry &amp; Community Support S</t>
  </si>
  <si>
    <t xml:space="preserve">Eviction &amp; Foreclosure Prevention - Council District 45</t>
  </si>
  <si>
    <t xml:space="preserve">Brooklyn Perinatal Network, Inc.</t>
  </si>
  <si>
    <t xml:space="preserve">133428222</t>
  </si>
  <si>
    <t xml:space="preserve">Maternal and Child Health Services &amp; Programs - Council Dist</t>
  </si>
  <si>
    <t xml:space="preserve">Healthy Women Healthy Futures - Council District 45 </t>
  </si>
  <si>
    <t xml:space="preserve">Global Trauma Research, Inc.</t>
  </si>
  <si>
    <t xml:space="preserve">472294632</t>
  </si>
  <si>
    <t xml:space="preserve">Mental Health &amp; Supportive Services - Council District 45 </t>
  </si>
  <si>
    <t xml:space="preserve">67th Precinct Clergy Council, Inc.</t>
  </si>
  <si>
    <t xml:space="preserve">274581070</t>
  </si>
  <si>
    <t xml:space="preserve">Flatbush Leadership Academy - Council District 45</t>
  </si>
  <si>
    <t xml:space="preserve">Victim Services &amp; Family Support - Council District 45</t>
  </si>
  <si>
    <t xml:space="preserve">Media Apprenticeship Program</t>
  </si>
  <si>
    <t xml:space="preserve">Youth Arts Education &amp; Leadership Services - Council Distric</t>
  </si>
  <si>
    <t xml:space="preserve">Arts Education Programs - Council District 45</t>
  </si>
  <si>
    <t xml:space="preserve">Victim Services &amp; Resources - Council District 45</t>
  </si>
  <si>
    <t xml:space="preserve">Inclusive Community Wellness, Inc.</t>
  </si>
  <si>
    <t xml:space="preserve">813753696</t>
  </si>
  <si>
    <t xml:space="preserve">Swim Safety Programs - Council District 45 </t>
  </si>
  <si>
    <t xml:space="preserve">Foster Park Sports, Inc.</t>
  </si>
  <si>
    <t xml:space="preserve">465745874</t>
  </si>
  <si>
    <t xml:space="preserve">Foster Park Basketball League - District 45 </t>
  </si>
  <si>
    <t xml:space="preserve">Rohan Levy Foundation, Inc.</t>
  </si>
  <si>
    <t xml:space="preserve">824684217</t>
  </si>
  <si>
    <t xml:space="preserve">RFL Academy - District 45 </t>
  </si>
  <si>
    <t xml:space="preserve">Akeal Christopher Community Center Corporation</t>
  </si>
  <si>
    <t xml:space="preserve">462189144</t>
  </si>
  <si>
    <t xml:space="preserve">Anti-gun Violence Initiative and Other Related Campaigns - D</t>
  </si>
  <si>
    <t xml:space="preserve">Domestic Violence &amp; Mental Health - Council District 45</t>
  </si>
  <si>
    <t xml:space="preserve">Women's Support &amp; DV Program - District 45</t>
  </si>
  <si>
    <t xml:space="preserve">Domestic Violence Services - District 45 </t>
  </si>
  <si>
    <t xml:space="preserve">Community Development Programs - Council District 45</t>
  </si>
  <si>
    <t xml:space="preserve">Partners Uplifting our Daughters and Sons</t>
  </si>
  <si>
    <t xml:space="preserve">473679850</t>
  </si>
  <si>
    <t xml:space="preserve">Youth Engagement &amp; Economic Justice Programs - Council Distr</t>
  </si>
  <si>
    <t xml:space="preserve">Housing Education Services - Council District 45</t>
  </si>
  <si>
    <t xml:space="preserve">Housing Preservation &amp; Counseling - Council District 45</t>
  </si>
  <si>
    <t xml:space="preserve">MWBE Support &amp; Tenant Support - Council District 45</t>
  </si>
  <si>
    <t xml:space="preserve">Community Housing Preservation Strategies - Council District</t>
  </si>
  <si>
    <t xml:space="preserve">Flatbush Cats, Inc.</t>
  </si>
  <si>
    <t xml:space="preserve">824466710</t>
  </si>
  <si>
    <t xml:space="preserve">Pet Food Distribution &amp; Veterinary Outreach - District 45</t>
  </si>
  <si>
    <t xml:space="preserve">Cultural Exploration Programs - Council District 45</t>
  </si>
  <si>
    <t xml:space="preserve">Percussion Programs - Midwood High School (22K405) &amp; Council</t>
  </si>
  <si>
    <t xml:space="preserve">Supporting Small Businesses - Council District 45</t>
  </si>
  <si>
    <t xml:space="preserve">Trauma Informed Services &amp; Supportive Housing - Council Dist</t>
  </si>
  <si>
    <t xml:space="preserve">Cultural &amp; Arts Programming - Council District 45</t>
  </si>
  <si>
    <t xml:space="preserve">LifeLinks: Building Connections &amp; Preventing Suicide - Counc</t>
  </si>
  <si>
    <t xml:space="preserve">Maternal Health and Hope Coalition (MHHCo) &amp; Maternal Health</t>
  </si>
  <si>
    <t xml:space="preserve">Civil Legal Services for Low-Income New Yorkers - Council Di</t>
  </si>
  <si>
    <t xml:space="preserve">Educational Workshops &amp; Support Services</t>
  </si>
  <si>
    <t xml:space="preserve">Rapid-Response Volunteer Engagement Model - Council District</t>
  </si>
  <si>
    <t xml:space="preserve">Arts Programming - Council District 45</t>
  </si>
  <si>
    <t xml:space="preserve">Food Services - Council District 45</t>
  </si>
  <si>
    <t xml:space="preserve">Love &amp; Kindness Wellness Foundation, Inc.</t>
  </si>
  <si>
    <t xml:space="preserve">863030498</t>
  </si>
  <si>
    <t xml:space="preserve">Behavioral Health Programming - Council District 45</t>
  </si>
  <si>
    <t xml:space="preserve">Civil Legal Services - Council District 45</t>
  </si>
  <si>
    <t xml:space="preserve">Youth Violence Intervention Programs - Council District 45</t>
  </si>
  <si>
    <t xml:space="preserve">East Flatbush Community Services - Council District 45</t>
  </si>
  <si>
    <t xml:space="preserve">Mental Health &amp; Supportive Services - Council District 45</t>
  </si>
  <si>
    <t xml:space="preserve">Flatbush Community Fund, Inc.</t>
  </si>
  <si>
    <t xml:space="preserve">823212305</t>
  </si>
  <si>
    <t xml:space="preserve">Food Pantry &amp; Emergency Assistance - Council District 45</t>
  </si>
  <si>
    <t xml:space="preserve">Diaspora Community Services, Inc.</t>
  </si>
  <si>
    <t xml:space="preserve">113122295</t>
  </si>
  <si>
    <t xml:space="preserve">Mothers Gaining Hope House &amp; CONNECT House - Council Distric</t>
  </si>
  <si>
    <t xml:space="preserve">Distribution Events - Council District 45</t>
  </si>
  <si>
    <t xml:space="preserve">Family Support Program - Council District 45</t>
  </si>
  <si>
    <t xml:space="preserve">Brooklyn Level Up, Inc.</t>
  </si>
  <si>
    <t xml:space="preserve">851148315</t>
  </si>
  <si>
    <t xml:space="preserve">Workshop Series &amp; Community Programs - Council District 45</t>
  </si>
  <si>
    <t xml:space="preserve">LGBTQIA+ Community Services - Council District 45</t>
  </si>
  <si>
    <t xml:space="preserve">Multicultural &amp; Education Programs - Council District 45</t>
  </si>
  <si>
    <t xml:space="preserve">Black Veterans for Social Justice, Inc.</t>
  </si>
  <si>
    <t xml:space="preserve">112608983</t>
  </si>
  <si>
    <t xml:space="preserve">Veteran &amp; Community Service - Council District 45</t>
  </si>
  <si>
    <t xml:space="preserve">BKBNK, Inc.</t>
  </si>
  <si>
    <t xml:space="preserve">821420342</t>
  </si>
  <si>
    <t xml:space="preserve">Wealth Builders Program &amp; Financial Literacy Workshops - Cou</t>
  </si>
  <si>
    <t xml:space="preserve">Cultural &amp; Small Business Support - Council District 45</t>
  </si>
  <si>
    <t xml:space="preserve">Cultural Programs - Council District 45</t>
  </si>
  <si>
    <t xml:space="preserve">Haitian Nurses Network, Inc.</t>
  </si>
  <si>
    <t xml:space="preserve">851705457</t>
  </si>
  <si>
    <t xml:space="preserve">Health &amp; Wellness Programs - Council District 45</t>
  </si>
  <si>
    <t xml:space="preserve">Immigrant Health Initiative - Council District 45</t>
  </si>
  <si>
    <t xml:space="preserve">Brooklyn Mental Health Court Program - Council District 45</t>
  </si>
  <si>
    <t xml:space="preserve">The Yard - East Flatbush Family Enrichment Center - Council </t>
  </si>
  <si>
    <t xml:space="preserve">EMT Training Service </t>
  </si>
  <si>
    <t xml:space="preserve">Community Leaders &amp; Neighborhood Business Program - District</t>
  </si>
  <si>
    <t xml:space="preserve">Alopecian Beauty Co</t>
  </si>
  <si>
    <t xml:space="preserve">823132682</t>
  </si>
  <si>
    <t xml:space="preserve">Haircare &amp; Wellness Program Hub - Council District 45 </t>
  </si>
  <si>
    <t xml:space="preserve">Music Classes &amp; Music Therapy - Council District 45 </t>
  </si>
  <si>
    <t xml:space="preserve">Reel Sisters of the Diaspora Film Festival &amp; Lecture Series </t>
  </si>
  <si>
    <t xml:space="preserve">Boys to Manhood Mentorship - Council District 45</t>
  </si>
  <si>
    <t xml:space="preserve">Mental Wellness Services - Council District 45</t>
  </si>
  <si>
    <t xml:space="preserve">Find Community Connection Project, Inc.</t>
  </si>
  <si>
    <t xml:space="preserve">883724403</t>
  </si>
  <si>
    <t xml:space="preserve">Professional Development and Workforce Readiness Program - C</t>
  </si>
  <si>
    <t xml:space="preserve">Pickleball Bi-Weekly Clinics - District 45 </t>
  </si>
  <si>
    <t xml:space="preserve">Caribbean Cultural Experience - Council District 45 </t>
  </si>
  <si>
    <t xml:space="preserve">Kurt Hahn Expeditionary Learning School (18K569)</t>
  </si>
  <si>
    <t xml:space="preserve">Cultural Programs</t>
  </si>
  <si>
    <t xml:space="preserve">Glenwood Houses Tenant Association - District 45</t>
  </si>
  <si>
    <t xml:space="preserve">Healthy Food &amp; Women Program-Council District 45</t>
  </si>
  <si>
    <t xml:space="preserve">CUNY Creative Arts Youth Theater-119K (22K119)</t>
  </si>
  <si>
    <t xml:space="preserve">Food Pantry Services - District 45</t>
  </si>
  <si>
    <t xml:space="preserve">Wyckoff House and Association, Inc.</t>
  </si>
  <si>
    <t xml:space="preserve">112615053</t>
  </si>
  <si>
    <t xml:space="preserve">Education &amp; Cultural Events Council District 45</t>
  </si>
  <si>
    <t xml:space="preserve">Adult Literacy Program - District 45</t>
  </si>
  <si>
    <t xml:space="preserve">New Life Minority</t>
  </si>
  <si>
    <t xml:space="preserve">933274136</t>
  </si>
  <si>
    <t xml:space="preserve">Community Services - District 45</t>
  </si>
  <si>
    <t xml:space="preserve">Juneteenth NYC Festival &amp; Parade - District 45 </t>
  </si>
  <si>
    <t xml:space="preserve">Big Apple Leadership Academy for the Arts, Inc.</t>
  </si>
  <si>
    <t xml:space="preserve">842688048</t>
  </si>
  <si>
    <t xml:space="preserve">Afterschool Programs in District 45 </t>
  </si>
  <si>
    <t xml:space="preserve">Cultural &amp; Small Business Support in CD45</t>
  </si>
  <si>
    <t xml:space="preserve">MLP Sanitation Services - Council District 45</t>
  </si>
  <si>
    <t xml:space="preserve">Community Clean Up &amp; Sanitation Services - Council District </t>
  </si>
  <si>
    <t xml:space="preserve">MWBE/Small Business Support &amp; Economic Initiatives - Council</t>
  </si>
  <si>
    <t xml:space="preserve">Movies, Skate Event &amp; Family Day - Council District 45</t>
  </si>
  <si>
    <t xml:space="preserve">Brooklyn Golf Alliance, Inc.</t>
  </si>
  <si>
    <t xml:space="preserve">460773869</t>
  </si>
  <si>
    <t xml:space="preserve">Youth Golf Programs - Council District 45</t>
  </si>
  <si>
    <t xml:space="preserve">Community Movie &amp; Film Screenings - Council District 45</t>
  </si>
  <si>
    <t xml:space="preserve">Cultural &amp; Community Programs - Council District 45</t>
  </si>
  <si>
    <t xml:space="preserve">Marine Park Alliance Corporation</t>
  </si>
  <si>
    <t xml:space="preserve">463291341</t>
  </si>
  <si>
    <t xml:space="preserve">Community Programs &amp; Cultural Events - Council District 45</t>
  </si>
  <si>
    <t xml:space="preserve">Parks Events - District 45 </t>
  </si>
  <si>
    <t xml:space="preserve">Community Initiatives &amp; Programs Council District 45</t>
  </si>
  <si>
    <t xml:space="preserve">Remsen Sarita Jean OAC</t>
  </si>
  <si>
    <t xml:space="preserve">Philip Howard NORC</t>
  </si>
  <si>
    <t xml:space="preserve">Rights &amp; Information for Senior Empowerment Programming - Co</t>
  </si>
  <si>
    <t xml:space="preserve">Bridging Access to Care</t>
  </si>
  <si>
    <t xml:space="preserve">113031208</t>
  </si>
  <si>
    <t xml:space="preserve">Senior Food Box Distribution - Council District 45</t>
  </si>
  <si>
    <t xml:space="preserve">Community Services - Council District 45</t>
  </si>
  <si>
    <t xml:space="preserve">Senior Programming - Council District 45</t>
  </si>
  <si>
    <t xml:space="preserve">Older Adult Center Performances - Council District 45</t>
  </si>
  <si>
    <t xml:space="preserve">SFI Caribbean Cultural Experiences - Council District 45</t>
  </si>
  <si>
    <t xml:space="preserve">Older Adult Centers, Programs, and Services - Council Distri</t>
  </si>
  <si>
    <t xml:space="preserve">Glenwood Senior Center Programming </t>
  </si>
  <si>
    <t xml:space="preserve">Adult Literacy - Council District 45 </t>
  </si>
  <si>
    <t xml:space="preserve">Arts Programs &amp; Services for Older Adults - Council District</t>
  </si>
  <si>
    <t xml:space="preserve">Flatbush YMCA: Teen Programming - Council District 45</t>
  </si>
  <si>
    <t xml:space="preserve">Youth Programming - Council District 45</t>
  </si>
  <si>
    <t xml:space="preserve">School Programming - Council District 45</t>
  </si>
  <si>
    <t xml:space="preserve">S.T.E.A.M. After-School Program &amp; Academic Support - Council</t>
  </si>
  <si>
    <t xml:space="preserve">Caribbean Heritage Summer Workshop Series - Council District</t>
  </si>
  <si>
    <t xml:space="preserve">Fencing in the Park (FITP) - Council District 45</t>
  </si>
  <si>
    <t xml:space="preserve">Recreational Tennis &amp; Education Programs - Council District </t>
  </si>
  <si>
    <t xml:space="preserve">United Youth Aviators Aviation Flight Academy - Council Dist</t>
  </si>
  <si>
    <t xml:space="preserve">Arthur Project, Inc., The</t>
  </si>
  <si>
    <t xml:space="preserve">812797329</t>
  </si>
  <si>
    <t xml:space="preserve">Youth Programs - Council District 45</t>
  </si>
  <si>
    <t xml:space="preserve">Youth &amp; Cultural Program - Council District 45</t>
  </si>
  <si>
    <t xml:space="preserve">Public School 109K (22K109)</t>
  </si>
  <si>
    <t xml:space="preserve">You Are Not Alone (YANA) Mental Health Program - Council Dis</t>
  </si>
  <si>
    <t xml:space="preserve">TESAC &amp; Youth Programming - Council District 45</t>
  </si>
  <si>
    <t xml:space="preserve">Public School 361K East Flatbush Early Childhood School (22K</t>
  </si>
  <si>
    <t xml:space="preserve">Anne Shore Sleep-Away Camp Childcare Program - Council Distr</t>
  </si>
  <si>
    <t xml:space="preserve">Brooklyn United Music and Arts Development Center, Inc.</t>
  </si>
  <si>
    <t xml:space="preserve">880867237</t>
  </si>
  <si>
    <t xml:space="preserve">Creative Arts, Youth Education &amp; Events - Council District 4</t>
  </si>
  <si>
    <t xml:space="preserve">69th Precinct Clergy Council</t>
  </si>
  <si>
    <t xml:space="preserve">463745556</t>
  </si>
  <si>
    <t xml:space="preserve">Unity in the Community - Council District 45 </t>
  </si>
  <si>
    <t xml:space="preserve">Lenox Hill Neighborhood House, Inc.</t>
  </si>
  <si>
    <t xml:space="preserve">131628180</t>
  </si>
  <si>
    <t xml:space="preserve">Senior Center at Saint Peter's Church</t>
  </si>
  <si>
    <t xml:space="preserve">Council District 04</t>
  </si>
  <si>
    <t xml:space="preserve">Luncheon Club &amp; Older Adults Program</t>
  </si>
  <si>
    <t xml:space="preserve">Older Adult Programming</t>
  </si>
  <si>
    <t xml:space="preserve">The Stonewall Bridge</t>
  </si>
  <si>
    <t xml:space="preserve">Senior Transportation</t>
  </si>
  <si>
    <t xml:space="preserve">Helping Older New Yorkers Age Safely in Place</t>
  </si>
  <si>
    <t xml:space="preserve">The SAGE Center</t>
  </si>
  <si>
    <t xml:space="preserve">Vocal Ease Live Music Events</t>
  </si>
  <si>
    <t xml:space="preserve">Healthy Aging Program</t>
  </si>
  <si>
    <t xml:space="preserve">Woodstock Senior Center</t>
  </si>
  <si>
    <t xml:space="preserve">Lower East Side Tenement Museum, The</t>
  </si>
  <si>
    <t xml:space="preserve">133475390</t>
  </si>
  <si>
    <t xml:space="preserve">NYC Grade K-12 Students Onsite &amp; Virtual Tour Programs</t>
  </si>
  <si>
    <t xml:space="preserve">Mommy's Heart, Inc.</t>
  </si>
  <si>
    <t xml:space="preserve">874833078</t>
  </si>
  <si>
    <t xml:space="preserve">Free Family Visitation &amp; Sanctuary Housing</t>
  </si>
  <si>
    <t xml:space="preserve">Community First</t>
  </si>
  <si>
    <t xml:space="preserve">Bard Prison Initiative</t>
  </si>
  <si>
    <t xml:space="preserve">GrowNYC - Council District 04</t>
  </si>
  <si>
    <t xml:space="preserve">Crossroads Clinic Services</t>
  </si>
  <si>
    <t xml:space="preserve">112635374</t>
  </si>
  <si>
    <t xml:space="preserve">STPCV Tenants Association Foundation, Inc.</t>
  </si>
  <si>
    <t xml:space="preserve">274554330</t>
  </si>
  <si>
    <t xml:space="preserve">Rat Fumigation</t>
  </si>
  <si>
    <t xml:space="preserve">TFI Digital Archive</t>
  </si>
  <si>
    <t xml:space="preserve">821159850</t>
  </si>
  <si>
    <t xml:space="preserve">The Feminist Institute</t>
  </si>
  <si>
    <t xml:space="preserve">Capacity Building for Sexual &amp; Reproductive Health Care Prof</t>
  </si>
  <si>
    <t xml:space="preserve">Bicycle Helmet Fittings - Council District 04</t>
  </si>
  <si>
    <t xml:space="preserve">Waterside Tenants Association</t>
  </si>
  <si>
    <t xml:space="preserve">562596903</t>
  </si>
  <si>
    <t xml:space="preserve">Manhattan Community Board #8</t>
  </si>
  <si>
    <t xml:space="preserve">AIDS Service Center of Lower Manhattan, Inc.</t>
  </si>
  <si>
    <t xml:space="preserve">133562071</t>
  </si>
  <si>
    <t xml:space="preserve">Patients Access to Health - Council District 04</t>
  </si>
  <si>
    <t xml:space="preserve">Irish Arts Center</t>
  </si>
  <si>
    <t xml:space="preserve">East 86th Street Merchants and Residents Association, Inc.</t>
  </si>
  <si>
    <t xml:space="preserve">061756910</t>
  </si>
  <si>
    <t xml:space="preserve">Music &amp; The Brain - Council District 04</t>
  </si>
  <si>
    <t xml:space="preserve">Grand Central Van Food Program - Council District 4</t>
  </si>
  <si>
    <t xml:space="preserve">Feminist Press, Inc.</t>
  </si>
  <si>
    <t xml:space="preserve">237108499</t>
  </si>
  <si>
    <t xml:space="preserve">Frick Collection, The</t>
  </si>
  <si>
    <t xml:space="preserve">131624012</t>
  </si>
  <si>
    <t xml:space="preserve">Guided School &amp; College Visits</t>
  </si>
  <si>
    <t xml:space="preserve">Friends of Dag Hammarskjold Plaza</t>
  </si>
  <si>
    <t xml:space="preserve">133749587</t>
  </si>
  <si>
    <t xml:space="preserve">Friends of the Upper East Side Historic Districts</t>
  </si>
  <si>
    <t xml:space="preserve">133193351</t>
  </si>
  <si>
    <t xml:space="preserve">Hepatitis C Mentor and Support Group, Inc., The</t>
  </si>
  <si>
    <t xml:space="preserve">274155461</t>
  </si>
  <si>
    <t xml:space="preserve">Historic Districts Council, Inc.</t>
  </si>
  <si>
    <t xml:space="preserve">133389566</t>
  </si>
  <si>
    <t xml:space="preserve">Job Readiness Training Programs</t>
  </si>
  <si>
    <t xml:space="preserve">Japan Society, Inc.</t>
  </si>
  <si>
    <t xml:space="preserve">131675082</t>
  </si>
  <si>
    <t xml:space="preserve">Kips Bay Neighborhood Alliance</t>
  </si>
  <si>
    <t xml:space="preserve">455308456</t>
  </si>
  <si>
    <t xml:space="preserve">Manhattan Satellite Office</t>
  </si>
  <si>
    <t xml:space="preserve">School Visits - Council District 04</t>
  </si>
  <si>
    <t xml:space="preserve">Manhattan Theatre Club, Inc.</t>
  </si>
  <si>
    <t xml:space="preserve">237086643</t>
  </si>
  <si>
    <t xml:space="preserve">Stargate Theatre Program</t>
  </si>
  <si>
    <t xml:space="preserve">Family Day Programs</t>
  </si>
  <si>
    <t xml:space="preserve">Museum of Jewish Heritage - A Living Memorial to the Holocaust</t>
  </si>
  <si>
    <t xml:space="preserve">133376265</t>
  </si>
  <si>
    <t xml:space="preserve">Neighborhood Coalition for Shelter, Inc.</t>
  </si>
  <si>
    <t xml:space="preserve">133176586</t>
  </si>
  <si>
    <t xml:space="preserve">New York Irish Center, Inc.</t>
  </si>
  <si>
    <t xml:space="preserve">550869151</t>
  </si>
  <si>
    <t xml:space="preserve">Neighbors - Council District 04</t>
  </si>
  <si>
    <t xml:space="preserve">The Laughter Series - Council District 04</t>
  </si>
  <si>
    <t xml:space="preserve">Paley Center for Media, The</t>
  </si>
  <si>
    <t xml:space="preserve">132805582</t>
  </si>
  <si>
    <t xml:space="preserve">Education Program</t>
  </si>
  <si>
    <t xml:space="preserve">Pursuit Transformation Company, Inc.</t>
  </si>
  <si>
    <t xml:space="preserve">611652332</t>
  </si>
  <si>
    <t xml:space="preserve">Stronger Together: Building Suicide-Safer Communities</t>
  </si>
  <si>
    <t xml:space="preserve">Council District 4</t>
  </si>
  <si>
    <t xml:space="preserve">Street Vendor Project</t>
  </si>
  <si>
    <t xml:space="preserve">Working Today, Inc.</t>
  </si>
  <si>
    <t xml:space="preserve">133858323</t>
  </si>
  <si>
    <t xml:space="preserve">New York Urban League, Inc.</t>
  </si>
  <si>
    <t xml:space="preserve">131671035</t>
  </si>
  <si>
    <t xml:space="preserve">Urban Pathways, Inc.</t>
  </si>
  <si>
    <t xml:space="preserve">132933675</t>
  </si>
  <si>
    <t xml:space="preserve">Urban Pathways </t>
  </si>
  <si>
    <t xml:space="preserve">Sutton Place Parks Conservancy, Inc.</t>
  </si>
  <si>
    <t xml:space="preserve">474054653</t>
  </si>
  <si>
    <t xml:space="preserve">Community Events </t>
  </si>
  <si>
    <t xml:space="preserve">Green Space - High School of Art and Design</t>
  </si>
  <si>
    <t xml:space="preserve">Daddy &amp; Me Swimming Program - 14th Street Y</t>
  </si>
  <si>
    <t xml:space="preserve">Vanderbilt YMCA - Youth Programming</t>
  </si>
  <si>
    <t xml:space="preserve">Press Pass NYC Journalism Programs - Council District 4</t>
  </si>
  <si>
    <t xml:space="preserve">Decode Hate Program - Council District 04</t>
  </si>
  <si>
    <t xml:space="preserve"> Broadway Bridges</t>
  </si>
  <si>
    <t xml:space="preserve">Hunter College High School PTA</t>
  </si>
  <si>
    <t xml:space="preserve">133236281</t>
  </si>
  <si>
    <t xml:space="preserve">Court Appointed Special Advocates, Inc.</t>
  </si>
  <si>
    <t xml:space="preserve">133172387</t>
  </si>
  <si>
    <t xml:space="preserve">New Alternatives for Children, Inc.</t>
  </si>
  <si>
    <t xml:space="preserve">133149298</t>
  </si>
  <si>
    <t xml:space="preserve">NAC Building Blocks: Nurturing Parent-Child Bonding Program</t>
  </si>
  <si>
    <t xml:space="preserve">New York Cares, Inc.</t>
  </si>
  <si>
    <t xml:space="preserve">133444193</t>
  </si>
  <si>
    <t xml:space="preserve">Positive Influence, Inc.</t>
  </si>
  <si>
    <t xml:space="preserve">562519776</t>
  </si>
  <si>
    <t xml:space="preserve">Youth Sports &amp; Mentoring Program</t>
  </si>
  <si>
    <t xml:space="preserve">Mapping Stories: Upper West Side Cultural Archive</t>
  </si>
  <si>
    <t xml:space="preserve">Young Mothers Program (YMP)</t>
  </si>
  <si>
    <t xml:space="preserve">West Harlem Summer Jazz Festival &amp; Arts Programming</t>
  </si>
  <si>
    <t xml:space="preserve">Youth Community Dance Program</t>
  </si>
  <si>
    <t xml:space="preserve">Tato Laviera Arts Residencies &amp; Public Programming</t>
  </si>
  <si>
    <t xml:space="preserve">Mama Foundation for the Arts, Inc.</t>
  </si>
  <si>
    <t xml:space="preserve">311614732</t>
  </si>
  <si>
    <t xml:space="preserve">Harlem Musical Arts Education Program</t>
  </si>
  <si>
    <t xml:space="preserve">Harlem Week, Inc.</t>
  </si>
  <si>
    <t xml:space="preserve">133058019</t>
  </si>
  <si>
    <t xml:space="preserve">Youth Innovation &amp; Technology Initiative</t>
  </si>
  <si>
    <t xml:space="preserve">Chamber of Commerce of Washington Heights and Inwood</t>
  </si>
  <si>
    <t xml:space="preserve">132886495</t>
  </si>
  <si>
    <t xml:space="preserve">Financial Literacy &amp; Community Education Program</t>
  </si>
  <si>
    <t xml:space="preserve">Elder Abuse &amp; Mental Health Initiative</t>
  </si>
  <si>
    <t xml:space="preserve">Community Arts &amp; Cultural Festivals</t>
  </si>
  <si>
    <t xml:space="preserve">Literacy Academy Collective, Inc.</t>
  </si>
  <si>
    <t xml:space="preserve">872913798</t>
  </si>
  <si>
    <t xml:space="preserve">Summer Literacy Academy</t>
  </si>
  <si>
    <t xml:space="preserve">Public Programming &amp; Environmental Education</t>
  </si>
  <si>
    <t xml:space="preserve">CEC Stuyvesant Cove, Inc.</t>
  </si>
  <si>
    <t xml:space="preserve">522440116</t>
  </si>
  <si>
    <t xml:space="preserve">Solar One Environmental Education Program</t>
  </si>
  <si>
    <t xml:space="preserve">Volunteer Lawyers for the Arts, Inc.</t>
  </si>
  <si>
    <t xml:space="preserve">132936291</t>
  </si>
  <si>
    <t xml:space="preserve">Legal Services &amp; Legal Clinics</t>
  </si>
  <si>
    <t xml:space="preserve">GrowNYC Farmstand</t>
  </si>
  <si>
    <t xml:space="preserve">Billion Oyster Project School Network</t>
  </si>
  <si>
    <t xml:space="preserve">Loisaida United Neighborhood Gardens Inc.</t>
  </si>
  <si>
    <t xml:space="preserve">821433461</t>
  </si>
  <si>
    <t xml:space="preserve">Summer Youth Employment &amp; CSA Operational Assistance</t>
  </si>
  <si>
    <t xml:space="preserve">Hudson River Park Friends Volunteer Program</t>
  </si>
  <si>
    <t xml:space="preserve">More Gardens! Art &amp; Nature Creation &amp; Programming</t>
  </si>
  <si>
    <t xml:space="preserve">Skate Night &amp; Jazz Night - Council District 1</t>
  </si>
  <si>
    <t xml:space="preserve">Hamilton-Madison House, Inc.</t>
  </si>
  <si>
    <t xml:space="preserve">135562412</t>
  </si>
  <si>
    <t xml:space="preserve">Older Adult Center Programs &amp; Enhancements</t>
  </si>
  <si>
    <t xml:space="preserve">City Hall Older Adult Center</t>
  </si>
  <si>
    <t xml:space="preserve">Independence Plaza Older Adult Center</t>
  </si>
  <si>
    <t xml:space="preserve">Music School Older Adult Choral &amp; Songwriting Classes</t>
  </si>
  <si>
    <t xml:space="preserve">Weinberg Center for Balanced Living</t>
  </si>
  <si>
    <t xml:space="preserve">LaGuardia Older Adult Center</t>
  </si>
  <si>
    <t xml:space="preserve">Mott Street Older Adult Center</t>
  </si>
  <si>
    <t xml:space="preserve">Adult Luncheon Club</t>
  </si>
  <si>
    <t xml:space="preserve">Neighborhood Center &amp; Older Adults HeART Program</t>
  </si>
  <si>
    <t xml:space="preserve">CaringKind NYC: MAWSP Community Outreach and Family Support </t>
  </si>
  <si>
    <t xml:space="preserve">Relationship-Building &amp; Wellness Program - Council District </t>
  </si>
  <si>
    <t xml:space="preserve">National Mobilization Against SweatShops</t>
  </si>
  <si>
    <t xml:space="preserve">061540438</t>
  </si>
  <si>
    <t xml:space="preserve">Low-wage Worker Support Fund</t>
  </si>
  <si>
    <t xml:space="preserve">Holocaust Survivor Assistance Program</t>
  </si>
  <si>
    <t xml:space="preserve">Chinatown Manpower Project, Inc.</t>
  </si>
  <si>
    <t xml:space="preserve">132755214</t>
  </si>
  <si>
    <t xml:space="preserve">Workforce &amp; Entrepreneurship Programming &amp; Services</t>
  </si>
  <si>
    <t xml:space="preserve">Grand Central Food Program - Council District 1</t>
  </si>
  <si>
    <t xml:space="preserve">Housing Organizing &amp; Services</t>
  </si>
  <si>
    <t xml:space="preserve">Instituto Arte Teatral Internacional, Inc.</t>
  </si>
  <si>
    <t xml:space="preserve">133111859</t>
  </si>
  <si>
    <t xml:space="preserve">Cimientos Play Development Program</t>
  </si>
  <si>
    <t xml:space="preserve">Citywide Youth Development - Arts Program</t>
  </si>
  <si>
    <t xml:space="preserve">Movement Speaks Programming</t>
  </si>
  <si>
    <t xml:space="preserve">Why Not Care, Inc.</t>
  </si>
  <si>
    <t xml:space="preserve">813043817</t>
  </si>
  <si>
    <t xml:space="preserve">LES United Festival</t>
  </si>
  <si>
    <t xml:space="preserve">Chinese Staff and Workers Association, Inc.</t>
  </si>
  <si>
    <t xml:space="preserve">133015932</t>
  </si>
  <si>
    <t xml:space="preserve">Anti-Displacement Organizing Program</t>
  </si>
  <si>
    <t xml:space="preserve">CREATE in Chinatown</t>
  </si>
  <si>
    <t xml:space="preserve">200434850</t>
  </si>
  <si>
    <t xml:space="preserve">Chinatown Nights</t>
  </si>
  <si>
    <t xml:space="preserve">Cheerleading Team - New Design High School (02M543)</t>
  </si>
  <si>
    <t xml:space="preserve">Downtown Community Television Center, Inc.</t>
  </si>
  <si>
    <t xml:space="preserve">132742777</t>
  </si>
  <si>
    <t xml:space="preserve">Public Media Arts Events - DCTV Firehouse</t>
  </si>
  <si>
    <t xml:space="preserve">Student Sponsor Partnership, Inc.</t>
  </si>
  <si>
    <t xml:space="preserve">133392965</t>
  </si>
  <si>
    <t xml:space="preserve">College and Career Program</t>
  </si>
  <si>
    <t xml:space="preserve">NYCHA Arts Initiative</t>
  </si>
  <si>
    <t xml:space="preserve">Welcome to Chinatown, Inc.</t>
  </si>
  <si>
    <t xml:space="preserve">881524156</t>
  </si>
  <si>
    <t xml:space="preserve">Helmet Giveaway - Council District 1</t>
  </si>
  <si>
    <t xml:space="preserve">Public School 002M Meyer London (02M002)</t>
  </si>
  <si>
    <t xml:space="preserve">Public School 142M Amalia Castro (01M142)</t>
  </si>
  <si>
    <t xml:space="preserve">Public School 020M Anna Silver (01M020)</t>
  </si>
  <si>
    <t xml:space="preserve">Public School M134 (01M134)</t>
  </si>
  <si>
    <t xml:space="preserve">Public School 094M (75M094)</t>
  </si>
  <si>
    <t xml:space="preserve">Museum at Eldridge Street</t>
  </si>
  <si>
    <t xml:space="preserve">133379555</t>
  </si>
  <si>
    <t xml:space="preserve">Public School 001 Alfred E. Smith (02M001)</t>
  </si>
  <si>
    <t xml:space="preserve">Public School 184M Shuang Wen (01M184)</t>
  </si>
  <si>
    <t xml:space="preserve">Paper Bag Players, Inc., The</t>
  </si>
  <si>
    <t xml:space="preserve">131972960</t>
  </si>
  <si>
    <t xml:space="preserve">Lower Manhattan Arts Academy (02M308)</t>
  </si>
  <si>
    <t xml:space="preserve">Battery Park City School (02M276)</t>
  </si>
  <si>
    <t xml:space="preserve">Public School 130M Hernando De Soto (02M130) - 92Y After-Sch</t>
  </si>
  <si>
    <t xml:space="preserve">Public School 124M Yung Wing (02M124)</t>
  </si>
  <si>
    <t xml:space="preserve">Emma Lazarus High School (02M394) - Council District 1</t>
  </si>
  <si>
    <t xml:space="preserve">LES Cultural Programming</t>
  </si>
  <si>
    <t xml:space="preserve">Annual Celebration of Triumph of the Human Spirit &amp; Educatio</t>
  </si>
  <si>
    <t xml:space="preserve">Asian American Arts Alliance</t>
  </si>
  <si>
    <t xml:space="preserve">133480189</t>
  </si>
  <si>
    <t xml:space="preserve">What Can We Do?</t>
  </si>
  <si>
    <t xml:space="preserve">Indochina Sino-American Senior Citizen Center, Inc.</t>
  </si>
  <si>
    <t xml:space="preserve">133584616</t>
  </si>
  <si>
    <t xml:space="preserve">Citizenship Virtual Online Class, Immigration Services &amp; You</t>
  </si>
  <si>
    <t xml:space="preserve">CII-BALLROOM BASIX Multi-Cultural In-School Program</t>
  </si>
  <si>
    <t xml:space="preserve">CITYarts, Inc.</t>
  </si>
  <si>
    <t xml:space="preserve">132766701</t>
  </si>
  <si>
    <t xml:space="preserve">Workshop/Enrichment Activities for at-risk and underserved y</t>
  </si>
  <si>
    <t xml:space="preserve">Chinese Art Programs through Cultural Partnerships &amp; Arts in</t>
  </si>
  <si>
    <t xml:space="preserve">Water Ecology, Engineering Virtual Lessons &amp; Field Trips</t>
  </si>
  <si>
    <t xml:space="preserve">Low-Wage Worker Support Against Wage Theft and Exploitation</t>
  </si>
  <si>
    <t xml:space="preserve">Grade K-12 Tour Programs (Onsite and Virtual)</t>
  </si>
  <si>
    <t xml:space="preserve">Clemente Soto Velez Cultural and Education Center, Inc.</t>
  </si>
  <si>
    <t xml:space="preserve">133735337</t>
  </si>
  <si>
    <t xml:space="preserve">CII - Nueva York Chronicles &amp; Historias in Motion digital mo</t>
  </si>
  <si>
    <t xml:space="preserve">The Clemente's Building Community Through the Arts Program (</t>
  </si>
  <si>
    <t xml:space="preserve">African Burial Ground Memorial</t>
  </si>
  <si>
    <t xml:space="preserve">Flea Theater, Inc., The</t>
  </si>
  <si>
    <t xml:space="preserve">133904262</t>
  </si>
  <si>
    <t xml:space="preserve">Free public performances commemorating Juneteenth</t>
  </si>
  <si>
    <t xml:space="preserve">Urban Investigation at Forsyth Satellite Academy</t>
  </si>
  <si>
    <t xml:space="preserve">Youth Robotics Leagues and STEM Programs for District 1.</t>
  </si>
  <si>
    <t xml:space="preserve">Vision Urbana's Senior Digital Literacy program</t>
  </si>
  <si>
    <t xml:space="preserve">UA3 Digital Inclusion and Literacy Program</t>
  </si>
  <si>
    <t xml:space="preserve">Southbridge Towers Social Service Program</t>
  </si>
  <si>
    <t xml:space="preserve">New York Justice For Our Neighbors, Inc.</t>
  </si>
  <si>
    <t xml:space="preserve">842948798</t>
  </si>
  <si>
    <t xml:space="preserve">Free immigration legal services and education</t>
  </si>
  <si>
    <t xml:space="preserve">Domestic Violence Shelter</t>
  </si>
  <si>
    <t xml:space="preserve">The Door’s LGBTQIA+ Services</t>
  </si>
  <si>
    <t xml:space="preserve">AID for AIDS International, Inc.</t>
  </si>
  <si>
    <t xml:space="preserve">133954568</t>
  </si>
  <si>
    <t xml:space="preserve">Immigration Court Legal Representation for Asylum Seekers</t>
  </si>
  <si>
    <t xml:space="preserve">Legal Services for Low-Income New Yorkers</t>
  </si>
  <si>
    <t xml:space="preserve">Exhale to Inhale, Inc.</t>
  </si>
  <si>
    <t xml:space="preserve">464225128</t>
  </si>
  <si>
    <t xml:space="preserve">Wellness Access for NYC Survivors of Domestic and Sexual Vio</t>
  </si>
  <si>
    <t xml:space="preserve">Support for Gender Based Violence Survivors in NYC</t>
  </si>
  <si>
    <t xml:space="preserve">Restore NYC, Inc.</t>
  </si>
  <si>
    <t xml:space="preserve">202390142</t>
  </si>
  <si>
    <t xml:space="preserve">Restore NYC's Services for Survivors of Trafficking</t>
  </si>
  <si>
    <t xml:space="preserve">District 1 Housing Justice Clinic </t>
  </si>
  <si>
    <t xml:space="preserve">Council District 1</t>
  </si>
  <si>
    <t xml:space="preserve">Third Street Music School</t>
  </si>
  <si>
    <t xml:space="preserve">Clayton Patterson &amp; Elsa Rensaa Foundation, Inc.</t>
  </si>
  <si>
    <t xml:space="preserve">414350259</t>
  </si>
  <si>
    <t xml:space="preserve">Borough of Manhattan Community College - Early Childhood Cen</t>
  </si>
  <si>
    <t xml:space="preserve">Hotel Chinese Association of USA, Inc.</t>
  </si>
  <si>
    <t xml:space="preserve">260603387</t>
  </si>
  <si>
    <t xml:space="preserve">Meals for Unity, Inc.</t>
  </si>
  <si>
    <t xml:space="preserve">870839266</t>
  </si>
  <si>
    <t xml:space="preserve">Meal Distribution Program</t>
  </si>
  <si>
    <t xml:space="preserve">Battery Dance Corporation</t>
  </si>
  <si>
    <t xml:space="preserve">237418859</t>
  </si>
  <si>
    <t xml:space="preserve">Battery Dance Festival</t>
  </si>
  <si>
    <t xml:space="preserve">Aftercare &amp; Shelter Employment Program</t>
  </si>
  <si>
    <t xml:space="preserve">Lower East Side District Management Corporation, Inc.</t>
  </si>
  <si>
    <t xml:space="preserve">133683266</t>
  </si>
  <si>
    <t xml:space="preserve">Community Safety Initiative - Council District 1</t>
  </si>
  <si>
    <t xml:space="preserve">Poets House</t>
  </si>
  <si>
    <t xml:space="preserve">133255098</t>
  </si>
  <si>
    <t xml:space="preserve">Youth Arts Enrichment &amp; Education Programs</t>
  </si>
  <si>
    <t xml:space="preserve">Metropolitan Asian Deaf Association</t>
  </si>
  <si>
    <t xml:space="preserve">571163722</t>
  </si>
  <si>
    <t xml:space="preserve">Annual Commemoration of Juneteenth</t>
  </si>
  <si>
    <t xml:space="preserve">Manhattan Community Board #1</t>
  </si>
  <si>
    <t xml:space="preserve">Alfred E Smith Houses</t>
  </si>
  <si>
    <t xml:space="preserve">ABC No Rio, Inc.</t>
  </si>
  <si>
    <t xml:space="preserve">133171739</t>
  </si>
  <si>
    <t xml:space="preserve">Program and Operations</t>
  </si>
  <si>
    <t xml:space="preserve">Alliance HIV Prevention Network</t>
  </si>
  <si>
    <t xml:space="preserve">Small Business Accessibility &amp; ADA Lawsuit Guidance - Virtua</t>
  </si>
  <si>
    <t xml:space="preserve">Artists Alliance Inc.</t>
  </si>
  <si>
    <t xml:space="preserve">134058830</t>
  </si>
  <si>
    <t xml:space="preserve">In-School Residency - Council District 1</t>
  </si>
  <si>
    <t xml:space="preserve">Arts for Art, Inc.</t>
  </si>
  <si>
    <t xml:space="preserve">133991848</t>
  </si>
  <si>
    <t xml:space="preserve">In Gardens Festival, OUT Festival &amp; Music Is Mine - Council </t>
  </si>
  <si>
    <t xml:space="preserve">Buddhist Tzu Chi Foundation</t>
  </si>
  <si>
    <t xml:space="preserve">942952782</t>
  </si>
  <si>
    <t xml:space="preserve">Nutritional Education Workshops</t>
  </si>
  <si>
    <t xml:space="preserve">Center for Appellate Litigation, Inc.</t>
  </si>
  <si>
    <t xml:space="preserve">113360488</t>
  </si>
  <si>
    <t xml:space="preserve">Books Beyond Bars Program</t>
  </si>
  <si>
    <t xml:space="preserve">Charles B. Wang Community Health Center, Inc.</t>
  </si>
  <si>
    <t xml:space="preserve">132739694</t>
  </si>
  <si>
    <t xml:space="preserve">Teen Resource Center (TRC)</t>
  </si>
  <si>
    <t xml:space="preserve">Chinatown District Management Association, Inc.</t>
  </si>
  <si>
    <t xml:space="preserve">455491393</t>
  </si>
  <si>
    <t xml:space="preserve">Community Clean-up - Council District 1</t>
  </si>
  <si>
    <t xml:space="preserve">Chinatown Partnership Local Development Corporation</t>
  </si>
  <si>
    <t xml:space="preserve">421650478</t>
  </si>
  <si>
    <t xml:space="preserve">Community Education Workshops - Council District 1</t>
  </si>
  <si>
    <t xml:space="preserve">Chinese Peoples Federation for World Peace USA, Inc.</t>
  </si>
  <si>
    <t xml:space="preserve">832630080</t>
  </si>
  <si>
    <t xml:space="preserve">Community Leaders &amp; Neighborhood Business Programs</t>
  </si>
  <si>
    <t xml:space="preserve">Early Care Education Institute</t>
  </si>
  <si>
    <t xml:space="preserve">Tenant Counseling &amp; Organizing Services - Council District 1</t>
  </si>
  <si>
    <t xml:space="preserve">Weinberg Center For Balanced Living &amp; Manny Cantor Center</t>
  </si>
  <si>
    <t xml:space="preserve">Friends of Bogardus Plaza, Inc.</t>
  </si>
  <si>
    <t xml:space="preserve">273300541</t>
  </si>
  <si>
    <t xml:space="preserve">Children's Education, Public Tours, Lectures &amp; Events</t>
  </si>
  <si>
    <t xml:space="preserve">Annual Latin Festival</t>
  </si>
  <si>
    <t xml:space="preserve">House of Good Deeds, Inc.</t>
  </si>
  <si>
    <t xml:space="preserve">364859482</t>
  </si>
  <si>
    <t xml:space="preserve">Community Food Access &amp; Support Program</t>
  </si>
  <si>
    <t xml:space="preserve">Educational Programs - Historic Neighborhoods</t>
  </si>
  <si>
    <t xml:space="preserve">La Mama Kids</t>
  </si>
  <si>
    <t xml:space="preserve">Leslie-Lohman Museum of Gay and Lesbian Art, The</t>
  </si>
  <si>
    <t xml:space="preserve">461245243</t>
  </si>
  <si>
    <t xml:space="preserve">Art Programming, Education Initiatives &amp; Community Engagemen</t>
  </si>
  <si>
    <t xml:space="preserve">Educational Programming - Council District 1</t>
  </si>
  <si>
    <t xml:space="preserve">Chance to Connect &amp; Street Sheets</t>
  </si>
  <si>
    <t xml:space="preserve">Rutgers Houses</t>
  </si>
  <si>
    <t xml:space="preserve">Lower East Side I Infill</t>
  </si>
  <si>
    <t xml:space="preserve">Vladeck Houses</t>
  </si>
  <si>
    <t xml:space="preserve">New York Videogame Critics Circle, Inc.</t>
  </si>
  <si>
    <t xml:space="preserve">823387804</t>
  </si>
  <si>
    <t xml:space="preserve">Playing With Purpose</t>
  </si>
  <si>
    <t xml:space="preserve">NYC Kids Project</t>
  </si>
  <si>
    <t xml:space="preserve">472103754</t>
  </si>
  <si>
    <t xml:space="preserve">Stand-Up Comedy - Council District 1</t>
  </si>
  <si>
    <t xml:space="preserve">Theater For All - Public School 20M Anna Silver (01M020)</t>
  </si>
  <si>
    <t xml:space="preserve">Peculiar Works Project, Inc.</t>
  </si>
  <si>
    <t xml:space="preserve">134089362</t>
  </si>
  <si>
    <t xml:space="preserve">Youth Filmmaking Program - Council District 1</t>
  </si>
  <si>
    <t xml:space="preserve">PS Broadway</t>
  </si>
  <si>
    <t xml:space="preserve">Puppetry, Storytelling &amp; Performance - Public School 2M Meye</t>
  </si>
  <si>
    <t xml:space="preserve">Shakespeare Downtown, Inc.</t>
  </si>
  <si>
    <t xml:space="preserve">462522499</t>
  </si>
  <si>
    <t xml:space="preserve">Summer Productions - Council District 1</t>
  </si>
  <si>
    <t xml:space="preserve">Shanghai Association in USA, Inc.</t>
  </si>
  <si>
    <t xml:space="preserve">461580361</t>
  </si>
  <si>
    <t xml:space="preserve">Education, Cultural Exchange &amp; Community Engagement Program</t>
  </si>
  <si>
    <t xml:space="preserve">Blind Youth Services &amp; Opportunities Program</t>
  </si>
  <si>
    <t xml:space="preserve">Chinatown YMCA: AAPI Community Programming</t>
  </si>
  <si>
    <t xml:space="preserve">Zhanjiang Association of America Corp</t>
  </si>
  <si>
    <t xml:space="preserve">831290945</t>
  </si>
  <si>
    <t xml:space="preserve">Stronger Together, Inc.</t>
  </si>
  <si>
    <t xml:space="preserve">384326035</t>
  </si>
  <si>
    <t xml:space="preserve">Fitness Sessions - Council District 1</t>
  </si>
  <si>
    <t xml:space="preserve">Dominican Heritage Festival</t>
  </si>
  <si>
    <t xml:space="preserve">Two Bridges</t>
  </si>
  <si>
    <t xml:space="preserve">LaGuardia Houses</t>
  </si>
  <si>
    <t xml:space="preserve">45 Allen Street</t>
  </si>
  <si>
    <t xml:space="preserve">Rafael Hernandez Houses</t>
  </si>
  <si>
    <t xml:space="preserve">Seward Park Extension</t>
  </si>
  <si>
    <t xml:space="preserve">LaGuardia Addition</t>
  </si>
  <si>
    <t xml:space="preserve">189 Stanton Street</t>
  </si>
  <si>
    <t xml:space="preserve">ACE's Supplemental Sanitation Services</t>
  </si>
  <si>
    <t xml:space="preserve">Zero Waste Youth Internship Program</t>
  </si>
  <si>
    <t xml:space="preserve">Litter Basket Service</t>
  </si>
  <si>
    <t xml:space="preserve">General Clean-up, Compost, Street Tree Care Programming</t>
  </si>
  <si>
    <t xml:space="preserve">GrowNYC’s Governors Island Teaching Garden</t>
  </si>
  <si>
    <t xml:space="preserve">Wellness and Workforce Development programs</t>
  </si>
  <si>
    <t xml:space="preserve">Girls Basketball Programming</t>
  </si>
  <si>
    <t xml:space="preserve">Egg Rolls, Egg Creams, and Empanadas Festival - Council Dist</t>
  </si>
  <si>
    <t xml:space="preserve">DYCD: Horticulture, Education, Therapeutic Horticulture, &amp; P</t>
  </si>
  <si>
    <t xml:space="preserve">ACE Supplemental Sanitation / Horticultural Services in City</t>
  </si>
  <si>
    <t xml:space="preserve">Compost Processing &amp; Compost Education at Earth Matter </t>
  </si>
  <si>
    <t xml:space="preserve">Street Trees &amp; Tree Guards - Council District 1</t>
  </si>
  <si>
    <t xml:space="preserve">12 Park Friends, Inc.</t>
  </si>
  <si>
    <t xml:space="preserve">844141413</t>
  </si>
  <si>
    <t xml:space="preserve">Youth Sports Programs (Volleyball, Soccer, Basketball)</t>
  </si>
  <si>
    <t xml:space="preserve">Immigrant Social Services, Inc.</t>
  </si>
  <si>
    <t xml:space="preserve">132689273</t>
  </si>
  <si>
    <t xml:space="preserve">Chung Pak Senior Wellness and Activities Together</t>
  </si>
  <si>
    <t xml:space="preserve">Friends of Corlears Hook Park, Inc.</t>
  </si>
  <si>
    <t xml:space="preserve">473832182</t>
  </si>
  <si>
    <t xml:space="preserve">Ongoing Garden Care and Event Programming in Council Distric</t>
  </si>
  <si>
    <t xml:space="preserve">Brooklyn Bridge Park Boathouse, Inc.</t>
  </si>
  <si>
    <t xml:space="preserve">274101859</t>
  </si>
  <si>
    <t xml:space="preserve">Skate Night and Jazz Night</t>
  </si>
  <si>
    <t xml:space="preserve">UJCES Adult Luncheon Club</t>
  </si>
  <si>
    <t xml:space="preserve">University Settlement's Adult Literacy Program</t>
  </si>
  <si>
    <t xml:space="preserve">Church Street School for Music and Art, Inc.</t>
  </si>
  <si>
    <t xml:space="preserve">133693660</t>
  </si>
  <si>
    <t xml:space="preserve">Music and Art Enrichment Programs</t>
  </si>
  <si>
    <t xml:space="preserve">University Settlement’s Senior HeART Program</t>
  </si>
  <si>
    <t xml:space="preserve">Vision Urbana Senior Center for Immigrant Populations </t>
  </si>
  <si>
    <t xml:space="preserve">Henry Street Settlement Older Adult Services</t>
  </si>
  <si>
    <t xml:space="preserve">Grand St Guild Yoga</t>
  </si>
  <si>
    <t xml:space="preserve">Music &amp; Art Enrichment Programs</t>
  </si>
  <si>
    <t xml:space="preserve">Saturday Arts Program</t>
  </si>
  <si>
    <t xml:space="preserve">Internship Program</t>
  </si>
  <si>
    <t xml:space="preserve">LIFT Youth Development Program – Asian American Focus</t>
  </si>
  <si>
    <t xml:space="preserve">Sol Lain Athletic Association - Council District 1</t>
  </si>
  <si>
    <t xml:space="preserve">A Place for Kids, Inc.</t>
  </si>
  <si>
    <t xml:space="preserve">133624631</t>
  </si>
  <si>
    <t xml:space="preserve">Fulton Market Association, Inc.</t>
  </si>
  <si>
    <t xml:space="preserve">812871972</t>
  </si>
  <si>
    <t xml:space="preserve">Community Youth Market Stand &amp; Two Bridges Youth Farmers Mar</t>
  </si>
  <si>
    <t xml:space="preserve">International Center of Photography</t>
  </si>
  <si>
    <t xml:space="preserve">237412428</t>
  </si>
  <si>
    <t xml:space="preserve">Teen and After-School Programs</t>
  </si>
  <si>
    <t xml:space="preserve">Action Civics - Urban Assembly New York Harbor School (02M55</t>
  </si>
  <si>
    <t xml:space="preserve">L.O.V.E. Mentoring Program</t>
  </si>
  <si>
    <t xml:space="preserve">Youth Leadership Programs</t>
  </si>
  <si>
    <t xml:space="preserve">Asphalt Green, Inc.</t>
  </si>
  <si>
    <t xml:space="preserve">136533158</t>
  </si>
  <si>
    <t xml:space="preserve">Science Education Program - Council District 1</t>
  </si>
  <si>
    <t xml:space="preserve">Learning to Work Program - Forsyth Satellite Academy (01M458</t>
  </si>
  <si>
    <t xml:space="preserve">Afterschool, Summer &amp; Enrichment Program (ASEP) - Public Sch</t>
  </si>
  <si>
    <t xml:space="preserve">Summer Bluefish Program</t>
  </si>
  <si>
    <t xml:space="preserve">Expanded Horizons College Success Program</t>
  </si>
  <si>
    <t xml:space="preserve">City Skate Performances - Council District 1</t>
  </si>
  <si>
    <t xml:space="preserve">Youth Robotics Leagues &amp; STEM Programs - Council District 1</t>
  </si>
  <si>
    <t xml:space="preserve">Healthy Eating Program - Council District 1</t>
  </si>
  <si>
    <t xml:space="preserve">Hydroponic Farm &amp; Youth-led Nutrition Education Program - Co</t>
  </si>
  <si>
    <t xml:space="preserve">Financial Literacy Certification Program - Council District </t>
  </si>
  <si>
    <t xml:space="preserve">Harvest Home Farmer's Market, Inc.</t>
  </si>
  <si>
    <t xml:space="preserve">061800512</t>
  </si>
  <si>
    <t xml:space="preserve">Healthy Food Program - Council District 41</t>
  </si>
  <si>
    <t xml:space="preserve">Community Gardens - Councill District 41</t>
  </si>
  <si>
    <t xml:space="preserve">Marcus Garvy Community Gardens - Council District 41</t>
  </si>
  <si>
    <t xml:space="preserve">Farm Stand - Council District 41</t>
  </si>
  <si>
    <t xml:space="preserve">Howard Houses Farm - NYCHA Gardens - Council District 41</t>
  </si>
  <si>
    <t xml:space="preserve">Youth Compost Internship - Brooklyn</t>
  </si>
  <si>
    <t xml:space="preserve">Green City Force, Inc.</t>
  </si>
  <si>
    <t xml:space="preserve">800428040</t>
  </si>
  <si>
    <t xml:space="preserve">Career &amp; Job Training - Council District 41 </t>
  </si>
  <si>
    <t xml:space="preserve">Council District 41</t>
  </si>
  <si>
    <t xml:space="preserve">Wayside Out-Reach Development (WORD), Inc. </t>
  </si>
  <si>
    <t xml:space="preserve">113528680</t>
  </si>
  <si>
    <t xml:space="preserve">Center Improvements - Brownsville Older Adult Center</t>
  </si>
  <si>
    <t xml:space="preserve">Recreational Services &amp; Trips - Mt. Ararat Senior Center</t>
  </si>
  <si>
    <t xml:space="preserve">Riverway Older Adult Center</t>
  </si>
  <si>
    <t xml:space="preserve">Marcus Garvey Older Adult Club</t>
  </si>
  <si>
    <t xml:space="preserve">Positivity Market, Inc.</t>
  </si>
  <si>
    <t xml:space="preserve">611779109</t>
  </si>
  <si>
    <t xml:space="preserve">Teens 2 Seniors Technology Course</t>
  </si>
  <si>
    <t xml:space="preserve">Brevoort Senior Center</t>
  </si>
  <si>
    <t xml:space="preserve">Tilden Houses Senior Center</t>
  </si>
  <si>
    <t xml:space="preserve">Van Dyke II Senior Center</t>
  </si>
  <si>
    <t xml:space="preserve">Saratoga Square</t>
  </si>
  <si>
    <t xml:space="preserve">Digital/Virtual Literacy and Technology Training - Brownsvil</t>
  </si>
  <si>
    <t xml:space="preserve">Brevoort TA</t>
  </si>
  <si>
    <t xml:space="preserve">Howard Houses TA</t>
  </si>
  <si>
    <t xml:space="preserve">Marcus Garvey TA</t>
  </si>
  <si>
    <t xml:space="preserve">Brownsville TA</t>
  </si>
  <si>
    <t xml:space="preserve">Howard Avenue-Park Place</t>
  </si>
  <si>
    <t xml:space="preserve">VAN DYKE I</t>
  </si>
  <si>
    <t xml:space="preserve">Fenimore-Lefferts</t>
  </si>
  <si>
    <t xml:space="preserve">Ralph Avenue Rehab</t>
  </si>
  <si>
    <t xml:space="preserve">Saratoga Village Houses TA</t>
  </si>
  <si>
    <t xml:space="preserve">Kingsborough Houses</t>
  </si>
  <si>
    <t xml:space="preserve">Seth Low TA</t>
  </si>
  <si>
    <t xml:space="preserve">Legal Services - Council District 41</t>
  </si>
  <si>
    <t xml:space="preserve">71st Precinct Community Council, Inc.</t>
  </si>
  <si>
    <t xml:space="preserve">043784543</t>
  </si>
  <si>
    <t xml:space="preserve">77th Precinct United Clergy Council, Inc.</t>
  </si>
  <si>
    <t xml:space="preserve">880897858</t>
  </si>
  <si>
    <t xml:space="preserve">81st Precinct Community Council, Inc.</t>
  </si>
  <si>
    <t xml:space="preserve">800901280</t>
  </si>
  <si>
    <t xml:space="preserve">OBH @ Your Door</t>
  </si>
  <si>
    <t xml:space="preserve">Training Individuals Make Better Attitudes Incorporated</t>
  </si>
  <si>
    <t xml:space="preserve">800346030</t>
  </si>
  <si>
    <t xml:space="preserve">Older Adults Game Night - Hugh Gilroy Senior Center</t>
  </si>
  <si>
    <t xml:space="preserve">Youth Services - Council District 41</t>
  </si>
  <si>
    <t xml:space="preserve">The Gregory Jocko Jackson School of Sports, Art, and (23K284</t>
  </si>
  <si>
    <t xml:space="preserve">Public School 005K Dr. Ronald McNair (16K005)</t>
  </si>
  <si>
    <t xml:space="preserve">Ronald Edmonds Learning Center II (17K484)</t>
  </si>
  <si>
    <t xml:space="preserve">Riverdale Avenue Middle School (23K668)</t>
  </si>
  <si>
    <t xml:space="preserve">Middle School for Art and Philosophy (18K588)</t>
  </si>
  <si>
    <t xml:space="preserve">Public School 753K (75K753) - School for Career Development</t>
  </si>
  <si>
    <t xml:space="preserve">Public School 189K The Bilingual Center (17K189)</t>
  </si>
  <si>
    <t xml:space="preserve">Public School 309X The George E. Wibecan (16K309)</t>
  </si>
  <si>
    <t xml:space="preserve">Public School 268K Emma Lazarus (18K268)</t>
  </si>
  <si>
    <t xml:space="preserve">Public School 770K New American Academy (17K770)</t>
  </si>
  <si>
    <t xml:space="preserve">Field Trips Program - Council District 41</t>
  </si>
  <si>
    <t xml:space="preserve">Public School 189K The Bilingual Center (17K189) &amp; Public Sc</t>
  </si>
  <si>
    <t xml:space="preserve">Brooklyn High School for Law and Technology (16K498)</t>
  </si>
  <si>
    <t xml:space="preserve">Seth Low Senior Club</t>
  </si>
  <si>
    <t xml:space="preserve">Mt. Ararat Senior Center</t>
  </si>
  <si>
    <t xml:space="preserve">Battered Women's Resource Center, Inc.</t>
  </si>
  <si>
    <t xml:space="preserve">113302911</t>
  </si>
  <si>
    <t xml:space="preserve">Domestic Violence &amp; Counseling - Council District 41</t>
  </si>
  <si>
    <t xml:space="preserve">Anti-Violence Initiative - Council District 41</t>
  </si>
  <si>
    <t xml:space="preserve">Immigrant Initiative Libation Program</t>
  </si>
  <si>
    <t xml:space="preserve">Concerts - Council District 41</t>
  </si>
  <si>
    <t xml:space="preserve">Eagles Soaring Beyond - Postsecondary Success Initiative - C</t>
  </si>
  <si>
    <t xml:space="preserve">Housing Counseling &amp; Outreach - Council District 41</t>
  </si>
  <si>
    <t xml:space="preserve">Food Market - Council District 41</t>
  </si>
  <si>
    <t xml:space="preserve">Basketball Tourment &amp; Cheerleaders - Council District 41</t>
  </si>
  <si>
    <t xml:space="preserve">Older Adults Jazz Bingo &amp; Brunch</t>
  </si>
  <si>
    <t xml:space="preserve">House of SpeakEasy</t>
  </si>
  <si>
    <t xml:space="preserve">463820173</t>
  </si>
  <si>
    <t xml:space="preserve">Educational &amp; Cultural Services - Council District 41</t>
  </si>
  <si>
    <t xml:space="preserve">Civil Legal Services - Brooklyn</t>
  </si>
  <si>
    <t xml:space="preserve">Lincoln Terrace Tennis Association, Inc.</t>
  </si>
  <si>
    <t xml:space="preserve">043672661</t>
  </si>
  <si>
    <t xml:space="preserve">Summer &amp; Winter Tennis Programs</t>
  </si>
  <si>
    <t xml:space="preserve">Youth &amp; Intergenerational Community Engagement Program - Cou</t>
  </si>
  <si>
    <t xml:space="preserve">Book Festival with Children's Day &amp; Bookend Events</t>
  </si>
  <si>
    <t xml:space="preserve">Brooklyn Book Festival</t>
  </si>
  <si>
    <t xml:space="preserve">Feed America NYC, Inc.</t>
  </si>
  <si>
    <t xml:space="preserve">873513975</t>
  </si>
  <si>
    <t xml:space="preserve">Food Distribution &amp; Youth Program</t>
  </si>
  <si>
    <t xml:space="preserve">Weeksville Heritage Center - Council District 41</t>
  </si>
  <si>
    <t xml:space="preserve">Performances &amp; Choruses Programming - Council District 41</t>
  </si>
  <si>
    <t xml:space="preserve">Pitkin Avenue District Management Association, Inc.</t>
  </si>
  <si>
    <t xml:space="preserve">112709046</t>
  </si>
  <si>
    <t xml:space="preserve">Beautification &amp; Sanitation - Council District 41</t>
  </si>
  <si>
    <t xml:space="preserve">Doe Fund, Inc., The </t>
  </si>
  <si>
    <t xml:space="preserve">133412540</t>
  </si>
  <si>
    <t xml:space="preserve">The Ready, Willing &amp; Able Program - Council District 41</t>
  </si>
  <si>
    <t xml:space="preserve">Goodwill Industries of Greater New York and Northern New Jersey, Inc.</t>
  </si>
  <si>
    <t xml:space="preserve">131641068</t>
  </si>
  <si>
    <t xml:space="preserve">Project Sweep - Council District 41</t>
  </si>
  <si>
    <t xml:space="preserve">East Flatbush and Bed Styuy (Ralph Ave &amp; Fulton St Corridor)</t>
  </si>
  <si>
    <t xml:space="preserve">Community Growing &amp; Green Space Stewardship - Council Distri</t>
  </si>
  <si>
    <t xml:space="preserve">Volunteer Program &amp; Cleanup Series Support - Broadway Ave - </t>
  </si>
  <si>
    <t xml:space="preserve">BID Programming</t>
  </si>
  <si>
    <t xml:space="preserve">Arcturus Community Endeavors, Inc.</t>
  </si>
  <si>
    <t xml:space="preserve">871862399</t>
  </si>
  <si>
    <t xml:space="preserve">Community Outreach - Council District 41</t>
  </si>
  <si>
    <t xml:space="preserve">Hugh Gilroy Senior Center</t>
  </si>
  <si>
    <t xml:space="preserve">Post-Secondary Success Initiative (PSSI) - Brooklyn</t>
  </si>
  <si>
    <t xml:space="preserve">Caribbean American Sports and Cultural Youth Movement (CASYM), Inc.</t>
  </si>
  <si>
    <t xml:space="preserve">112778372</t>
  </si>
  <si>
    <t xml:space="preserve">Youth Basketball Tourment &amp; Cheerleaders - Council District </t>
  </si>
  <si>
    <t xml:space="preserve">Design League (STEM) Digital Inclusion &amp; Literacy initiative</t>
  </si>
  <si>
    <t xml:space="preserve">New York Skyriders, Inc.</t>
  </si>
  <si>
    <t xml:space="preserve">113287258</t>
  </si>
  <si>
    <t xml:space="preserve">Youth Sports Tournments - Council District 41</t>
  </si>
  <si>
    <t xml:space="preserve">Quest Youth Organization, Inc.</t>
  </si>
  <si>
    <t xml:space="preserve">550858436</t>
  </si>
  <si>
    <t xml:space="preserve">Tech Kids Unlimited, Inc.</t>
  </si>
  <si>
    <t xml:space="preserve">462451747</t>
  </si>
  <si>
    <t xml:space="preserve">TWW, Inc.</t>
  </si>
  <si>
    <t xml:space="preserve">113634316</t>
  </si>
  <si>
    <t xml:space="preserve">Carnegie Hill Neighbors, Inc.</t>
  </si>
  <si>
    <t xml:space="preserve">133300409</t>
  </si>
  <si>
    <t xml:space="preserve">East Side Case Management &amp; Older Adult Support Programs</t>
  </si>
  <si>
    <t xml:space="preserve">Healthy Aging Program - Council District 5</t>
  </si>
  <si>
    <t xml:space="preserve">Council District 5</t>
  </si>
  <si>
    <t xml:space="preserve">Home Sharing &amp; Respite Care Program - Council District 5</t>
  </si>
  <si>
    <t xml:space="preserve">Older Adult Programs - Council District 5</t>
  </si>
  <si>
    <t xml:space="preserve">Older Adult Wellness Program</t>
  </si>
  <si>
    <t xml:space="preserve">Older Adult Fitness Class - John Jay Park</t>
  </si>
  <si>
    <t xml:space="preserve">Roosevelt Island Older Adult Center (RIOAC)</t>
  </si>
  <si>
    <t xml:space="preserve">On-Site Cabaret-Style Performances</t>
  </si>
  <si>
    <t xml:space="preserve">Center @ Lenox Hill Neighborhood House</t>
  </si>
  <si>
    <t xml:space="preserve">Holmes Towers</t>
  </si>
  <si>
    <t xml:space="preserve">Stanley M. Isaacs Houses</t>
  </si>
  <si>
    <t xml:space="preserve">Mental Health Services</t>
  </si>
  <si>
    <t xml:space="preserve">Decode Hate Workshops - Council District 5</t>
  </si>
  <si>
    <t xml:space="preserve">Circle in the Square Theatre School</t>
  </si>
  <si>
    <t xml:space="preserve">133716314</t>
  </si>
  <si>
    <t xml:space="preserve">Town Hall Foundation, Inc.</t>
  </si>
  <si>
    <t xml:space="preserve">237296167</t>
  </si>
  <si>
    <t xml:space="preserve">Bohemian Benevolent and Literary Association of the City of New York</t>
  </si>
  <si>
    <t xml:space="preserve">130508050</t>
  </si>
  <si>
    <t xml:space="preserve">Legal Clinics - CUNY School of Law</t>
  </si>
  <si>
    <t xml:space="preserve">Better Bins - Council District 5</t>
  </si>
  <si>
    <t xml:space="preserve">Mobile Care Clinic - Council District 5</t>
  </si>
  <si>
    <t xml:space="preserve">Holocaust Survivor Assistance Program - Council District 5</t>
  </si>
  <si>
    <t xml:space="preserve">Volunteer Clean-up Days</t>
  </si>
  <si>
    <t xml:space="preserve">SummerStage - Council District 5</t>
  </si>
  <si>
    <t xml:space="preserve">GrowNYC, Greenmarkets &amp; Fresh Food Box Program - Council Dis</t>
  </si>
  <si>
    <t xml:space="preserve">Exercise &amp; Movement Program - Council District 5</t>
  </si>
  <si>
    <t xml:space="preserve">Roosevelt Island Historical Society</t>
  </si>
  <si>
    <t xml:space="preserve">133018935</t>
  </si>
  <si>
    <t xml:space="preserve">Yorkville East Middle School (02M177) - School Programs</t>
  </si>
  <si>
    <t xml:space="preserve">Eleanor Roosevelt High School (02M416) - PTA</t>
  </si>
  <si>
    <t xml:space="preserve">Tenant Help Hotline, Downtown Walk-In Clinic &amp; Tenants’ Righ</t>
  </si>
  <si>
    <t xml:space="preserve">Roosevelt Island</t>
  </si>
  <si>
    <t xml:space="preserve">Business Improvement - Council District 5</t>
  </si>
  <si>
    <t xml:space="preserve">Bike Helmet Giveaway - Council District 5</t>
  </si>
  <si>
    <t xml:space="preserve">Unaccompanied Children Legal Representation Program</t>
  </si>
  <si>
    <t xml:space="preserve">Treadwell Farm Historic District Association, Inc.</t>
  </si>
  <si>
    <t xml:space="preserve">133362986</t>
  </si>
  <si>
    <t xml:space="preserve">Green &amp; Clean Streets Program - Council District 5</t>
  </si>
  <si>
    <t xml:space="preserve">Scholastic Tournament Program - Council District 5</t>
  </si>
  <si>
    <t xml:space="preserve">Zero Waste Event - Council District 5</t>
  </si>
  <si>
    <t xml:space="preserve">American Composers Orchestra</t>
  </si>
  <si>
    <t xml:space="preserve">132838450</t>
  </si>
  <si>
    <t xml:space="preserve">Sonic Sparking Programming</t>
  </si>
  <si>
    <t xml:space="preserve">Small Business Support - Council District 5</t>
  </si>
  <si>
    <t xml:space="preserve">Multilingual Social Services Program – Council District 5</t>
  </si>
  <si>
    <t xml:space="preserve">Sanitation Initiative - Council District 5</t>
  </si>
  <si>
    <t xml:space="preserve">One Call Center</t>
  </si>
  <si>
    <t xml:space="preserve">School Group Visits - Council District 5</t>
  </si>
  <si>
    <t xml:space="preserve">Combat Hate Programming - Council District 5</t>
  </si>
  <si>
    <t xml:space="preserve">Jewish Orthodox Women's Medical Association, Inc.</t>
  </si>
  <si>
    <t xml:space="preserve">841743835</t>
  </si>
  <si>
    <t xml:space="preserve">19th Precinct Community Council</t>
  </si>
  <si>
    <t xml:space="preserve">Street Vendor Legal &amp; Business Support Program</t>
  </si>
  <si>
    <t xml:space="preserve">Public School 158M Bayard Taylor (02M158)</t>
  </si>
  <si>
    <t xml:space="preserve">Social Services</t>
  </si>
  <si>
    <t xml:space="preserve">Cleanup Initiatives - Council District 5</t>
  </si>
  <si>
    <t xml:space="preserve">American LGBTQ+ Museum - Council District 5</t>
  </si>
  <si>
    <t xml:space="preserve">Open Waters Initiative</t>
  </si>
  <si>
    <t xml:space="preserve">The Ready, Willing &amp; Able (RWA) Program - Council district 5</t>
  </si>
  <si>
    <t xml:space="preserve">Sloan-Kettering Institute for Cancer Research</t>
  </si>
  <si>
    <t xml:space="preserve">131624182</t>
  </si>
  <si>
    <t xml:space="preserve">Older Adult Food Pantry Program - Memorial Sloan Kettering C</t>
  </si>
  <si>
    <t xml:space="preserve">New York Center for Children, The</t>
  </si>
  <si>
    <t xml:space="preserve">954502444</t>
  </si>
  <si>
    <t xml:space="preserve">Counseling Program - Council District 5</t>
  </si>
  <si>
    <t xml:space="preserve">St. Catherine's, John Jay Park &amp; Stanley Isaacs Playground</t>
  </si>
  <si>
    <t xml:space="preserve">Yorkville East Middle School (02M177) - PTA</t>
  </si>
  <si>
    <t xml:space="preserve">Public School 290M Manhattan New School (02M290) - PTA</t>
  </si>
  <si>
    <t xml:space="preserve">Friends of The East River Esplanade 60th-120th Streets, Inc.</t>
  </si>
  <si>
    <t xml:space="preserve">460542653</t>
  </si>
  <si>
    <t xml:space="preserve">Muslim Volunteers for New York, Inc.</t>
  </si>
  <si>
    <t xml:space="preserve">815353099</t>
  </si>
  <si>
    <t xml:space="preserve">Afterschool &amp; Summer Camp Programs</t>
  </si>
  <si>
    <t xml:space="preserve">Summer Camp - Junior High School 167M Robert F. Wagner (02M1</t>
  </si>
  <si>
    <t xml:space="preserve">Learning Academy and the Youth Employment and Education Serv</t>
  </si>
  <si>
    <t xml:space="preserve">Youth Athletic League - Council District 5</t>
  </si>
  <si>
    <t xml:space="preserve">92Y - Humanities &amp; Arts Education Programming</t>
  </si>
  <si>
    <t xml:space="preserve">Open Squash, Inc.</t>
  </si>
  <si>
    <t xml:space="preserve">455149499</t>
  </si>
  <si>
    <t xml:space="preserve">Rowe Scholars - Julia Richman Educational Complex (JREC)</t>
  </si>
  <si>
    <t xml:space="preserve">Ronald McDonald House of New York, Inc.</t>
  </si>
  <si>
    <t xml:space="preserve">132933654</t>
  </si>
  <si>
    <t xml:space="preserve">Horizons New York City</t>
  </si>
  <si>
    <t xml:space="preserve">851000631</t>
  </si>
  <si>
    <t xml:space="preserve">Family Day Festivals</t>
  </si>
  <si>
    <t xml:space="preserve">Intergenerational Concert Program</t>
  </si>
  <si>
    <t xml:space="preserve">Volunteer Cleanups &amp; Stewardship Events - Council District 5</t>
  </si>
  <si>
    <t xml:space="preserve">Smart Money Kids Program - Public School 005R Huguenot (31R0</t>
  </si>
  <si>
    <t xml:space="preserve">Crisis Stabilization &amp; Essential Resource Distribution Progr</t>
  </si>
  <si>
    <t xml:space="preserve">Special Musical Education Programming - I.S. 007R Elias Bern</t>
  </si>
  <si>
    <t xml:space="preserve">College of Staten Island High School for International Studi</t>
  </si>
  <si>
    <t xml:space="preserve">Youth Programming &amp; Community Support Programs - Council Dis</t>
  </si>
  <si>
    <t xml:space="preserve">Mill Basin Senior Program</t>
  </si>
  <si>
    <t xml:space="preserve">HES Older Adult Center - Council District 46</t>
  </si>
  <si>
    <t xml:space="preserve">Bay Older Adult Center</t>
  </si>
  <si>
    <t xml:space="preserve">Avenue U Senior Center</t>
  </si>
  <si>
    <t xml:space="preserve">Council District 46</t>
  </si>
  <si>
    <t xml:space="preserve">Emergency Food - Council District 46</t>
  </si>
  <si>
    <t xml:space="preserve">Older Adult Transportation Program</t>
  </si>
  <si>
    <t xml:space="preserve">Learning To Work (LTW) program</t>
  </si>
  <si>
    <t xml:space="preserve">Youth Services - Council District 46</t>
  </si>
  <si>
    <t xml:space="preserve">Public School 279K Herman Schreiber (18k279) - Anti-Violence</t>
  </si>
  <si>
    <t xml:space="preserve">Free After School Filmmaking for Youth - Council District 46</t>
  </si>
  <si>
    <t xml:space="preserve">Alpha Leadership Academy, Inc.</t>
  </si>
  <si>
    <t xml:space="preserve">815444946</t>
  </si>
  <si>
    <t xml:space="preserve">Youth Programming - Council District 46</t>
  </si>
  <si>
    <t xml:space="preserve">Trauma-Informed Services </t>
  </si>
  <si>
    <t xml:space="preserve">Hendrick I Lott House Preservation Association</t>
  </si>
  <si>
    <t xml:space="preserve">133945416</t>
  </si>
  <si>
    <t xml:space="preserve">Brooklyn Emerge, Inc.</t>
  </si>
  <si>
    <t xml:space="preserve">851491905</t>
  </si>
  <si>
    <t xml:space="preserve">Kings Bay YM-YWHA, Inc.</t>
  </si>
  <si>
    <t xml:space="preserve">113068515</t>
  </si>
  <si>
    <t xml:space="preserve">Hebrew Language Academy Charter School</t>
  </si>
  <si>
    <t xml:space="preserve">264117186</t>
  </si>
  <si>
    <t xml:space="preserve">National Museum of Mathematics</t>
  </si>
  <si>
    <t xml:space="preserve">271450809</t>
  </si>
  <si>
    <t xml:space="preserve">FBF Education Collective, Inc.</t>
  </si>
  <si>
    <t xml:space="preserve">932944759</t>
  </si>
  <si>
    <t xml:space="preserve">Music Therapy - Council District 46</t>
  </si>
  <si>
    <t xml:space="preserve">Gerrittsen Beach Fire Volunteers, Inc.</t>
  </si>
  <si>
    <t xml:space="preserve">116076710</t>
  </si>
  <si>
    <t xml:space="preserve">ESOL &amp; Civics Classes</t>
  </si>
  <si>
    <t xml:space="preserve">Brooklyn Theatre Arts High School (18K567)</t>
  </si>
  <si>
    <t xml:space="preserve">Breast Cancer Screening - Council District 46</t>
  </si>
  <si>
    <t xml:space="preserve">Hebrew Educational Society</t>
  </si>
  <si>
    <t xml:space="preserve">111642720</t>
  </si>
  <si>
    <t xml:space="preserve">Teen Leadership Council - Council District 46</t>
  </si>
  <si>
    <t xml:space="preserve">Flossy Organization, Inc., The</t>
  </si>
  <si>
    <t xml:space="preserve">920482325</t>
  </si>
  <si>
    <t xml:space="preserve">Youth Development Programming - Council District 46</t>
  </si>
  <si>
    <t xml:space="preserve">Homeowner &amp; Tenant Housing Services - Council District 46</t>
  </si>
  <si>
    <t xml:space="preserve">Sports Oriented Nurturing Youth Partnership, Inc.</t>
  </si>
  <si>
    <t xml:space="preserve">453162464</t>
  </si>
  <si>
    <t xml:space="preserve">Turkic Foundation of Brooklyn</t>
  </si>
  <si>
    <t xml:space="preserve">882206036</t>
  </si>
  <si>
    <t xml:space="preserve">Benefits Enrollment - Council District 46</t>
  </si>
  <si>
    <t xml:space="preserve">Youth Programs - Council District 46</t>
  </si>
  <si>
    <t xml:space="preserve">Mental Health Services - Council District 46</t>
  </si>
  <si>
    <t xml:space="preserve">112889774</t>
  </si>
  <si>
    <t xml:space="preserve">Amity Little league, Inc.</t>
  </si>
  <si>
    <t xml:space="preserve">112705385</t>
  </si>
  <si>
    <t xml:space="preserve">South Shore Vikings Football Team - Brooklyn Theatre Arts Hi</t>
  </si>
  <si>
    <t xml:space="preserve">For The Better, Inc.</t>
  </si>
  <si>
    <t xml:space="preserve">852956154</t>
  </si>
  <si>
    <t xml:space="preserve">Gianna Effect Foundation Corp</t>
  </si>
  <si>
    <t xml:space="preserve">872695259</t>
  </si>
  <si>
    <t xml:space="preserve">Cancer Awareness</t>
  </si>
  <si>
    <t xml:space="preserve">Supportive Leadership Development Programming -  Council Dis</t>
  </si>
  <si>
    <t xml:space="preserve">Addressing Health Disparities - Council District 46</t>
  </si>
  <si>
    <t xml:space="preserve">Tenant Support - Council District 46</t>
  </si>
  <si>
    <t xml:space="preserve">JBI International, Inc.</t>
  </si>
  <si>
    <t xml:space="preserve">131683279</t>
  </si>
  <si>
    <t xml:space="preserve">Recapturing Reading for Visually Impaired or Blind</t>
  </si>
  <si>
    <t xml:space="preserve">Netting Sucess, Inc.</t>
  </si>
  <si>
    <t xml:space="preserve">991912594</t>
  </si>
  <si>
    <t xml:space="preserve">Bayview NYCHA Housing</t>
  </si>
  <si>
    <t xml:space="preserve">Veterans Services - Council District 46</t>
  </si>
  <si>
    <t xml:space="preserve">Flatbush Hatzoloh</t>
  </si>
  <si>
    <t xml:space="preserve">Kings Bay Youth Organization, Inc.</t>
  </si>
  <si>
    <t xml:space="preserve">116020722</t>
  </si>
  <si>
    <t xml:space="preserve">Nostrand NYCHA Housing</t>
  </si>
  <si>
    <t xml:space="preserve">Sheepshead NYCHA Housing</t>
  </si>
  <si>
    <t xml:space="preserve">Pediatric Cancer Awareness, Support &amp; Research Program</t>
  </si>
  <si>
    <t xml:space="preserve">Canarsie Community Development, Inc.</t>
  </si>
  <si>
    <t xml:space="preserve">475395985</t>
  </si>
  <si>
    <t xml:space="preserve">Bergen Beach Youth Organization, Inc.</t>
  </si>
  <si>
    <t xml:space="preserve">112598350</t>
  </si>
  <si>
    <t xml:space="preserve">Just As I AM YOUth Empowerment, Inc.</t>
  </si>
  <si>
    <t xml:space="preserve">465411418</t>
  </si>
  <si>
    <t xml:space="preserve">Healthy Minds Programming - Council District 46</t>
  </si>
  <si>
    <t xml:space="preserve">Youth Leadership Program - Council District 46</t>
  </si>
  <si>
    <t xml:space="preserve">Sheepshead Bay Community Center </t>
  </si>
  <si>
    <t xml:space="preserve">Community Tennis Programs - Council District 46</t>
  </si>
  <si>
    <t xml:space="preserve">Community Sanitation Services - Council District 37</t>
  </si>
  <si>
    <t xml:space="preserve">Senior Programs - Council District 37</t>
  </si>
  <si>
    <t xml:space="preserve">Hope Gardens Senior Center</t>
  </si>
  <si>
    <t xml:space="preserve">Stanhope Senior Center</t>
  </si>
  <si>
    <t xml:space="preserve">Palmetto Gardens Senior Club</t>
  </si>
  <si>
    <t xml:space="preserve">Roundtable Senior Center</t>
  </si>
  <si>
    <t xml:space="preserve">Communities Resist Inc.</t>
  </si>
  <si>
    <t xml:space="preserve">841899350</t>
  </si>
  <si>
    <t xml:space="preserve">Tenant Organizing &amp; Anti-Displacement Free Legal Services - </t>
  </si>
  <si>
    <t xml:space="preserve">Tenant Advocacy &amp; Housing Improvement</t>
  </si>
  <si>
    <t xml:space="preserve">Free Legal Services - Council District 37</t>
  </si>
  <si>
    <t xml:space="preserve">Family Enrichment Centers - Council District 37</t>
  </si>
  <si>
    <t xml:space="preserve">Brooklyn's Deliveristas Hub Initiative</t>
  </si>
  <si>
    <t xml:space="preserve">Homeowner Support - Council District 37</t>
  </si>
  <si>
    <t xml:space="preserve">Financial Services - Council District 37</t>
  </si>
  <si>
    <t xml:space="preserve">Utility Consumer Assistance &amp; Advocacy - Council District 37</t>
  </si>
  <si>
    <t xml:space="preserve">Brownsville In Violence Out (BIVO) - Council District 37</t>
  </si>
  <si>
    <t xml:space="preserve">Youth &amp; Community Programs - Council District 37</t>
  </si>
  <si>
    <t xml:space="preserve">Ujima Community Working Together, Inc.</t>
  </si>
  <si>
    <t xml:space="preserve">300708882</t>
  </si>
  <si>
    <t xml:space="preserve">YOUTH BUSHWICK Strong!</t>
  </si>
  <si>
    <t xml:space="preserve">Conflict Mediation Program &amp; Crisis Management System - Coun</t>
  </si>
  <si>
    <t xml:space="preserve">Cooper Street Community Association, Inc.</t>
  </si>
  <si>
    <t xml:space="preserve">462035796</t>
  </si>
  <si>
    <t xml:space="preserve">Annual Back to School &amp; Block Health Fair Drive</t>
  </si>
  <si>
    <t xml:space="preserve">Department of Cultural Affairs</t>
  </si>
  <si>
    <t xml:space="preserve">PLACEHOLDER - School Programming in District 37</t>
  </si>
  <si>
    <t xml:space="preserve">PLACEHOLDER - School Programming in District 37.</t>
  </si>
  <si>
    <t xml:space="preserve">Program to Eliminate Violence - Council District 37</t>
  </si>
  <si>
    <t xml:space="preserve">Job Readiness &amp; Life Skills Training for Domestic Violence S</t>
  </si>
  <si>
    <t xml:space="preserve">Domestic Violence &amp; Empowerment - Council District 37</t>
  </si>
  <si>
    <t xml:space="preserve">District Attorney-Kings</t>
  </si>
  <si>
    <t xml:space="preserve">Gun Diversion Programs - Council District 37</t>
  </si>
  <si>
    <t xml:space="preserve">Anti-Violence Inititatives - Council District 37</t>
  </si>
  <si>
    <t xml:space="preserve">After Hours Project, Inc.</t>
  </si>
  <si>
    <t xml:space="preserve">331007278</t>
  </si>
  <si>
    <t xml:space="preserve">Prevention Services Outreach Team</t>
  </si>
  <si>
    <t xml:space="preserve">Family Legal Care Program in District 37.</t>
  </si>
  <si>
    <t xml:space="preserve">Brownsville Community Justice Center &amp; RISE Project</t>
  </si>
  <si>
    <t xml:space="preserve">Economic Empowerment Program</t>
  </si>
  <si>
    <t xml:space="preserve">Department of Social Services</t>
  </si>
  <si>
    <t xml:space="preserve">PLACEHOLDER - Programming in District 37.</t>
  </si>
  <si>
    <t xml:space="preserve">Prevention &amp; Intervention to Address Dating Violence - Counc</t>
  </si>
  <si>
    <t xml:space="preserve">Family Programming - Council District 37</t>
  </si>
  <si>
    <t xml:space="preserve">Community Services - Council District 37</t>
  </si>
  <si>
    <t xml:space="preserve">East New York Community Center</t>
  </si>
  <si>
    <t xml:space="preserve">Muna Social Services, Inc.</t>
  </si>
  <si>
    <t xml:space="preserve">844338493</t>
  </si>
  <si>
    <t xml:space="preserve">Community Programs - Council District 37</t>
  </si>
  <si>
    <t xml:space="preserve">Youth Programming - Council District 37</t>
  </si>
  <si>
    <t xml:space="preserve">Youth Recreational &amp; Creative Arts Program</t>
  </si>
  <si>
    <t xml:space="preserve">Bushwick Leadership Center</t>
  </si>
  <si>
    <t xml:space="preserve">Mobilization for Justice, Inc.</t>
  </si>
  <si>
    <t xml:space="preserve">132622748</t>
  </si>
  <si>
    <t xml:space="preserve">Haunted Highland - Highland Park</t>
  </si>
  <si>
    <t xml:space="preserve">Brooklyn Seltzer Museum, Inc.</t>
  </si>
  <si>
    <t xml:space="preserve">932597311</t>
  </si>
  <si>
    <t xml:space="preserve">Learning Field Trips for Students – Council District 37</t>
  </si>
  <si>
    <t xml:space="preserve">Bushwick Film Festival</t>
  </si>
  <si>
    <t xml:space="preserve">Cypress Hills Fulton District Management Association, Inc.</t>
  </si>
  <si>
    <t xml:space="preserve">331897078</t>
  </si>
  <si>
    <t xml:space="preserve">Fulton Street BID</t>
  </si>
  <si>
    <t xml:space="preserve">Farmers Market - Council District 37</t>
  </si>
  <si>
    <t xml:space="preserve">Holiday Activities - Council District 37</t>
  </si>
  <si>
    <t xml:space="preserve">Turkey Giveaway - Council District 37</t>
  </si>
  <si>
    <t xml:space="preserve">Brooklyn Community Board #16</t>
  </si>
  <si>
    <t xml:space="preserve">Brooklyn Community Board #4</t>
  </si>
  <si>
    <t xml:space="preserve">Brooklyn Community Board #5</t>
  </si>
  <si>
    <t xml:space="preserve">Day of Independence Committee of Panamanians of New York, Inc., The </t>
  </si>
  <si>
    <t xml:space="preserve">113287926</t>
  </si>
  <si>
    <t xml:space="preserve">Community Initiatives &amp; Annual Panamanian Parade</t>
  </si>
  <si>
    <t xml:space="preserve">Glenmore Plaza Tenants Association</t>
  </si>
  <si>
    <t xml:space="preserve">Hope Gardens Tenants Association</t>
  </si>
  <si>
    <t xml:space="preserve">Ocean Hill Tenants Association</t>
  </si>
  <si>
    <t xml:space="preserve">Palmetto Gardens Tenants Association</t>
  </si>
  <si>
    <t xml:space="preserve">Back to School - Council District 37</t>
  </si>
  <si>
    <t xml:space="preserve">Cleanup Services - Council District 37</t>
  </si>
  <si>
    <t xml:space="preserve">Evergreens Cemetery Preservation Foundation, Inc.</t>
  </si>
  <si>
    <t xml:space="preserve">450637022</t>
  </si>
  <si>
    <t xml:space="preserve">Evergreens Community Education &amp; Green Programming</t>
  </si>
  <si>
    <t xml:space="preserve">East New York Recycling</t>
  </si>
  <si>
    <t xml:space="preserve">Big Reuse Street Tree Care Program</t>
  </si>
  <si>
    <t xml:space="preserve">Community Garden Support - Council District 37</t>
  </si>
  <si>
    <t xml:space="preserve">Clean Up Initiatives in District 37</t>
  </si>
  <si>
    <t xml:space="preserve">Community Growing - Council District 37</t>
  </si>
  <si>
    <t xml:space="preserve">Hydroponic Classrooms - Public School 938K (19K938)</t>
  </si>
  <si>
    <t xml:space="preserve">Neighborhood Vitality - Council District 37</t>
  </si>
  <si>
    <t xml:space="preserve">Community Events - Highland Park</t>
  </si>
  <si>
    <t xml:space="preserve">Horticulture - Council District 37</t>
  </si>
  <si>
    <t xml:space="preserve">Water Ecology Field Trips &amp; Summer Eco-Interns Program - Cou</t>
  </si>
  <si>
    <t xml:space="preserve">Movie Nights - Irving Square Park</t>
  </si>
  <si>
    <t xml:space="preserve">NYC Parks Queens - Highland Park Movie Nights</t>
  </si>
  <si>
    <t xml:space="preserve">Senior Programming &amp; Education Initiatives</t>
  </si>
  <si>
    <t xml:space="preserve">Legal Services for Older Adults</t>
  </si>
  <si>
    <t xml:space="preserve">GrowNYC Food for Families Program for District 37 Seniors</t>
  </si>
  <si>
    <t xml:space="preserve">Medically Tailored Home-Delivered Meals - Council District 3</t>
  </si>
  <si>
    <t xml:space="preserve">Affordable Housing Access for NYC Shelter Residents</t>
  </si>
  <si>
    <t xml:space="preserve">Elder and Older Adult Reentry Initiatives</t>
  </si>
  <si>
    <t xml:space="preserve">Foreclosure Prevention</t>
  </si>
  <si>
    <t xml:space="preserve">Cypress Hills Senior Housing Residences</t>
  </si>
  <si>
    <t xml:space="preserve">Senior Support Services</t>
  </si>
  <si>
    <t xml:space="preserve">Youth Programming &amp; Workshops</t>
  </si>
  <si>
    <t xml:space="preserve">Basketball League &amp; Youth Mentorship Program - Council Distr</t>
  </si>
  <si>
    <t xml:space="preserve">North Brooklyn YMCA - Teen Programming</t>
  </si>
  <si>
    <t xml:space="preserve">Youth Programs - Council District 37</t>
  </si>
  <si>
    <t xml:space="preserve">Youth Development &amp; Community Programming - Council District</t>
  </si>
  <si>
    <t xml:space="preserve">Community Literacy Model - Council District 37</t>
  </si>
  <si>
    <t xml:space="preserve">Bonnie Youth Baseball</t>
  </si>
  <si>
    <t xml:space="preserve">Age Friendly Central Brooklyn, Inc.</t>
  </si>
  <si>
    <t xml:space="preserve">853870243</t>
  </si>
  <si>
    <t xml:space="preserve">Council District 36</t>
  </si>
  <si>
    <t xml:space="preserve">Older Adults Social Services - Council District 36</t>
  </si>
  <si>
    <t xml:space="preserve">Older Adult Transportation Services - Council District 36</t>
  </si>
  <si>
    <t xml:space="preserve">Stuyvesant Gardens Older Adult Club </t>
  </si>
  <si>
    <t xml:space="preserve">Grant Square Older Adult Club (OAC)</t>
  </si>
  <si>
    <t xml:space="preserve">Stuyvesant Heights Older Adult Club</t>
  </si>
  <si>
    <t xml:space="preserve">Maria Lawton Older Adult Club (OAC)</t>
  </si>
  <si>
    <t xml:space="preserve">Albany Older Adult Club</t>
  </si>
  <si>
    <t xml:space="preserve">Laundromat Project, Inc., The</t>
  </si>
  <si>
    <t xml:space="preserve">870753479</t>
  </si>
  <si>
    <t xml:space="preserve">Book Distribution Events - Council District 36</t>
  </si>
  <si>
    <t xml:space="preserve">Powrplnt, Inc.</t>
  </si>
  <si>
    <t xml:space="preserve">465182094</t>
  </si>
  <si>
    <t xml:space="preserve">Workshops - Council District 36</t>
  </si>
  <si>
    <t xml:space="preserve">Louis Armstrong Houses TA Association</t>
  </si>
  <si>
    <t xml:space="preserve">Bedford Stuyvesant Family Health Center, Inc.</t>
  </si>
  <si>
    <t xml:space="preserve">112412205</t>
  </si>
  <si>
    <t xml:space="preserve">Healthcare Services &amp; Programming</t>
  </si>
  <si>
    <t xml:space="preserve">Public School 308K Clara Cardwell (16K308)</t>
  </si>
  <si>
    <t xml:space="preserve">Phoenix Houses Of Long Island, Inc.</t>
  </si>
  <si>
    <t xml:space="preserve">112307925</t>
  </si>
  <si>
    <t xml:space="preserve">S.O.S. (Save Our Selves) Mobile Outreach Program</t>
  </si>
  <si>
    <t xml:space="preserve">Drive Change, Inc.</t>
  </si>
  <si>
    <t xml:space="preserve">464691123</t>
  </si>
  <si>
    <t xml:space="preserve">Food Distribution - Council District 36</t>
  </si>
  <si>
    <t xml:space="preserve">Children of Promise, NYC</t>
  </si>
  <si>
    <t xml:space="preserve">830440009</t>
  </si>
  <si>
    <t xml:space="preserve">Academic &amp; Wellness Programming - Saturday Resource Center</t>
  </si>
  <si>
    <t xml:space="preserve">Billie Holiday Theatre, Inc.</t>
  </si>
  <si>
    <t xml:space="preserve">112336154</t>
  </si>
  <si>
    <t xml:space="preserve">Siren - Protectors of the Rainforest, Inc.</t>
  </si>
  <si>
    <t xml:space="preserve">204793848</t>
  </si>
  <si>
    <t xml:space="preserve">NPower Inc.</t>
  </si>
  <si>
    <t xml:space="preserve">134145441</t>
  </si>
  <si>
    <t xml:space="preserve">Providence House, Inc.</t>
  </si>
  <si>
    <t xml:space="preserve">112594653</t>
  </si>
  <si>
    <t xml:space="preserve">CUNY School of Law - Community Legal Resource - Council Dist</t>
  </si>
  <si>
    <t xml:space="preserve">Affordable Housing &amp; Tenant Support - Council District 36</t>
  </si>
  <si>
    <t xml:space="preserve">Alliance of Block &amp; Resident Associations</t>
  </si>
  <si>
    <t xml:space="preserve">I Hold the Key, Inc.</t>
  </si>
  <si>
    <t xml:space="preserve">833034480</t>
  </si>
  <si>
    <t xml:space="preserve">JOE Central Brooklyn Tenant Assistance - Council District 36</t>
  </si>
  <si>
    <t xml:space="preserve">MYBASE &amp; Youth Workforce Development Training</t>
  </si>
  <si>
    <t xml:space="preserve">Bedford Stuyvesant Volunteer Ambulance Corps</t>
  </si>
  <si>
    <t xml:space="preserve">112957898</t>
  </si>
  <si>
    <t xml:space="preserve">Tenant Organizing &amp; Affordable Housing Services - Council Di</t>
  </si>
  <si>
    <t xml:space="preserve">Sybarite Productions, Inc.</t>
  </si>
  <si>
    <t xml:space="preserve">223920483</t>
  </si>
  <si>
    <t xml:space="preserve">Good Food Works, Inc.</t>
  </si>
  <si>
    <t xml:space="preserve">871389689</t>
  </si>
  <si>
    <t xml:space="preserve">National Night Out - 79th Precinct &amp; 81st Precinct</t>
  </si>
  <si>
    <t xml:space="preserve">Tenant Support &amp; Homeownership Preservation Services - Counc</t>
  </si>
  <si>
    <t xml:space="preserve">Re-entry &amp; Job Training Programs</t>
  </si>
  <si>
    <t xml:space="preserve">Youth Cultural Programming - Council District 36</t>
  </si>
  <si>
    <t xml:space="preserve">Space Stewardship Programming - Council District 36</t>
  </si>
  <si>
    <t xml:space="preserve">LOVEisLOVE</t>
  </si>
  <si>
    <t xml:space="preserve">Cultural Access Pass - Council District 36</t>
  </si>
  <si>
    <t xml:space="preserve">Know Your Rights - Council District 36</t>
  </si>
  <si>
    <t xml:space="preserve">After-school Program - Council District 36</t>
  </si>
  <si>
    <t xml:space="preserve">Antioch Development Corporation</t>
  </si>
  <si>
    <t xml:space="preserve">113441170</t>
  </si>
  <si>
    <t xml:space="preserve">D.R.E.A.M.S. YouthBuild Young Adult Training Program</t>
  </si>
  <si>
    <t xml:space="preserve">Street Lab, Inc.</t>
  </si>
  <si>
    <t xml:space="preserve">264812025</t>
  </si>
  <si>
    <t xml:space="preserve">Both Sides of the Violence Anti-Gun Violence Programming - C</t>
  </si>
  <si>
    <t xml:space="preserve">Tompkins Houses Resident Association</t>
  </si>
  <si>
    <t xml:space="preserve">Albany Houses Resident Association</t>
  </si>
  <si>
    <t xml:space="preserve">Marcy Houses Resident Association</t>
  </si>
  <si>
    <t xml:space="preserve">Lafayette Gardens Resident Association</t>
  </si>
  <si>
    <t xml:space="preserve">Stuy Gardens I Resident Association</t>
  </si>
  <si>
    <t xml:space="preserve">Sumner Houses Resident Association</t>
  </si>
  <si>
    <t xml:space="preserve">Bedford Stuyvesant Gateway District Management Association, Inc.</t>
  </si>
  <si>
    <t xml:space="preserve">270295829</t>
  </si>
  <si>
    <t xml:space="preserve">After-School Program</t>
  </si>
  <si>
    <t xml:space="preserve">I WILL Graduate Youth Programming &amp; Back to School</t>
  </si>
  <si>
    <t xml:space="preserve">"Block the Shot" Basketball Tournament - Albany Cornerstone</t>
  </si>
  <si>
    <t xml:space="preserve">American Pakistani Education Foundation</t>
  </si>
  <si>
    <t xml:space="preserve">815342754</t>
  </si>
  <si>
    <t xml:space="preserve">Youth Civic Engagement Program - Council District 36</t>
  </si>
  <si>
    <t xml:space="preserve">Epic Village Community Development Corporation</t>
  </si>
  <si>
    <t xml:space="preserve">861340437</t>
  </si>
  <si>
    <t xml:space="preserve">Shoot Hoops Not Guns</t>
  </si>
  <si>
    <t xml:space="preserve">Marcy Houses</t>
  </si>
  <si>
    <t xml:space="preserve">Youth Civic Engagement - Council District 36</t>
  </si>
  <si>
    <t xml:space="preserve">Bedford-Stuyvesant YMCA</t>
  </si>
  <si>
    <t xml:space="preserve">Youth Development Programming - Council District 36</t>
  </si>
  <si>
    <t xml:space="preserve">Water Ecology, Engineering Field Trips &amp; Virtual lessons - C</t>
  </si>
  <si>
    <t xml:space="preserve">Youth and Senior Horticulture Programming - Council District</t>
  </si>
  <si>
    <t xml:space="preserve">Seniors Programming - Council District 14</t>
  </si>
  <si>
    <t xml:space="preserve">Community Gardens - Council District 14</t>
  </si>
  <si>
    <t xml:space="preserve">Catrock Ventures, Inc.</t>
  </si>
  <si>
    <t xml:space="preserve">825316828</t>
  </si>
  <si>
    <t xml:space="preserve">Youth Leadership Academy </t>
  </si>
  <si>
    <t xml:space="preserve">Community Engagement</t>
  </si>
  <si>
    <t xml:space="preserve">Bronx Zoo - Council District 14 - Science for All</t>
  </si>
  <si>
    <t xml:space="preserve">Dare 2 Dream, Inc.</t>
  </si>
  <si>
    <t xml:space="preserve">851971567</t>
  </si>
  <si>
    <t xml:space="preserve">Community Youth Soccer &amp; Food Distribution Program - Council</t>
  </si>
  <si>
    <t xml:space="preserve">Solar One's Green Career Fair in Council District 14</t>
  </si>
  <si>
    <t xml:space="preserve">Dominicanos USA, Inc.</t>
  </si>
  <si>
    <t xml:space="preserve">463738190</t>
  </si>
  <si>
    <t xml:space="preserve">English for Speakers of Other Languages (ESOL) &amp; Citizenship</t>
  </si>
  <si>
    <t xml:space="preserve">Morris Innovative Older Adult Center</t>
  </si>
  <si>
    <t xml:space="preserve">LGBTQIA+ Older Adults Services - Council District 14</t>
  </si>
  <si>
    <t xml:space="preserve">Horticulture Services for Older Adults</t>
  </si>
  <si>
    <t xml:space="preserve">Civic Engagement and Empowerment for Seniors - Council Distr</t>
  </si>
  <si>
    <t xml:space="preserve">Council District 14</t>
  </si>
  <si>
    <t xml:space="preserve">Public School 310X Marble Hill (10X310) - After School Commu</t>
  </si>
  <si>
    <t xml:space="preserve">CUNY School of Law Legal Services - Council District 14</t>
  </si>
  <si>
    <t xml:space="preserve">Bronx Bodega Festival &amp; Neighborhood Empowerment</t>
  </si>
  <si>
    <t xml:space="preserve">Health Bucks Program - Council District 14</t>
  </si>
  <si>
    <t xml:space="preserve">Food Programs &amp; HIV Testing - Council District 14</t>
  </si>
  <si>
    <t xml:space="preserve">Community Empowerment - Council District 14</t>
  </si>
  <si>
    <t xml:space="preserve">BRAG Support Our Youth Programming</t>
  </si>
  <si>
    <t xml:space="preserve">Child Mind Institute, Inc.</t>
  </si>
  <si>
    <t xml:space="preserve">800478843</t>
  </si>
  <si>
    <t xml:space="preserve">Trans Justice Unit - Council District 14</t>
  </si>
  <si>
    <t xml:space="preserve">Side-by-Side Learning Program &amp; Education Programming - Coun</t>
  </si>
  <si>
    <t xml:space="preserve">Bedford Green House - Creston Avenue &amp; Villa Avenue</t>
  </si>
  <si>
    <t xml:space="preserve">Mentorship &amp; Health Program - Council District 14</t>
  </si>
  <si>
    <t xml:space="preserve">Intermediate School 117X Joseph H. Wade (09X117)</t>
  </si>
  <si>
    <t xml:space="preserve">Public School 091X Bronx (10X091)</t>
  </si>
  <si>
    <t xml:space="preserve">Academy For Personal Leadership And Excellence (10X363)</t>
  </si>
  <si>
    <t xml:space="preserve">Public School 015X Institute for Environmental Learning (10X</t>
  </si>
  <si>
    <t xml:space="preserve">The New School for Leadership and Journalism (10X244)</t>
  </si>
  <si>
    <t xml:space="preserve">Public School 236X Langston Hughes (09X236)</t>
  </si>
  <si>
    <t xml:space="preserve">School for Environmental Citizenship (10X386)</t>
  </si>
  <si>
    <t xml:space="preserve">Public School 246X (10X246)</t>
  </si>
  <si>
    <t xml:space="preserve">Public School 279X Captain Manuel Rivera, Jr. (10X279)</t>
  </si>
  <si>
    <t xml:space="preserve">Creston Academy (10X447)</t>
  </si>
  <si>
    <t xml:space="preserve">Public School 33X (10X033)</t>
  </si>
  <si>
    <t xml:space="preserve">Public School 315X Lab School (10X315)</t>
  </si>
  <si>
    <t xml:space="preserve">Public School 109X (09X109)</t>
  </si>
  <si>
    <t xml:space="preserve">Public School 360X (10X360)</t>
  </si>
  <si>
    <t xml:space="preserve">The Marie Curie School (10X237)</t>
  </si>
  <si>
    <t xml:space="preserve">Young Women's Leadership School of the Bronx (09X568)</t>
  </si>
  <si>
    <t xml:space="preserve">Community Education Program: Empower Muslim New Yorkers - Co</t>
  </si>
  <si>
    <t xml:space="preserve">Middle School 015X Institute for Environmental Learning (10X</t>
  </si>
  <si>
    <t xml:space="preserve">Mekong, Inc.</t>
  </si>
  <si>
    <t xml:space="preserve">800834777</t>
  </si>
  <si>
    <t xml:space="preserve">Social Services Assistance Program &amp; Lunar New Year Programm</t>
  </si>
  <si>
    <t xml:space="preserve">Programming - Council District 14</t>
  </si>
  <si>
    <t xml:space="preserve">Theabrar, Inc.</t>
  </si>
  <si>
    <t xml:space="preserve">134145799</t>
  </si>
  <si>
    <t xml:space="preserve">Family Nights, Youth &amp; Women Empowerment Programming </t>
  </si>
  <si>
    <t xml:space="preserve">Youth Media Arts (YMA) - Pathways 2 Graduation Center, David</t>
  </si>
  <si>
    <t xml:space="preserve">Bronx Zoo Family Day - Council District 14</t>
  </si>
  <si>
    <t xml:space="preserve">P.S 382 (10x382),  IS 206X (10x206), and The Bronx School of</t>
  </si>
  <si>
    <t xml:space="preserve">LEAP Program - Council District 14</t>
  </si>
  <si>
    <t xml:space="preserve">Tools for Systems Change &amp; Tenant Action</t>
  </si>
  <si>
    <t xml:space="preserve">E-sport programming in CD 14</t>
  </si>
  <si>
    <t xml:space="preserve">Language Access &amp; Technology Needs</t>
  </si>
  <si>
    <t xml:space="preserve">Literacy Access in Jerome Park Library - Council District 14</t>
  </si>
  <si>
    <t xml:space="preserve">New Destiny Housing Corporation</t>
  </si>
  <si>
    <t xml:space="preserve">133778489</t>
  </si>
  <si>
    <t xml:space="preserve">Family Support Program</t>
  </si>
  <si>
    <t xml:space="preserve">Domestic Violence Project and Housing Services - Council Dis</t>
  </si>
  <si>
    <t xml:space="preserve">Civil Legal Services - Council District 14</t>
  </si>
  <si>
    <t xml:space="preserve">Changing Futures Program</t>
  </si>
  <si>
    <t xml:space="preserve">CUNY Citizenship NOW! Program - Council District 14</t>
  </si>
  <si>
    <t xml:space="preserve">Wellness Social Activities - Formerly Homeless Adults &amp; Fami</t>
  </si>
  <si>
    <t xml:space="preserve">Black Women's Blueprint, Inc.</t>
  </si>
  <si>
    <t xml:space="preserve">271308862</t>
  </si>
  <si>
    <t xml:space="preserve">Womb Bus &amp; Bronx Doula Project</t>
  </si>
  <si>
    <t xml:space="preserve">Public School 279X Captain Manuel Rivera, Jr. (10X279) &amp; Pub</t>
  </si>
  <si>
    <t xml:space="preserve">Gardiner Foundation, The</t>
  </si>
  <si>
    <t xml:space="preserve">320207075</t>
  </si>
  <si>
    <t xml:space="preserve">St. James Park</t>
  </si>
  <si>
    <t xml:space="preserve">Theory 9 Incorporated</t>
  </si>
  <si>
    <t xml:space="preserve">871072144</t>
  </si>
  <si>
    <t xml:space="preserve">Kingsbridge Afterschool Programming &amp; Evening Open Gyms</t>
  </si>
  <si>
    <t xml:space="preserve">Housing Services - Council District 14</t>
  </si>
  <si>
    <t xml:space="preserve">Northwest Bronx Community and Clergy Coalition, Inc.</t>
  </si>
  <si>
    <t xml:space="preserve">132806160</t>
  </si>
  <si>
    <t xml:space="preserve">Combatting Displacement - Council District 14</t>
  </si>
  <si>
    <t xml:space="preserve">Jerome Avenue Leadership  </t>
  </si>
  <si>
    <t xml:space="preserve">Afterschool Programs - Council District 14</t>
  </si>
  <si>
    <t xml:space="preserve">Public School 226X (10X226) - Mental Health Services</t>
  </si>
  <si>
    <t xml:space="preserve">Street Vendor Merchant Organizing &amp; Placemaking</t>
  </si>
  <si>
    <t xml:space="preserve">46th, 50th &amp; 52nd Precinct Community Councils - Cure Violenc</t>
  </si>
  <si>
    <t xml:space="preserve">Public School 291X (10X291) - Mental Health Services</t>
  </si>
  <si>
    <t xml:space="preserve">Intermediate School 303X Leadership &amp; Community Service (09X</t>
  </si>
  <si>
    <t xml:space="preserve">LGBTQ Programs - Council District 14</t>
  </si>
  <si>
    <t xml:space="preserve">Housing &amp; Tenants Rights</t>
  </si>
  <si>
    <t xml:space="preserve">Homelessness Prevention &amp; Housing Preservation</t>
  </si>
  <si>
    <t xml:space="preserve">Shield of David, Inc.</t>
  </si>
  <si>
    <t xml:space="preserve">131740041</t>
  </si>
  <si>
    <t xml:space="preserve">Bronx Early Learning Center Arts Program</t>
  </si>
  <si>
    <t xml:space="preserve">Future of America Learning Center (FALC)</t>
  </si>
  <si>
    <t xml:space="preserve">Small Business Support - Council District 14</t>
  </si>
  <si>
    <t xml:space="preserve">Public School 246X Poe Center (10X246)</t>
  </si>
  <si>
    <t xml:space="preserve">Summer Sports Camps</t>
  </si>
  <si>
    <t xml:space="preserve">Cancer Screening &amp; Outreach - Council District 14</t>
  </si>
  <si>
    <t xml:space="preserve">Rapid Response Program - Council District 14</t>
  </si>
  <si>
    <t xml:space="preserve">Public School 340X (10X340)</t>
  </si>
  <si>
    <t xml:space="preserve">Debate Tournament - NorthWest Bronx</t>
  </si>
  <si>
    <t xml:space="preserve">Sedgwick Houses</t>
  </si>
  <si>
    <t xml:space="preserve">Bailey Avenue - West 193rd St</t>
  </si>
  <si>
    <t xml:space="preserve">Fort Independence Houses</t>
  </si>
  <si>
    <t xml:space="preserve">Marble Hill Tenant's Association</t>
  </si>
  <si>
    <t xml:space="preserve">Cleanup Efforts - Council District 14</t>
  </si>
  <si>
    <t xml:space="preserve">Snow Removal, Event Support &amp; Community Cleanup - Council Di</t>
  </si>
  <si>
    <t xml:space="preserve">Greenthumb - Council District 14</t>
  </si>
  <si>
    <t xml:space="preserve">Supplemental Cleaning Services - Council District 14</t>
  </si>
  <si>
    <t xml:space="preserve">Christodora, Inc</t>
  </si>
  <si>
    <t xml:space="preserve">135562192</t>
  </si>
  <si>
    <t xml:space="preserve">New Youth Conservationists &amp; Winter Ecology Program</t>
  </si>
  <si>
    <t xml:space="preserve">Community Planting Initiative - Council District 14</t>
  </si>
  <si>
    <t xml:space="preserve">Cameras for Illegal Dumping - Council District 14</t>
  </si>
  <si>
    <t xml:space="preserve">Davidson Community Center, Inc.</t>
  </si>
  <si>
    <t xml:space="preserve">237010206</t>
  </si>
  <si>
    <t xml:space="preserve">Merchant Organizing for Burnside, Jerome &amp; Tremont Corridor</t>
  </si>
  <si>
    <t xml:space="preserve">Marketing Campaign/Community Outreach &amp; Advocacy - Council D</t>
  </si>
  <si>
    <t xml:space="preserve">Kingsbridge Road Merchant Outreach</t>
  </si>
  <si>
    <t xml:space="preserve">Youth Development Program - Council District 14</t>
  </si>
  <si>
    <t xml:space="preserve">Community Field Trips - Council District 14</t>
  </si>
  <si>
    <t xml:space="preserve">Bronxworks Morris (ISC)</t>
  </si>
  <si>
    <t xml:space="preserve">R.A.I.N Tolentine Older Adult Center</t>
  </si>
  <si>
    <t xml:space="preserve">Senior Wraparound Services</t>
  </si>
  <si>
    <t xml:space="preserve">Tolentine Senior Center</t>
  </si>
  <si>
    <t xml:space="preserve">Crenulated Company, Ltd., The d/b/a New Settlement Apartments</t>
  </si>
  <si>
    <t xml:space="preserve">141719016</t>
  </si>
  <si>
    <t xml:space="preserve">Community Action for Safe Apartments (CASA) for Older Adults</t>
  </si>
  <si>
    <t xml:space="preserve">Baitul Islam Masjid Community Food Bank </t>
  </si>
  <si>
    <t xml:space="preserve">Older Adult Education - Council District 14</t>
  </si>
  <si>
    <t xml:space="preserve">History Keepers Program -  Council District 14</t>
  </si>
  <si>
    <t xml:space="preserve">Morris Heights Older Adult Center</t>
  </si>
  <si>
    <t xml:space="preserve">Sedgwick Social Club</t>
  </si>
  <si>
    <t xml:space="preserve">Rapid Response Disasters - Council District 14</t>
  </si>
  <si>
    <t xml:space="preserve">Senior Engagement and Services - Council District 14</t>
  </si>
  <si>
    <t xml:space="preserve">Comprehensive Chess Education Program - Council District 14</t>
  </si>
  <si>
    <t xml:space="preserve">After-School Program - Council District 14</t>
  </si>
  <si>
    <t xml:space="preserve">Teen Center - Council District 14</t>
  </si>
  <si>
    <t xml:space="preserve">Frederic R. &amp; Margaret Coudert Clubhouse – Youth and Teen Se</t>
  </si>
  <si>
    <t xml:space="preserve">Bronx Independent Cinema Center, The</t>
  </si>
  <si>
    <t xml:space="preserve">920975367</t>
  </si>
  <si>
    <t xml:space="preserve">Workforce Development &amp; Public Screenings - Council District</t>
  </si>
  <si>
    <t xml:space="preserve">Public School 226X (10X226) - Play to Learn </t>
  </si>
  <si>
    <t xml:space="preserve">LGBTQ+ Unhoused Youth - Council District 14</t>
  </si>
  <si>
    <t xml:space="preserve">Coastal Preservation Network</t>
  </si>
  <si>
    <t xml:space="preserve">510544114</t>
  </si>
  <si>
    <t xml:space="preserve">Older Adults Transportation - Council District 19</t>
  </si>
  <si>
    <t xml:space="preserve">Angelo Petromelis College Point Senior Center - Council Dist</t>
  </si>
  <si>
    <t xml:space="preserve">Bay Terrace Senior Program - Council District 19</t>
  </si>
  <si>
    <t xml:space="preserve">Clearview Assistance Program - Council District 19</t>
  </si>
  <si>
    <t xml:space="preserve">Social Adult Day Care Program - Council District 19</t>
  </si>
  <si>
    <t xml:space="preserve">Alzheimers Resource Program (SHARP) - Council District 19</t>
  </si>
  <si>
    <t xml:space="preserve">Older Adults Services - Council District 19</t>
  </si>
  <si>
    <t xml:space="preserve">Virtual Senior Center</t>
  </si>
  <si>
    <t xml:space="preserve">Council District 19</t>
  </si>
  <si>
    <t xml:space="preserve">Breast Cancer Outreach &amp; Patient Navigation Program</t>
  </si>
  <si>
    <t xml:space="preserve">Festivals &amp; Events - Council District 19</t>
  </si>
  <si>
    <t xml:space="preserve">Ageless Action Dance Residencies - Council District 19</t>
  </si>
  <si>
    <t xml:space="preserve">Environmental Education for All</t>
  </si>
  <si>
    <t xml:space="preserve">Transitional Services for New York (TSINY), Inc.</t>
  </si>
  <si>
    <t xml:space="preserve">237376074</t>
  </si>
  <si>
    <t xml:space="preserve">Residential Program</t>
  </si>
  <si>
    <t xml:space="preserve">Adolescent Mental Health Clinic</t>
  </si>
  <si>
    <t xml:space="preserve">Summer Playground Associate - Bowne Park</t>
  </si>
  <si>
    <t xml:space="preserve">Legal Services for Veterans &amp; Families</t>
  </si>
  <si>
    <t xml:space="preserve">Police Organization Providing Peer Assistance (POPPA), Inc.</t>
  </si>
  <si>
    <t xml:space="preserve">134128172</t>
  </si>
  <si>
    <t xml:space="preserve">109th &amp; 111th Precincts Programming</t>
  </si>
  <si>
    <t xml:space="preserve">Public School 31Q Bayside (26Q031)</t>
  </si>
  <si>
    <t xml:space="preserve">Public School 129Q Patricia Larkin (25Q129)</t>
  </si>
  <si>
    <t xml:space="preserve">Conrad Poppenhusen Association</t>
  </si>
  <si>
    <t xml:space="preserve">111633524</t>
  </si>
  <si>
    <t xml:space="preserve">Public School 29Q Queens (25Q029)</t>
  </si>
  <si>
    <t xml:space="preserve">Public School 184Q Flushing Manor (25Q184)</t>
  </si>
  <si>
    <t xml:space="preserve">Public School 379Q College Point Collaborative (25Q379)</t>
  </si>
  <si>
    <t xml:space="preserve">Magic Box Productions, Inc.</t>
  </si>
  <si>
    <t xml:space="preserve">202924921</t>
  </si>
  <si>
    <t xml:space="preserve">Junior High School 194Q William Carr (25Q194)</t>
  </si>
  <si>
    <t xml:space="preserve">Public School 79Q Francis Lewis (25Q079)</t>
  </si>
  <si>
    <t xml:space="preserve">Public School 159Q (26Q159)</t>
  </si>
  <si>
    <t xml:space="preserve">Public School 94Q David D. Porter (26Q094)</t>
  </si>
  <si>
    <t xml:space="preserve">Public School 98Q The Douglaston School (26Q098)</t>
  </si>
  <si>
    <t xml:space="preserve">Junior High School 67Q Louis Pasteur (26Q067)</t>
  </si>
  <si>
    <t xml:space="preserve">BELL Academy (25Q294)</t>
  </si>
  <si>
    <t xml:space="preserve">Public School 130Q (25Q130)</t>
  </si>
  <si>
    <t xml:space="preserve">Public School 169Q Bay Terrace (25Q169)</t>
  </si>
  <si>
    <t xml:space="preserve">Junior High School 185Q Edward Bleeker (25Q185)</t>
  </si>
  <si>
    <t xml:space="preserve">Shows &amp; Events - Council District 19</t>
  </si>
  <si>
    <t xml:space="preserve">Digital Inclusion &amp; Literacy Program</t>
  </si>
  <si>
    <t xml:space="preserve">Digital Inclusion &amp; Literacy Programming</t>
  </si>
  <si>
    <t xml:space="preserve">Domestic Violence &amp; Intervention - Council District 19</t>
  </si>
  <si>
    <t xml:space="preserve">John Papas Transit Bureau K9 Unit DoVE</t>
  </si>
  <si>
    <t xml:space="preserve">Community Events &amp; Engagement - Council District 19</t>
  </si>
  <si>
    <t xml:space="preserve">Business Resources &amp; Fireworks Show - Council District 19</t>
  </si>
  <si>
    <t xml:space="preserve">Chabad Community Center</t>
  </si>
  <si>
    <t xml:space="preserve">Bayside Village Business Improvement District</t>
  </si>
  <si>
    <t xml:space="preserve">262931126</t>
  </si>
  <si>
    <t xml:space="preserve">Business Attraction &amp; Community Events - Council District 19</t>
  </si>
  <si>
    <t xml:space="preserve">Cultural &amp; Historic Programs - Council District 19</t>
  </si>
  <si>
    <t xml:space="preserve">Veterans Program - Council District 19</t>
  </si>
  <si>
    <t xml:space="preserve">College Point Civic Association, Inc.</t>
  </si>
  <si>
    <t xml:space="preserve">113057201</t>
  </si>
  <si>
    <t xml:space="preserve">Taxpayers Services</t>
  </si>
  <si>
    <t xml:space="preserve">A Better College Point Civic Association, Inc.</t>
  </si>
  <si>
    <t xml:space="preserve">871091395</t>
  </si>
  <si>
    <t xml:space="preserve">College Point Civic Association</t>
  </si>
  <si>
    <t xml:space="preserve">Surrender Prevention &amp; Community Events</t>
  </si>
  <si>
    <t xml:space="preserve">Bay Community Volunteer Ambulance Corps, Inc.</t>
  </si>
  <si>
    <t xml:space="preserve">116106688</t>
  </si>
  <si>
    <t xml:space="preserve">Volunteer Ambulance - Council District 19</t>
  </si>
  <si>
    <t xml:space="preserve">Bayside Business Association</t>
  </si>
  <si>
    <t xml:space="preserve">113372987</t>
  </si>
  <si>
    <t xml:space="preserve">Support Business - Council District 19</t>
  </si>
  <si>
    <t xml:space="preserve">Center for the Women of New York, Inc., The</t>
  </si>
  <si>
    <t xml:space="preserve">112876688</t>
  </si>
  <si>
    <t xml:space="preserve">Women's Empowerment Program</t>
  </si>
  <si>
    <t xml:space="preserve">Little Neck-Douglaston Community Ambulance Corps, Inc.</t>
  </si>
  <si>
    <t xml:space="preserve">116028583</t>
  </si>
  <si>
    <t xml:space="preserve">Emergency First Response Equipment - Council District 19</t>
  </si>
  <si>
    <t xml:space="preserve">Visually Impaired Services - Council District 19</t>
  </si>
  <si>
    <t xml:space="preserve">We Love Whitestone, Inc.</t>
  </si>
  <si>
    <t xml:space="preserve">473049636</t>
  </si>
  <si>
    <t xml:space="preserve">Community Program</t>
  </si>
  <si>
    <t xml:space="preserve">Whitestone Community Ambulance Service, Inc.</t>
  </si>
  <si>
    <t xml:space="preserve">112590794</t>
  </si>
  <si>
    <t xml:space="preserve">Recruitment Initiative</t>
  </si>
  <si>
    <t xml:space="preserve">College Point Citizens for Memorial Day, Inc.</t>
  </si>
  <si>
    <t xml:space="preserve">113531420</t>
  </si>
  <si>
    <t xml:space="preserve">Memorial Day - Council District 19</t>
  </si>
  <si>
    <t xml:space="preserve">Holiday Decor, Fireworks &amp; Community Events</t>
  </si>
  <si>
    <t xml:space="preserve">109th Precinct Community Council</t>
  </si>
  <si>
    <t xml:space="preserve">112417336</t>
  </si>
  <si>
    <t xml:space="preserve">English Speaking Greek Radio &amp; TV</t>
  </si>
  <si>
    <t xml:space="preserve">Better, Stronger, Fairer: Building A Resilient Recovery for </t>
  </si>
  <si>
    <t xml:space="preserve">Restoration Program</t>
  </si>
  <si>
    <t xml:space="preserve">Public School 094Q David D. Porter (26Q094) - Music &amp; Coding</t>
  </si>
  <si>
    <t xml:space="preserve">Crocheron Park</t>
  </si>
  <si>
    <t xml:space="preserve">Francis Lewis Park Movie Night - Council District 19</t>
  </si>
  <si>
    <t xml:space="preserve">Wenger Wagon Stage Fund - Council District 19</t>
  </si>
  <si>
    <t xml:space="preserve">Douglaston and Little Neck Historical Society</t>
  </si>
  <si>
    <t xml:space="preserve">113027069</t>
  </si>
  <si>
    <t xml:space="preserve">Annual Programs &amp; Services - Council District 19.</t>
  </si>
  <si>
    <t xml:space="preserve">Preventative Screening for Thyroid Cancer &amp; Risk for Cancer</t>
  </si>
  <si>
    <t xml:space="preserve">Oratorio Society of Queens, Inc.</t>
  </si>
  <si>
    <t xml:space="preserve">112781564</t>
  </si>
  <si>
    <t xml:space="preserve">Community Concerts &amp; Events - Council District 19</t>
  </si>
  <si>
    <t xml:space="preserve">John Pappas Transit Bureau K9 Unit</t>
  </si>
  <si>
    <t xml:space="preserve">Autism Programs &amp; Services - Queens &amp; Council District 19</t>
  </si>
  <si>
    <t xml:space="preserve">Counseling</t>
  </si>
  <si>
    <t xml:space="preserve">24-Hour Confidential Suicide Prevention Hotline</t>
  </si>
  <si>
    <t xml:space="preserve">Caring Community Suicide Prevention &amp; Awareness Education Pr</t>
  </si>
  <si>
    <t xml:space="preserve">Turn the Page...Again (bookstore) &amp; Empowerment Center</t>
  </si>
  <si>
    <t xml:space="preserve">Public School 129Q Patricia Larkin (25Q129) - Tinker Lab</t>
  </si>
  <si>
    <t xml:space="preserve">College Point Collaborative (25Q379) - Parent Teacher Associ</t>
  </si>
  <si>
    <t xml:space="preserve">Public School 193Q Alfred J. Kennedy (25Q193) - Parent Teach</t>
  </si>
  <si>
    <t xml:space="preserve">Junior High School 194Q William Carr (25Q194) - Parent Teach</t>
  </si>
  <si>
    <t xml:space="preserve">Junior High School 67Q Louis Pasteur (26Q067) - Parent Teach</t>
  </si>
  <si>
    <t xml:space="preserve">Middle School 158Q Marie Curie (26Q158) - Parent Teacher Ass</t>
  </si>
  <si>
    <t xml:space="preserve">Public School 079Q Francis Lewis (25Q079) - Parent Teacher A</t>
  </si>
  <si>
    <t xml:space="preserve">Public School 107Q Thomas A. Dooley (25Q107) - Parent Teache</t>
  </si>
  <si>
    <t xml:space="preserve">Public School 129Q Patricia Larkin (25Q129) - Parent Teacher</t>
  </si>
  <si>
    <t xml:space="preserve">Public School 130Q (25Q130) - Parent Teacher Association</t>
  </si>
  <si>
    <t xml:space="preserve">Public School 159Q (26Q159) - Parent Teacher Association</t>
  </si>
  <si>
    <t xml:space="preserve">Public School 169Q Bay Terrace (25Q169) - Parent Teacher Ass</t>
  </si>
  <si>
    <t xml:space="preserve">Public School 184Q Flushing Manor (25Q184) - Parent Teacher </t>
  </si>
  <si>
    <t xml:space="preserve">Junior High School 185Q Edward Bleeker (25Q185) - Parent Tea</t>
  </si>
  <si>
    <t xml:space="preserve">Public School 21Q Edward Hart School (25Q021) - Parent Teach</t>
  </si>
  <si>
    <t xml:space="preserve">Public School 29Q Queens (25Q029) - Parent Teacher Associati</t>
  </si>
  <si>
    <t xml:space="preserve">Public School 31Q Bayside (26Q031) - Parent Teacher Associat</t>
  </si>
  <si>
    <t xml:space="preserve">Public School 41Q Crocheron (26Q041) - Parent Teacher Associ</t>
  </si>
  <si>
    <t xml:space="preserve">Public School 94Q David D. Porter (26Q094) - Parent Teacher </t>
  </si>
  <si>
    <t xml:space="preserve">Bayside High School (26Q495) - Parent Teacher Association</t>
  </si>
  <si>
    <t xml:space="preserve">BELL Academy (25Q294) - Parent Teacher Association</t>
  </si>
  <si>
    <t xml:space="preserve">Public School 98Q The Douglaston School (26Q098) - Parent Te</t>
  </si>
  <si>
    <t xml:space="preserve">Cleanup Services - Council District 19</t>
  </si>
  <si>
    <t xml:space="preserve">Business Attraction &amp; Retention</t>
  </si>
  <si>
    <t xml:space="preserve">Dac Athletic Club, Inc.</t>
  </si>
  <si>
    <t xml:space="preserve">116080807</t>
  </si>
  <si>
    <t xml:space="preserve">Council District 19 / Youth Sports </t>
  </si>
  <si>
    <t xml:space="preserve">Senior Transportation Program - Council District 19</t>
  </si>
  <si>
    <t xml:space="preserve">Support for Seniors in d19</t>
  </si>
  <si>
    <t xml:space="preserve">Dwarf-Giraffe Athletic League of Whitestone, Inc.</t>
  </si>
  <si>
    <t xml:space="preserve">112523053</t>
  </si>
  <si>
    <t xml:space="preserve">Youth Sports Program</t>
  </si>
  <si>
    <t xml:space="preserve">Youth Development - Council District 19</t>
  </si>
  <si>
    <t xml:space="preserve">Middle School 158Q Marie Curie (26Q158)</t>
  </si>
  <si>
    <t xml:space="preserve">Youth Program</t>
  </si>
  <si>
    <t xml:space="preserve">Services for Children with Autism Spectrum Disorder</t>
  </si>
  <si>
    <t xml:space="preserve">After School Enrichment Initiative - Council District 19</t>
  </si>
  <si>
    <t xml:space="preserve">Community Tennis Program - Council District 19</t>
  </si>
  <si>
    <t xml:space="preserve">Broadway Bridges Program - Bayside High School (26Q495)</t>
  </si>
  <si>
    <t xml:space="preserve">Smile On Children</t>
  </si>
  <si>
    <t xml:space="preserve">College Point Parade and Festival Committee, Inc.</t>
  </si>
  <si>
    <t xml:space="preserve">933085457</t>
  </si>
  <si>
    <t xml:space="preserve">Hydroponic Classrooms - Public School 094Q David D. Porter (</t>
  </si>
  <si>
    <t xml:space="preserve">Grayson Culture &amp; Youth Foundation, Inc.</t>
  </si>
  <si>
    <t xml:space="preserve">883868534</t>
  </si>
  <si>
    <t xml:space="preserve">Hydroponic Classrooms - Bayside High School (26Q495)</t>
  </si>
  <si>
    <t xml:space="preserve">Organizing &amp; Community-Based Legal Services</t>
  </si>
  <si>
    <t xml:space="preserve">Immigration Legal Services Program</t>
  </si>
  <si>
    <t xml:space="preserve">Elmcor Youth and Adult Activities, Inc.</t>
  </si>
  <si>
    <t xml:space="preserve">112224539</t>
  </si>
  <si>
    <t xml:space="preserve">Strong Fathers &amp; Strong Mothers</t>
  </si>
  <si>
    <t xml:space="preserve">St. Pat's for All, Inc.</t>
  </si>
  <si>
    <t xml:space="preserve">300606762</t>
  </si>
  <si>
    <t xml:space="preserve">P.S.1 Contemporary Art Center, Inc.</t>
  </si>
  <si>
    <t xml:space="preserve">237379091</t>
  </si>
  <si>
    <t xml:space="preserve">Empower My Hood, Inc.</t>
  </si>
  <si>
    <t xml:space="preserve">843764945</t>
  </si>
  <si>
    <t xml:space="preserve">Council District 27</t>
  </si>
  <si>
    <t xml:space="preserve">Delta Academy &amp; Community Activities</t>
  </si>
  <si>
    <t xml:space="preserve">Older Adult &amp; Senior Ride Transportation Program</t>
  </si>
  <si>
    <t xml:space="preserve">After-School Programming - Council District 34</t>
  </si>
  <si>
    <t xml:space="preserve">Brooklyn Heights Association, Inc.</t>
  </si>
  <si>
    <t xml:space="preserve">111504005</t>
  </si>
  <si>
    <t xml:space="preserve">Hydroponic Farms - Middle School 126K, Urban Assembly for Yo</t>
  </si>
  <si>
    <t xml:space="preserve">Tree Bed Planters - Council District 33</t>
  </si>
  <si>
    <t xml:space="preserve">Older Adults Benefits Assistance</t>
  </si>
  <si>
    <t xml:space="preserve">Polish and Slavic Center, Inc.</t>
  </si>
  <si>
    <t xml:space="preserve">112285970</t>
  </si>
  <si>
    <t xml:space="preserve">Council District 33</t>
  </si>
  <si>
    <t xml:space="preserve">Pete McGuinness Older Adult Center</t>
  </si>
  <si>
    <t xml:space="preserve">Lifelong Enrichment Program - Council District 33</t>
  </si>
  <si>
    <t xml:space="preserve">Helen Keller Services</t>
  </si>
  <si>
    <t xml:space="preserve">111630807</t>
  </si>
  <si>
    <t xml:space="preserve">Adaptive Living Program - Council District 33</t>
  </si>
  <si>
    <t xml:space="preserve">Transportation Services - Council District 33</t>
  </si>
  <si>
    <t xml:space="preserve">Cadman NORC</t>
  </si>
  <si>
    <t xml:space="preserve">Job Training - Council District 33</t>
  </si>
  <si>
    <t xml:space="preserve"> Council District 33</t>
  </si>
  <si>
    <t xml:space="preserve">Immigrant Legal Services - Council District 33</t>
  </si>
  <si>
    <t xml:space="preserve">Legal &amp; Social Work Services - Council District 33</t>
  </si>
  <si>
    <t xml:space="preserve">Housing Works, Inc.</t>
  </si>
  <si>
    <t xml:space="preserve">133584089</t>
  </si>
  <si>
    <t xml:space="preserve">Community Outreach - Council District 33</t>
  </si>
  <si>
    <t xml:space="preserve">Legal Services for Low-Income New Yorkers - Council District</t>
  </si>
  <si>
    <t xml:space="preserve">Center for Alternative Sentencing and Employment Services</t>
  </si>
  <si>
    <t xml:space="preserve">132668080</t>
  </si>
  <si>
    <t xml:space="preserve">Medication-Assisted Treatment (MAT) - Council District 33</t>
  </si>
  <si>
    <t xml:space="preserve">Shmira Volunteer Patrol Corporation</t>
  </si>
  <si>
    <t xml:space="preserve">112719958</t>
  </si>
  <si>
    <t xml:space="preserve">Community Safety - Council District 33</t>
  </si>
  <si>
    <t xml:space="preserve">Downtown Brooklyn Public Safety - Council District 33</t>
  </si>
  <si>
    <t xml:space="preserve">Anti-Violence &amp; Anti-Hate Initiatives – Council District 33</t>
  </si>
  <si>
    <t xml:space="preserve">New York Peace Institute, Inc.</t>
  </si>
  <si>
    <t xml:space="preserve">451964622</t>
  </si>
  <si>
    <t xml:space="preserve">Conflict resolution &amp; Restorative Justice Programs - Council</t>
  </si>
  <si>
    <t xml:space="preserve">Organizing &amp; Community-Based Legal Services - Council Distri</t>
  </si>
  <si>
    <t xml:space="preserve">Public School 034K Oliver H. Perry (14K034)</t>
  </si>
  <si>
    <t xml:space="preserve">Public School 261K (15K261)</t>
  </si>
  <si>
    <t xml:space="preserve">Math &amp; Science Exploratory School, The (15K447)</t>
  </si>
  <si>
    <t xml:space="preserve">John Ericsson Middle School 126 (14K126)</t>
  </si>
  <si>
    <t xml:space="preserve">Juan Morel Campos Secondary School (14K071) </t>
  </si>
  <si>
    <t xml:space="preserve">I.S. 318 Eugenio Maria De Hostos</t>
  </si>
  <si>
    <t xml:space="preserve">Public School 031K Samuel F. Dupont (14K031)</t>
  </si>
  <si>
    <t xml:space="preserve">Public School 380K (14K380)</t>
  </si>
  <si>
    <t xml:space="preserve">Public School / Intermediate School 157K (14K157)</t>
  </si>
  <si>
    <t xml:space="preserve">Dock Street School for STEAM Studies (13K313)</t>
  </si>
  <si>
    <t xml:space="preserve">Public School 307K (13K307)</t>
  </si>
  <si>
    <t xml:space="preserve">Public School 38K (15K038)</t>
  </si>
  <si>
    <t xml:space="preserve">Public School 008K The Emily Warren Roebling School  (13K008</t>
  </si>
  <si>
    <t xml:space="preserve">ALBEE SQUARE MONTESSORI PUBLIC SCHOOL (PS 482 (13K482)</t>
  </si>
  <si>
    <t xml:space="preserve">Public School 110K (14K110)</t>
  </si>
  <si>
    <t xml:space="preserve">Public School 54K (13K054)</t>
  </si>
  <si>
    <t xml:space="preserve">The Elizabeth Jennings School for Bold Explorers (K456)</t>
  </si>
  <si>
    <t xml:space="preserve">Cultural programming &amp; Empowerment - Council District 33</t>
  </si>
  <si>
    <t xml:space="preserve">St. Ann's Warehouse, Inc.</t>
  </si>
  <si>
    <t xml:space="preserve">112665242</t>
  </si>
  <si>
    <t xml:space="preserve">Cultural Programming &amp; Empowerment - Council District 33</t>
  </si>
  <si>
    <t xml:space="preserve">Brooklyn Institute for Social Research</t>
  </si>
  <si>
    <t xml:space="preserve">454337302</t>
  </si>
  <si>
    <t xml:space="preserve">CUNY Dominican Studies Institute</t>
  </si>
  <si>
    <t xml:space="preserve">Literacy Programming - Council District 33</t>
  </si>
  <si>
    <t xml:space="preserve">Beta NYC</t>
  </si>
  <si>
    <t xml:space="preserve">John Ericsson Middle School 126K (14K126)</t>
  </si>
  <si>
    <t xml:space="preserve">Affordable Housing Outreach - Council District 33</t>
  </si>
  <si>
    <t xml:space="preserve">DUMBO District Management Association, Inc.</t>
  </si>
  <si>
    <t xml:space="preserve">200214837</t>
  </si>
  <si>
    <t xml:space="preserve">DUMBO Vendor Plaza </t>
  </si>
  <si>
    <t xml:space="preserve">Helmet Giveaway Events - Council District 33</t>
  </si>
  <si>
    <t xml:space="preserve">Patients and Siblings Outings &amp; Therapy Events - Council Dis</t>
  </si>
  <si>
    <t xml:space="preserve">Triskelion Arts-Kick-Standance, Inc.</t>
  </si>
  <si>
    <t xml:space="preserve">113595320</t>
  </si>
  <si>
    <t xml:space="preserve">Public School 380K John Wayne Elementary School (14K380)</t>
  </si>
  <si>
    <t xml:space="preserve">Interrupting Barriers to Book Ownership -  Council District </t>
  </si>
  <si>
    <t xml:space="preserve">Atlantic Avenue Association Local Development Corporation</t>
  </si>
  <si>
    <t xml:space="preserve">112786225</t>
  </si>
  <si>
    <t xml:space="preserve">Annual Atlantic Antic Festival - Council District 33</t>
  </si>
  <si>
    <t xml:space="preserve">Pesach Tikvah Hope Development, Inc.</t>
  </si>
  <si>
    <t xml:space="preserve">112642641</t>
  </si>
  <si>
    <t xml:space="preserve">After-School Support &amp; Respite Program – Council District 33</t>
  </si>
  <si>
    <t xml:space="preserve">Green Workforce Training Program - Council District 33</t>
  </si>
  <si>
    <t xml:space="preserve">The Action Lab &amp; Fellowship Program</t>
  </si>
  <si>
    <t xml:space="preserve">WNYC Transmitter Park</t>
  </si>
  <si>
    <t xml:space="preserve">Greenpoint Monitor Museum, The</t>
  </si>
  <si>
    <t xml:space="preserve">113332514</t>
  </si>
  <si>
    <t xml:space="preserve">Road Show - Council District 33</t>
  </si>
  <si>
    <t xml:space="preserve">Institute for Community Living, Inc.</t>
  </si>
  <si>
    <t xml:space="preserve">133306195</t>
  </si>
  <si>
    <t xml:space="preserve">Mental Health Supports for Youth &amp; Young Adults - Council Di</t>
  </si>
  <si>
    <t xml:space="preserve">Original Music Workshop, Inc.</t>
  </si>
  <si>
    <t xml:space="preserve">272974840</t>
  </si>
  <si>
    <t xml:space="preserve">Council District 33 </t>
  </si>
  <si>
    <t xml:space="preserve">Boro Hall Health Center - Council District 33</t>
  </si>
  <si>
    <t xml:space="preserve">Housing Preservation Initiative - Council District 33</t>
  </si>
  <si>
    <t xml:space="preserve">Utility Consumer Assistance &amp; Advocacy - Council District 33</t>
  </si>
  <si>
    <t xml:space="preserve">Roulette Intermedium, Inc.</t>
  </si>
  <si>
    <t xml:space="preserve">363046751</t>
  </si>
  <si>
    <t xml:space="preserve">Community Services Program - Council District 33</t>
  </si>
  <si>
    <t xml:space="preserve">Smack Mellon Studios, Inc.</t>
  </si>
  <si>
    <t xml:space="preserve">113375393</t>
  </si>
  <si>
    <t xml:space="preserve">Art Ready Program - Council District 33</t>
  </si>
  <si>
    <t xml:space="preserve">McCarren Park Demonstration Garden - Council District 33</t>
  </si>
  <si>
    <t xml:space="preserve">United Photo Industries, Inc.</t>
  </si>
  <si>
    <t xml:space="preserve">814150129</t>
  </si>
  <si>
    <t xml:space="preserve">Photoville Festival</t>
  </si>
  <si>
    <t xml:space="preserve">Poetry Society of America</t>
  </si>
  <si>
    <t xml:space="preserve">136019220</t>
  </si>
  <si>
    <t xml:space="preserve">Public Art Programming - Council District 33</t>
  </si>
  <si>
    <t xml:space="preserve">Public School 54K The Detective Rafael Ramos School (13K054)</t>
  </si>
  <si>
    <t xml:space="preserve">Public School 307K Daniel Hale Williams (13K307)</t>
  </si>
  <si>
    <t xml:space="preserve">Public School 038K The Pacific (15K038)</t>
  </si>
  <si>
    <t xml:space="preserve">Family Paddle Programming &amp; Kayak Skills and Safety Training</t>
  </si>
  <si>
    <t xml:space="preserve">CAVE Organization, Inc.</t>
  </si>
  <si>
    <t xml:space="preserve">043763314</t>
  </si>
  <si>
    <t xml:space="preserve">Public Performances &amp; Education Programs - Council District </t>
  </si>
  <si>
    <t xml:space="preserve">84th Precinct Community Council</t>
  </si>
  <si>
    <t xml:space="preserve">113149257</t>
  </si>
  <si>
    <t xml:space="preserve">Stoop Stories, Inc.</t>
  </si>
  <si>
    <t xml:space="preserve">39-4520848</t>
  </si>
  <si>
    <t xml:space="preserve">Community Storytellers Programming - Council District 33</t>
  </si>
  <si>
    <t xml:space="preserve">Education &amp; Performance Program - Council District 33</t>
  </si>
  <si>
    <t xml:space="preserve">Urban Assembly Institute of Math and Science for Young Women</t>
  </si>
  <si>
    <t xml:space="preserve">Community Engagement Program - Council District 33</t>
  </si>
  <si>
    <t xml:space="preserve">En Garde Arts, Inc.</t>
  </si>
  <si>
    <t xml:space="preserve">115347056</t>
  </si>
  <si>
    <t xml:space="preserve">Theater 2020, Inc.</t>
  </si>
  <si>
    <t xml:space="preserve">113193180</t>
  </si>
  <si>
    <t xml:space="preserve">Shakespeare at Sunset - Council District 33</t>
  </si>
  <si>
    <t xml:space="preserve">ISSUE Project Room, Inc.</t>
  </si>
  <si>
    <t xml:space="preserve">200367608</t>
  </si>
  <si>
    <t xml:space="preserve">Public Performance &amp; Events - Council District 33</t>
  </si>
  <si>
    <t xml:space="preserve">Center for Urban Community Services</t>
  </si>
  <si>
    <t xml:space="preserve">133687891</t>
  </si>
  <si>
    <t xml:space="preserve">Training Porgrams - Council District 33</t>
  </si>
  <si>
    <t xml:space="preserve">Alliance on Gender Equity (AGE) - Council District 33</t>
  </si>
  <si>
    <t xml:space="preserve">Small Business and Non-Profit Support - Council District 33</t>
  </si>
  <si>
    <t xml:space="preserve">Community Cleanups - McCarren Park. </t>
  </si>
  <si>
    <t xml:space="preserve">Arab American History Walk - Council District 33</t>
  </si>
  <si>
    <t xml:space="preserve">Community Healthcare Network, Inc.</t>
  </si>
  <si>
    <t xml:space="preserve">133083068</t>
  </si>
  <si>
    <t xml:space="preserve">Medical Mobile Van</t>
  </si>
  <si>
    <t xml:space="preserve">McGolrick Park Movies </t>
  </si>
  <si>
    <t xml:space="preserve">St. Francis College</t>
  </si>
  <si>
    <t xml:space="preserve">111635105</t>
  </si>
  <si>
    <t xml:space="preserve">Counseling and Wellness Center - Council District 33</t>
  </si>
  <si>
    <t xml:space="preserve">Center for Brooklyn History</t>
  </si>
  <si>
    <t xml:space="preserve">Sanitation Cleanup - Council District 33 </t>
  </si>
  <si>
    <t xml:space="preserve">Rat Resistant Basket Replacement - Council District 33 </t>
  </si>
  <si>
    <t xml:space="preserve">Parks Enhancement Worker</t>
  </si>
  <si>
    <t xml:space="preserve">Broadway Triangle flood prevention &amp; District 33 Rat Mitigat</t>
  </si>
  <si>
    <t xml:space="preserve">Concord Villiage NORC</t>
  </si>
  <si>
    <t xml:space="preserve">Council District 33 - Times Plaza Senior Center </t>
  </si>
  <si>
    <t xml:space="preserve">St. Charles Jubilee Older Adult Center</t>
  </si>
  <si>
    <t xml:space="preserve">Rainbow Heights Club Direct Client Services</t>
  </si>
  <si>
    <t xml:space="preserve">North Brooklyn Development Corporation</t>
  </si>
  <si>
    <t xml:space="preserve">112555446</t>
  </si>
  <si>
    <t xml:space="preserve">Senior Movie Program </t>
  </si>
  <si>
    <t xml:space="preserve">Service Collective Assistance - Council District 33</t>
  </si>
  <si>
    <t xml:space="preserve">Mental Health Support - Public School/Intermediate School 15</t>
  </si>
  <si>
    <t xml:space="preserve">Mental Health Support - Public School 54K (13K054)</t>
  </si>
  <si>
    <t xml:space="preserve">Hydroponics Lab - Public School 110K The Monitor (14K110)</t>
  </si>
  <si>
    <t xml:space="preserve">The Sensory Gym</t>
  </si>
  <si>
    <t xml:space="preserve">Life is Precious Program - Council District 33</t>
  </si>
  <si>
    <t xml:space="preserve">Dodge YMCA - Public School 307K Daniel Hale Williams (13K307</t>
  </si>
  <si>
    <t xml:space="preserve">Teen Programming - Greenpoint YMCA</t>
  </si>
  <si>
    <t xml:space="preserve">Friends of the New York Transit Museum</t>
  </si>
  <si>
    <t xml:space="preserve">113299408</t>
  </si>
  <si>
    <t xml:space="preserve">Public School 307K Daniel Hale Williams (13K307) - Council D</t>
  </si>
  <si>
    <t xml:space="preserve">Jozef Pilsudski Institute of America For Research in the Modern History of Poland, In</t>
  </si>
  <si>
    <t xml:space="preserve">237164776</t>
  </si>
  <si>
    <t xml:space="preserve">Stories of Greenpoint Program - Council District 33</t>
  </si>
  <si>
    <t xml:space="preserve">READ 718, Inc.</t>
  </si>
  <si>
    <t xml:space="preserve">464080472</t>
  </si>
  <si>
    <t xml:space="preserve">After School Program - Council District 33</t>
  </si>
  <si>
    <t xml:space="preserve">Public School 054K The Detective Rafael Ramos School (13K054</t>
  </si>
  <si>
    <t xml:space="preserve">Brave House, The</t>
  </si>
  <si>
    <t xml:space="preserve">833670811</t>
  </si>
  <si>
    <t xml:space="preserve">Public Speaking &amp; Leadership Program</t>
  </si>
  <si>
    <t xml:space="preserve">Accelerated Achievement &amp; Credit Recovery Support Program</t>
  </si>
  <si>
    <t xml:space="preserve">Building 13 Association, Inc.</t>
  </si>
  <si>
    <t xml:space="preserve">134169405</t>
  </si>
  <si>
    <t xml:space="preserve">Community Engagement: District 12 </t>
  </si>
  <si>
    <t xml:space="preserve">Youth Programming &amp; Community Beautification </t>
  </si>
  <si>
    <t xml:space="preserve">Community Engagement </t>
  </si>
  <si>
    <t xml:space="preserve">GrownNYC Farmstand - Council District 12 </t>
  </si>
  <si>
    <t xml:space="preserve">Eastchester Neighborhood Senior Center </t>
  </si>
  <si>
    <t xml:space="preserve">Gunhill Neighborhood Senior Center </t>
  </si>
  <si>
    <t xml:space="preserve">Boston East Neighborhood Senior Center</t>
  </si>
  <si>
    <t xml:space="preserve">Boston Secor Neighborhood Senior Center </t>
  </si>
  <si>
    <t xml:space="preserve">Council District 12</t>
  </si>
  <si>
    <t xml:space="preserve">Wellness Services - Council District 12</t>
  </si>
  <si>
    <t xml:space="preserve">Bronx Rises Against Gun Violence (BRAG) - Council District 1</t>
  </si>
  <si>
    <t xml:space="preserve">Grenada Built to Win, Inc.</t>
  </si>
  <si>
    <t xml:space="preserve">832706717</t>
  </si>
  <si>
    <t xml:space="preserve">Sports Camp - Council District 12</t>
  </si>
  <si>
    <t xml:space="preserve">Edenwald Cornerstone</t>
  </si>
  <si>
    <t xml:space="preserve">Evander Childs Campus - Council District 12</t>
  </si>
  <si>
    <t xml:space="preserve">National Double Dutch League, Inc.</t>
  </si>
  <si>
    <t xml:space="preserve">200681037</t>
  </si>
  <si>
    <t xml:space="preserve">Youth Wellness - Council District 12</t>
  </si>
  <si>
    <t xml:space="preserve">Youth Services - Council District 12</t>
  </si>
  <si>
    <t xml:space="preserve">Public School 153X Helen Keller (11X153)</t>
  </si>
  <si>
    <t xml:space="preserve">Leaders of Tomorrow Middle School (11X370)</t>
  </si>
  <si>
    <t xml:space="preserve">Middle School 180X Dr. Daniel Hale Williams (11X180)</t>
  </si>
  <si>
    <t xml:space="preserve">One World Middle School 529X (11X529)</t>
  </si>
  <si>
    <t xml:space="preserve">Epic Theatre Center, Inc.</t>
  </si>
  <si>
    <t xml:space="preserve">522303451</t>
  </si>
  <si>
    <t xml:space="preserve">Bronx Lab School (11X265)</t>
  </si>
  <si>
    <t xml:space="preserve">Intermediate School 181X (11X181)</t>
  </si>
  <si>
    <t xml:space="preserve">Public School 178X Magnet School of Multimedia Arts &amp; Design</t>
  </si>
  <si>
    <t xml:space="preserve">Baychester Academy (11X169)</t>
  </si>
  <si>
    <t xml:space="preserve">Baychester Middle School (11X532)</t>
  </si>
  <si>
    <t xml:space="preserve">Public School 68X Bronx (11X068)</t>
  </si>
  <si>
    <t xml:space="preserve">Public School 76X The Bennington School (11X076)</t>
  </si>
  <si>
    <t xml:space="preserve">Public School 78X Anne Hutchinson (11X078)</t>
  </si>
  <si>
    <t xml:space="preserve">Public School 041X Gun Hill Road (11X041)</t>
  </si>
  <si>
    <t xml:space="preserve">Public School 111X Seton Falls (11X111)</t>
  </si>
  <si>
    <t xml:space="preserve">AIMHigh Empowerment Institute, Inc.</t>
  </si>
  <si>
    <t xml:space="preserve">813143733</t>
  </si>
  <si>
    <t xml:space="preserve">High School for Contemporary Arts</t>
  </si>
  <si>
    <t xml:space="preserve">Bronx Lab School - District 12</t>
  </si>
  <si>
    <t xml:space="preserve">Council District 12 </t>
  </si>
  <si>
    <t xml:space="preserve">Cultural Concerts - District 12 </t>
  </si>
  <si>
    <t xml:space="preserve">Arts Education &amp; Music Concerts - Council District 12</t>
  </si>
  <si>
    <t xml:space="preserve">Christmas Grand Market - Council District 12</t>
  </si>
  <si>
    <t xml:space="preserve">Bronx Community Foundation, Inc., The</t>
  </si>
  <si>
    <t xml:space="preserve">814237999</t>
  </si>
  <si>
    <t xml:space="preserve">Legal Services - Council District 12 </t>
  </si>
  <si>
    <t xml:space="preserve">RISE Project - Council District 12</t>
  </si>
  <si>
    <t xml:space="preserve">Institute of Research for Social Justice in Action, Inc.</t>
  </si>
  <si>
    <t xml:space="preserve">993352179</t>
  </si>
  <si>
    <t xml:space="preserve">Youth Civic Engagement - Council District 12</t>
  </si>
  <si>
    <t xml:space="preserve">Values 4 Life Foundation, Inc.</t>
  </si>
  <si>
    <t xml:space="preserve">823077340</t>
  </si>
  <si>
    <t xml:space="preserve">Basketball Programming &amp; Community Engagement - Council Dist</t>
  </si>
  <si>
    <t xml:space="preserve">Parkside Cornerstone</t>
  </si>
  <si>
    <t xml:space="preserve">Academy for Scholarship and Entrepreneurship: A College Boar</t>
  </si>
  <si>
    <t xml:space="preserve">Caregivers Outreach Ministry Empowerment, Inc.</t>
  </si>
  <si>
    <t xml:space="preserve">841712162</t>
  </si>
  <si>
    <t xml:space="preserve">Youth Caregivers Initiative -  Council District 12</t>
  </si>
  <si>
    <t xml:space="preserve">CUNY School of Law Community Legal Resource Network – Counci</t>
  </si>
  <si>
    <t xml:space="preserve">New Testament Temple Church of God</t>
  </si>
  <si>
    <t xml:space="preserve">133762440</t>
  </si>
  <si>
    <t xml:space="preserve">Community Engagement - Council District 12</t>
  </si>
  <si>
    <t xml:space="preserve">Youth Debate Program -  Council District 12</t>
  </si>
  <si>
    <t xml:space="preserve">Health Bucks Initiative - Council District 12</t>
  </si>
  <si>
    <t xml:space="preserve">Holocaust Education - Council District 12</t>
  </si>
  <si>
    <t xml:space="preserve">Olinville Old Timers Association</t>
  </si>
  <si>
    <t xml:space="preserve">830761818</t>
  </si>
  <si>
    <t xml:space="preserve">Community Engagement Activities - Council District 12</t>
  </si>
  <si>
    <t xml:space="preserve">QBA Cares, Inc.</t>
  </si>
  <si>
    <t xml:space="preserve">932588238</t>
  </si>
  <si>
    <t xml:space="preserve">Basketball Tournament &amp; Holiday Events</t>
  </si>
  <si>
    <t xml:space="preserve">Bronx Bethany Community Corporation</t>
  </si>
  <si>
    <t xml:space="preserve">510433711</t>
  </si>
  <si>
    <t xml:space="preserve">Mentor Internship Program - Council District 12</t>
  </si>
  <si>
    <t xml:space="preserve">Afterschool Enrichment - Council District 12</t>
  </si>
  <si>
    <t xml:space="preserve">Teen Programming - Council District 12</t>
  </si>
  <si>
    <t xml:space="preserve">United Methodist City Society</t>
  </si>
  <si>
    <t xml:space="preserve">135562419</t>
  </si>
  <si>
    <t xml:space="preserve">Summer Programming - Council District 12</t>
  </si>
  <si>
    <t xml:space="preserve">St. Luke's Episcopal Church</t>
  </si>
  <si>
    <t xml:space="preserve">13-2747442</t>
  </si>
  <si>
    <t xml:space="preserve">Health Care Ministry Services - Council District 12</t>
  </si>
  <si>
    <t xml:space="preserve">Klinic Kids, Inc.</t>
  </si>
  <si>
    <t xml:space="preserve">921659047</t>
  </si>
  <si>
    <t xml:space="preserve">Youth Mental &amp; Physical Health Mentorship - Council District</t>
  </si>
  <si>
    <t xml:space="preserve">Hidden Gems, Inc.</t>
  </si>
  <si>
    <t xml:space="preserve">331119648</t>
  </si>
  <si>
    <t xml:space="preserve">Archery Program - Council District 12</t>
  </si>
  <si>
    <t xml:space="preserve">Mental Health Services - Council District 12</t>
  </si>
  <si>
    <t xml:space="preserve">Bartow Senior Center</t>
  </si>
  <si>
    <t xml:space="preserve">Building 26 Association, Inc.</t>
  </si>
  <si>
    <t xml:space="preserve">991778940</t>
  </si>
  <si>
    <t xml:space="preserve">MVP Swimmers, Inc.</t>
  </si>
  <si>
    <t xml:space="preserve">922440697</t>
  </si>
  <si>
    <t xml:space="preserve">Swimming Education - Council District 12</t>
  </si>
  <si>
    <t xml:space="preserve">Baychester Houses </t>
  </si>
  <si>
    <t xml:space="preserve">Boston Secor </t>
  </si>
  <si>
    <t xml:space="preserve">Eastchester Gardens </t>
  </si>
  <si>
    <t xml:space="preserve">Edenwald Houses </t>
  </si>
  <si>
    <t xml:space="preserve">Gun Hill Houses </t>
  </si>
  <si>
    <t xml:space="preserve">Parkside Houses </t>
  </si>
  <si>
    <t xml:space="preserve">Workforce Development - Council District 12</t>
  </si>
  <si>
    <t xml:space="preserve">Good Plus Foundation, Inc.</t>
  </si>
  <si>
    <t xml:space="preserve">311777082</t>
  </si>
  <si>
    <t xml:space="preserve">Fatherhood Initiative - Council District 12</t>
  </si>
  <si>
    <t xml:space="preserve">Youth Mentorship Programming - Council District 12</t>
  </si>
  <si>
    <t xml:space="preserve">Goodnews To Scholars, Inc.</t>
  </si>
  <si>
    <t xml:space="preserve">612042910</t>
  </si>
  <si>
    <t xml:space="preserve">Entrepreneurship Incubator Program - Council District 12</t>
  </si>
  <si>
    <t xml:space="preserve">Clean up &amp; Beautification Services - Council District 12</t>
  </si>
  <si>
    <t xml:space="preserve">Clean Up &amp; Beautification Services - Council District 12</t>
  </si>
  <si>
    <t xml:space="preserve">Community Development - Council District 12</t>
  </si>
  <si>
    <t xml:space="preserve">Community Engagement &amp; Programming - City Council District 1</t>
  </si>
  <si>
    <t xml:space="preserve">Community Engagement - Council District 12 </t>
  </si>
  <si>
    <t xml:space="preserve">Wenger Wagon </t>
  </si>
  <si>
    <t xml:space="preserve">JASA Einstein </t>
  </si>
  <si>
    <t xml:space="preserve">JASA CO OP CITY NORC</t>
  </si>
  <si>
    <t xml:space="preserve">Retirees of Dreiser Loop, Inc.</t>
  </si>
  <si>
    <t xml:space="preserve">010677804</t>
  </si>
  <si>
    <t xml:space="preserve">Dreiser Loop Senior Center</t>
  </si>
  <si>
    <t xml:space="preserve">Einstein Loop Center </t>
  </si>
  <si>
    <t xml:space="preserve">Bay Eden Senior Center</t>
  </si>
  <si>
    <t xml:space="preserve">Residential Services at The Woodlands Senior Housing </t>
  </si>
  <si>
    <t xml:space="preserve">JASA Bartow</t>
  </si>
  <si>
    <t xml:space="preserve">JASA Dreiser</t>
  </si>
  <si>
    <t xml:space="preserve">Bracketville Books Youth Education and Sports, Inc.</t>
  </si>
  <si>
    <t xml:space="preserve">872575993</t>
  </si>
  <si>
    <t xml:space="preserve">Youth Academics and Mentorship - Council District 12</t>
  </si>
  <si>
    <t xml:space="preserve">Co-op City Section 5 Teen Center</t>
  </si>
  <si>
    <t xml:space="preserve">North East Bronx YMCA - Teen Programming</t>
  </si>
  <si>
    <t xml:space="preserve">Tennis Education - Council District 12</t>
  </si>
  <si>
    <t xml:space="preserve">Gun Hill Basketball Association, Inc.</t>
  </si>
  <si>
    <t xml:space="preserve">270584874</t>
  </si>
  <si>
    <t xml:space="preserve">Basketball League - Council District 12</t>
  </si>
  <si>
    <t xml:space="preserve">Future of America Learning Center (FALC) </t>
  </si>
  <si>
    <t xml:space="preserve">West Harlem Group Assistance, Inc.</t>
  </si>
  <si>
    <t xml:space="preserve">237169558</t>
  </si>
  <si>
    <t xml:space="preserve">Sustainable Food Initiatives - Dunlevy Milbank Center</t>
  </si>
  <si>
    <t xml:space="preserve">Harlem Commonwealth Council, Inc.</t>
  </si>
  <si>
    <t xml:space="preserve">136271908</t>
  </si>
  <si>
    <t xml:space="preserve">Council District 9</t>
  </si>
  <si>
    <t xml:space="preserve">FCBC Community Development Corporation</t>
  </si>
  <si>
    <t xml:space="preserve">460711295</t>
  </si>
  <si>
    <t xml:space="preserve">A. Philip Randolph Senior Center</t>
  </si>
  <si>
    <t xml:space="preserve">Central Harlem Senior Citizens Center, Inc.</t>
  </si>
  <si>
    <t xml:space="preserve">132754783</t>
  </si>
  <si>
    <t xml:space="preserve">Harlem Tourism Board, Inc.</t>
  </si>
  <si>
    <t xml:space="preserve">460657365</t>
  </si>
  <si>
    <t xml:space="preserve">Harlem United Community AIDS Center, Inc.</t>
  </si>
  <si>
    <t xml:space="preserve">133461695</t>
  </si>
  <si>
    <t xml:space="preserve">Unconditional Freedom</t>
  </si>
  <si>
    <t xml:space="preserve">912158747</t>
  </si>
  <si>
    <t xml:space="preserve">Lets Talk Safety, Inc.</t>
  </si>
  <si>
    <t xml:space="preserve">464552234</t>
  </si>
  <si>
    <t xml:space="preserve">Blacklining Foundation, Inc.</t>
  </si>
  <si>
    <t xml:space="preserve">861557595</t>
  </si>
  <si>
    <t xml:space="preserve">West Harlem Development Corporation</t>
  </si>
  <si>
    <t xml:space="preserve">450722514</t>
  </si>
  <si>
    <t xml:space="preserve">Big Russ Barber Training and Youth Development Program, Inc.</t>
  </si>
  <si>
    <t xml:space="preserve">923791091</t>
  </si>
  <si>
    <t xml:space="preserve">Harlem Hospital</t>
  </si>
  <si>
    <t xml:space="preserve">Edwing Dangelo Foundation, Inc.</t>
  </si>
  <si>
    <t xml:space="preserve">934813792</t>
  </si>
  <si>
    <t xml:space="preserve">Resilie Nce Project, Inc.</t>
  </si>
  <si>
    <t xml:space="preserve">993526236</t>
  </si>
  <si>
    <t xml:space="preserve">Correctional Association of New York</t>
  </si>
  <si>
    <t xml:space="preserve">135562324</t>
  </si>
  <si>
    <t xml:space="preserve">Artistic Noise, Inc.</t>
  </si>
  <si>
    <t xml:space="preserve">300484749</t>
  </si>
  <si>
    <t xml:space="preserve">Harlem Mothers Stop Another Violent End, Inc.</t>
  </si>
  <si>
    <t xml:space="preserve">260847222</t>
  </si>
  <si>
    <t xml:space="preserve">Heaven Up in Harlem, Inc.</t>
  </si>
  <si>
    <t xml:space="preserve">932624044</t>
  </si>
  <si>
    <t xml:space="preserve">Public School 194M Countee Cullen (05M194)</t>
  </si>
  <si>
    <t xml:space="preserve">Eagle Academy for Young Men of Harlem (05M148)</t>
  </si>
  <si>
    <t xml:space="preserve">Future Giants Organization</t>
  </si>
  <si>
    <t xml:space="preserve">753054007</t>
  </si>
  <si>
    <t xml:space="preserve">Harlem Stage, Inc.</t>
  </si>
  <si>
    <t xml:space="preserve">133166308</t>
  </si>
  <si>
    <t xml:space="preserve">Wadleigh Secondary School for the Performing &amp; Visual Arts (</t>
  </si>
  <si>
    <t xml:space="preserve">Public School 123M Mahalia Jackson (05M123)</t>
  </si>
  <si>
    <t xml:space="preserve">Harlem Junior Tennis and Education Program, Inc.</t>
  </si>
  <si>
    <t xml:space="preserve">133076419</t>
  </si>
  <si>
    <t xml:space="preserve">A. Philip Randolph Campus High School (06M540)</t>
  </si>
  <si>
    <t xml:space="preserve">New Heritage Theatre Group, Inc., The</t>
  </si>
  <si>
    <t xml:space="preserve">132683678</t>
  </si>
  <si>
    <t xml:space="preserve">Thurgood Marshall Academy for Learning and Social (05M670)</t>
  </si>
  <si>
    <t xml:space="preserve">Mott Hall High School (05M304)</t>
  </si>
  <si>
    <t xml:space="preserve">Community Inititiative of NC, The</t>
  </si>
  <si>
    <t xml:space="preserve">813983435</t>
  </si>
  <si>
    <t xml:space="preserve">Public School 175M Henry H Garnet (05M175)</t>
  </si>
  <si>
    <t xml:space="preserve">Art in the Park, Inc.</t>
  </si>
  <si>
    <t xml:space="preserve">371909885</t>
  </si>
  <si>
    <t xml:space="preserve">Harlem Renaissance High School (05M285)</t>
  </si>
  <si>
    <t xml:space="preserve">Calliope Creative Foundation</t>
  </si>
  <si>
    <t xml:space="preserve">134158092</t>
  </si>
  <si>
    <t xml:space="preserve">Harlem Arts Alliance</t>
  </si>
  <si>
    <t xml:space="preserve">470873119</t>
  </si>
  <si>
    <t xml:space="preserve">Harlem Chamber Players, Inc., The</t>
  </si>
  <si>
    <t xml:space="preserve">452160781</t>
  </si>
  <si>
    <t xml:space="preserve">Save Harlem Now!</t>
  </si>
  <si>
    <t xml:space="preserve">810725665</t>
  </si>
  <si>
    <t xml:space="preserve">Harlem Dance Club Inc.</t>
  </si>
  <si>
    <t xml:space="preserve">82-1630347</t>
  </si>
  <si>
    <t xml:space="preserve">Multi Assistance Resource Centers, Inc.</t>
  </si>
  <si>
    <t xml:space="preserve">850594189</t>
  </si>
  <si>
    <t xml:space="preserve">District 9</t>
  </si>
  <si>
    <t xml:space="preserve">Maysles Institute, Inc.</t>
  </si>
  <si>
    <t xml:space="preserve">202545574</t>
  </si>
  <si>
    <t xml:space="preserve">Girls Educational and Mentoring Services</t>
  </si>
  <si>
    <t xml:space="preserve">134150972</t>
  </si>
  <si>
    <t xml:space="preserve">Canaan Baptist Church</t>
  </si>
  <si>
    <t xml:space="preserve">136013037</t>
  </si>
  <si>
    <t xml:space="preserve">New York Public Library, Astor, Lenox, and Tilden Foundations, The</t>
  </si>
  <si>
    <t xml:space="preserve">131887440</t>
  </si>
  <si>
    <t xml:space="preserve">Manhattan Community Board #10</t>
  </si>
  <si>
    <t xml:space="preserve">Abyssinian Baptist Church</t>
  </si>
  <si>
    <t xml:space="preserve">131635250</t>
  </si>
  <si>
    <t xml:space="preserve">Amadou Ly Foundation</t>
  </si>
  <si>
    <t xml:space="preserve">394965900</t>
  </si>
  <si>
    <t xml:space="preserve">Hilas Foundation Incorporated</t>
  </si>
  <si>
    <t xml:space="preserve">412930935</t>
  </si>
  <si>
    <t xml:space="preserve">Jeffrey Deskovic Foundation for Justice, The</t>
  </si>
  <si>
    <t xml:space="preserve">383767350</t>
  </si>
  <si>
    <t xml:space="preserve">M.I.B. Aafiya Services Inc.</t>
  </si>
  <si>
    <t xml:space="preserve">933393384</t>
  </si>
  <si>
    <t xml:space="preserve">Northern Manhattan Perinatal Partnership, Inc.</t>
  </si>
  <si>
    <t xml:space="preserve">133782555</t>
  </si>
  <si>
    <t xml:space="preserve">Harlem Independent Living Center, Inc.</t>
  </si>
  <si>
    <t xml:space="preserve">133642449</t>
  </si>
  <si>
    <t xml:space="preserve">American Legion Post 398 Colonel Charles Young, Inc.</t>
  </si>
  <si>
    <t xml:space="preserve">136272129</t>
  </si>
  <si>
    <t xml:space="preserve">NYPD 28 Precinct Explorers Program</t>
  </si>
  <si>
    <t xml:space="preserve">Riverton Tenant Association, Inc.</t>
  </si>
  <si>
    <t xml:space="preserve">133669455</t>
  </si>
  <si>
    <t xml:space="preserve">Uptown Dance Academy, Inc.</t>
  </si>
  <si>
    <t xml:space="preserve">133891881</t>
  </si>
  <si>
    <t xml:space="preserve">Emgage Foundation Inc.</t>
  </si>
  <si>
    <t xml:space="preserve">261441032</t>
  </si>
  <si>
    <t xml:space="preserve">Harlem Network News Foundation, Inc.</t>
  </si>
  <si>
    <t xml:space="preserve">922096596</t>
  </si>
  <si>
    <t xml:space="preserve">Harlem One Stop, Inc.</t>
  </si>
  <si>
    <t xml:space="preserve">461714042</t>
  </si>
  <si>
    <t xml:space="preserve">Harlem Swings, Inc.</t>
  </si>
  <si>
    <t xml:space="preserve">823959763</t>
  </si>
  <si>
    <t xml:space="preserve">Excellence Sound Academy, Inc.</t>
  </si>
  <si>
    <t xml:space="preserve">934916180</t>
  </si>
  <si>
    <t xml:space="preserve">NYC Kidsfest</t>
  </si>
  <si>
    <t xml:space="preserve">263538262</t>
  </si>
  <si>
    <t xml:space="preserve">National Association Of Each One Teach One, Inc.</t>
  </si>
  <si>
    <t xml:space="preserve">133163183</t>
  </si>
  <si>
    <t xml:space="preserve">131 Saint Nicholas Avenue Houses</t>
  </si>
  <si>
    <t xml:space="preserve">Drew-Hamilton Houses</t>
  </si>
  <si>
    <t xml:space="preserve">Fred Samuel Houses</t>
  </si>
  <si>
    <t xml:space="preserve">Harlem River Houses</t>
  </si>
  <si>
    <t xml:space="preserve">King Towers</t>
  </si>
  <si>
    <t xml:space="preserve">Lincoln Houses</t>
  </si>
  <si>
    <t xml:space="preserve">Polo Ground Towers</t>
  </si>
  <si>
    <t xml:space="preserve">Public School 139 (Conversion) Houses</t>
  </si>
  <si>
    <t xml:space="preserve">Rangel Houses</t>
  </si>
  <si>
    <t xml:space="preserve">Rehab Program - Taft Rehabs</t>
  </si>
  <si>
    <t xml:space="preserve">Robinson Houses</t>
  </si>
  <si>
    <t xml:space="preserve">Saint Nicholas Houses</t>
  </si>
  <si>
    <t xml:space="preserve">FC Harlem Foundation, Inc.</t>
  </si>
  <si>
    <t xml:space="preserve">990840055</t>
  </si>
  <si>
    <t xml:space="preserve">National Black Leadership Commission on AIDS, Inc.</t>
  </si>
  <si>
    <t xml:space="preserve">133530740</t>
  </si>
  <si>
    <t xml:space="preserve">NYC Council District 9 Clean-up</t>
  </si>
  <si>
    <t xml:space="preserve">Ready, Willing &amp; Able - District 9</t>
  </si>
  <si>
    <t xml:space="preserve">Harlem Business Alliance, Inc.</t>
  </si>
  <si>
    <t xml:space="preserve">133591350</t>
  </si>
  <si>
    <t xml:space="preserve">Harlem Historical Society</t>
  </si>
  <si>
    <t xml:space="preserve">333644647</t>
  </si>
  <si>
    <t xml:space="preserve">Street Vendor Project - Council District 9</t>
  </si>
  <si>
    <t xml:space="preserve">Friends of Morningside Park, Inc.</t>
  </si>
  <si>
    <t xml:space="preserve">133155238</t>
  </si>
  <si>
    <t xml:space="preserve">Harlem Needle Arts, Inc.</t>
  </si>
  <si>
    <t xml:space="preserve">203505872</t>
  </si>
  <si>
    <t xml:space="preserve">National Jazz Museum in Harlem, The </t>
  </si>
  <si>
    <t xml:space="preserve">133853627</t>
  </si>
  <si>
    <t xml:space="preserve">East New York Restoration Local Development Corporation</t>
  </si>
  <si>
    <t xml:space="preserve">461763706</t>
  </si>
  <si>
    <t xml:space="preserve">116th Street Block Association, Inc.</t>
  </si>
  <si>
    <t xml:space="preserve">133031100</t>
  </si>
  <si>
    <t xml:space="preserve">Harlem Lacrosse and Leadership Corporation</t>
  </si>
  <si>
    <t xml:space="preserve">451634118</t>
  </si>
  <si>
    <t xml:space="preserve">Comprehensive College &amp; Career Readiness Program – Council D</t>
  </si>
  <si>
    <t xml:space="preserve">Harlem School of the Arts, Inc.</t>
  </si>
  <si>
    <t xml:space="preserve">132552500</t>
  </si>
  <si>
    <t xml:space="preserve">Young Excellence Society, Inc.</t>
  </si>
  <si>
    <t xml:space="preserve">821555832</t>
  </si>
  <si>
    <t xml:space="preserve">New Harlem Renaissance</t>
  </si>
  <si>
    <t xml:space="preserve">880926217</t>
  </si>
  <si>
    <t xml:space="preserve">Figure Skating in Harlem, Inc.</t>
  </si>
  <si>
    <t xml:space="preserve">133945168</t>
  </si>
  <si>
    <t xml:space="preserve">Nathan D Allsbrooks Foundation, Inc.</t>
  </si>
  <si>
    <t xml:space="preserve">263492339</t>
  </si>
  <si>
    <t xml:space="preserve">Greater Hood Community Development Corporation</t>
  </si>
  <si>
    <t xml:space="preserve">853545377</t>
  </si>
  <si>
    <t xml:space="preserve">Children’s Storefront, The</t>
  </si>
  <si>
    <t xml:space="preserve">132940671</t>
  </si>
  <si>
    <t xml:space="preserve">Emerge 125 Inc.</t>
  </si>
  <si>
    <t xml:space="preserve">133096579</t>
  </si>
  <si>
    <t xml:space="preserve">Educational &amp; Gardening Programming for Students - Council D</t>
  </si>
  <si>
    <t xml:space="preserve">Programming &amp; Assistance for Older Adults - Council District</t>
  </si>
  <si>
    <t xml:space="preserve">Older Adult Services - Council District 47</t>
  </si>
  <si>
    <t xml:space="preserve">Older Adults Citizen Transportation - Council District 47</t>
  </si>
  <si>
    <t xml:space="preserve">Bay Ridge Center, Inc.</t>
  </si>
  <si>
    <t xml:space="preserve">800559714</t>
  </si>
  <si>
    <t xml:space="preserve">Older Adults Services &amp; Programming - Council District 47</t>
  </si>
  <si>
    <t xml:space="preserve">Social Services - Council District 47</t>
  </si>
  <si>
    <t xml:space="preserve">Meal Delivery - Council District 47</t>
  </si>
  <si>
    <t xml:space="preserve">Assistance &amp; Training for Legally Blind Older Adults</t>
  </si>
  <si>
    <t xml:space="preserve">Medicare Counseling &amp; Enrollment Assistance - Council Distri</t>
  </si>
  <si>
    <t xml:space="preserve">Older Adults Cultural &amp; Arts Programming - Council District </t>
  </si>
  <si>
    <t xml:space="preserve">Case Management &amp; Older Adult Services - Council District 47</t>
  </si>
  <si>
    <t xml:space="preserve">Mahalla USA, Inc.</t>
  </si>
  <si>
    <t xml:space="preserve">842552292</t>
  </si>
  <si>
    <t xml:space="preserve">Social Service - Council District 47</t>
  </si>
  <si>
    <t xml:space="preserve">Grandma's Love, Inc.</t>
  </si>
  <si>
    <t xml:space="preserve">473474258</t>
  </si>
  <si>
    <t xml:space="preserve">Food Access Programs - Council District 47</t>
  </si>
  <si>
    <t xml:space="preserve">Coney Island Library Branch</t>
  </si>
  <si>
    <t xml:space="preserve">Free &amp; Public Performing Arts Programming</t>
  </si>
  <si>
    <t xml:space="preserve">Youth Programs - HeartShare School</t>
  </si>
  <si>
    <t xml:space="preserve">Alliance for Coney Island, Inc.</t>
  </si>
  <si>
    <t xml:space="preserve">460802042</t>
  </si>
  <si>
    <t xml:space="preserve">Community Giveaways - Council District 47</t>
  </si>
  <si>
    <t xml:space="preserve">Breast Cancer Screenings - Council District 47</t>
  </si>
  <si>
    <t xml:space="preserve">Council District 47</t>
  </si>
  <si>
    <t xml:space="preserve">Youth Arts Education &amp; Programs</t>
  </si>
  <si>
    <t xml:space="preserve">Community Case Management &amp; Benefit Services - Council Distr</t>
  </si>
  <si>
    <t xml:space="preserve">Youth Community Service Involvement - Council District 47</t>
  </si>
  <si>
    <t xml:space="preserve">BRAVO Volunteer Ambulance Service, Inc.</t>
  </si>
  <si>
    <t xml:space="preserve">510165173</t>
  </si>
  <si>
    <t xml:space="preserve">Farmstands - Council District 47</t>
  </si>
  <si>
    <t xml:space="preserve">Local Support &amp; Aid Programming - Council District 47</t>
  </si>
  <si>
    <t xml:space="preserve">3rd Avenue Merchants Events &amp; Holiday Lights</t>
  </si>
  <si>
    <t xml:space="preserve">St. Patrick's Church</t>
  </si>
  <si>
    <t xml:space="preserve">111631818</t>
  </si>
  <si>
    <t xml:space="preserve">Broadway in Your School</t>
  </si>
  <si>
    <t xml:space="preserve">Public School 102K The Bayview (20K102) &amp; Ralph A. Fabrizio </t>
  </si>
  <si>
    <t xml:space="preserve">Motivational Monster’s, Inc.</t>
  </si>
  <si>
    <t xml:space="preserve">825510172</t>
  </si>
  <si>
    <t xml:space="preserve">Arts &amp; Wellness Community Programming</t>
  </si>
  <si>
    <t xml:space="preserve">Community Case Management - Council District 47</t>
  </si>
  <si>
    <t xml:space="preserve">Free Emergency &amp; Medical Services - Council District 47</t>
  </si>
  <si>
    <t xml:space="preserve">Youth &amp; Family Programming - Council District 47</t>
  </si>
  <si>
    <t xml:space="preserve">Arts Programs for Youth - Council District 47</t>
  </si>
  <si>
    <t xml:space="preserve">Homeless Family Services - Council District 47</t>
  </si>
  <si>
    <t xml:space="preserve">Bay Ridge Saint Patrick's Parade, Inc.</t>
  </si>
  <si>
    <t xml:space="preserve">113256152</t>
  </si>
  <si>
    <t xml:space="preserve">Cultural Events Programming - Council District 47</t>
  </si>
  <si>
    <t xml:space="preserve">Green Markets - Council District 47</t>
  </si>
  <si>
    <t xml:space="preserve">Rhapsody Players, Inc.</t>
  </si>
  <si>
    <t xml:space="preserve">262200571</t>
  </si>
  <si>
    <t xml:space="preserve">Community Theater Productions - Council District 47</t>
  </si>
  <si>
    <t xml:space="preserve">Volunteer Community Cleanups - Council District 47</t>
  </si>
  <si>
    <t xml:space="preserve">Thyroid Cancer Screenings - Council District 47</t>
  </si>
  <si>
    <t xml:space="preserve">Narrows Botanical Garden, Inc.</t>
  </si>
  <si>
    <t xml:space="preserve">113382931</t>
  </si>
  <si>
    <t xml:space="preserve">Community Garden, Planting &amp; Beautification Programming</t>
  </si>
  <si>
    <t xml:space="preserve">Domestic Violence Prevention &amp; Intervention - Council Distri</t>
  </si>
  <si>
    <t xml:space="preserve">Housing Assistance - Council District 47</t>
  </si>
  <si>
    <t xml:space="preserve">Performing Arts Productions - Council District 47</t>
  </si>
  <si>
    <t xml:space="preserve">Friends of Kaiser Park, Inc.</t>
  </si>
  <si>
    <t xml:space="preserve">200763333</t>
  </si>
  <si>
    <t xml:space="preserve">Summer &amp; Year-Round Youth Programming</t>
  </si>
  <si>
    <t xml:space="preserve">Guild for Exceptional Children, Inc.</t>
  </si>
  <si>
    <t xml:space="preserve">116037766</t>
  </si>
  <si>
    <t xml:space="preserve">Therapeutic Programs</t>
  </si>
  <si>
    <t xml:space="preserve">Youth Programming - Council District 47</t>
  </si>
  <si>
    <t xml:space="preserve">Community Arts Programming - Council District 47</t>
  </si>
  <si>
    <t xml:space="preserve">St. Patrick Catholic Academy</t>
  </si>
  <si>
    <t xml:space="preserve">462203511</t>
  </si>
  <si>
    <t xml:space="preserve">Theater &amp; STEM Programming</t>
  </si>
  <si>
    <t xml:space="preserve">September 11 Family Group</t>
  </si>
  <si>
    <t xml:space="preserve">710899005</t>
  </si>
  <si>
    <t xml:space="preserve">9/11 Memorial Events - Council District 47</t>
  </si>
  <si>
    <t xml:space="preserve">Rusa LGBTQ Corp.</t>
  </si>
  <si>
    <t xml:space="preserve">883859648</t>
  </si>
  <si>
    <t xml:space="preserve">Mutual Aid, Advocacy &amp; Community Support - Council District </t>
  </si>
  <si>
    <t xml:space="preserve">Coney Island Neighborhood Revitalization Corporation</t>
  </si>
  <si>
    <t xml:space="preserve">921820114</t>
  </si>
  <si>
    <t xml:space="preserve">Economic Mobility Assistance - Council District 47</t>
  </si>
  <si>
    <t xml:space="preserve">Coney Island Sharks, Inc.</t>
  </si>
  <si>
    <t xml:space="preserve">113304418</t>
  </si>
  <si>
    <t xml:space="preserve">Youth Sports &amp; Mentoring Programs - Council District 47</t>
  </si>
  <si>
    <t xml:space="preserve">NYC Teens for Animals, Inc.</t>
  </si>
  <si>
    <t xml:space="preserve">822535966</t>
  </si>
  <si>
    <t xml:space="preserve">Animal Rescue &amp; Care - Council District 47</t>
  </si>
  <si>
    <t xml:space="preserve">Support Services for People with Disabilities - Council Dist</t>
  </si>
  <si>
    <t xml:space="preserve">Mobile Legal Clinic - Council District 47 Residents</t>
  </si>
  <si>
    <t xml:space="preserve">Public, Community Concerts &amp; Performances</t>
  </si>
  <si>
    <t xml:space="preserve">Kingsborough Community College - Aging Mastery Program</t>
  </si>
  <si>
    <t xml:space="preserve">Community Programming &amp; Events - Council District 47</t>
  </si>
  <si>
    <t xml:space="preserve">Coney Island Houses Tenant Association</t>
  </si>
  <si>
    <t xml:space="preserve">Gravesend Houses Tenant Association</t>
  </si>
  <si>
    <t xml:space="preserve">Unity Towers Tenant Association</t>
  </si>
  <si>
    <t xml:space="preserve">O'Dwyer Gardens Tenant Association</t>
  </si>
  <si>
    <t xml:space="preserve">Surfside Garden Tenant Association</t>
  </si>
  <si>
    <t xml:space="preserve">Carey Garden Tenant Association</t>
  </si>
  <si>
    <t xml:space="preserve">Youth &amp; Family Community Programming - Council District 47</t>
  </si>
  <si>
    <t xml:space="preserve">Coney Island Training the Youth of New York, Inc.</t>
  </si>
  <si>
    <t xml:space="preserve">832359113</t>
  </si>
  <si>
    <t xml:space="preserve">Youth Sports &amp; Leadership Education - Council District 47</t>
  </si>
  <si>
    <t xml:space="preserve">United Military Veterans of Kings County, Inc.</t>
  </si>
  <si>
    <t xml:space="preserve">453759477</t>
  </si>
  <si>
    <t xml:space="preserve">Brooklyn Memorial Day Parade Youth Programming</t>
  </si>
  <si>
    <t xml:space="preserve">After-School Program - Public School 170K (20K170)</t>
  </si>
  <si>
    <t xml:space="preserve">Youth Soccer Program - Council District 47</t>
  </si>
  <si>
    <t xml:space="preserve">Gravesend Athletic Association, Inc.</t>
  </si>
  <si>
    <t xml:space="preserve">113019763</t>
  </si>
  <si>
    <t xml:space="preserve">Youth Sports Programs - Council District 47</t>
  </si>
  <si>
    <t xml:space="preserve">Isaiah Whitehead Foundation, Inc.</t>
  </si>
  <si>
    <t xml:space="preserve">825122449</t>
  </si>
  <si>
    <t xml:space="preserve">Sports, Leadership, &amp; Social Services for Youth - Council Di</t>
  </si>
  <si>
    <t xml:space="preserve">Financial Literacy &amp; Job Skills Training for Youth - Council</t>
  </si>
  <si>
    <t xml:space="preserve">Narrows Community Theater, Inc.</t>
  </si>
  <si>
    <t xml:space="preserve">510167270</t>
  </si>
  <si>
    <t xml:space="preserve">Performing Arts Program for Youth - Council District 47</t>
  </si>
  <si>
    <t xml:space="preserve">Youth Football &amp; Afterschool Program</t>
  </si>
  <si>
    <t xml:space="preserve">Public School 102K The Bayview (20K102)</t>
  </si>
  <si>
    <t xml:space="preserve">Community Tennis Program - Council District 47</t>
  </si>
  <si>
    <t xml:space="preserve">Youth Programs - Council District 47</t>
  </si>
  <si>
    <t xml:space="preserve">Tree Pit Program - Council District 29</t>
  </si>
  <si>
    <t xml:space="preserve">E-Waste Reuse &amp; Collection Events - Council District 29</t>
  </si>
  <si>
    <t xml:space="preserve">Food for Families program - Council District 29</t>
  </si>
  <si>
    <t xml:space="preserve">Young Israel of Forest Hills Senior League</t>
  </si>
  <si>
    <t xml:space="preserve">Selfhelp's Virtual Senior Center - Council District 29</t>
  </si>
  <si>
    <t xml:space="preserve">Transportation for Older Adults to Medical Appointments - Co</t>
  </si>
  <si>
    <t xml:space="preserve">Kew Gardens Older Adult Center &amp; Rego Park Older Adult Cente</t>
  </si>
  <si>
    <t xml:space="preserve">Social Services Program</t>
  </si>
  <si>
    <t xml:space="preserve">Emergency Food Pantry</t>
  </si>
  <si>
    <t xml:space="preserve">Public Safety &amp; Patrol: Ensuring Community Protection 24/7</t>
  </si>
  <si>
    <t xml:space="preserve">Victims Services - Council District 29</t>
  </si>
  <si>
    <t xml:space="preserve">Cure Hate</t>
  </si>
  <si>
    <t xml:space="preserve">Forest Hills Evening Teen Center</t>
  </si>
  <si>
    <t xml:space="preserve">Community-Based Safety Solutions</t>
  </si>
  <si>
    <t xml:space="preserve">Community Safety &amp; Victims Services - Council District 29</t>
  </si>
  <si>
    <t xml:space="preserve">Junior High School 190Q Russell Sage (28Q190)</t>
  </si>
  <si>
    <t xml:space="preserve">Public School 144Q Colonel Jeromus Remsen (28Q144)</t>
  </si>
  <si>
    <t xml:space="preserve">Public School 254Q Rosa Parks (27Q254)</t>
  </si>
  <si>
    <t xml:space="preserve">Public School 273Q (27Q273)</t>
  </si>
  <si>
    <t xml:space="preserve">Kupferberg Center for the Arts - Public School 175Q The Lynn</t>
  </si>
  <si>
    <t xml:space="preserve">The Academy for Excellence through the Arts (28Q303)</t>
  </si>
  <si>
    <t xml:space="preserve">Metropolitan Expeditionary Learning School (28Q167)</t>
  </si>
  <si>
    <t xml:space="preserve">Junior High School 157Q Stephen A. Halsey (28Q157)</t>
  </si>
  <si>
    <t xml:space="preserve">Public School 101Q School in the Gardens (28Q101)</t>
  </si>
  <si>
    <t xml:space="preserve">Public School 51Q (27Q051)</t>
  </si>
  <si>
    <t xml:space="preserve">Public School 99Q Kew Gardens (28Q99)</t>
  </si>
  <si>
    <t xml:space="preserve">Creative Arts Team - Public School 54Q The Hillside School (</t>
  </si>
  <si>
    <t xml:space="preserve">Public School 066Q Jacqueline Kennedy Onassis (27Q066)</t>
  </si>
  <si>
    <t xml:space="preserve">RPGA Studio, Inc.</t>
  </si>
  <si>
    <t xml:space="preserve">472589237</t>
  </si>
  <si>
    <t xml:space="preserve">Public School 56Q Harry Eichler (27Q056)</t>
  </si>
  <si>
    <t xml:space="preserve">Public School 090Q Horace Mann (27Q090)</t>
  </si>
  <si>
    <t xml:space="preserve">Cultural Programming - Council District 29</t>
  </si>
  <si>
    <t xml:space="preserve">Celebrate! Music Concerts &amp; Workshops</t>
  </si>
  <si>
    <t xml:space="preserve">New York Pops, Inc.</t>
  </si>
  <si>
    <t xml:space="preserve">133240366</t>
  </si>
  <si>
    <t xml:space="preserve">Free Community Concerts - Council District 29</t>
  </si>
  <si>
    <t xml:space="preserve">Concerts - Council District 29</t>
  </si>
  <si>
    <t xml:space="preserve">Once Upon A Time, Inc.</t>
  </si>
  <si>
    <t xml:space="preserve">133058009</t>
  </si>
  <si>
    <t xml:space="preserve">Community Cultural Programming </t>
  </si>
  <si>
    <t xml:space="preserve">Selfhelp's Virtual Senior Center - CD29</t>
  </si>
  <si>
    <t xml:space="preserve">STEM Summer &amp; Afterschool Programming</t>
  </si>
  <si>
    <t xml:space="preserve">Youth Robotics League &amp; STEM Programs - Council District 29</t>
  </si>
  <si>
    <t xml:space="preserve">Thrive Media - Council District 29</t>
  </si>
  <si>
    <t xml:space="preserve">Online Self-Service Tools for Tenants</t>
  </si>
  <si>
    <t xml:space="preserve">Domestic Violence Services</t>
  </si>
  <si>
    <t xml:space="preserve">Domestic Violence and Empowerment</t>
  </si>
  <si>
    <t xml:space="preserve">Legal Services for Domestic Violence Survivors</t>
  </si>
  <si>
    <t xml:space="preserve">Comprehensive Support for Survivors of Gender-Based Violence</t>
  </si>
  <si>
    <t xml:space="preserve">Culturally &amp; Linguistically Specific Domestic Violence Servi</t>
  </si>
  <si>
    <t xml:space="preserve">Jewish Institute of Queens</t>
  </si>
  <si>
    <t xml:space="preserve">542068797</t>
  </si>
  <si>
    <t xml:space="preserve">Emergency Food Program</t>
  </si>
  <si>
    <t xml:space="preserve">Family Safety Net</t>
  </si>
  <si>
    <t xml:space="preserve">Central Queens Senior Center</t>
  </si>
  <si>
    <t xml:space="preserve">QCAN Senior Loyalty Program</t>
  </si>
  <si>
    <t xml:space="preserve">Academic &amp; Cultural Enrichment Program</t>
  </si>
  <si>
    <t xml:space="preserve">Local Concerts - Council District 29</t>
  </si>
  <si>
    <t xml:space="preserve">GrowNYC Farmstand Program</t>
  </si>
  <si>
    <t xml:space="preserve">General Programming for the Visually Impaired</t>
  </si>
  <si>
    <t xml:space="preserve">Clean Up Graffiti!</t>
  </si>
  <si>
    <t xml:space="preserve">Emergency Food Pantry &amp; Social Services in Queens - Council </t>
  </si>
  <si>
    <t xml:space="preserve">Hydroponic Classrooms for STEM &amp; Climate Education - Council</t>
  </si>
  <si>
    <t xml:space="preserve">Community Business Resources - Council District 29</t>
  </si>
  <si>
    <t xml:space="preserve">Community Arts &amp; Programming - Council District 29</t>
  </si>
  <si>
    <t xml:space="preserve">Trauma Informed Care for Children, Families in Win Shelter &amp;</t>
  </si>
  <si>
    <t xml:space="preserve">School-Based Residencies - Council District 29</t>
  </si>
  <si>
    <t xml:space="preserve">Forest Hills Jewish Center</t>
  </si>
  <si>
    <t xml:space="preserve">111631821</t>
  </si>
  <si>
    <t xml:space="preserve">Senior Center</t>
  </si>
  <si>
    <t xml:space="preserve">School Program: Comprehensive Chess Education in New York Ci</t>
  </si>
  <si>
    <t xml:space="preserve">Parenting Support Services - Strong Fathers &amp; Strong Mothers</t>
  </si>
  <si>
    <t xml:space="preserve">Education &amp; Family Programs - Council District 29</t>
  </si>
  <si>
    <t xml:space="preserve">Multilingual Play &amp; Songwriting Residencies</t>
  </si>
  <si>
    <t xml:space="preserve">Forest Hills Volunteer Ambulance Corps, Inc.</t>
  </si>
  <si>
    <t xml:space="preserve">237169662</t>
  </si>
  <si>
    <t xml:space="preserve">Medical Equipment, Supplies &amp; Operations</t>
  </si>
  <si>
    <t xml:space="preserve">Roman Catholic Church of the Holy Child Jesus in the Borough of Queens in the City of</t>
  </si>
  <si>
    <t xml:space="preserve">111639802</t>
  </si>
  <si>
    <t xml:space="preserve">Holy Child Jesus Teen Drama Group</t>
  </si>
  <si>
    <t xml:space="preserve">Advocacy, Education &amp; Relief Program</t>
  </si>
  <si>
    <t xml:space="preserve">Senior Visits &amp; Support</t>
  </si>
  <si>
    <t xml:space="preserve">Veterans' Programs</t>
  </si>
  <si>
    <t xml:space="preserve">Reform Temple of Forest Hills, The</t>
  </si>
  <si>
    <t xml:space="preserve">111808223</t>
  </si>
  <si>
    <t xml:space="preserve">Youth Hunger Education/Action Initiative</t>
  </si>
  <si>
    <t xml:space="preserve">Concerts for Students</t>
  </si>
  <si>
    <t xml:space="preserve">Play to Learn: J.H.S. 157 Stephen A. Halsey (28Q157)</t>
  </si>
  <si>
    <t xml:space="preserve">Kew Gardens Council for Recreation and the Arts, Inc.</t>
  </si>
  <si>
    <t xml:space="preserve">112556658</t>
  </si>
  <si>
    <t xml:space="preserve">WE'RE TOGETHER - Kew Gardens</t>
  </si>
  <si>
    <t xml:space="preserve">Breast Cancer Outreach, Education &amp; Navigation Initiative</t>
  </si>
  <si>
    <t xml:space="preserve">Queens Unchained: Caribbean LGBTQ+ Support Group</t>
  </si>
  <si>
    <t xml:space="preserve">CCNS Ozone Park Older Adult Center</t>
  </si>
  <si>
    <t xml:space="preserve">Central Queens Jewish Community Circle, Inc.</t>
  </si>
  <si>
    <t xml:space="preserve">832963670</t>
  </si>
  <si>
    <t xml:space="preserve">Gift Packages for Vulnerable Neighbors</t>
  </si>
  <si>
    <t xml:space="preserve">Chabad of Rego Park Corona, Inc.</t>
  </si>
  <si>
    <t xml:space="preserve">113454297</t>
  </si>
  <si>
    <t xml:space="preserve">Weekly Senior Programming</t>
  </si>
  <si>
    <t xml:space="preserve">Press Pass NYC</t>
  </si>
  <si>
    <t xml:space="preserve">Forest Hills High School (28Q440)</t>
  </si>
  <si>
    <t xml:space="preserve">Queensborough Community College - Holocaust Education &amp; Shar</t>
  </si>
  <si>
    <t xml:space="preserve">AAPI Community Support - Council District 29</t>
  </si>
  <si>
    <t xml:space="preserve">Programming, Events &amp; Seminars</t>
  </si>
  <si>
    <t xml:space="preserve">Public School 144Q (28Q144) - Parents Association</t>
  </si>
  <si>
    <t xml:space="preserve">Supplemental Sanitation Services - Council District 29</t>
  </si>
  <si>
    <t xml:space="preserve">Council District 29</t>
  </si>
  <si>
    <t xml:space="preserve">Community Revitalization &amp; Beautification </t>
  </si>
  <si>
    <t xml:space="preserve">Neighborhood/Business Community Services</t>
  </si>
  <si>
    <t xml:space="preserve">Community Programming in NYC Parks</t>
  </si>
  <si>
    <t xml:space="preserve">Movies Under the Stars - Council District 29</t>
  </si>
  <si>
    <t xml:space="preserve">Community Programming for Sobelsohn Playground, Wallenberg S</t>
  </si>
  <si>
    <t xml:space="preserve">Yellowstone Park</t>
  </si>
  <si>
    <t xml:space="preserve">Flushing Meadows Corona Park - District 29</t>
  </si>
  <si>
    <t xml:space="preserve">Community Tennis Programs - District 29</t>
  </si>
  <si>
    <t xml:space="preserve">Selfhelp Austin Street Older Adult Center</t>
  </si>
  <si>
    <t xml:space="preserve">Queens County Senior Safety Net</t>
  </si>
  <si>
    <t xml:space="preserve">Council District 29 Transportation for Older Adults</t>
  </si>
  <si>
    <t xml:space="preserve">After-School &amp; Youth Programming - Council District 29</t>
  </si>
  <si>
    <t xml:space="preserve">Youth Enrichment Program</t>
  </si>
  <si>
    <t xml:space="preserve">Afterschool Programming - J.H.S. 190Q Russell Sage (28Q190) </t>
  </si>
  <si>
    <t xml:space="preserve">Generation Q - Council District 29</t>
  </si>
  <si>
    <t xml:space="preserve">Home Visits &amp; Preventive Services - Queens</t>
  </si>
  <si>
    <t xml:space="preserve">Youth Development Programming for High School Youth</t>
  </si>
  <si>
    <t xml:space="preserve">Afterschool Sports, Arts, Academics Enrichment &amp; Summer Camp</t>
  </si>
  <si>
    <t xml:space="preserve">Community Services - Council District 29</t>
  </si>
  <si>
    <t xml:space="preserve">Afterschool Program for Elementary School Aged Youth</t>
  </si>
  <si>
    <t xml:space="preserve">Forest Hills High School (28Q440) – Council District 29</t>
  </si>
  <si>
    <t xml:space="preserve">Tulsi Mandir, Inc.</t>
  </si>
  <si>
    <t xml:space="preserve">203734683</t>
  </si>
  <si>
    <t xml:space="preserve">Annual Summer Camp &amp; Food Distribution</t>
  </si>
  <si>
    <t xml:space="preserve">AI League - A STEM Program</t>
  </si>
  <si>
    <t xml:space="preserve">Concert Series </t>
  </si>
  <si>
    <t xml:space="preserve">Seniors Coffee Club</t>
  </si>
  <si>
    <t xml:space="preserve">Highbridge Senior Center - Council District 16</t>
  </si>
  <si>
    <t xml:space="preserve">Arturo Schomburg Senior Center - Council District 16</t>
  </si>
  <si>
    <t xml:space="preserve">Highbridge Gardens Senior Center - Council District 16</t>
  </si>
  <si>
    <t xml:space="preserve">NORC - River Park Towers - Council District 16</t>
  </si>
  <si>
    <t xml:space="preserve">Home-Delivered Meals - Council District 16</t>
  </si>
  <si>
    <t xml:space="preserve">Hope of Israel Senior Citizens Center, Inc.</t>
  </si>
  <si>
    <t xml:space="preserve">132749857</t>
  </si>
  <si>
    <t xml:space="preserve">Hope of Israel Senior Center - Council District 16</t>
  </si>
  <si>
    <t xml:space="preserve">R.A.I.N/ Findlay House Senior Program</t>
  </si>
  <si>
    <t xml:space="preserve">Council District 16  </t>
  </si>
  <si>
    <t xml:space="preserve">Grand Central Food Program - Council District 16</t>
  </si>
  <si>
    <t xml:space="preserve">Summer Search</t>
  </si>
  <si>
    <t xml:space="preserve">680200138</t>
  </si>
  <si>
    <t xml:space="preserve">Youth &amp; Community Services - Council District 16</t>
  </si>
  <si>
    <t xml:space="preserve">Bible Church of Christ, Inc., The</t>
  </si>
  <si>
    <t xml:space="preserve">136186140</t>
  </si>
  <si>
    <t xml:space="preserve">Community Programming - Council District 16</t>
  </si>
  <si>
    <t xml:space="preserve">Food Giveaways  - Council District 16</t>
  </si>
  <si>
    <t xml:space="preserve">BronxCare Health System</t>
  </si>
  <si>
    <t xml:space="preserve">131974191</t>
  </si>
  <si>
    <t xml:space="preserve">Viral Hepatitis Initiative - Council District 16</t>
  </si>
  <si>
    <t xml:space="preserve">Healthy Savvy - Council District 16</t>
  </si>
  <si>
    <t xml:space="preserve">Link Up – Public School 274 The New American Academy</t>
  </si>
  <si>
    <t xml:space="preserve">Bronx Osborne Gun Avoidance Program - Council District 16</t>
  </si>
  <si>
    <t xml:space="preserve">Council District 16 </t>
  </si>
  <si>
    <t xml:space="preserve">Fulton Re-entry Center - Council District 16</t>
  </si>
  <si>
    <t xml:space="preserve">Re-entry Services - Council District 16</t>
  </si>
  <si>
    <t xml:space="preserve">Health Bucks Program - Council District 16</t>
  </si>
  <si>
    <t xml:space="preserve">GrowNYC Green Space Programs - Council District 16</t>
  </si>
  <si>
    <t xml:space="preserve">NeON Arts - Council District 16</t>
  </si>
  <si>
    <t xml:space="preserve">Youth Programming - Council District 16</t>
  </si>
  <si>
    <t xml:space="preserve">Bridge Builders Community Partnership, Inc.</t>
  </si>
  <si>
    <t xml:space="preserve">352390219</t>
  </si>
  <si>
    <t xml:space="preserve">Programming &amp; Events - Council District 16</t>
  </si>
  <si>
    <t xml:space="preserve">Bronx Museum of the Arts, The</t>
  </si>
  <si>
    <t xml:space="preserve">132709368</t>
  </si>
  <si>
    <t xml:space="preserve">Community Engagement - Council District 16</t>
  </si>
  <si>
    <t xml:space="preserve">Group Visits Program - Tours &amp; Workshops</t>
  </si>
  <si>
    <t xml:space="preserve">Bronx LGBTQ Center</t>
  </si>
  <si>
    <t xml:space="preserve">Fitness &amp; Nutrition Education Program - Council District 16</t>
  </si>
  <si>
    <t xml:space="preserve">Highbridge Islamic Center, Inc.</t>
  </si>
  <si>
    <t xml:space="preserve">273007742</t>
  </si>
  <si>
    <t xml:space="preserve">Immigration Services - Council District 16</t>
  </si>
  <si>
    <t xml:space="preserve">Food Action Boards (FABs) - Council District 16</t>
  </si>
  <si>
    <t xml:space="preserve">Center for Court Innovation's - Bronx Community Solutions (B</t>
  </si>
  <si>
    <t xml:space="preserve">Woodycrest Center for Human Development, Inc.</t>
  </si>
  <si>
    <t xml:space="preserve">133184179</t>
  </si>
  <si>
    <t xml:space="preserve">Core Internship Program - Council District 16 </t>
  </si>
  <si>
    <t xml:space="preserve">Senior Repair Program - Council District 16</t>
  </si>
  <si>
    <t xml:space="preserve">Precinct Councils - Council District 16</t>
  </si>
  <si>
    <t xml:space="preserve">Tours - Council District 16</t>
  </si>
  <si>
    <t xml:space="preserve">Health &amp; Wellness - Council District 16</t>
  </si>
  <si>
    <t xml:space="preserve">Swim Scholarships - Council District 16</t>
  </si>
  <si>
    <t xml:space="preserve">Saffiyahfrica, Inc.</t>
  </si>
  <si>
    <t xml:space="preserve">883969802</t>
  </si>
  <si>
    <t xml:space="preserve">Highbridge Community Development Corporation</t>
  </si>
  <si>
    <t xml:space="preserve">133860487</t>
  </si>
  <si>
    <t xml:space="preserve">Clay Avenue Consolidated Tenants Association</t>
  </si>
  <si>
    <t xml:space="preserve">Morrisania Air Rights Developments NYCHA Tenant Associations</t>
  </si>
  <si>
    <t xml:space="preserve">Webster Morrisania Development Tenant Association</t>
  </si>
  <si>
    <t xml:space="preserve">Morris Houses 1 &amp; 2 Development</t>
  </si>
  <si>
    <t xml:space="preserve">Highbridge Gardens Tenants Association</t>
  </si>
  <si>
    <t xml:space="preserve">1100 Teller Development Tenants Association</t>
  </si>
  <si>
    <t xml:space="preserve">Butler Houses Tenant Association</t>
  </si>
  <si>
    <t xml:space="preserve">Claremont Consolidated III Teller Avenue Tenants Association</t>
  </si>
  <si>
    <t xml:space="preserve">Claremont Parkway Tenant Association</t>
  </si>
  <si>
    <t xml:space="preserve">Findlay Ave Developments Tenant Association</t>
  </si>
  <si>
    <t xml:space="preserve">School Programs - Council District 16</t>
  </si>
  <si>
    <t xml:space="preserve">Edible Education - Council District 16</t>
  </si>
  <si>
    <t xml:space="preserve">SBU Academy - Council District 16</t>
  </si>
  <si>
    <t xml:space="preserve">Life is Precious Program - Council District 16</t>
  </si>
  <si>
    <t xml:space="preserve">Culinary Arts Training Program - Intermediate School 313X Sc</t>
  </si>
  <si>
    <t xml:space="preserve">Common Threads</t>
  </si>
  <si>
    <t xml:space="preserve">200106847</t>
  </si>
  <si>
    <t xml:space="preserve">Corona Older Adult Center</t>
  </si>
  <si>
    <t xml:space="preserve">Council District 21</t>
  </si>
  <si>
    <t xml:space="preserve">Corona Congregational Church</t>
  </si>
  <si>
    <t xml:space="preserve">111802803</t>
  </si>
  <si>
    <t xml:space="preserve">Older Adults Services - Council District 21</t>
  </si>
  <si>
    <t xml:space="preserve">Street Vender Project - Council District 21</t>
  </si>
  <si>
    <t xml:space="preserve">Flushing Meadow Soap Box Derby, Inc.</t>
  </si>
  <si>
    <t xml:space="preserve">112737828</t>
  </si>
  <si>
    <t xml:space="preserve">Community Family Day Parade &amp; Events</t>
  </si>
  <si>
    <t xml:space="preserve">Youth Chess Program - Langston Hughes Public Library</t>
  </si>
  <si>
    <t xml:space="preserve">Playmaking &amp; Programs - Council District 21</t>
  </si>
  <si>
    <t xml:space="preserve">Hunger Relief Initiatives &amp; Hygiene Kits Distribution Event </t>
  </si>
  <si>
    <t xml:space="preserve">Project ArtsConnect &amp; Programs - Council District 21</t>
  </si>
  <si>
    <t xml:space="preserve">National Night Out - 111th Police Community Council</t>
  </si>
  <si>
    <t xml:space="preserve">National Night Out - 110th Police Community Council</t>
  </si>
  <si>
    <t xml:space="preserve">Louis Armstrong House Museum</t>
  </si>
  <si>
    <t xml:space="preserve">264178283</t>
  </si>
  <si>
    <t xml:space="preserve">Drumsongs Productions, Inc.</t>
  </si>
  <si>
    <t xml:space="preserve">061550859</t>
  </si>
  <si>
    <t xml:space="preserve">Supplemental Santitation Services - Council District 21</t>
  </si>
  <si>
    <t xml:space="preserve">Roots and Rhythm Walk &amp; Programs - Council District 21 </t>
  </si>
  <si>
    <t xml:space="preserve">Business Vendor Services - Council District 21</t>
  </si>
  <si>
    <t xml:space="preserve">Mount Horeb Baptist Church</t>
  </si>
  <si>
    <t xml:space="preserve">112074467</t>
  </si>
  <si>
    <t xml:space="preserve">Health Care Services - Council District 21</t>
  </si>
  <si>
    <t xml:space="preserve">Legal Services - Council District 21</t>
  </si>
  <si>
    <t xml:space="preserve">Council District 21 </t>
  </si>
  <si>
    <t xml:space="preserve">Strong Fathers &amp; Mothers</t>
  </si>
  <si>
    <t xml:space="preserve">Computer-Based Training Programs - Council District 21</t>
  </si>
  <si>
    <t xml:space="preserve">Dominic A. Murray 21 Memorial Foundation, Inc.</t>
  </si>
  <si>
    <t xml:space="preserve">271755976</t>
  </si>
  <si>
    <t xml:space="preserve">La Victoria Foundation</t>
  </si>
  <si>
    <t xml:space="preserve">853986436</t>
  </si>
  <si>
    <t xml:space="preserve">Lefrak City - Council District 21</t>
  </si>
  <si>
    <t xml:space="preserve">Dance Entropy, Inc.</t>
  </si>
  <si>
    <t xml:space="preserve">204388158</t>
  </si>
  <si>
    <t xml:space="preserve">Ecuadorian Heritage Month Celebration &amp; Parade - Council Dis</t>
  </si>
  <si>
    <t xml:space="preserve">Lefrak City Youth and Adult Activities Association, Inc.</t>
  </si>
  <si>
    <t xml:space="preserve">113106422</t>
  </si>
  <si>
    <t xml:space="preserve">Homework Assistance &amp; Afterschool Program </t>
  </si>
  <si>
    <t xml:space="preserve">Public School 127Q Aerospace Science Magnet School (30Q127)</t>
  </si>
  <si>
    <t xml:space="preserve">Learning Tree Tutorial &amp; Enrichment Program, Inc.</t>
  </si>
  <si>
    <t xml:space="preserve">464393865</t>
  </si>
  <si>
    <t xml:space="preserve">Youth Services - Council District 21</t>
  </si>
  <si>
    <t xml:space="preserve">STEM &amp; Climate Education - Council District 21</t>
  </si>
  <si>
    <t xml:space="preserve">Youth Porgramming - Council District 21 </t>
  </si>
  <si>
    <t xml:space="preserve">Project BOOST &amp; Porgrams - Council District 21</t>
  </si>
  <si>
    <t xml:space="preserve">The Areitotaino Group Corp.</t>
  </si>
  <si>
    <t xml:space="preserve">99-4164793</t>
  </si>
  <si>
    <t xml:space="preserve">Summer Youth Playwriting Initiative</t>
  </si>
  <si>
    <t xml:space="preserve">Medical Transportation for Seniors - Council District 20</t>
  </si>
  <si>
    <t xml:space="preserve">Nan Shan Senior Citizens Center</t>
  </si>
  <si>
    <t xml:space="preserve">Taiwan Center, Inc.</t>
  </si>
  <si>
    <t xml:space="preserve">112857501</t>
  </si>
  <si>
    <t xml:space="preserve">Taiwanese American Senior Center</t>
  </si>
  <si>
    <t xml:space="preserve">Benjamin Rosenthal-Prince Street Innovative Senior Center</t>
  </si>
  <si>
    <t xml:space="preserve">Korean American Senior Citizens Society of Greater New York, Inc.</t>
  </si>
  <si>
    <t xml:space="preserve">112455396</t>
  </si>
  <si>
    <t xml:space="preserve">Korean American Senior Services - Council District 20</t>
  </si>
  <si>
    <t xml:space="preserve">Community Services</t>
  </si>
  <si>
    <t xml:space="preserve">Senior Repair Program - Council District 20</t>
  </si>
  <si>
    <t xml:space="preserve">All In Neighborhood Grants &amp; Neighborhood Business Grants</t>
  </si>
  <si>
    <t xml:space="preserve">Food Program - Council District 20</t>
  </si>
  <si>
    <t xml:space="preserve">Queens SCSEP (Senior Employment)</t>
  </si>
  <si>
    <t xml:space="preserve">Veterans Program</t>
  </si>
  <si>
    <t xml:space="preserve">Support for Holocaust Survivors</t>
  </si>
  <si>
    <t xml:space="preserve">Community First Food Pantry - Council District 20</t>
  </si>
  <si>
    <t xml:space="preserve">Domestic Violence Prevention &amp; Intervention for Young Asian </t>
  </si>
  <si>
    <t xml:space="preserve">Anti-Asian Hate Crime Prevention</t>
  </si>
  <si>
    <t xml:space="preserve">Downtown Flushing Transit Hub District Management Association, Inc.</t>
  </si>
  <si>
    <t xml:space="preserve">412111487</t>
  </si>
  <si>
    <t xml:space="preserve">Council District 20</t>
  </si>
  <si>
    <t xml:space="preserve">Intimate Partner &amp; Family Abuse Services</t>
  </si>
  <si>
    <t xml:space="preserve">Rainbow House Emergency Shelter</t>
  </si>
  <si>
    <t xml:space="preserve">Housing Immigration Legal Services</t>
  </si>
  <si>
    <t xml:space="preserve">Garden of Hope, Inc.</t>
  </si>
  <si>
    <t xml:space="preserve">200177587</t>
  </si>
  <si>
    <t xml:space="preserve">Domestic Violence Support</t>
  </si>
  <si>
    <t xml:space="preserve">Mobile Legal Help Center - Council District 20</t>
  </si>
  <si>
    <t xml:space="preserve">Intermediate School 237Q (25Q237)</t>
  </si>
  <si>
    <t xml:space="preserve">Public School 22Q Thomas Jefferson (25Q022)</t>
  </si>
  <si>
    <t xml:space="preserve">Public School 024Q Andrew Jackson (25Q024)</t>
  </si>
  <si>
    <t xml:space="preserve">East-West School of International Studies (25Q281)</t>
  </si>
  <si>
    <t xml:space="preserve">Public School 162Q John Golden (26Q162)</t>
  </si>
  <si>
    <t xml:space="preserve">Active Learning Elementary School, The (25Q244)</t>
  </si>
  <si>
    <t xml:space="preserve">Public School 120Q Queens (25Q120)</t>
  </si>
  <si>
    <t xml:space="preserve">Public School 163Q Flushing Heights (25Q163)</t>
  </si>
  <si>
    <t xml:space="preserve">Public School 214Q Cadwallader Colden (25Q214)</t>
  </si>
  <si>
    <t xml:space="preserve">Public School 020Q John Bowne (25Q020)</t>
  </si>
  <si>
    <t xml:space="preserve">Flushing International High School (25Q263)</t>
  </si>
  <si>
    <t xml:space="preserve">Junior High School 189Q Daniel Carter Beard (25Q189)</t>
  </si>
  <si>
    <t xml:space="preserve">Kuferberg Center for the Arts. - Public School 020Q John Bow</t>
  </si>
  <si>
    <t xml:space="preserve">Kuferberg Center for the Arts- Public School 242Q </t>
  </si>
  <si>
    <t xml:space="preserve">Public School 177Q (75Q177)</t>
  </si>
  <si>
    <t xml:space="preserve">Youth Orchestra, Chinese Youth Corps of New York, Inc.</t>
  </si>
  <si>
    <t xml:space="preserve">113377137</t>
  </si>
  <si>
    <t xml:space="preserve">Taiwanese American Council of Greater New York, Inc.</t>
  </si>
  <si>
    <t xml:space="preserve">371549859</t>
  </si>
  <si>
    <t xml:space="preserve">Passport to Taiwan Festival - Council District 20</t>
  </si>
  <si>
    <t xml:space="preserve">Glow Community Center, Inc.</t>
  </si>
  <si>
    <t xml:space="preserve">611882235</t>
  </si>
  <si>
    <t xml:space="preserve">Tinker Lab @ Lewis Latimer House Museum - Council District 2</t>
  </si>
  <si>
    <t xml:space="preserve">Home Project - Council District 20</t>
  </si>
  <si>
    <t xml:space="preserve">Artistic &amp; Cortical Literacy Education Programs - Flushing I</t>
  </si>
  <si>
    <t xml:space="preserve">Nan Shan Virtual Senior Center</t>
  </si>
  <si>
    <t xml:space="preserve">Virtual Senior Center - Council District 20</t>
  </si>
  <si>
    <t xml:space="preserve">STEAM Programs - Council District 20</t>
  </si>
  <si>
    <t xml:space="preserve">Multicultural Arts &amp; Arts Education</t>
  </si>
  <si>
    <t xml:space="preserve">Korean American Civic Empowerment For Community, Inc.</t>
  </si>
  <si>
    <t xml:space="preserve">203987662</t>
  </si>
  <si>
    <t xml:space="preserve">National Night Out Against Crime</t>
  </si>
  <si>
    <t xml:space="preserve">CAIPA Foundation, Inc.</t>
  </si>
  <si>
    <t xml:space="preserve">262791755</t>
  </si>
  <si>
    <t xml:space="preserve">Mental Health Seminars &amp; Workshops - Council District 20 </t>
  </si>
  <si>
    <t xml:space="preserve">Graffiti Removal - Council District 20</t>
  </si>
  <si>
    <t xml:space="preserve">Community Programming - Council District 20</t>
  </si>
  <si>
    <t xml:space="preserve">Economic Empowerment Program - Adult Literacy</t>
  </si>
  <si>
    <t xml:space="preserve">CityParks Play &amp; Build - Council District 20</t>
  </si>
  <si>
    <t xml:space="preserve">Bike Helmet Giveaways - Council District 20</t>
  </si>
  <si>
    <t xml:space="preserve">Asian American Cohesion, Inc.</t>
  </si>
  <si>
    <t xml:space="preserve">863828696</t>
  </si>
  <si>
    <t xml:space="preserve">Community Safety &amp; Cleanup Programs - Council District 20</t>
  </si>
  <si>
    <t xml:space="preserve">Breast Cancer Outreach, Education &amp; Navigation Program - Cou</t>
  </si>
  <si>
    <t xml:space="preserve">Storytelling Shows - Council District 20</t>
  </si>
  <si>
    <t xml:space="preserve">E-Waste Collection - Council District 20</t>
  </si>
  <si>
    <t xml:space="preserve">Community Development - Council District 20</t>
  </si>
  <si>
    <t xml:space="preserve">Apicha Community Health Center - Council District 20</t>
  </si>
  <si>
    <t xml:space="preserve">Tinker Lab STEAM Education - Lewis Latimer House Museum</t>
  </si>
  <si>
    <t xml:space="preserve">Services for the Blind &amp; Visually Impaired</t>
  </si>
  <si>
    <t xml:space="preserve">Smile on Seniors - Chabad Community Center</t>
  </si>
  <si>
    <t xml:space="preserve">Queens Based Community Services - Council District 20</t>
  </si>
  <si>
    <t xml:space="preserve">The Active Learning Elementary School (25Q244) &amp; Other Counc</t>
  </si>
  <si>
    <t xml:space="preserve">Voelker Orth Museum</t>
  </si>
  <si>
    <t xml:space="preserve">113498583</t>
  </si>
  <si>
    <t xml:space="preserve">Cultural Programs for Queens Families</t>
  </si>
  <si>
    <t xml:space="preserve">Passport to Taiwan Festival</t>
  </si>
  <si>
    <t xml:space="preserve">Flushing Older Adult Center</t>
  </si>
  <si>
    <t xml:space="preserve">Hydroponic Classrooms for STEM, Climate, and Sustainability </t>
  </si>
  <si>
    <t xml:space="preserve">Korean-American Parents Association of Greater New York, Inc.</t>
  </si>
  <si>
    <t xml:space="preserve">260893800</t>
  </si>
  <si>
    <t xml:space="preserve">James A. Bland Houses</t>
  </si>
  <si>
    <t xml:space="preserve">Esther Ha Foundation</t>
  </si>
  <si>
    <t xml:space="preserve">464730200</t>
  </si>
  <si>
    <t xml:space="preserve">Helpline</t>
  </si>
  <si>
    <t xml:space="preserve">New York Chinese Northeast Association, Inc.</t>
  </si>
  <si>
    <t xml:space="preserve">884357522</t>
  </si>
  <si>
    <t xml:space="preserve">Korean American Youth Choir of New York</t>
  </si>
  <si>
    <t xml:space="preserve">994174091</t>
  </si>
  <si>
    <t xml:space="preserve">Cultural Performances &amp; Youth Development Program - Council </t>
  </si>
  <si>
    <t xml:space="preserve">Queensborough Community College - Harriet &amp; Kenneth Kupferbe</t>
  </si>
  <si>
    <t xml:space="preserve">La Guardia and Wagner Archives</t>
  </si>
  <si>
    <t xml:space="preserve">Quincy Asian Resources, Inc.</t>
  </si>
  <si>
    <t xml:space="preserve">010556446</t>
  </si>
  <si>
    <t xml:space="preserve">Multilingual Social Services for Immigrants - Council Distri</t>
  </si>
  <si>
    <t xml:space="preserve">Council District 20 </t>
  </si>
  <si>
    <t xml:space="preserve">Internationals Network for Public Schools, Inc.</t>
  </si>
  <si>
    <t xml:space="preserve">030547067</t>
  </si>
  <si>
    <t xml:space="preserve">North Flushing Senior Programs</t>
  </si>
  <si>
    <t xml:space="preserve">Queens College - Asian/Asian American Center</t>
  </si>
  <si>
    <t xml:space="preserve">School Debate Program - Council District 20</t>
  </si>
  <si>
    <t xml:space="preserve">Cleaning Services - Council District 20</t>
  </si>
  <si>
    <t xml:space="preserve">District Marketing &amp; Local Tourism</t>
  </si>
  <si>
    <t xml:space="preserve">Merchant Organizing </t>
  </si>
  <si>
    <t xml:space="preserve">Maintenance, Beautification and Security - Kissena Park &amp; Ma</t>
  </si>
  <si>
    <t xml:space="preserve">CityParks Play &amp; CityParks Build - Council District 20</t>
  </si>
  <si>
    <t xml:space="preserve">CityParks Play (Kissena Park) &amp; Partnership for Parks (Weepi</t>
  </si>
  <si>
    <t xml:space="preserve">E-Waste Event - Council District 20</t>
  </si>
  <si>
    <t xml:space="preserve">Selfhelp Benjamin Rosenthal</t>
  </si>
  <si>
    <t xml:space="preserve">CPC Nan Shan Neighborhood Senior Center</t>
  </si>
  <si>
    <t xml:space="preserve">Selfhelp Latimer</t>
  </si>
  <si>
    <t xml:space="preserve">Korean Art Forum, Inc.</t>
  </si>
  <si>
    <t xml:space="preserve">461831095</t>
  </si>
  <si>
    <t xml:space="preserve">The Young Women's Christian Association of Queens</t>
  </si>
  <si>
    <t xml:space="preserve">South Asian Senior Center</t>
  </si>
  <si>
    <t xml:space="preserve">Nan Shan Senior Center</t>
  </si>
  <si>
    <t xml:space="preserve">Benjamin Rosenthal - Prince Street Innovating Senior Center </t>
  </si>
  <si>
    <t xml:space="preserve">CUNY School of Law Justice &amp; Auxiliary Services Corporation</t>
  </si>
  <si>
    <t xml:space="preserve">Flushing YMCA: Teen Programming</t>
  </si>
  <si>
    <t xml:space="preserve">Chinese American Parent Association</t>
  </si>
  <si>
    <t xml:space="preserve">113005001</t>
  </si>
  <si>
    <t xml:space="preserve">Youth Program - New York Community Center</t>
  </si>
  <si>
    <t xml:space="preserve">Hodori "Little Tigers" Afterschool Program</t>
  </si>
  <si>
    <t xml:space="preserve">Public School 214Q Cadwallader Colden (25Q214) &amp; Public Scho</t>
  </si>
  <si>
    <t xml:space="preserve">Environmental Education - Council District 20</t>
  </si>
  <si>
    <t xml:space="preserve">Isadora Rhythmic &amp; Dance Academy</t>
  </si>
  <si>
    <t xml:space="preserve">Queens Special Needs</t>
  </si>
  <si>
    <t xml:space="preserve">Lois C. Lee Early Childhood Center &amp; SACC - Public School 02</t>
  </si>
  <si>
    <t xml:space="preserve">Project Reach - Council District 20</t>
  </si>
  <si>
    <t xml:space="preserve">Chess Programming - Public School 020Q John Bowne (25Q020) &amp;</t>
  </si>
  <si>
    <t xml:space="preserve">NYC Scouting &amp; Exploring - Council District 20</t>
  </si>
  <si>
    <t xml:space="preserve">Flushing Day Care Center, Inc.</t>
  </si>
  <si>
    <t xml:space="preserve">112196556</t>
  </si>
  <si>
    <t xml:space="preserve">Martin L. King Memorial DCC</t>
  </si>
  <si>
    <t xml:space="preserve">Veritas Academy (25Q240) &amp; Flushing High School (25Q460)</t>
  </si>
  <si>
    <t xml:space="preserve">Friends of Pack and Troop 253, Inc.</t>
  </si>
  <si>
    <t xml:space="preserve">813355590</t>
  </si>
  <si>
    <t xml:space="preserve">Robotics Leagues &amp; STEM Programs - Council District 20 Schoo</t>
  </si>
  <si>
    <t xml:space="preserve">Victory United, Inc.</t>
  </si>
  <si>
    <t xml:space="preserve">834456916</t>
  </si>
  <si>
    <t xml:space="preserve">Youth Sports, Fitness, Wellness &amp; Mentoring</t>
  </si>
  <si>
    <t xml:space="preserve">Korean Community Media Broadcasting TV, Inc.</t>
  </si>
  <si>
    <t xml:space="preserve">884055671</t>
  </si>
  <si>
    <t xml:space="preserve">Education Equity Programs for Asian Americans</t>
  </si>
  <si>
    <t xml:space="preserve">Decode Hate Workshops </t>
  </si>
  <si>
    <t xml:space="preserve">Removal of abandoned vessels - Sheepshead Bay</t>
  </si>
  <si>
    <t xml:space="preserve">Council District 48 Programming</t>
  </si>
  <si>
    <t xml:space="preserve">Kings Highway District Management Association, Inc.</t>
  </si>
  <si>
    <t xml:space="preserve">112977052</t>
  </si>
  <si>
    <t xml:space="preserve">Beautification and Horticulture - Kings Highway BID area</t>
  </si>
  <si>
    <t xml:space="preserve">Homecare Program</t>
  </si>
  <si>
    <t xml:space="preserve">Art for Charity Association, Inc.</t>
  </si>
  <si>
    <t xml:space="preserve">822103220</t>
  </si>
  <si>
    <t xml:space="preserve">Older Adult Services - Sheepshead Bay Center</t>
  </si>
  <si>
    <t xml:space="preserve">Senior Alliance Older Adult Center</t>
  </si>
  <si>
    <t xml:space="preserve">Association of Holocaust Survivors from the Former Soviet Union, Inc.</t>
  </si>
  <si>
    <t xml:space="preserve">113395358</t>
  </si>
  <si>
    <t xml:space="preserve">Trump United</t>
  </si>
  <si>
    <t xml:space="preserve">Warbasse Cares NORC</t>
  </si>
  <si>
    <t xml:space="preserve">Scheuer House - Brighton Beach</t>
  </si>
  <si>
    <t xml:space="preserve">Council District 48</t>
  </si>
  <si>
    <t xml:space="preserve">Home Delivered Meals - Council District 48</t>
  </si>
  <si>
    <t xml:space="preserve">Jay Harama Older Adults Center</t>
  </si>
  <si>
    <t xml:space="preserve">The Bay Older Adult Center</t>
  </si>
  <si>
    <t xml:space="preserve">Yeshiva Ateres Tzvi</t>
  </si>
  <si>
    <t xml:space="preserve">113409953</t>
  </si>
  <si>
    <t xml:space="preserve">RAJE-USA, Inc.</t>
  </si>
  <si>
    <t xml:space="preserve">273335956</t>
  </si>
  <si>
    <t xml:space="preserve">Shorefront YM-YWHA of Brighton-Manhattan Beach, Inc.</t>
  </si>
  <si>
    <t xml:space="preserve">113070228</t>
  </si>
  <si>
    <t xml:space="preserve">371469112</t>
  </si>
  <si>
    <t xml:space="preserve">Community Watch Group</t>
  </si>
  <si>
    <t xml:space="preserve">Shmira Community Services, Inc.</t>
  </si>
  <si>
    <t xml:space="preserve">465242448</t>
  </si>
  <si>
    <t xml:space="preserve">CASA at PS255K</t>
  </si>
  <si>
    <t xml:space="preserve">CASA at IS98</t>
  </si>
  <si>
    <t xml:space="preserve">CASA at PS225K</t>
  </si>
  <si>
    <t xml:space="preserve">CASA at PS209K</t>
  </si>
  <si>
    <t xml:space="preserve">CASA at PS 197K</t>
  </si>
  <si>
    <t xml:space="preserve">CASA at PS206K</t>
  </si>
  <si>
    <t xml:space="preserve">CASA at PS153K</t>
  </si>
  <si>
    <t xml:space="preserve">CASA at James Madison HS</t>
  </si>
  <si>
    <t xml:space="preserve">CASA at PS254K</t>
  </si>
  <si>
    <t xml:space="preserve">CASA at JHS234K</t>
  </si>
  <si>
    <t xml:space="preserve">CASA at PS195K</t>
  </si>
  <si>
    <t xml:space="preserve">CASA at PS52K</t>
  </si>
  <si>
    <t xml:space="preserve">CASA at PS100K</t>
  </si>
  <si>
    <t xml:space="preserve">CASA</t>
  </si>
  <si>
    <t xml:space="preserve">CASA at PS370K</t>
  </si>
  <si>
    <t xml:space="preserve">CASA programming for 771K@PS225K</t>
  </si>
  <si>
    <t xml:space="preserve">CASA at 811K</t>
  </si>
  <si>
    <t xml:space="preserve">CD48 Schools Programming</t>
  </si>
  <si>
    <t xml:space="preserve">Digital Programming at Kings Bay YM-YWHA</t>
  </si>
  <si>
    <t xml:space="preserve">Digital Programming Shorefront Y</t>
  </si>
  <si>
    <t xml:space="preserve">Digital Inclusion Programming in CD48</t>
  </si>
  <si>
    <t xml:space="preserve">Digital Programming CD48</t>
  </si>
  <si>
    <t xml:space="preserve">United Task Force, Inc.</t>
  </si>
  <si>
    <t xml:space="preserve">812505465</t>
  </si>
  <si>
    <t xml:space="preserve">CD48 DoVE</t>
  </si>
  <si>
    <t xml:space="preserve">CD48 DoVE Initiative</t>
  </si>
  <si>
    <t xml:space="preserve">DoVE Inititative CD48</t>
  </si>
  <si>
    <t xml:space="preserve">DoVE Initiative </t>
  </si>
  <si>
    <t xml:space="preserve">CD 48 DoVE Initiative</t>
  </si>
  <si>
    <t xml:space="preserve">DoVE CD48</t>
  </si>
  <si>
    <t xml:space="preserve">Bnai Raphael Chesed Organization, Inc.</t>
  </si>
  <si>
    <t xml:space="preserve">800196677</t>
  </si>
  <si>
    <t xml:space="preserve">Benefits Access Program</t>
  </si>
  <si>
    <t xml:space="preserve">Shorefront Jewish Community Council, Inc.</t>
  </si>
  <si>
    <t xml:space="preserve">112986161</t>
  </si>
  <si>
    <t xml:space="preserve">Brighton Neighborhood Association, Inc.</t>
  </si>
  <si>
    <t xml:space="preserve">112435523</t>
  </si>
  <si>
    <t xml:space="preserve">Council of Jewish Emigre Community Organizations. Inc.</t>
  </si>
  <si>
    <t xml:space="preserve">133955736</t>
  </si>
  <si>
    <t xml:space="preserve">Cancer Screening - Council District 48</t>
  </si>
  <si>
    <t xml:space="preserve">Chai Defense</t>
  </si>
  <si>
    <t xml:space="preserve">934597186</t>
  </si>
  <si>
    <t xml:space="preserve">Revitalization Community Involvement Initiative, Inc.</t>
  </si>
  <si>
    <t xml:space="preserve">475610310</t>
  </si>
  <si>
    <t xml:space="preserve">9/11 Memorial - Asser Levy Park</t>
  </si>
  <si>
    <t xml:space="preserve">Educational &amp; Cultural Programs </t>
  </si>
  <si>
    <t xml:space="preserve">Catholic Migration Services, Inc.</t>
  </si>
  <si>
    <t xml:space="preserve">112634818</t>
  </si>
  <si>
    <t xml:space="preserve">Ukrainian New Wave Corporation</t>
  </si>
  <si>
    <t xml:space="preserve">208517400</t>
  </si>
  <si>
    <t xml:space="preserve">Awareness &amp; Educational Programs</t>
  </si>
  <si>
    <t xml:space="preserve">First Baptist Church of Sheepshead Bay</t>
  </si>
  <si>
    <t xml:space="preserve">116019293</t>
  </si>
  <si>
    <t xml:space="preserve">Older Adult Citizen Day Care Center</t>
  </si>
  <si>
    <t xml:space="preserve">NonProfit Help Desk</t>
  </si>
  <si>
    <t xml:space="preserve">Hannah Kosher Food Shabbat Foundation for Poor and Needy Women</t>
  </si>
  <si>
    <t xml:space="preserve">481289649</t>
  </si>
  <si>
    <t xml:space="preserve">Food Pantry Program</t>
  </si>
  <si>
    <t xml:space="preserve">Sisters Outreach, Inc.</t>
  </si>
  <si>
    <t xml:space="preserve">993048383</t>
  </si>
  <si>
    <t xml:space="preserve">Holocaust Education Programming - Council District 48</t>
  </si>
  <si>
    <t xml:space="preserve">Manhattan Beach Community Group, Inc.</t>
  </si>
  <si>
    <t xml:space="preserve">113258961</t>
  </si>
  <si>
    <t xml:space="preserve">Brooklyn Community Board #13</t>
  </si>
  <si>
    <t xml:space="preserve">DSNY District 48</t>
  </si>
  <si>
    <t xml:space="preserve">Neighborhood Development Services KH BID</t>
  </si>
  <si>
    <t xml:space="preserve">JASA Senior Alliance Older Adult Center</t>
  </si>
  <si>
    <t xml:space="preserve">JASA Trump United </t>
  </si>
  <si>
    <t xml:space="preserve">JASA Luna Park</t>
  </si>
  <si>
    <t xml:space="preserve">After-School &amp; Youth Empowerment Program – Brooklyn</t>
  </si>
  <si>
    <t xml:space="preserve">Youth Workshops</t>
  </si>
  <si>
    <t xml:space="preserve">CEKPET, Ltd.</t>
  </si>
  <si>
    <t xml:space="preserve">264435254</t>
  </si>
  <si>
    <t xml:space="preserve">First Chernomorets USA, Inc.</t>
  </si>
  <si>
    <t xml:space="preserve">113586786</t>
  </si>
  <si>
    <t xml:space="preserve">Youth Soccer League</t>
  </si>
  <si>
    <t xml:space="preserve">Sephardic Community Youth Center, Inc.</t>
  </si>
  <si>
    <t xml:space="preserve">112567809</t>
  </si>
  <si>
    <t xml:space="preserve">Shostakovich Music, Art and Sport School, Inc., The</t>
  </si>
  <si>
    <t xml:space="preserve">112857556</t>
  </si>
  <si>
    <t xml:space="preserve">Press Pass NYC - Public School Joseph F Lamb (22K206)</t>
  </si>
  <si>
    <t xml:space="preserve">Israel Emergency Alliance</t>
  </si>
  <si>
    <t xml:space="preserve">010566033</t>
  </si>
  <si>
    <t xml:space="preserve">Jamaica Older Adult Center</t>
  </si>
  <si>
    <t xml:space="preserve">Brookville Center</t>
  </si>
  <si>
    <t xml:space="preserve">Best Life Older Adult Center</t>
  </si>
  <si>
    <t xml:space="preserve">Older Adult Talent Show - Council District 27</t>
  </si>
  <si>
    <t xml:space="preserve">Because We Care, Inc.</t>
  </si>
  <si>
    <t xml:space="preserve">352825932</t>
  </si>
  <si>
    <t xml:space="preserve">Youth Education Job Training Program - Council District 27</t>
  </si>
  <si>
    <t xml:space="preserve">New York University</t>
  </si>
  <si>
    <t xml:space="preserve">135562308</t>
  </si>
  <si>
    <t xml:space="preserve">Trauma Health Program - Council District 27</t>
  </si>
  <si>
    <t xml:space="preserve">Intermediate School 192Q (29Q192)</t>
  </si>
  <si>
    <t xml:space="preserve">Public School 182Q Samantha Smith (28Q182)</t>
  </si>
  <si>
    <t xml:space="preserve">Community Youth Care Services, Inc.</t>
  </si>
  <si>
    <t xml:space="preserve">770695007</t>
  </si>
  <si>
    <t xml:space="preserve">PS147Q (29Q147)</t>
  </si>
  <si>
    <t xml:space="preserve">The Emmerson school</t>
  </si>
  <si>
    <t xml:space="preserve">Public School 134Q Hollis (29Q134)</t>
  </si>
  <si>
    <t xml:space="preserve">Public School 136Q Roy Wilkins (29Q136)</t>
  </si>
  <si>
    <t xml:space="preserve">Public School/Intermediate School 116Q William C. Hughley (2</t>
  </si>
  <si>
    <t xml:space="preserve">Public School 15Q Jackie Robinson</t>
  </si>
  <si>
    <t xml:space="preserve">Public School/Intermediate School 268Q (29Q268)</t>
  </si>
  <si>
    <t xml:space="preserve">Public School 360Q</t>
  </si>
  <si>
    <t xml:space="preserve">Public School 118Q Lorraine Hansberry (29Q118)</t>
  </si>
  <si>
    <t xml:space="preserve">Intermediate School 59Q (29Q059)</t>
  </si>
  <si>
    <t xml:space="preserve">Caribbean American Repertory Theatre, Inc.</t>
  </si>
  <si>
    <t xml:space="preserve">112972441</t>
  </si>
  <si>
    <t xml:space="preserve">Creative Jazz Organization, Inc.</t>
  </si>
  <si>
    <t xml:space="preserve">113543021</t>
  </si>
  <si>
    <t xml:space="preserve">Allen Womens Resource Center</t>
  </si>
  <si>
    <t xml:space="preserve">112822398</t>
  </si>
  <si>
    <t xml:space="preserve">Young New Yorkers, Inc.</t>
  </si>
  <si>
    <t xml:space="preserve">811465388</t>
  </si>
  <si>
    <t xml:space="preserve">Summer Reading Program - Council District 27</t>
  </si>
  <si>
    <t xml:space="preserve">Jamaica Reads</t>
  </si>
  <si>
    <t xml:space="preserve">Music Outreach - Council District 27</t>
  </si>
  <si>
    <t xml:space="preserve">Queens Steam Center - Council District 27</t>
  </si>
  <si>
    <t xml:space="preserve">Greater Bethel Interdenominational Church, Inc.</t>
  </si>
  <si>
    <t xml:space="preserve">510153893</t>
  </si>
  <si>
    <t xml:space="preserve">Construction Oversight &amp; Technical Assistance Program - Coun</t>
  </si>
  <si>
    <t xml:space="preserve">Divine Truth Ministry, Inc.</t>
  </si>
  <si>
    <t xml:space="preserve">813207153</t>
  </si>
  <si>
    <t xml:space="preserve">PTA &amp; Youthpreneurship Program - York College</t>
  </si>
  <si>
    <t xml:space="preserve">Music and The Brain Program - Council District 27</t>
  </si>
  <si>
    <t xml:space="preserve">Eagle Academy &amp; Council District 27 schools</t>
  </si>
  <si>
    <t xml:space="preserve">Cambria Heights Library</t>
  </si>
  <si>
    <t xml:space="preserve">South Hollis Library</t>
  </si>
  <si>
    <t xml:space="preserve">South Jamaica Library</t>
  </si>
  <si>
    <t xml:space="preserve">St. Albans Library</t>
  </si>
  <si>
    <t xml:space="preserve">Workshops - Council District 27</t>
  </si>
  <si>
    <t xml:space="preserve">Swimming Classes &amp; Water Safety Workshops - Council District</t>
  </si>
  <si>
    <t xml:space="preserve">King Manor Association of Long Island, Inc.</t>
  </si>
  <si>
    <t xml:space="preserve">112396324</t>
  </si>
  <si>
    <t xml:space="preserve">Annual Events</t>
  </si>
  <si>
    <t xml:space="preserve">Young Women's Leadership Academy - Council District 27</t>
  </si>
  <si>
    <t xml:space="preserve">Azar Help Center, Inc.</t>
  </si>
  <si>
    <t xml:space="preserve">934679641</t>
  </si>
  <si>
    <t xml:space="preserve">Health, Arts, Robotics, and Technology High School (29Q498)</t>
  </si>
  <si>
    <t xml:space="preserve">Seen and Heard Program - Council District 27</t>
  </si>
  <si>
    <t xml:space="preserve">Second Chance Agape Worship Center</t>
  </si>
  <si>
    <t xml:space="preserve">260091005</t>
  </si>
  <si>
    <t xml:space="preserve">Summer Programming - Council District 27</t>
  </si>
  <si>
    <t xml:space="preserve">IAmWondaWoman Foundation, Inc.</t>
  </si>
  <si>
    <t xml:space="preserve">460919205</t>
  </si>
  <si>
    <t xml:space="preserve">LoveYourBlessingsAndGrowth, Inc.</t>
  </si>
  <si>
    <t xml:space="preserve">852142543</t>
  </si>
  <si>
    <t xml:space="preserve">Physical Health &amp; Training Program - Council District 27</t>
  </si>
  <si>
    <t xml:space="preserve">Kofago Institute, Inc.</t>
  </si>
  <si>
    <t xml:space="preserve">922648315</t>
  </si>
  <si>
    <t xml:space="preserve">Youth Leadership &amp; Creative Development Program - Council Di</t>
  </si>
  <si>
    <t xml:space="preserve">OHS Academy, Inc.</t>
  </si>
  <si>
    <t xml:space="preserve">862350981</t>
  </si>
  <si>
    <t xml:space="preserve">Youth Development &amp; Academic Enrichment - Council District 2</t>
  </si>
  <si>
    <t xml:space="preserve">Events - Council District 27</t>
  </si>
  <si>
    <t xml:space="preserve">Public School / Intermediate School 116Q William C. Hughley </t>
  </si>
  <si>
    <t xml:space="preserve">Public School 050Q Talfourd Lawn Elementary School (28Q050)</t>
  </si>
  <si>
    <t xml:space="preserve">Public School 009Q (75Q009) @ Public School / Intermediate S</t>
  </si>
  <si>
    <t xml:space="preserve">Sutphin Boulevard District Management Association, Inc.</t>
  </si>
  <si>
    <t xml:space="preserve">300253124</t>
  </si>
  <si>
    <t xml:space="preserve">Allen International Towers Affiliate</t>
  </si>
  <si>
    <t xml:space="preserve">Alpha Phi Alpha Senior Citizens Center</t>
  </si>
  <si>
    <t xml:space="preserve">Allen AME Theodora Jackson Center</t>
  </si>
  <si>
    <t xml:space="preserve">Jamica Older Adult Center</t>
  </si>
  <si>
    <t xml:space="preserve">Best Life Senior Center </t>
  </si>
  <si>
    <t xml:space="preserve">Alpha Phi Alpa Senior Citizens Center</t>
  </si>
  <si>
    <t xml:space="preserve">College Preparation Programming</t>
  </si>
  <si>
    <t xml:space="preserve">Wesley Parrott Youth Programs, Inc.</t>
  </si>
  <si>
    <t xml:space="preserve">112872641</t>
  </si>
  <si>
    <t xml:space="preserve">Destiny Bound, Inc.</t>
  </si>
  <si>
    <t xml:space="preserve">843178846</t>
  </si>
  <si>
    <t xml:space="preserve">College &amp; Career Readiness - Council District 27</t>
  </si>
  <si>
    <t xml:space="preserve">Youth Summit &amp; Youth Advisory Council - Council district 27</t>
  </si>
  <si>
    <t xml:space="preserve">ZMI Foundation, Inc.</t>
  </si>
  <si>
    <t xml:space="preserve">455537211</t>
  </si>
  <si>
    <t xml:space="preserve">After School &amp; Summer Camp - Council District 27</t>
  </si>
  <si>
    <t xml:space="preserve">Football &amp; Cheerleading Camp - Council District 27</t>
  </si>
  <si>
    <t xml:space="preserve">Friends of the High Line, Inc.</t>
  </si>
  <si>
    <t xml:space="preserve">311734086</t>
  </si>
  <si>
    <t xml:space="preserve">High Line Fellows</t>
  </si>
  <si>
    <t xml:space="preserve">Horticulture, Education, Therapeutic Horticulture &amp; Public P</t>
  </si>
  <si>
    <t xml:space="preserve">Senior Food Bag Program - Council District 3</t>
  </si>
  <si>
    <t xml:space="preserve">Bike Helmet Giveaway -  Council District 3</t>
  </si>
  <si>
    <t xml:space="preserve">Penn South - Council District 3</t>
  </si>
  <si>
    <t xml:space="preserve">Westbeth Artists Residents Council</t>
  </si>
  <si>
    <t xml:space="preserve">133154253</t>
  </si>
  <si>
    <t xml:space="preserve">Older Adults Activities - Council District 3</t>
  </si>
  <si>
    <t xml:space="preserve">Older Adults Programming - Council District 3</t>
  </si>
  <si>
    <t xml:space="preserve">Hartley House, Inc.</t>
  </si>
  <si>
    <t xml:space="preserve">131656652</t>
  </si>
  <si>
    <t xml:space="preserve">HOPE Program - Council District 3</t>
  </si>
  <si>
    <t xml:space="preserve">Meals for Older Adults - Council District 3</t>
  </si>
  <si>
    <t xml:space="preserve">Older Adults Dance Classes &amp; Community Wellness</t>
  </si>
  <si>
    <t xml:space="preserve">Say Ah!, Inc.</t>
  </si>
  <si>
    <t xml:space="preserve">208663409</t>
  </si>
  <si>
    <t xml:space="preserve">Council District 3</t>
  </si>
  <si>
    <t xml:space="preserve">Edie Windsor SAGE Center - Council District 3</t>
  </si>
  <si>
    <t xml:space="preserve">Older Adult Wellness &amp; Workforce Support - Council District </t>
  </si>
  <si>
    <t xml:space="preserve">Alzheimer's Foundation of America</t>
  </si>
  <si>
    <t xml:space="preserve">911792864</t>
  </si>
  <si>
    <t xml:space="preserve">Barbara Rabinowitz Education &amp; Resource Center</t>
  </si>
  <si>
    <t xml:space="preserve">Medicare Education &amp; Enrollment Services - Council District </t>
  </si>
  <si>
    <t xml:space="preserve">Trainings - Council District 3</t>
  </si>
  <si>
    <t xml:space="preserve">Performance - Council District 3</t>
  </si>
  <si>
    <t xml:space="preserve">Church of the Holy Apostles</t>
  </si>
  <si>
    <t xml:space="preserve">132892297</t>
  </si>
  <si>
    <t xml:space="preserve">Meal Programs - Council District 3</t>
  </si>
  <si>
    <t xml:space="preserve">Mental Health Treatment</t>
  </si>
  <si>
    <t xml:space="preserve">High School 560M City As School (02M560)</t>
  </si>
  <si>
    <t xml:space="preserve">Dancing in the Streets, Inc.</t>
  </si>
  <si>
    <t xml:space="preserve">112706055</t>
  </si>
  <si>
    <t xml:space="preserve">Public School 51M Elias Howe (02M051)</t>
  </si>
  <si>
    <t xml:space="preserve">Public School 33M Chelsea Prep (02M033)</t>
  </si>
  <si>
    <t xml:space="preserve">Quest to Learn (02M422)</t>
  </si>
  <si>
    <t xml:space="preserve">Humanities Preparatory Academy (02M605)</t>
  </si>
  <si>
    <t xml:space="preserve">Public School 3M Charrette School (02M003) </t>
  </si>
  <si>
    <t xml:space="preserve">Living Arts Collaborative, Inc.</t>
  </si>
  <si>
    <t xml:space="preserve">872065261</t>
  </si>
  <si>
    <t xml:space="preserve">Public School 051M Elias Howe (02M051)</t>
  </si>
  <si>
    <t xml:space="preserve">Public School 721M - Manhattan Occupational Training Center </t>
  </si>
  <si>
    <t xml:space="preserve">Urban Assembly Gateway School for Technology (02M507)</t>
  </si>
  <si>
    <t xml:space="preserve">Public School 226M (75M226) @ Public School 033M Chelsea Pre</t>
  </si>
  <si>
    <t xml:space="preserve">St. Luke's Chamber Ensemble, Inc.</t>
  </si>
  <si>
    <t xml:space="preserve">510201839</t>
  </si>
  <si>
    <t xml:space="preserve">Public School 111M Adolph S. Ochs (02M111)</t>
  </si>
  <si>
    <t xml:space="preserve">Public School 212M Midtown West (02M212)</t>
  </si>
  <si>
    <t xml:space="preserve">Public School 011M William T. Harris (02M011)</t>
  </si>
  <si>
    <t xml:space="preserve">Summer Series</t>
  </si>
  <si>
    <t xml:space="preserve">Readings &amp; Programming</t>
  </si>
  <si>
    <t xml:space="preserve">After-School Programs - Public Schhol 003M (75M035)</t>
  </si>
  <si>
    <t xml:space="preserve">High Line Public Programs &amp; Community Engagement</t>
  </si>
  <si>
    <t xml:space="preserve">Lucille Lortel Theatre Foundation</t>
  </si>
  <si>
    <t xml:space="preserve">133995881</t>
  </si>
  <si>
    <t xml:space="preserve">New Play Reading Series: The Immigrant Experience</t>
  </si>
  <si>
    <t xml:space="preserve">Actors Theatre Workshop, Inc.</t>
  </si>
  <si>
    <t xml:space="preserve">133593882</t>
  </si>
  <si>
    <t xml:space="preserve">Free Theater Programs for Children</t>
  </si>
  <si>
    <t xml:space="preserve">Multi-Cultural In-School Program</t>
  </si>
  <si>
    <t xml:space="preserve">Our Diverse Universe</t>
  </si>
  <si>
    <t xml:space="preserve">Rattlestick Productions, Inc.</t>
  </si>
  <si>
    <t xml:space="preserve">113105457</t>
  </si>
  <si>
    <t xml:space="preserve">2026 Global Forms Theater Festival</t>
  </si>
  <si>
    <t xml:space="preserve">Teatro Grattacielo, Inc.</t>
  </si>
  <si>
    <t xml:space="preserve">133789627</t>
  </si>
  <si>
    <t xml:space="preserve">Free Community Programming &amp; Opera at Gotham Park</t>
  </si>
  <si>
    <t xml:space="preserve">Theatre of the Oppressed NYC, Inc.</t>
  </si>
  <si>
    <t xml:space="preserve">454815944</t>
  </si>
  <si>
    <t xml:space="preserve">Rapid Response Forum Theater Troupes</t>
  </si>
  <si>
    <t xml:space="preserve">Threshold Dance Projects, Inc.</t>
  </si>
  <si>
    <t xml:space="preserve">133838879</t>
  </si>
  <si>
    <t xml:space="preserve">Music &amp; the Brain</t>
  </si>
  <si>
    <t xml:space="preserve">Hudson Guild</t>
  </si>
  <si>
    <t xml:space="preserve">135562989</t>
  </si>
  <si>
    <t xml:space="preserve">TechUp Digital Literacy Program</t>
  </si>
  <si>
    <t xml:space="preserve">Youth Media Arts - Council District 03</t>
  </si>
  <si>
    <t xml:space="preserve">Partner Counseling - Council District 3</t>
  </si>
  <si>
    <t xml:space="preserve">Domestic Violence Project</t>
  </si>
  <si>
    <t xml:space="preserve">Domestic Violence Victim Legal Support</t>
  </si>
  <si>
    <t xml:space="preserve">Safe Passage Project Corporation</t>
  </si>
  <si>
    <t xml:space="preserve">462946211</t>
  </si>
  <si>
    <t xml:space="preserve">Legal Services for Immigrant Youth</t>
  </si>
  <si>
    <t xml:space="preserve">Legal &amp; Advocacy Services</t>
  </si>
  <si>
    <t xml:space="preserve">LGBTQ Community Crisis Intervention Program (LGBTQ CCI)</t>
  </si>
  <si>
    <t xml:space="preserve">High School of Fashion Industries (02M600) &amp; Public School 0</t>
  </si>
  <si>
    <t xml:space="preserve">Whitney Museum of American Art</t>
  </si>
  <si>
    <t xml:space="preserve">131789318</t>
  </si>
  <si>
    <t xml:space="preserve">Older Adults Programming</t>
  </si>
  <si>
    <t xml:space="preserve">Joyce Theater Foundation, Inc.</t>
  </si>
  <si>
    <t xml:space="preserve">133038262</t>
  </si>
  <si>
    <t xml:space="preserve">Subsidized Tickets - JoycePass</t>
  </si>
  <si>
    <t xml:space="preserve">Resident Youth Ensemble (RYET) &amp; Arts Education Program</t>
  </si>
  <si>
    <t xml:space="preserve">Meals and Nutrition Program &amp; HIV/STI Testing Services - Cou</t>
  </si>
  <si>
    <t xml:space="preserve">Chekpeds, Inc.</t>
  </si>
  <si>
    <t xml:space="preserve">264483508</t>
  </si>
  <si>
    <t xml:space="preserve">Chelsea Film Festival, Inc.</t>
  </si>
  <si>
    <t xml:space="preserve">464082997</t>
  </si>
  <si>
    <t xml:space="preserve">14th Annual Edition</t>
  </si>
  <si>
    <t xml:space="preserve">Greening &amp; Plantings - Council District 3 </t>
  </si>
  <si>
    <t xml:space="preserve">52nd Street Project, Inc., The</t>
  </si>
  <si>
    <t xml:space="preserve">133467948</t>
  </si>
  <si>
    <t xml:space="preserve">Arts Education &amp; Youth Development Programming</t>
  </si>
  <si>
    <t xml:space="preserve">Adaptive Design Association, Inc.</t>
  </si>
  <si>
    <t xml:space="preserve">134170232</t>
  </si>
  <si>
    <t xml:space="preserve">Adapt for Access - Custom Assistive Equipment for Students w</t>
  </si>
  <si>
    <t xml:space="preserve">Food Access Programs</t>
  </si>
  <si>
    <t xml:space="preserve">Dance Classes for Seniors - Manhattan Plaza </t>
  </si>
  <si>
    <t xml:space="preserve">Humane Outreach Programming</t>
  </si>
  <si>
    <t xml:space="preserve">Holt House</t>
  </si>
  <si>
    <t xml:space="preserve">Education Programming - Council District 3 Schools</t>
  </si>
  <si>
    <t xml:space="preserve">Holocaust Education &amp; Programs</t>
  </si>
  <si>
    <t xml:space="preserve">Clinton Housing Development Company, Inc.</t>
  </si>
  <si>
    <t xml:space="preserve">132851988</t>
  </si>
  <si>
    <t xml:space="preserve">Community Housing Preservation Strategies Initiative</t>
  </si>
  <si>
    <t xml:space="preserve">Congregation Beit Simchat Torah</t>
  </si>
  <si>
    <t xml:space="preserve">237406899</t>
  </si>
  <si>
    <t xml:space="preserve">Talk to Me About HIV &amp; Aging Together</t>
  </si>
  <si>
    <t xml:space="preserve">Public School 111M Adolph S. Ochs (02M111) - PTA</t>
  </si>
  <si>
    <t xml:space="preserve">Film Forum, Inc.</t>
  </si>
  <si>
    <t xml:space="preserve">510175953</t>
  </si>
  <si>
    <t xml:space="preserve">Discounted and Free Memberships &amp; Admissions </t>
  </si>
  <si>
    <t xml:space="preserve">Fountain House, Inc.</t>
  </si>
  <si>
    <t xml:space="preserve">131624009</t>
  </si>
  <si>
    <t xml:space="preserve">Young Adult Connections Center (YACC) </t>
  </si>
  <si>
    <t xml:space="preserve">Food Pantry &amp; Resource Rescue - Council District 3</t>
  </si>
  <si>
    <t xml:space="preserve">Dancing on Ice &amp; Outreach - Council District 3</t>
  </si>
  <si>
    <t xml:space="preserve">Infirnity, Inc.</t>
  </si>
  <si>
    <t xml:space="preserve">473498240</t>
  </si>
  <si>
    <t xml:space="preserve">Project Purpose &amp; Project Purpose Alumni</t>
  </si>
  <si>
    <t xml:space="preserve">Loco-Motion Dance Theatre for Children, Inc.</t>
  </si>
  <si>
    <t xml:space="preserve">133803693</t>
  </si>
  <si>
    <t xml:space="preserve">Dance Scholarship Fund</t>
  </si>
  <si>
    <t xml:space="preserve">Legal Services</t>
  </si>
  <si>
    <t xml:space="preserve">Melodia Women's Choir of NYC, Inc.</t>
  </si>
  <si>
    <t xml:space="preserve">200100634</t>
  </si>
  <si>
    <t xml:space="preserve">New Victory Theater Education Program</t>
  </si>
  <si>
    <t xml:space="preserve">New Festival, Inc., The</t>
  </si>
  <si>
    <t xml:space="preserve">133560387</t>
  </si>
  <si>
    <t xml:space="preserve">38th Annual New York LGBTQ+ Film Festival</t>
  </si>
  <si>
    <t xml:space="preserve">New York City Community Chorus at Holy Apostles</t>
  </si>
  <si>
    <t xml:space="preserve">760843120</t>
  </si>
  <si>
    <t xml:space="preserve">Elliott-Chelsea Houses Tenants Association</t>
  </si>
  <si>
    <t xml:space="preserve">Fulton Houses Tenant Association</t>
  </si>
  <si>
    <t xml:space="preserve">New York Live Arts, Inc.</t>
  </si>
  <si>
    <t xml:space="preserve">136206608</t>
  </si>
  <si>
    <t xml:space="preserve">Core Programs</t>
  </si>
  <si>
    <t xml:space="preserve">Arts Access Programs</t>
  </si>
  <si>
    <t xml:space="preserve">Poster House, Inc.</t>
  </si>
  <si>
    <t xml:space="preserve">611763737</t>
  </si>
  <si>
    <t xml:space="preserve">Programming for Deaf Community</t>
  </si>
  <si>
    <t xml:space="preserve">Primary Stages Company, Inc.</t>
  </si>
  <si>
    <t xml:space="preserve">133258765</t>
  </si>
  <si>
    <t xml:space="preserve">Teen Initiatives</t>
  </si>
  <si>
    <t xml:space="preserve">Rauschenbusch Metro Ministries, Inc.</t>
  </si>
  <si>
    <t xml:space="preserve">133859713</t>
  </si>
  <si>
    <t xml:space="preserve">Homelessness Programs</t>
  </si>
  <si>
    <t xml:space="preserve">Older Adults Food Bag Program</t>
  </si>
  <si>
    <t xml:space="preserve">School Partnerships</t>
  </si>
  <si>
    <t xml:space="preserve">Ryan/Chelsea-Clinton Community Health Center</t>
  </si>
  <si>
    <t xml:space="preserve">133911827</t>
  </si>
  <si>
    <t xml:space="preserve">Chronic Care Management</t>
  </si>
  <si>
    <t xml:space="preserve">Signature Theatre Company, Inc.</t>
  </si>
  <si>
    <t xml:space="preserve">133641560</t>
  </si>
  <si>
    <t xml:space="preserve">Signature Access Programs</t>
  </si>
  <si>
    <t xml:space="preserve">St. Francis Friends of the Poor, Inc.</t>
  </si>
  <si>
    <t xml:space="preserve">133036954</t>
  </si>
  <si>
    <t xml:space="preserve">Home Health Services &amp; Programs</t>
  </si>
  <si>
    <t xml:space="preserve">Resources for Safer Streets - Council District 3</t>
  </si>
  <si>
    <t xml:space="preserve">Legal, Financial &amp; Benefits Education Clinics</t>
  </si>
  <si>
    <t xml:space="preserve">42nd Street Workshop</t>
  </si>
  <si>
    <t xml:space="preserve">133763953</t>
  </si>
  <si>
    <t xml:space="preserve">Bideawee, Inc.</t>
  </si>
  <si>
    <t xml:space="preserve">131655210</t>
  </si>
  <si>
    <t xml:space="preserve">Supplemental Sanitation Services - Council District 3</t>
  </si>
  <si>
    <t xml:space="preserve">Graffiti Removal - Council District 3</t>
  </si>
  <si>
    <t xml:space="preserve">Environmental Education, Community Composting, Stewardship, </t>
  </si>
  <si>
    <t xml:space="preserve">Neighborhood Cleanups - Council District 3</t>
  </si>
  <si>
    <t xml:space="preserve">Graffiti &amp; Sticker Removal - Council District 3</t>
  </si>
  <si>
    <t xml:space="preserve">Greenwich Village Chelsea Chamber of Commerce</t>
  </si>
  <si>
    <t xml:space="preserve">201419879</t>
  </si>
  <si>
    <t xml:space="preserve">Art &amp; Networking</t>
  </si>
  <si>
    <t xml:space="preserve">29th Street Neighborhood Association The Initiative for a Sustainable Midtown</t>
  </si>
  <si>
    <t xml:space="preserve">800598700</t>
  </si>
  <si>
    <t xml:space="preserve">In-person Neighborhood Events </t>
  </si>
  <si>
    <t xml:space="preserve">Consulting and Advising Program</t>
  </si>
  <si>
    <t xml:space="preserve">Horticulture, Education, Therapeutic Horticulture, &amp; Public </t>
  </si>
  <si>
    <t xml:space="preserve">Playground Associate - Mathews-Palmer Playground</t>
  </si>
  <si>
    <t xml:space="preserve">Movies Under the Stars Program</t>
  </si>
  <si>
    <t xml:space="preserve">PENN SOUTH NORC</t>
  </si>
  <si>
    <t xml:space="preserve">Our Lady of Pompeii</t>
  </si>
  <si>
    <t xml:space="preserve">Social Worker at West Village Houses</t>
  </si>
  <si>
    <t xml:space="preserve">Penn South Program for Seniors</t>
  </si>
  <si>
    <t xml:space="preserve">Adult Services Through Hudson Guild</t>
  </si>
  <si>
    <t xml:space="preserve">Meal Delivery for Older Adults</t>
  </si>
  <si>
    <t xml:space="preserve">Education &amp; Peer-to-Peer Support - Council District 3</t>
  </si>
  <si>
    <t xml:space="preserve">Chelsea Foyer</t>
  </si>
  <si>
    <t xml:space="preserve">Abundant Waters, Inc.</t>
  </si>
  <si>
    <t xml:space="preserve">133706659</t>
  </si>
  <si>
    <t xml:space="preserve">Tutoring Services - Council District 3</t>
  </si>
  <si>
    <t xml:space="preserve">Drop In Center - Council District 3</t>
  </si>
  <si>
    <t xml:space="preserve">School Program, Tournament Program, College Bound Program &amp; </t>
  </si>
  <si>
    <t xml:space="preserve">Runaway and Homeless Youth (RHY) Program - Council District </t>
  </si>
  <si>
    <t xml:space="preserve">Career Readiness - Council District 3</t>
  </si>
  <si>
    <t xml:space="preserve">Youth Mental Health - Council District 3</t>
  </si>
  <si>
    <t xml:space="preserve">Sailing - Council District 3</t>
  </si>
  <si>
    <t xml:space="preserve">Side by Side Learning Program</t>
  </si>
  <si>
    <t xml:space="preserve">Community Tennis Programs (CTP) - Council District 3</t>
  </si>
  <si>
    <t xml:space="preserve">New York Society for the Prevention of Cruelty to Children</t>
  </si>
  <si>
    <t xml:space="preserve">131624134</t>
  </si>
  <si>
    <t xml:space="preserve">In-school &amp; After-School Arts Education Programs</t>
  </si>
  <si>
    <t xml:space="preserve">Big Reuse Community Compost Events &amp; Giveaways - Council Dis</t>
  </si>
  <si>
    <t xml:space="preserve">Environmental Education: Support for Green Teams &amp; Environme</t>
  </si>
  <si>
    <t xml:space="preserve">GrowNYC Green Space Program</t>
  </si>
  <si>
    <t xml:space="preserve">Friends of Gantry Plaza State Park, Inc.</t>
  </si>
  <si>
    <t xml:space="preserve">473613599</t>
  </si>
  <si>
    <t xml:space="preserve">Environmental Education - Queens Landing Boathouse &amp; Environ</t>
  </si>
  <si>
    <t xml:space="preserve">Education Programming - Council District 26</t>
  </si>
  <si>
    <t xml:space="preserve">Volunteering &amp; Horticultural Work - Hunters Point Parks</t>
  </si>
  <si>
    <t xml:space="preserve">Queensbridge Older Adult Center</t>
  </si>
  <si>
    <t xml:space="preserve">Older Adults Services - Council District 26</t>
  </si>
  <si>
    <t xml:space="preserve">Older Adults Wellness &amp; Socialization Program</t>
  </si>
  <si>
    <t xml:space="preserve">Older Adults Extended Services Program</t>
  </si>
  <si>
    <t xml:space="preserve">Ravenswood Older Adult Center</t>
  </si>
  <si>
    <t xml:space="preserve">Woodside Older Adult Center</t>
  </si>
  <si>
    <t xml:space="preserve">Queensbridge Houses Tenants Association</t>
  </si>
  <si>
    <t xml:space="preserve">Ravenswood Residents Association</t>
  </si>
  <si>
    <t xml:space="preserve">Woodside Houses Tenants Association</t>
  </si>
  <si>
    <t xml:space="preserve">Anti-Gun Violence Programming  - Council District 26</t>
  </si>
  <si>
    <t xml:space="preserve">Long Island City YMCA: Saturday Night Lights</t>
  </si>
  <si>
    <t xml:space="preserve">Council District 26</t>
  </si>
  <si>
    <t xml:space="preserve">Public School 111Q Jacob Blackwell (30Q111)</t>
  </si>
  <si>
    <t xml:space="preserve">Intermediate School 125X Thom J. McCann Woodside (24Q125)</t>
  </si>
  <si>
    <t xml:space="preserve">Public School 150Q Queens (30Q150)</t>
  </si>
  <si>
    <t xml:space="preserve">Public School 384Q (30Q384)</t>
  </si>
  <si>
    <t xml:space="preserve">Public School 076Q William Hallet (30Q076)</t>
  </si>
  <si>
    <t xml:space="preserve">Intermediate School 204Q Oliver W. Holmes (30Q204)</t>
  </si>
  <si>
    <t xml:space="preserve">Public School 012Q James B. Colgate (24Q012)</t>
  </si>
  <si>
    <t xml:space="preserve">Public School 166Q Henry Gradstein (30Q166)</t>
  </si>
  <si>
    <t xml:space="preserve">Public School 011Q Kathyrn Phelan (30Q011)</t>
  </si>
  <si>
    <t xml:space="preserve">Public School 112Q Dutch Kills (30Q112)</t>
  </si>
  <si>
    <t xml:space="preserve">Public School/Intermediate School 78Q (30Q078)</t>
  </si>
  <si>
    <t xml:space="preserve">The Children's Lab School (24Q343)</t>
  </si>
  <si>
    <t xml:space="preserve">Public School 199Q Maurice A. Fitzgerald (24Q199)</t>
  </si>
  <si>
    <t xml:space="preserve">Public School 004Q (75Q004)</t>
  </si>
  <si>
    <t xml:space="preserve">The Woodside Community School (30Q361)</t>
  </si>
  <si>
    <t xml:space="preserve">Topaz Arts, Inc.</t>
  </si>
  <si>
    <t xml:space="preserve">134137551</t>
  </si>
  <si>
    <t xml:space="preserve">Culture Lab LIC</t>
  </si>
  <si>
    <t xml:space="preserve">844694898</t>
  </si>
  <si>
    <t xml:space="preserve">Ayazamana Cultural Center, Inc.</t>
  </si>
  <si>
    <t xml:space="preserve">270521135</t>
  </si>
  <si>
    <t xml:space="preserve">Programming for Adults &amp; Immigrants</t>
  </si>
  <si>
    <t xml:space="preserve">BetaNYC's Civic RADARs, Civic Innovation Lab, Ambassador Pro</t>
  </si>
  <si>
    <t xml:space="preserve">Floating Hospital, Inc., The</t>
  </si>
  <si>
    <t xml:space="preserve">131624169</t>
  </si>
  <si>
    <t xml:space="preserve">Voces Latinas Corporation</t>
  </si>
  <si>
    <t xml:space="preserve">202312651</t>
  </si>
  <si>
    <t xml:space="preserve">Youth on the Move</t>
  </si>
  <si>
    <t xml:space="preserve">Donation Program</t>
  </si>
  <si>
    <t xml:space="preserve">Sunnyside District Management Association, Inc.</t>
  </si>
  <si>
    <t xml:space="preserve">261278224</t>
  </si>
  <si>
    <t xml:space="preserve">Renew Queens</t>
  </si>
  <si>
    <t xml:space="preserve">811592925</t>
  </si>
  <si>
    <t xml:space="preserve">Queens Easter Festival - Gantry State Park</t>
  </si>
  <si>
    <t xml:space="preserve">Case Management Services - Council District 26</t>
  </si>
  <si>
    <t xml:space="preserve">Housing Program Services</t>
  </si>
  <si>
    <t xml:space="preserve">Theatre East</t>
  </si>
  <si>
    <t xml:space="preserve">364635926</t>
  </si>
  <si>
    <t xml:space="preserve">5x5 Drama Series Programming</t>
  </si>
  <si>
    <t xml:space="preserve">Legal Clinics - Council District 26</t>
  </si>
  <si>
    <t xml:space="preserve">Community Programming</t>
  </si>
  <si>
    <t xml:space="preserve">Arts &amp; Culture Programming</t>
  </si>
  <si>
    <t xml:space="preserve">Urban Upbound - NYCHA Program </t>
  </si>
  <si>
    <t xml:space="preserve">Magar Association USA, Inc</t>
  </si>
  <si>
    <t xml:space="preserve">841655629</t>
  </si>
  <si>
    <t xml:space="preserve">Immigrant Power Initiative</t>
  </si>
  <si>
    <t xml:space="preserve">Comprehensive Housing Assistance - Council District 26</t>
  </si>
  <si>
    <t xml:space="preserve">CUNY School of Law - Community Legal Counseling Program</t>
  </si>
  <si>
    <t xml:space="preserve">Culturally Competent Medical Navigation</t>
  </si>
  <si>
    <t xml:space="preserve">The Good Health Shuttle - Long Island City</t>
  </si>
  <si>
    <t xml:space="preserve">Helmet Giveaway - Council District 26</t>
  </si>
  <si>
    <t xml:space="preserve">Center for the Integration and Advancement of New Americans (CIANA), Inc. </t>
  </si>
  <si>
    <t xml:space="preserve">743184835</t>
  </si>
  <si>
    <t xml:space="preserve">Legal Services Program - Council District 26</t>
  </si>
  <si>
    <t xml:space="preserve">Queensboro Dance Festival, Inc.</t>
  </si>
  <si>
    <t xml:space="preserve">852034730</t>
  </si>
  <si>
    <t xml:space="preserve">Manhatitlan Community Organization, Inc.</t>
  </si>
  <si>
    <t xml:space="preserve">394186000</t>
  </si>
  <si>
    <t xml:space="preserve">Program &amp; Collections - Council District 26</t>
  </si>
  <si>
    <t xml:space="preserve">Queens Community Board #1</t>
  </si>
  <si>
    <t xml:space="preserve">Queens Community Board #2</t>
  </si>
  <si>
    <t xml:space="preserve">Cleanup Services - Council District 26</t>
  </si>
  <si>
    <t xml:space="preserve">Rat Mitigation Services - Council District 26</t>
  </si>
  <si>
    <t xml:space="preserve">Long Island City Partnership</t>
  </si>
  <si>
    <t xml:space="preserve">112651377</t>
  </si>
  <si>
    <t xml:space="preserve">LIC Springs! &amp; Lunar New Year Celebration</t>
  </si>
  <si>
    <t xml:space="preserve">Lighting, Crosswalk &amp; Streetscape Improvements</t>
  </si>
  <si>
    <t xml:space="preserve">Movies Screenings in Council District 26 Parks</t>
  </si>
  <si>
    <t xml:space="preserve">Maintenance - Murray Park</t>
  </si>
  <si>
    <t xml:space="preserve">Maintenance - Noonan Playground</t>
  </si>
  <si>
    <t xml:space="preserve">Maintenance - Windmuller Playground &amp; Lawrence Virgilio Play</t>
  </si>
  <si>
    <t xml:space="preserve">Gantry Plaza State Park - Council District 26</t>
  </si>
  <si>
    <t xml:space="preserve">Maintenance - Lou Lodati</t>
  </si>
  <si>
    <t xml:space="preserve">HANAC Ravenswood Older Adult Center</t>
  </si>
  <si>
    <t xml:space="preserve">SELFHELP BIG SIX NORC</t>
  </si>
  <si>
    <t xml:space="preserve">Sunnyside Community Services OAC</t>
  </si>
  <si>
    <t xml:space="preserve">Senior Services - Council District 26</t>
  </si>
  <si>
    <t xml:space="preserve">Big Six Towers NORC</t>
  </si>
  <si>
    <t xml:space="preserve">Queensbridge Senior Services - Council District 26</t>
  </si>
  <si>
    <t xml:space="preserve">Cornerstone Community Center - Woodside Houses</t>
  </si>
  <si>
    <t xml:space="preserve">Youth Services Programming</t>
  </si>
  <si>
    <t xml:space="preserve">Information Technology High School (30Q502)</t>
  </si>
  <si>
    <t xml:space="preserve">Long Island City YMCA - Teen Programming</t>
  </si>
  <si>
    <t xml:space="preserve">LIC Summer Kids Program</t>
  </si>
  <si>
    <t xml:space="preserve">Girl Scout Troop 6000</t>
  </si>
  <si>
    <t xml:space="preserve">College &amp; Career Readiness</t>
  </si>
  <si>
    <t xml:space="preserve">Queen of Angels RC Church</t>
  </si>
  <si>
    <t xml:space="preserve">111723787</t>
  </si>
  <si>
    <t xml:space="preserve">Youth Programming</t>
  </si>
  <si>
    <t xml:space="preserve">Roman Catholic Church of Corpus Christi, Borough of Queens, City of New York</t>
  </si>
  <si>
    <t xml:space="preserve">111666228</t>
  </si>
  <si>
    <t xml:space="preserve">Re-cycling Events - Council District 30</t>
  </si>
  <si>
    <t xml:space="preserve">Environmental Programming - Council District 30</t>
  </si>
  <si>
    <t xml:space="preserve">Graffiti Removal - Council District 30</t>
  </si>
  <si>
    <t xml:space="preserve">Maspeth Town Hall, Inc.</t>
  </si>
  <si>
    <t xml:space="preserve">237259702</t>
  </si>
  <si>
    <t xml:space="preserve">Community Park Day - Council District 30</t>
  </si>
  <si>
    <t xml:space="preserve">Neighborhood Cleanups - Council District 30</t>
  </si>
  <si>
    <t xml:space="preserve">Anti-Graffiti Program - Council District 30 </t>
  </si>
  <si>
    <t xml:space="preserve">Rego Park Older Adult Center - District 30 Programs</t>
  </si>
  <si>
    <t xml:space="preserve">Rabbi Israel Meyer HaKohen Rabbinical Seminary of America</t>
  </si>
  <si>
    <t xml:space="preserve">111752021</t>
  </si>
  <si>
    <t xml:space="preserve">Middle Village Adult Center Senior</t>
  </si>
  <si>
    <t xml:space="preserve">Senior Services - Selfhelp Maspeth Older Adult Center</t>
  </si>
  <si>
    <t xml:space="preserve">Senior Programming &amp; Services - Council District 30</t>
  </si>
  <si>
    <t xml:space="preserve">Senior Programming - Council District 30</t>
  </si>
  <si>
    <t xml:space="preserve">Polonians Organized to Minister to Our Community, Inc.</t>
  </si>
  <si>
    <t xml:space="preserve">112594500</t>
  </si>
  <si>
    <t xml:space="preserve">Food Support - Council District 30</t>
  </si>
  <si>
    <t xml:space="preserve">Rescue Animals in Distress - Council District 30</t>
  </si>
  <si>
    <t xml:space="preserve">Community Based Ambulance Service -  Council District 30</t>
  </si>
  <si>
    <t xml:space="preserve">Timber's Legacy, Inc.</t>
  </si>
  <si>
    <t xml:space="preserve">461276358</t>
  </si>
  <si>
    <t xml:space="preserve">Community Stray Rescue &amp; Animal Care -  Council District 30</t>
  </si>
  <si>
    <t xml:space="preserve">Veterans Dental Services</t>
  </si>
  <si>
    <t xml:space="preserve">Cat &amp; Dog Food Assistance - Council District 30</t>
  </si>
  <si>
    <t xml:space="preserve">Programs for Veterans &amp; Families - Council District 30</t>
  </si>
  <si>
    <t xml:space="preserve">Legal Service for Veterans - Council District 30</t>
  </si>
  <si>
    <t xml:space="preserve">110th Precinct Community Council, Inc.</t>
  </si>
  <si>
    <t xml:space="preserve">432025653</t>
  </si>
  <si>
    <t xml:space="preserve">National Night Out - Council District 30</t>
  </si>
  <si>
    <t xml:space="preserve">Public School 153Q Maspeth Elem (24Q153)</t>
  </si>
  <si>
    <t xml:space="preserve">Public School 071Q Forest (24Q071)</t>
  </si>
  <si>
    <t xml:space="preserve">First in Family Fund, Inc.</t>
  </si>
  <si>
    <t xml:space="preserve">460706718</t>
  </si>
  <si>
    <t xml:space="preserve">Public School 174Q William Sidney Mount (28Q174)</t>
  </si>
  <si>
    <t xml:space="preserve">Public School 068Q Cambridge (24Q068)</t>
  </si>
  <si>
    <t xml:space="preserve">Public School 102Q Bayview (24Q102)</t>
  </si>
  <si>
    <t xml:space="preserve">Public School/Intermediate School 087Q Middle Village (24Q08</t>
  </si>
  <si>
    <t xml:space="preserve">A.C.E. Academy for Scholars at the Geraldine Ferraro (24Q290</t>
  </si>
  <si>
    <t xml:space="preserve">Maspeth High School (24Q585)</t>
  </si>
  <si>
    <t xml:space="preserve">Public School 009Q (75Q009)</t>
  </si>
  <si>
    <t xml:space="preserve">Public School 229Q Emanuel Kaplan (24Q229)</t>
  </si>
  <si>
    <t xml:space="preserve">Grover Cleveland High School (24Q485)</t>
  </si>
  <si>
    <t xml:space="preserve">Intermediate School 5Q The Walter Crowley Intermediate Schoo</t>
  </si>
  <si>
    <t xml:space="preserve">Public School 58Q The School of Heroes (24Q058)</t>
  </si>
  <si>
    <t xml:space="preserve">Public School 049Q Dorothy Bonawit Kole (24Q049)</t>
  </si>
  <si>
    <t xml:space="preserve">Public School 139Q (28Q139)</t>
  </si>
  <si>
    <t xml:space="preserve">Queens Council on The Arts Programs - Council District 30</t>
  </si>
  <si>
    <t xml:space="preserve">Concerts - Council District 30</t>
  </si>
  <si>
    <t xml:space="preserve">Educational Programs - Council District 30</t>
  </si>
  <si>
    <t xml:space="preserve">Cultural and Educational Programs - Council District 30</t>
  </si>
  <si>
    <t xml:space="preserve">Council District 30 Programs</t>
  </si>
  <si>
    <t xml:space="preserve">STEM Programming - Council District 30</t>
  </si>
  <si>
    <t xml:space="preserve">STEM/Computer Programming - Council District 30</t>
  </si>
  <si>
    <t xml:space="preserve">Robotics Educational Programs - Council District 30</t>
  </si>
  <si>
    <t xml:space="preserve">Student Prep Debate Program - Council District 30</t>
  </si>
  <si>
    <t xml:space="preserve">Technology Training Courses - Council District 30</t>
  </si>
  <si>
    <t xml:space="preserve">Borden Avenue Veteran Shelter Empowerment Programs</t>
  </si>
  <si>
    <t xml:space="preserve">Empowerment/Anti-Bully Program - Council District 30</t>
  </si>
  <si>
    <t xml:space="preserve">Animal Cruelty Prosecution Unit</t>
  </si>
  <si>
    <t xml:space="preserve">Career Criminal Major Crimes Bureau</t>
  </si>
  <si>
    <t xml:space="preserve">Veterans Court</t>
  </si>
  <si>
    <t xml:space="preserve">Legal Services for Victims of Domestic Violence </t>
  </si>
  <si>
    <t xml:space="preserve">Legal Services for Residents - Council District 30</t>
  </si>
  <si>
    <t xml:space="preserve">Domestic Violence Assistance - Council District 30</t>
  </si>
  <si>
    <t xml:space="preserve">Help Victims of Domestic Violence </t>
  </si>
  <si>
    <t xml:space="preserve">Domestic Violation Assistance</t>
  </si>
  <si>
    <t xml:space="preserve">Empowerment Programs &amp; Domestic Violence Assistance - Counci</t>
  </si>
  <si>
    <t xml:space="preserve">104 Precinct - Queens Domestic Violence Assistance &amp; Communi</t>
  </si>
  <si>
    <t xml:space="preserve">110 Precinct - Queens Domestic Violence Assistance &amp; Prevent</t>
  </si>
  <si>
    <t xml:space="preserve">112 Precinct - Queens Domestic Violence Assistance &amp; Empower</t>
  </si>
  <si>
    <t xml:space="preserve">Council District 30</t>
  </si>
  <si>
    <t xml:space="preserve">Veterans Programs - Council District 30</t>
  </si>
  <si>
    <t xml:space="preserve">Care &amp; Pet Adoptions - Council District 30</t>
  </si>
  <si>
    <t xml:space="preserve">Senior Transportation - Council District 30</t>
  </si>
  <si>
    <t xml:space="preserve">Maspeth Chamber of Commerce, Inc.</t>
  </si>
  <si>
    <t xml:space="preserve">113500705</t>
  </si>
  <si>
    <t xml:space="preserve">Holiday Lights - Council District 30</t>
  </si>
  <si>
    <t xml:space="preserve">Programs, Services &amp; Events for Veterans - Council District </t>
  </si>
  <si>
    <t xml:space="preserve">Resurrection Ascension-Our Lady of the Angelus</t>
  </si>
  <si>
    <t xml:space="preserve">111953010</t>
  </si>
  <si>
    <t xml:space="preserve">Food Pantries - Council District 30</t>
  </si>
  <si>
    <t xml:space="preserve">Broadway for Arts Education, Inc.</t>
  </si>
  <si>
    <t xml:space="preserve">824317611</t>
  </si>
  <si>
    <t xml:space="preserve">Grover Cleveland High School (24Q485) - Council District 30</t>
  </si>
  <si>
    <t xml:space="preserve">Italian Charities of America, Inc.</t>
  </si>
  <si>
    <t xml:space="preserve">111666830</t>
  </si>
  <si>
    <t xml:space="preserve">Events &amp; Programs - Council District 30</t>
  </si>
  <si>
    <t xml:space="preserve">United Veterans and Fraternal Organizations of Maspeth, Inc.</t>
  </si>
  <si>
    <t xml:space="preserve">263866556</t>
  </si>
  <si>
    <t xml:space="preserve">Veterans Events &amp; Programs - Council District 30</t>
  </si>
  <si>
    <t xml:space="preserve">Ambulance Care Services - Council District 30</t>
  </si>
  <si>
    <t xml:space="preserve">After School Enrichment - Public School 229Q Emanuel Kaplan </t>
  </si>
  <si>
    <t xml:space="preserve">Grover Cleveland High School (24Q485) - STEM Programs</t>
  </si>
  <si>
    <t xml:space="preserve">Holiday lights - Council District 30</t>
  </si>
  <si>
    <t xml:space="preserve">Business Support - Council District 30</t>
  </si>
  <si>
    <t xml:space="preserve">Stewardship Program &amp; E-Waste Events - Council District 30</t>
  </si>
  <si>
    <t xml:space="preserve">Bike Helmet Giveaway - Council District 30</t>
  </si>
  <si>
    <t xml:space="preserve">Support for Children &amp; Adults with Autisim - Council Distric</t>
  </si>
  <si>
    <t xml:space="preserve">Memorial Day Parade - Council District 30</t>
  </si>
  <si>
    <t xml:space="preserve">Elmhurst United, Inc.</t>
  </si>
  <si>
    <t xml:space="preserve">472632132</t>
  </si>
  <si>
    <t xml:space="preserve">Programs &amp; Community Events - Council District 30</t>
  </si>
  <si>
    <t xml:space="preserve">Queens Community Board #5</t>
  </si>
  <si>
    <t xml:space="preserve">Queens Community Board #6</t>
  </si>
  <si>
    <t xml:space="preserve">QueensLink Advocacy &amp; Education - Council District 30</t>
  </si>
  <si>
    <t xml:space="preserve">Operating &amp; Veteran Services - Council District 30</t>
  </si>
  <si>
    <t xml:space="preserve">New York City Veterans Day Parade</t>
  </si>
  <si>
    <t xml:space="preserve">Technology Training &amp; Career Development - Council District </t>
  </si>
  <si>
    <t xml:space="preserve">Rego Park Jewish Center, Inc.</t>
  </si>
  <si>
    <t xml:space="preserve">111672786</t>
  </si>
  <si>
    <t xml:space="preserve">Community Outreach Program - Council District 30</t>
  </si>
  <si>
    <t xml:space="preserve">Frank Kowalinski Post No4 Polish Legion of American Veterans of Maspeth, Inc.</t>
  </si>
  <si>
    <t xml:space="preserve">116111179</t>
  </si>
  <si>
    <t xml:space="preserve">Veterans Assistance - Council District 30</t>
  </si>
  <si>
    <t xml:space="preserve">Veterans of Foreign Wars Department of New York</t>
  </si>
  <si>
    <t xml:space="preserve">112359785</t>
  </si>
  <si>
    <t xml:space="preserve">Veteran's Services - Council District 30</t>
  </si>
  <si>
    <t xml:space="preserve">Operational Expenses &amp; Student Choral Program - Council Dist</t>
  </si>
  <si>
    <t xml:space="preserve">Cleaning Services &amp; Graffiti Removal - Council District 30</t>
  </si>
  <si>
    <t xml:space="preserve">Cleanup Services – Council District 30</t>
  </si>
  <si>
    <t xml:space="preserve">Cleanup Graffiti - Council District 30</t>
  </si>
  <si>
    <t xml:space="preserve">Graffiti Removal &amp; Cleanup - Council District 30</t>
  </si>
  <si>
    <t xml:space="preserve">Support Business &amp; Maintain Commercial Corridor - Council Di</t>
  </si>
  <si>
    <t xml:space="preserve">Anti Graffiti Program - Council District 30</t>
  </si>
  <si>
    <t xml:space="preserve">Tree Pit Maintenance Along Metropolitan Avenue - Council Dis</t>
  </si>
  <si>
    <t xml:space="preserve">Picnic in the Park - Council District 30</t>
  </si>
  <si>
    <t xml:space="preserve">Concert Stage for Public Events - Council District 30</t>
  </si>
  <si>
    <t xml:space="preserve">Selfhelp Maspeth</t>
  </si>
  <si>
    <t xml:space="preserve">Italian Senior Citizens Center</t>
  </si>
  <si>
    <t xml:space="preserve">Ridgewood Older Adult Center And Services</t>
  </si>
  <si>
    <t xml:space="preserve">Middle Village OAC</t>
  </si>
  <si>
    <t xml:space="preserve">Peter Cardella Older Adult Center</t>
  </si>
  <si>
    <t xml:space="preserve">Senior Services - Council District 30</t>
  </si>
  <si>
    <t xml:space="preserve">Senior Programs - Council District 30</t>
  </si>
  <si>
    <t xml:space="preserve">Afterschool Programs - Council District 30</t>
  </si>
  <si>
    <t xml:space="preserve">Youth Programming - Council District 30</t>
  </si>
  <si>
    <t xml:space="preserve">Besi Association, Inc.</t>
  </si>
  <si>
    <t xml:space="preserve">924025778</t>
  </si>
  <si>
    <t xml:space="preserve">Educational Program - Council District 30</t>
  </si>
  <si>
    <t xml:space="preserve">Juniper Park Tennis Youth Program - Council District 30</t>
  </si>
  <si>
    <t xml:space="preserve">Roman Catholic Church of St. Margaret</t>
  </si>
  <si>
    <t xml:space="preserve">111723800</t>
  </si>
  <si>
    <t xml:space="preserve">Youth Programs - Council District 30</t>
  </si>
  <si>
    <t xml:space="preserve">St. Stanislaus Catholic Church</t>
  </si>
  <si>
    <t xml:space="preserve">111981305</t>
  </si>
  <si>
    <t xml:space="preserve">Sports Programming - Council District 30</t>
  </si>
  <si>
    <t xml:space="preserve">Blau Weiss Gottschee, Inc.</t>
  </si>
  <si>
    <t xml:space="preserve">116074351</t>
  </si>
  <si>
    <t xml:space="preserve">Soccer Pre-Academy &amp; Youth Sporting Programs - Council Distr</t>
  </si>
  <si>
    <t xml:space="preserve">Afterschool Youth Programs - Council District 30</t>
  </si>
  <si>
    <t xml:space="preserve">Salvatore LaRussa Dance Company, Inc.</t>
  </si>
  <si>
    <t xml:space="preserve">320119937</t>
  </si>
  <si>
    <t xml:space="preserve">Unique People Services, Inc.</t>
  </si>
  <si>
    <t xml:space="preserve">133636555</t>
  </si>
  <si>
    <t xml:space="preserve">Physical, Occupational &amp; Speech Therapy Program - Council Di</t>
  </si>
  <si>
    <t xml:space="preserve">Science-Based Education Programs - Council District 30</t>
  </si>
  <si>
    <t xml:space="preserve">Shannon Gaels Gaelic Football Club</t>
  </si>
  <si>
    <t xml:space="preserve">272354756</t>
  </si>
  <si>
    <t xml:space="preserve">Athletic Programs - Council District 30</t>
  </si>
  <si>
    <t xml:space="preserve">STEM Robotics &amp; Educational Programs - Council District 30</t>
  </si>
  <si>
    <t xml:space="preserve">Honoring Veterans - Mount Olivet Cemetery - Council District</t>
  </si>
  <si>
    <t xml:space="preserve">Neighborhood Naturally Occurring Retirement Community (NNORC</t>
  </si>
  <si>
    <t xml:space="preserve">Flatbush Older Adults Services</t>
  </si>
  <si>
    <t xml:space="preserve">Older Adults Services - Council District 43</t>
  </si>
  <si>
    <t xml:space="preserve">AMICO 59th Street Older Adult Center</t>
  </si>
  <si>
    <t xml:space="preserve">Salvation Army, The</t>
  </si>
  <si>
    <t xml:space="preserve">135562351</t>
  </si>
  <si>
    <t xml:space="preserve">Bensonhurst Corps Older Adults Center</t>
  </si>
  <si>
    <t xml:space="preserve">St. Ephrem Roman Catholic Church</t>
  </si>
  <si>
    <t xml:space="preserve">111666884</t>
  </si>
  <si>
    <t xml:space="preserve">Older Adults Health Initiative</t>
  </si>
  <si>
    <t xml:space="preserve">Lodge Older Adult Center</t>
  </si>
  <si>
    <t xml:space="preserve">Reaching Out Community Services, Inc.</t>
  </si>
  <si>
    <t xml:space="preserve">113615625</t>
  </si>
  <si>
    <t xml:space="preserve">Access to Healthy Food &amp; Nutritional Education</t>
  </si>
  <si>
    <t xml:space="preserve">Childcare for Young Children</t>
  </si>
  <si>
    <t xml:space="preserve">Sustainable Community Kitchen &amp; Neighborhood Meals Program</t>
  </si>
  <si>
    <t xml:space="preserve">Helping the Underserved Poor</t>
  </si>
  <si>
    <t xml:space="preserve">Neighborhood Safety Program</t>
  </si>
  <si>
    <t xml:space="preserve">Social Services - Council District 43</t>
  </si>
  <si>
    <t xml:space="preserve">Civil Legal Services &amp; Mobile Legal Help Center - Council Di</t>
  </si>
  <si>
    <t xml:space="preserve">Driver Accountability Program &amp; Circles for Safe Streets</t>
  </si>
  <si>
    <t xml:space="preserve">Community Leaders &amp; Neighborhood Business Program - Council </t>
  </si>
  <si>
    <t xml:space="preserve">Social Services Program - Council District 43</t>
  </si>
  <si>
    <t xml:space="preserve">Public School 331K (20K331)</t>
  </si>
  <si>
    <t xml:space="preserve">Public School 205K Clarion (20K205) Arts</t>
  </si>
  <si>
    <t xml:space="preserve">Brooklyn School of Inquiry (20K686) music</t>
  </si>
  <si>
    <t xml:space="preserve">Intermediate School 096K Seth Low (21K096)</t>
  </si>
  <si>
    <t xml:space="preserve">Public School 247K Brooklyn (20K247)</t>
  </si>
  <si>
    <t xml:space="preserve">Junior High School 220K John J. Pershing (20K220)</t>
  </si>
  <si>
    <t xml:space="preserve">Brooklyn Studio Secondary School (21K690)</t>
  </si>
  <si>
    <t xml:space="preserve">Public School 101K (21K101)</t>
  </si>
  <si>
    <t xml:space="preserve">Public School 105K The Blythebourne (20K105)</t>
  </si>
  <si>
    <t xml:space="preserve">Public School 128K Bensonhurst (21K128)</t>
  </si>
  <si>
    <t xml:space="preserve">Public School 176K Ovington (20K176)</t>
  </si>
  <si>
    <t xml:space="preserve">Public School 186K Dr. Irving A Gladstone (20K186)</t>
  </si>
  <si>
    <t xml:space="preserve">Public School 227K Edward B. Shallow (20K227)</t>
  </si>
  <si>
    <t xml:space="preserve">Public School 97K The Highlawn (21K097)</t>
  </si>
  <si>
    <t xml:space="preserve">The Academy of Talented Scholars (20K682)</t>
  </si>
  <si>
    <t xml:space="preserve">The Christa McAuliffe School\Intermediate School 187K (20K18</t>
  </si>
  <si>
    <t xml:space="preserve">Cultural Immigrant Activities</t>
  </si>
  <si>
    <t xml:space="preserve">Chinese American Social Services Center, Inc.</t>
  </si>
  <si>
    <t xml:space="preserve">474279061</t>
  </si>
  <si>
    <t xml:space="preserve">Cultural development in district 43</t>
  </si>
  <si>
    <t xml:space="preserve">Asian Community Center, Inc.</t>
  </si>
  <si>
    <t xml:space="preserve">882701146</t>
  </si>
  <si>
    <t xml:space="preserve">Culture Program</t>
  </si>
  <si>
    <t xml:space="preserve">Tai Shan Du Hu Association of America, Inc.</t>
  </si>
  <si>
    <t xml:space="preserve">464529729</t>
  </si>
  <si>
    <t xml:space="preserve">Civic awareness trips</t>
  </si>
  <si>
    <t xml:space="preserve">Festivals and parades</t>
  </si>
  <si>
    <t xml:space="preserve">Jewish / AAPI collaborative cultural initiatives</t>
  </si>
  <si>
    <t xml:space="preserve">Educations for New Americans, Inc.</t>
  </si>
  <si>
    <t xml:space="preserve">992397138</t>
  </si>
  <si>
    <t xml:space="preserve">Russian immigrant community cultural events</t>
  </si>
  <si>
    <t xml:space="preserve">Culture Development Initiative</t>
  </si>
  <si>
    <t xml:space="preserve">Adult Literacy/ESOL-Civics Program</t>
  </si>
  <si>
    <t xml:space="preserve">Digital STEM Learning for District 43</t>
  </si>
  <si>
    <t xml:space="preserve">Digital Inclusion and Literacy in District 43</t>
  </si>
  <si>
    <t xml:space="preserve">Digital Anti-Hate Learning and Holocaust Remembrance</t>
  </si>
  <si>
    <t xml:space="preserve">Domestic violence support for Chinese survivors in District </t>
  </si>
  <si>
    <t xml:space="preserve">Food Pantries &amp; Holiday Events </t>
  </si>
  <si>
    <t xml:space="preserve">Better Brooklyn Association, Inc.</t>
  </si>
  <si>
    <t xml:space="preserve">883483206</t>
  </si>
  <si>
    <t xml:space="preserve">Afterschool Programming</t>
  </si>
  <si>
    <t xml:space="preserve">Food Assistance &amp; Social Services</t>
  </si>
  <si>
    <t xml:space="preserve">Sharing Hearts Organization, Inc.</t>
  </si>
  <si>
    <t xml:space="preserve">931642774</t>
  </si>
  <si>
    <t xml:space="preserve">Community Programming - Council District 43</t>
  </si>
  <si>
    <t xml:space="preserve">Cultural Events - Council District 43</t>
  </si>
  <si>
    <t xml:space="preserve">Bensonhurst Older Adults Center</t>
  </si>
  <si>
    <t xml:space="preserve">Job Training and Placement Initiative - Council District 43</t>
  </si>
  <si>
    <t xml:space="preserve">Council District 43</t>
  </si>
  <si>
    <t xml:space="preserve">NonProfit HelpDesk</t>
  </si>
  <si>
    <t xml:space="preserve">Social Services &amp; Support for Seniors - Council District 43</t>
  </si>
  <si>
    <t xml:space="preserve">Older Adults Social Services - Council District 43</t>
  </si>
  <si>
    <t xml:space="preserve">Community Services - Council District 43</t>
  </si>
  <si>
    <t xml:space="preserve">Bike Helmet Giveaway - Council District 43</t>
  </si>
  <si>
    <t xml:space="preserve">Omega Legal Alliance, Inc.</t>
  </si>
  <si>
    <t xml:space="preserve">392399744</t>
  </si>
  <si>
    <t xml:space="preserve">Community Legal Aid Program</t>
  </si>
  <si>
    <t xml:space="preserve">Association of East-European Jewry</t>
  </si>
  <si>
    <t xml:space="preserve">461135533</t>
  </si>
  <si>
    <t xml:space="preserve">Annual Holocaust Remembrance Day - Brooklyn</t>
  </si>
  <si>
    <t xml:space="preserve">Community Access &amp; Cultural Programs - Council District 43</t>
  </si>
  <si>
    <t xml:space="preserve">Meals &amp; Pantry Programs</t>
  </si>
  <si>
    <t xml:space="preserve">Club A-Elita, Inc.</t>
  </si>
  <si>
    <t xml:space="preserve">815218002</t>
  </si>
  <si>
    <t xml:space="preserve">Recreational Programs - Council District 43</t>
  </si>
  <si>
    <t xml:space="preserve">Dancing Crane, Inc.</t>
  </si>
  <si>
    <t xml:space="preserve">061575768</t>
  </si>
  <si>
    <t xml:space="preserve">Georgian Cultural Center</t>
  </si>
  <si>
    <t xml:space="preserve">New York Brooklyn Dance Club, Inc.</t>
  </si>
  <si>
    <t xml:space="preserve">874577387</t>
  </si>
  <si>
    <t xml:space="preserve">Community Medical Services - Council District 43</t>
  </si>
  <si>
    <t xml:space="preserve">Access Health &amp; Support Health Programs - Council District 4</t>
  </si>
  <si>
    <t xml:space="preserve">Youth Ocean Advocates Program (YOA)</t>
  </si>
  <si>
    <t xml:space="preserve">Supplemental sanitation services in district 43</t>
  </si>
  <si>
    <t xml:space="preserve">Community cleanup</t>
  </si>
  <si>
    <t xml:space="preserve">NYC Cleanup of Parks</t>
  </si>
  <si>
    <t xml:space="preserve">Neighborhood Development Grant</t>
  </si>
  <si>
    <t xml:space="preserve">Association of Bensonhurst Commerce, Inc.</t>
  </si>
  <si>
    <t xml:space="preserve">332123034</t>
  </si>
  <si>
    <t xml:space="preserve">District 43 Neighborhood Development</t>
  </si>
  <si>
    <t xml:space="preserve">Movie Nights in the Park</t>
  </si>
  <si>
    <t xml:space="preserve">Chinese Theatre Works, Inc.</t>
  </si>
  <si>
    <t xml:space="preserve">112393789</t>
  </si>
  <si>
    <t xml:space="preserve">Chinese Cross-Cultural Arts Performance Programming</t>
  </si>
  <si>
    <t xml:space="preserve">Naturally Occurring Retirement Communities (NORC) and social</t>
  </si>
  <si>
    <t xml:space="preserve">BCA Senior Program</t>
  </si>
  <si>
    <t xml:space="preserve">Brooklyn Senior Center</t>
  </si>
  <si>
    <t xml:space="preserve">KCS Flushing Older Adult Center (FOAC)’s Nutrition Program</t>
  </si>
  <si>
    <t xml:space="preserve">United Chinese Association of Brooklyn's Senior Center progr</t>
  </si>
  <si>
    <t xml:space="preserve">Older Adult Aging Services</t>
  </si>
  <si>
    <t xml:space="preserve">MedicAlert NYC Wanderer's Safety Program and Community Outre</t>
  </si>
  <si>
    <t xml:space="preserve">Senior Tax Services</t>
  </si>
  <si>
    <t xml:space="preserve">Arts-Based Residency Programs Council District 43</t>
  </si>
  <si>
    <t xml:space="preserve">Multiculture Center Kaleidoscope, Inc.</t>
  </si>
  <si>
    <t xml:space="preserve">820754173</t>
  </si>
  <si>
    <t xml:space="preserve">Cultural Education &amp; Youth Development Program</t>
  </si>
  <si>
    <t xml:space="preserve">New York Academy of Sciences</t>
  </si>
  <si>
    <t xml:space="preserve">131773640</t>
  </si>
  <si>
    <t xml:space="preserve">Scientist-in-Residence (SiR) Program - Council District 43</t>
  </si>
  <si>
    <t xml:space="preserve">Youth Leadership &amp; Empowerment Program</t>
  </si>
  <si>
    <t xml:space="preserve">Family Support Program: Parenting Aid &amp; Childhood Developmen</t>
  </si>
  <si>
    <t xml:space="preserve">Student Civic Awareness Trips</t>
  </si>
  <si>
    <t xml:space="preserve">Brooklyn Boatworks, Inc.</t>
  </si>
  <si>
    <t xml:space="preserve">271509754</t>
  </si>
  <si>
    <t xml:space="preserve">STEM Education &amp; Career Exploration</t>
  </si>
  <si>
    <t xml:space="preserve">Brooklyn On Fun Association USA, Inc.</t>
  </si>
  <si>
    <t xml:space="preserve">455094879</t>
  </si>
  <si>
    <t xml:space="preserve">Multilingual Community Programming &amp; Children's Education</t>
  </si>
  <si>
    <t xml:space="preserve">Child and Youth Development Center My Way, Inc. </t>
  </si>
  <si>
    <t xml:space="preserve">462934141</t>
  </si>
  <si>
    <t xml:space="preserve">Transforming Lives through Art - Youth Programming</t>
  </si>
  <si>
    <t xml:space="preserve">Chong Lou USA Association Headquarters, Inc.</t>
  </si>
  <si>
    <t xml:space="preserve">882288260</t>
  </si>
  <si>
    <t xml:space="preserve">Children Activities &amp; Cultural Events</t>
  </si>
  <si>
    <t xml:space="preserve">Early Childhood Programs - Council District 43</t>
  </si>
  <si>
    <t xml:space="preserve">My Friends Place NY, Inc.</t>
  </si>
  <si>
    <t xml:space="preserve">812883803</t>
  </si>
  <si>
    <t xml:space="preserve">Youth Peer Support Pilot/Social and Emotional Supports for S</t>
  </si>
  <si>
    <t xml:space="preserve">Water Ecology &amp; Engineering Field Trips &amp; Workshops - Counci</t>
  </si>
  <si>
    <t xml:space="preserve">Kalmyk Heritage Center, Inc.</t>
  </si>
  <si>
    <t xml:space="preserve">880943497</t>
  </si>
  <si>
    <t xml:space="preserve">Children Events &amp; Resources</t>
  </si>
  <si>
    <t xml:space="preserve">Youth Programs - Council District 43</t>
  </si>
  <si>
    <t xml:space="preserve">SPEAKER FUNDING TO SI — PDF vs CORRECTED (RULING: Ulqin &amp; Project Hospitality are NOT Speaker items)</t>
  </si>
  <si>
    <t xml:space="preserve">Agency</t>
  </si>
  <si>
    <t xml:space="preserve">Status</t>
  </si>
  <si>
    <t xml:space="preserve">(blank)</t>
  </si>
  <si>
    <t xml:space="preserve">DHMH</t>
  </si>
  <si>
    <t xml:space="preserve">African Refuge, Inc. - Community and Police Mental Health Collaboration</t>
  </si>
  <si>
    <t xml:space="preserve">Retained</t>
  </si>
  <si>
    <t xml:space="preserve">DYCD</t>
  </si>
  <si>
    <t xml:space="preserve">REMOVED — not Speaker (ruling Jul 7)</t>
  </si>
  <si>
    <t xml:space="preserve">Canvas Institute - Media mentorship programs for local youth</t>
  </si>
  <si>
    <t xml:space="preserve">CUNY</t>
  </si>
  <si>
    <t xml:space="preserve">Eden II School for Autistic Children, Inc. - Family Support Programs</t>
  </si>
  <si>
    <t xml:space="preserve">DFTA</t>
  </si>
  <si>
    <t xml:space="preserve">Jewish Community Center of Staten Island, Inc. - Senior Skill Development Program</t>
  </si>
  <si>
    <t xml:space="preserve">Lifestyles for the Disabled, Inc. - Adaptive Sports Program</t>
  </si>
  <si>
    <t xml:space="preserve">New York Center for Interpersonal Development, Inc. - Credible Messengers (CMSI)</t>
  </si>
  <si>
    <t xml:space="preserve">Richmond Medical Center - Elizabeth W. Pouch Center for Special People</t>
  </si>
  <si>
    <t xml:space="preserve">SBS</t>
  </si>
  <si>
    <t xml:space="preserve">DCLA</t>
  </si>
  <si>
    <t xml:space="preserve">Staten Island Economic Development Corporation - Economic Development - 51st District</t>
  </si>
  <si>
    <t xml:space="preserve">Staten Island Zoological Society, Inc. - Education Programming and Animal Care</t>
  </si>
  <si>
    <t xml:space="preserve">DPR</t>
  </si>
  <si>
    <t xml:space="preserve">City Parks Foundation - SummerStage, CityParks Play and CityParks Learn - CD49</t>
  </si>
  <si>
    <t xml:space="preserve">DSNY</t>
  </si>
  <si>
    <t xml:space="preserve">Jewish Community Center of Staten Island, Inc. - Social Adult Day Care</t>
  </si>
  <si>
    <t xml:space="preserve">Staten Island Economic Development Corporation - Economic Development - 50th District</t>
  </si>
  <si>
    <t xml:space="preserve">PDF Speaker total (All-Funding PDF, stale)</t>
  </si>
  <si>
    <t xml:space="preserve">Less: removed per ruling (Ulqin $25,000 + Project Hospitality $25,000)</t>
  </si>
  <si>
    <t xml:space="preserve">CORRECTED SPEAKER TOTAL — ties to Grand Total tab $2,817,880</t>
  </si>
  <si>
    <t xml:space="preserve">Note: the Expense-only PDF shows Speaker $2,182,880 because it omits 10 rows ($685,000) present in the All-Funding PDF — see Discrepancy Log F4.</t>
  </si>
  <si>
    <t xml:space="preserve">CITYWIDE-TO-SI — PDF ALL-FUNDING ($8,341,467) vs WORKBOOK BASIS ($6,553,360): FULL DECOMPOSITION</t>
  </si>
  <si>
    <t xml:space="preserve">Two different scan bases. Never merge. The decomposition below ties to the penny.</t>
  </si>
  <si>
    <t xml:space="preserve">Workbook Citywide-to-SI basis (55 org lines, 42 initiatives)</t>
  </si>
  <si>
    <t xml:space="preserve">Citywide to SI tab; Grand Total basis</t>
  </si>
  <si>
    <t xml:space="preserve">+ Boroughwide Needs block — classified as SI Delegation pot in workbook</t>
  </si>
  <si>
    <t xml:space="preserve">11 rows; PDF lists them under Citywide; category difference, not missing money</t>
  </si>
  <si>
    <t xml:space="preserve">+ PDF-only organization dollars (13 org groups, detail below)</t>
  </si>
  <si>
    <t xml:space="preserve">Includes IlluminArt partial Δ$75,000</t>
  </si>
  <si>
    <t xml:space="preserve">− Workbook-only row (Northfield/Curtis School $10,000)</t>
  </si>
  <si>
    <t xml:space="preserve">In workbook citywide, absent from PDF</t>
  </si>
  <si>
    <t xml:space="preserve">EQUALS: PDF All-Funding citywide total</t>
  </si>
  <si>
    <t xml:space="preserve">Ties exactly</t>
  </si>
  <si>
    <t xml:space="preserve">Formula check</t>
  </si>
  <si>
    <t xml:space="preserve">PDF-ONLY ORGANIZATION DETAIL (absent from workbook citywide basis)</t>
  </si>
  <si>
    <t xml:space="preserve">PDF $</t>
  </si>
  <si>
    <t xml:space="preserve">EIN elsewhere in Master?</t>
  </si>
  <si>
    <t xml:space="preserve">New group?</t>
  </si>
  <si>
    <t xml:space="preserve">YES</t>
  </si>
  <si>
    <t xml:space="preserve">no — already counted</t>
  </si>
  <si>
    <t xml:space="preserve">no</t>
  </si>
  <si>
    <t xml:space="preserve">YES — potential +1 group</t>
  </si>
  <si>
    <t xml:space="preserve">IlluminArt Productions — partial: PDF $155,000 vs WB $80,000 (Δ$75,000 = Opioid $50,000 + Hate Crimes $25,000 rows absent from WB)</t>
  </si>
  <si>
    <t xml:space="preserve">FY27 SI — DISCREPANCY LOG · Jul 7, 2026 · sources: All-Funding PDF, Expense PDF, Cap &amp; Expense workbook</t>
  </si>
  <si>
    <t xml:space="preserve">Finding</t>
  </si>
  <si>
    <t xml:space="preserve">Ruling / Action needed</t>
  </si>
  <si>
    <t xml:space="preserve">F1</t>
  </si>
  <si>
    <t xml:space="preserve">Albanian-American Assoc. of Ulqin + Project Hospitality listed under SPEAKER in both PDFs — RULED NOT SPEAKER (Omar, Jul 7). Corrected Speaker = $2,817,880, ties Grand Total tab.</t>
  </si>
  <si>
    <t xml:space="preserve">RESOLVED — remove from Speaker in both PDFs; regenerate</t>
  </si>
  <si>
    <t xml:space="preserve">F2</t>
  </si>
  <si>
    <t xml:space="preserve">Dibra Community Organization (Welcome NYC, citywide) present in Citywide-to-SI tab but MISSING from Master Line Items — explains Master $16,196,240 vs printed $16,221,240.</t>
  </si>
  <si>
    <t xml:space="preserve">ACTION — add Dibra row to Master Line Items</t>
  </si>
  <si>
    <t xml:space="preserve">F3</t>
  </si>
  <si>
    <t xml:space="preserve">Ulqin Welcome NYC citywide row present in PDF, absent from workbook citywide AND Master. If the Schedule C printed source shows it, group count rises to 176+.</t>
  </si>
  <si>
    <t xml:space="preserve">RULING NEEDED — verify against Schedule C p.151 area</t>
  </si>
  <si>
    <t xml:space="preserve">F4</t>
  </si>
  <si>
    <t xml:space="preserve">Speaker totals differ between the two PDFs: All-Funding $2,867,880 vs Expense-only $2,182,880. Δ = 10 rows (City Parks Fdn $110K, DSNY $100K, Grace $50K, JCC Sunrise $15K, JCC SADC $25K, RMC SAFE $100K, South Shore DMA $45K, SIEDC-50th $140K, SI Historical Society $50K, SI Immigrant Center $50K). Workbook corrected total $2,817,880 confirms all 10 ARE Speaker.</t>
  </si>
  <si>
    <t xml:space="preserve">RESOLVED by workbook — Expense-only PDF is incomplete; regenerate</t>
  </si>
  <si>
    <t xml:space="preserve">F5</t>
  </si>
  <si>
    <t xml:space="preserve">Project Hospitality citywide dollars in PDF (3 lines: LGBTQIA+ Youth $100K, Food Access $50K, Homeless System $74K) absent from workbook citywide basis.</t>
  </si>
  <si>
    <t xml:space="preserve">RULING NEEDED — accounting inclusion is separate from the standing delivery-partner exclusion</t>
  </si>
  <si>
    <t xml:space="preserve">F6</t>
  </si>
  <si>
    <t xml:space="preserve">Community Health Center of Richmond: $459,357 across 4 citywide lines in PDF, no EIN anywhere in Master. Largest EIN-pending group.</t>
  </si>
  <si>
    <t xml:space="preserve">ACTION — pull EIN, add to census if verified</t>
  </si>
  <si>
    <t xml:space="preserve">F7</t>
  </si>
  <si>
    <t xml:space="preserve">CUNY appears under two EINs: 13-3893536 (Research Foundation lines) and 13-6400434 (NYC government EIN on one line). One entity count requires a ruling on which EIN governs.</t>
  </si>
  <si>
    <t xml:space="preserve">RULING NEEDED — likely RF-CUNY 13-3893536</t>
  </si>
  <si>
    <t xml:space="preserve">F8</t>
  </si>
  <si>
    <t xml:space="preserve">Boroughwide Needs $120,000 (11 rows) classified Citywide in PDF but SI Delegation pot in workbook. Category mapping difference only; dollars tie.</t>
  </si>
  <si>
    <t xml:space="preserve">RESOLVED — note basis on any total that moves</t>
  </si>
  <si>
    <t xml:space="preserve">F9</t>
  </si>
  <si>
    <t xml:space="preserve">Workbook-only citywide row: Northfield/Curtis School $10,000 not in PDF citywide list.</t>
  </si>
  <si>
    <t xml:space="preserve">ACTION — verify Sched C ref; add to PDF on regen</t>
  </si>
  <si>
    <t xml:space="preserve">F10</t>
  </si>
  <si>
    <t xml:space="preserve">Expense totals across the three artifacts: All-Funding PDF $17,982,347 · Expense PDF $17,297,347 · Workbook printed SI $16,221,240 (+$90,000 SU-CASA DB). Three different bases — label separately, never mix.</t>
  </si>
  <si>
    <t xml:space="preserve">STANDING RULE</t>
  </si>
  <si>
    <t xml:space="preserve">FY27 SI — THREE BASES, CORRECTED FOR RULING F1 (Ulqin + Project Hospitality out of Speaker). LABELED SEPARATELY — NEVER MIX.</t>
  </si>
  <si>
    <t xml:space="preserve">Line</t>
  </si>
  <si>
    <t xml:space="preserve">Basis A — All-Funding PDF (corrected)</t>
  </si>
  <si>
    <t xml:space="preserve">Basis B — Expense PDF (corrected)</t>
  </si>
  <si>
    <t xml:space="preserve">Basis C — Workbook printed SI</t>
  </si>
  <si>
    <t xml:space="preserve">Capital — SI-substantive</t>
  </si>
  <si>
    <t xml:space="preserve">Expense — CM baseline pots / MDIs</t>
  </si>
  <si>
    <t xml:space="preserve">Expense — SI Delegation pot</t>
  </si>
  <si>
    <t xml:space="preserve">Expense — Speaker (corrected)</t>
  </si>
  <si>
    <t xml:space="preserve">Expense — MDIs other CMs</t>
  </si>
  <si>
    <t xml:space="preserve">Expense — Citywide initiatives</t>
  </si>
  <si>
    <t xml:space="preserve">Expense — SU-CASA (database, DB Jul 1)</t>
  </si>
  <si>
    <t xml:space="preserve">Expense total</t>
  </si>
  <si>
    <t xml:space="preserve">CAPITAL + EXPENSE</t>
  </si>
  <si>
    <t xml:space="preserve">Basis notes: A = All-Funding PDF universe less $50,000 F1 removal (was $95,332,347 → $95,282,347). B = Expense-only PDF universe less F1 (Speaker $2,132,880; incomplete per F4). C = workbook Grand Total scan basis; its own printed grand was $93,661,240 incl. SU-CASA DB $90,000 and note F2. Capital identical across bases: Boro-R $67,964,000 + CC1100 $3,536,000 + MA1004 $5,850,000 (Section 254).</t>
  </si>
  <si>
    <t xml:space="preserve">Baseline update flag: workbook official measures remain Measure A $74,812,000 · B $78,348,000 (B-recomputed $84,198,000) · C ≈$84,018,000 as stated on Grand Total tab.</t>
  </si>
  <si>
    <t xml:space="preserve">FY27 SI CAPITAL — AS PRESENTED IN ALL-FUNDING PDF · 94 lines · Section 254 basis</t>
  </si>
  <si>
    <t xml:space="preserve">Section</t>
  </si>
  <si>
    <t xml:space="preserve">Sub ID</t>
  </si>
  <si>
    <t xml:space="preserve">Sponsor</t>
  </si>
  <si>
    <t xml:space="preserve">HANKS SECTION TOTAL — 22 lines</t>
  </si>
  <si>
    <t xml:space="preserve">CARR SECTION TOTAL — 34 lines</t>
  </si>
  <si>
    <t xml:space="preserve">MORANO SECTION TOTAL — 30 lines</t>
  </si>
  <si>
    <t xml:space="preserve">SI DELEGATION</t>
  </si>
  <si>
    <t xml:space="preserve">SNUG HARBOR CULTURAL CENTER AND BOTANICAL GARDEN</t>
  </si>
  <si>
    <t xml:space="preserve">SPEAKER SI DELEGATION</t>
  </si>
  <si>
    <t xml:space="preserve">SI DELEGATION SECTION TOTAL — 3 lines</t>
  </si>
  <si>
    <t xml:space="preserve">SPEAKER (pure)</t>
  </si>
  <si>
    <t xml:space="preserve">ST. GEORGE THEATRE RESTORATION, INC. (PV 0N364)</t>
  </si>
  <si>
    <t xml:space="preserve">SPEAKER (pure) SECTION TOTAL — 5 lines</t>
  </si>
  <si>
    <t xml:space="preserve">CAPITAL TOTAL — PDF basis (= workbook: Boro-R $67,964,000 + CC1100 $3,536,000 + MA1004 $5,850,000)</t>
  </si>
  <si>
    <t xml:space="preserve">FY27 SI EXPENSE — BASELINE CM ALLOCATED POTS, AS PRESENTED IN PDFs</t>
  </si>
  <si>
    <t xml:space="preserve">Allocated Pot</t>
  </si>
  <si>
    <t xml:space="preserve">HANKS MEMBER TOTAL</t>
  </si>
  <si>
    <t xml:space="preserve">CARR MEMBER TOTAL</t>
  </si>
  <si>
    <t xml:space="preserve">MORANO MEMBER TOTAL</t>
  </si>
  <si>
    <t xml:space="preserve">GRAND TOTAL — PDF basis $6,773,000 (workbook MDI basis $6,638,000; Δ reconciles via pot-vs-designation scan — see Discrepancy Log F10)</t>
  </si>
  <si>
    <t xml:space="preserve">FY27 CITYWIDE INITIATIVES REACHING SI — AS PRESENTED IN ALL-FUNDING PDF · 90 lines</t>
  </si>
  <si>
    <t xml:space="preserve">Broader scan basis than workbook Citywide-to-SI tab ($6,553,360). Decomposition on Citywide Reconcile tab.</t>
  </si>
  <si>
    <t xml:space="preserve">Casa Belvedere, The Italian Cultural Foundation - Seniors Coffee Club</t>
  </si>
  <si>
    <t xml:space="preserve">Chinese American Planning Council, Inc. - To Serve Staten Island</t>
  </si>
  <si>
    <t xml:space="preserve">Staten Island Immigrant Center - To Serve Staten Island</t>
  </si>
  <si>
    <t xml:space="preserve">United Chinese Association of Brooklyn - To Serve Staten Island</t>
  </si>
  <si>
    <t xml:space="preserve">Jewish Community Center of Staten Island, Inc. - Stapleton NORC</t>
  </si>
  <si>
    <t xml:space="preserve">Jewish Community Center of Staten Island, Inc. - Stapleton Senior Center</t>
  </si>
  <si>
    <t xml:space="preserve">Staten Island Community Services Friendship Clubs, Inc. - Arrochar</t>
  </si>
  <si>
    <t xml:space="preserve">Staten Island Community Services Friendship Clubs, Inc. - Great Kills</t>
  </si>
  <si>
    <t xml:space="preserve">Staten Island Community Services Friendship Clubs, Inc. - Mt. Loretto</t>
  </si>
  <si>
    <t xml:space="preserve">Staten Island Community Services Friendship Clubs, Inc. - New Dorp</t>
  </si>
  <si>
    <t xml:space="preserve">Staten Island Community Services Friendship Clubs, Inc. - Todt Hill</t>
  </si>
  <si>
    <t xml:space="preserve">IlluminArt Productions - Port Richmond High School (31R445)</t>
  </si>
  <si>
    <t xml:space="preserve">IlluminArt Productions - Susan E. Wagner High School (31R460)</t>
  </si>
  <si>
    <t xml:space="preserve">City University of New York - College of Staten Island</t>
  </si>
  <si>
    <t xml:space="preserve">CITYWIDE TOTAL — PDF basis</t>
  </si>
  <si>
    <t xml:space="preserve">FY27 SI FUNDING — SUMMARY AS PRINTED IN ALL-FUNDING PDF, WITH CORRECTED COLUMN (RULING F1)</t>
  </si>
  <si>
    <t xml:space="preserve">As printed</t>
  </si>
  <si>
    <t xml:space="preserve">Corrected (F1: Ulqin+PH out of Speaker)</t>
  </si>
  <si>
    <t xml:space="preserve">Capital — SI-substantive total</t>
  </si>
  <si>
    <t xml:space="preserve">Boro-R $67,964,000 + CC1100 $3,536,000 + MA1004 $5,850,000</t>
  </si>
  <si>
    <t xml:space="preserve">Expense — baseline CM allocated pots</t>
  </si>
  <si>
    <t xml:space="preserve">Expense — Speaker initiatives</t>
  </si>
  <si>
    <t xml:space="preserve">Less Ulqin $25,000 + Project Hospitality $25,000</t>
  </si>
  <si>
    <t xml:space="preserve">90 lines; broader basis than workbook</t>
  </si>
  <si>
    <t xml:space="preserve">Expense Total</t>
  </si>
  <si>
    <t xml:space="preserve">CAPITAL + EXPENSE TOTAL</t>
  </si>
  <si>
    <t xml:space="preserve">was $95,332,347 → corrected $95,282,347</t>
  </si>
  <si>
    <t xml:space="preserve">CM HANKS — DISTRICT 49 EXPENSE DESIGNATIONS, FY25–FY27 · SOURCE: MOCS/COUNCIL DB EXPORT 07-07-26</t>
  </si>
  <si>
    <t xml:space="preserve">All rows CM Hanks / CD 49. FY27 $2,250,000 designated vs $2,295,000 allocated — SU-CASA $45,000 carries ZERO designation rows in this export.</t>
  </si>
  <si>
    <t xml:space="preserve">FY</t>
  </si>
  <si>
    <t xml:space="preserve">Source pot</t>
  </si>
  <si>
    <t xml:space="preserve">Legal Name</t>
  </si>
  <si>
    <t xml:space="preserve">MOCS Status</t>
  </si>
  <si>
    <t xml:space="preserve">Council Clearance</t>
  </si>
  <si>
    <t xml:space="preserve">CM Purpose</t>
  </si>
  <si>
    <t xml:space="preserve">FY27</t>
  </si>
  <si>
    <t xml:space="preserve">Pending MOCS</t>
  </si>
  <si>
    <t xml:space="preserve">A Greener NYC supports environmentally friendly programs that encourage educatio</t>
  </si>
  <si>
    <t xml:space="preserve">CityParks Play, CityParks Learn &amp; CityParks Build - Council District 49</t>
  </si>
  <si>
    <t xml:space="preserve">Anderson Neighborhood Older Adult Center</t>
  </si>
  <si>
    <t xml:space="preserve">Funding to support services and programs at the Anderson Neighborhood Senior Cen</t>
  </si>
  <si>
    <t xml:space="preserve">West Brighton Older Adult Center</t>
  </si>
  <si>
    <t xml:space="preserve">Funding to support services and programs for West Brighton Senior Center in Coun</t>
  </si>
  <si>
    <t xml:space="preserve">Funding will support the Age-Friendly Care program in Council District 49.</t>
  </si>
  <si>
    <t xml:space="preserve">Funds will be used to provide services and support to Cassidy Coles Older Adult </t>
  </si>
  <si>
    <t xml:space="preserve">Funding will support services at the New Lane Older Adult Center.</t>
  </si>
  <si>
    <t xml:space="preserve">Funding will support programs and services at the Stapleton Older Adult Center.</t>
  </si>
  <si>
    <t xml:space="preserve">Funding will support the Serving Our Seniors program in Council District 49.</t>
  </si>
  <si>
    <t xml:space="preserve">Funding will support senior services and the Todt Hill Friendship Club.</t>
  </si>
  <si>
    <t xml:space="preserve">Funding to support community organizations and neighborhood Businesses in Counci</t>
  </si>
  <si>
    <t xml:space="preserve">Funding will support food distribution and turkey giveaways services in Council </t>
  </si>
  <si>
    <t xml:space="preserve">Funding to support domestic violence and homeless prevention services in Council</t>
  </si>
  <si>
    <t xml:space="preserve">Funding will be used to provide food services to residents in the 49th Council D</t>
  </si>
  <si>
    <t xml:space="preserve">Funding will support the Credible Messenger program in Council District 49.</t>
  </si>
  <si>
    <t xml:space="preserve">Funding will support a special athletics program.</t>
  </si>
  <si>
    <t xml:space="preserve">This funding engages cultural programs and institutions to provide arts enrichme</t>
  </si>
  <si>
    <t xml:space="preserve">Public School 016R John J. Driscoll(31R016) &amp; 59R The Harbor View School(31R059)</t>
  </si>
  <si>
    <t xml:space="preserve">Public School 022R Graniteville (31R022)</t>
  </si>
  <si>
    <t xml:space="preserve">Fort Hill Collaborative Elementary School (31R010) &amp; 65R The  Academy of Innovative Learning (31R065)</t>
  </si>
  <si>
    <t xml:space="preserve">The funds will be used to support cultural organizations to provide programming </t>
  </si>
  <si>
    <t xml:space="preserve">La Capitana Dice Program - Public School 019R The Curtis School (31R019)</t>
  </si>
  <si>
    <t xml:space="preserve">Asian Cultural Programs </t>
  </si>
  <si>
    <t xml:space="preserve">Digital Inclusion and Literacy Initiative</t>
  </si>
  <si>
    <t xml:space="preserve">Intermediate School 027R (31R027) &amp; Staten Island School of Civic Leadership (31R861)</t>
  </si>
  <si>
    <t xml:space="preserve">The initiative supports programming in each of the 51 Council Districts that pro</t>
  </si>
  <si>
    <t xml:space="preserve">Workforce Training Hub - Council District 49</t>
  </si>
  <si>
    <t xml:space="preserve">DSS/HRA</t>
  </si>
  <si>
    <t xml:space="preserve">Domestic Violence Services - Council District 49</t>
  </si>
  <si>
    <t xml:space="preserve">The DoVE Initiative supports a range of services that include case management, c</t>
  </si>
  <si>
    <t xml:space="preserve">Funding will support the youth center and community services in Council District</t>
  </si>
  <si>
    <t xml:space="preserve">Funding will support community events in Council District 49.</t>
  </si>
  <si>
    <t xml:space="preserve">Funding to support programming in Public School 020R Port Richmond (31R020).</t>
  </si>
  <si>
    <t xml:space="preserve">Funding will support community workshops and visits in Council District 49.</t>
  </si>
  <si>
    <t xml:space="preserve">Funding will support Nonno's Community Garden at Casa Belvedere.</t>
  </si>
  <si>
    <t xml:space="preserve">SummerStage - Council District 49</t>
  </si>
  <si>
    <t xml:space="preserve">Funding will go towards SummerStage in Council District 49.</t>
  </si>
  <si>
    <t xml:space="preserve">Funding to support the Liberty Partnership Student Success Program in Council Di</t>
  </si>
  <si>
    <t xml:space="preserve">DOE</t>
  </si>
  <si>
    <t xml:space="preserve">Funding will support Concord High School 470R (31R470) Parent Teacher Associatio</t>
  </si>
  <si>
    <t xml:space="preserve">Funding will support Curtis High School (31R450) Parent Teacher Association.</t>
  </si>
  <si>
    <t xml:space="preserve">Funding will support Department of Education District 31, Region 7 - Federation </t>
  </si>
  <si>
    <t xml:space="preserve">Funding will support Eagle Academy For Young Men of Staten Island 28R (31R028) P</t>
  </si>
  <si>
    <t xml:space="preserve">Funding will support Fort Hill Collaborative Elementary School 10R (31R010) Pare</t>
  </si>
  <si>
    <t xml:space="preserve">Funding will support Intermediate School 027R Anning S. Prall (31R027) Parent Te</t>
  </si>
  <si>
    <t xml:space="preserve">Funding will support Intermediate School 49R Berta A. Dreyfus (31R049) Parent Te</t>
  </si>
  <si>
    <t xml:space="preserve">Funding will support Intermediate School 061R William A Morris (31R061) Parent T</t>
  </si>
  <si>
    <t xml:space="preserve">Funding will support Port Richmond High School (31R445) Parent Tenant Associatio</t>
  </si>
  <si>
    <t xml:space="preserve">Funding to support the Journalism for all program at Port Richmond High School (</t>
  </si>
  <si>
    <t xml:space="preserve">Funding will support the Port Richmond High School - Boy's Track &amp; Field Team in</t>
  </si>
  <si>
    <t xml:space="preserve">Funding will support Port Richmond High School - Girls Cross Country/Track &amp; Fie</t>
  </si>
  <si>
    <t xml:space="preserve">Funding will support Port Richmond School for Visionary Learning (31R068) Parent</t>
  </si>
  <si>
    <t xml:space="preserve">Funding will support Public School 013 M. L. Lindemeyer (31R013) Parent Teacher </t>
  </si>
  <si>
    <t xml:space="preserve">Funding will support Public School 016R John J. Driscoll (31R016) Parent Teacher</t>
  </si>
  <si>
    <t xml:space="preserve">Funding will support Public School 018R John G. Whittier (31R018) Parent Teacher</t>
  </si>
  <si>
    <t xml:space="preserve">Funding will support Public School 019R The Curtis School (31R019) Parent Teache</t>
  </si>
  <si>
    <t xml:space="preserve">Funding will support Public School 020R Port Richmond (31R020) Parent Teacher As</t>
  </si>
  <si>
    <t xml:space="preserve">Funding will support Public School 21R Margaret Emery-Elm Park (31R021) Parent T</t>
  </si>
  <si>
    <t xml:space="preserve">Funding will support Public School 022R Graniteville (31R022) Parent Teacher Ass</t>
  </si>
  <si>
    <t xml:space="preserve">Funding will support Public School 031R William T. Davis (31R031) Parent Teacher</t>
  </si>
  <si>
    <t xml:space="preserve">Funding will support Public School 35R The Clove Valley School (31R035) Parent T</t>
  </si>
  <si>
    <t xml:space="preserve">Funding will support Public School 373R (31R373) Parent Teacher Association.</t>
  </si>
  <si>
    <t xml:space="preserve">Funding will support Public School 044R Thomas C. Brown (31R044) Parent Teacher </t>
  </si>
  <si>
    <t xml:space="preserve">Funding will support Public School 045R John Tyler (31R045) Parent Teacher Assoc</t>
  </si>
  <si>
    <t xml:space="preserve">Funding will support The Harbor View School (31R059) Parent Teacher Association.</t>
  </si>
  <si>
    <t xml:space="preserve">Funding will support Public School 65R The Academy of Innovative Learning (31R06</t>
  </si>
  <si>
    <t xml:space="preserve">Funding will support Public School 74R Future Leaders Elementary School (31R074)</t>
  </si>
  <si>
    <t xml:space="preserve">Funding will support Public School 78R (31R078) Parent Teacher Association.</t>
  </si>
  <si>
    <t xml:space="preserve">Funding will support Ralph R. McKee CTE High School (31R600) Parent Teacher Asso</t>
  </si>
  <si>
    <t xml:space="preserve">Funding will support Richard H. Hungerford School 721R (75R721) Parent Teacher A</t>
  </si>
  <si>
    <t xml:space="preserve">Funding will support Staten Island School of Civic Leadership 861R (31R861) Pare</t>
  </si>
  <si>
    <t xml:space="preserve">DOT</t>
  </si>
  <si>
    <t xml:space="preserve">Funding to support two helmet distribution events in Council District 49.</t>
  </si>
  <si>
    <t xml:space="preserve">Funds will support programming and services.</t>
  </si>
  <si>
    <t xml:space="preserve">120th Precinct Community Council</t>
  </si>
  <si>
    <t xml:space="preserve">Funds will support 120 Precinct Community Council community events.</t>
  </si>
  <si>
    <t xml:space="preserve">121st Precinct Community Council</t>
  </si>
  <si>
    <t xml:space="preserve">Funds will support 121 Precinct Community Council community events.</t>
  </si>
  <si>
    <t xml:space="preserve">Funding to support programs and services in Council District 49.</t>
  </si>
  <si>
    <t xml:space="preserve">Funding will provide support to the Family Support Program in Council District 4</t>
  </si>
  <si>
    <t xml:space="preserve">Funding to support costs related to emergency assistance programming and service</t>
  </si>
  <si>
    <t xml:space="preserve">Funding will support community outreach programs and services in Council Distric</t>
  </si>
  <si>
    <t xml:space="preserve">Funding will support programs and services at the museum.</t>
  </si>
  <si>
    <t xml:space="preserve">Funding will support programs and services for Council District 49 constituents.</t>
  </si>
  <si>
    <t xml:space="preserve">Funding will support economic mobility programming for North Shore Single Mother</t>
  </si>
  <si>
    <t xml:space="preserve">Serving Our Older Adults - Council District 49</t>
  </si>
  <si>
    <t xml:space="preserve">Funding will support the Serving Our Older Adults program in Council District 49</t>
  </si>
  <si>
    <t xml:space="preserve">Funding to support programming in Council District 49.</t>
  </si>
  <si>
    <t xml:space="preserve">Funding will support the SonicLab program and other events in Council District 4</t>
  </si>
  <si>
    <t xml:space="preserve">Funding to support Water Ecology &amp; Engineering Programming program in Council Di</t>
  </si>
  <si>
    <t xml:space="preserve">HPD</t>
  </si>
  <si>
    <t xml:space="preserve">Funding will support Cassidy-Lafayette Tenant Association.</t>
  </si>
  <si>
    <t xml:space="preserve">Funds will support the Mariner's Harbor Tenants Association.</t>
  </si>
  <si>
    <t xml:space="preserve">Funding will support New Lane Area Tenant Association.</t>
  </si>
  <si>
    <t xml:space="preserve">Funding will support the NYCHA Scholarship Fund in Council District 49.</t>
  </si>
  <si>
    <t xml:space="preserve">Funding will support the Richmond Terrace Tenants Association.</t>
  </si>
  <si>
    <t xml:space="preserve">Funding will support Stapleton Tenant Association.</t>
  </si>
  <si>
    <t xml:space="preserve">Funding will support the Todt Hill Tenants Association.</t>
  </si>
  <si>
    <t xml:space="preserve">Funding will support the West Brighton Tenants Association.</t>
  </si>
  <si>
    <t xml:space="preserve">Funding to support historical preservation in Council District 49.</t>
  </si>
  <si>
    <t xml:space="preserve">Funding will support various emergency services in Council District 49.</t>
  </si>
  <si>
    <t xml:space="preserve">Funding will support the Side-By-Side Educational Outreach Program at Curtis Hig</t>
  </si>
  <si>
    <t xml:space="preserve">Funding will support community partnerships in Port Richmond High School, Curtis</t>
  </si>
  <si>
    <t xml:space="preserve">Women in Business Expo &amp; Rosebank Holiday Event - Council District 49</t>
  </si>
  <si>
    <t xml:space="preserve">Funding to support Women in Business Expo &amp; Rosebank Holiday Event in Council Di</t>
  </si>
  <si>
    <t xml:space="preserve">Funding to support clean ups and beautification in Council District 49</t>
  </si>
  <si>
    <t xml:space="preserve">Rosebank Holiday Street Lighting - Council District 49</t>
  </si>
  <si>
    <t xml:space="preserve">Funding to support Rosebank Holiday Street Lighting along Bay Street in Council </t>
  </si>
  <si>
    <t xml:space="preserve">Funding will support the Sports Hall of Fame.</t>
  </si>
  <si>
    <t xml:space="preserve">Funding to support operational costs of educational programming for children and</t>
  </si>
  <si>
    <t xml:space="preserve">Annual Holiday Tree Lighting, Toy Giveaway &amp; Staten Island Light Parade </t>
  </si>
  <si>
    <t xml:space="preserve">Funding will support the Annual Holiday Tree Lighting, Toy Giveaway, and Light P</t>
  </si>
  <si>
    <t xml:space="preserve">Funding will support the MWBE Leadership Association in Council District 49.</t>
  </si>
  <si>
    <t xml:space="preserve">Youth Instruction - Council District 49 </t>
  </si>
  <si>
    <t xml:space="preserve">Funding to support youth instruction in Council District 49.</t>
  </si>
  <si>
    <t xml:space="preserve">Neighborhood Development Grant Initiative</t>
  </si>
  <si>
    <t xml:space="preserve">This funding supports neighborhood-level initiatives that promote economic devel</t>
  </si>
  <si>
    <t xml:space="preserve">Funding will support litter basket service and manual litter patrol in Council D</t>
  </si>
  <si>
    <t xml:space="preserve">Funds will be used for a dedicated staff to provide removal of graffiti, weed re</t>
  </si>
  <si>
    <t xml:space="preserve">Funding to support clean ups and beautification in Council District 49.</t>
  </si>
  <si>
    <t xml:space="preserve">Funding will support clean up services on Tompkinsville Step Street in Council D</t>
  </si>
  <si>
    <t xml:space="preserve">Funding will support Holiday Beautification in Council District 49.</t>
  </si>
  <si>
    <t xml:space="preserve">This allocation provides $5.4 million to support both community programming in s</t>
  </si>
  <si>
    <t xml:space="preserve">Anderson Older Adults Center</t>
  </si>
  <si>
    <t xml:space="preserve">This funding will support district-based older adult services.</t>
  </si>
  <si>
    <t xml:space="preserve">West Brighton Older Adults Center</t>
  </si>
  <si>
    <t xml:space="preserve">Funding will support the Scouting and Exploring programs in Council District 49.</t>
  </si>
  <si>
    <t xml:space="preserve">Funding will support the Goodhue Center after-school and summer programs.</t>
  </si>
  <si>
    <t xml:space="preserve">Atlas Foundation Programs - Council District 49</t>
  </si>
  <si>
    <t xml:space="preserve">Funding will support foundation programs in Council District 49.</t>
  </si>
  <si>
    <t xml:space="preserve">Funding will support the Post-Secondary Success Initiative and the Eagles Soarin</t>
  </si>
  <si>
    <t xml:space="preserve">To support youth programming in Council District 49.</t>
  </si>
  <si>
    <t xml:space="preserve">Funding to support youth programs and services for youth in Council District 49.</t>
  </si>
  <si>
    <t xml:space="preserve">Funds will support the Staten Island Justice Center - Youth Wellness Initiative.</t>
  </si>
  <si>
    <t xml:space="preserve">Funding will support operations and youth programming at Kreischer Mansion.</t>
  </si>
  <si>
    <t xml:space="preserve">Funding will support community youth recreation days in Council District 49.</t>
  </si>
  <si>
    <t xml:space="preserve">Funding will support the Sports Training and Role-models for Success (STARS) ini</t>
  </si>
  <si>
    <t xml:space="preserve">Funding will support the Citywide Sports Training and Role-models for Success (S</t>
  </si>
  <si>
    <t xml:space="preserve">Funding will support Read Alliance School Year and Summer READing program in Cou</t>
  </si>
  <si>
    <t xml:space="preserve">Funding will support the Dream It, Be It programming in Council District 49.</t>
  </si>
  <si>
    <t xml:space="preserve">Funds will support the Staten Island Youth Football Team.</t>
  </si>
  <si>
    <t xml:space="preserve">Funding will support the College Bound Initiative in Council District 49.</t>
  </si>
  <si>
    <t xml:space="preserve">Funding will support the Wagner College Holocaust Center Education program.</t>
  </si>
  <si>
    <t xml:space="preserve">Funding will support teen programming at the Broadway YMCA.</t>
  </si>
  <si>
    <t xml:space="preserve">FY27 TOTAL</t>
  </si>
  <si>
    <t xml:space="preserve">FY26</t>
  </si>
  <si>
    <t xml:space="preserve">Cleared MOCS</t>
  </si>
  <si>
    <t xml:space="preserve">Older Adults Services - Council District 49</t>
  </si>
  <si>
    <t xml:space="preserve">Funding to support older adults services in Council District 49.</t>
  </si>
  <si>
    <t xml:space="preserve">Mt. Sinai Center for Community Enrichment, Inc.</t>
  </si>
  <si>
    <t xml:space="preserve">Senior Day Care - Council District 49</t>
  </si>
  <si>
    <t xml:space="preserve">CBO Defunded</t>
  </si>
  <si>
    <t xml:space="preserve">Funding will support the Senior Day Care program in Council District 49.</t>
  </si>
  <si>
    <t xml:space="preserve">Blindline Information &amp; Referral System</t>
  </si>
  <si>
    <t xml:space="preserve">Funding will support the Blindline Information and Referral System for seniors i</t>
  </si>
  <si>
    <t xml:space="preserve">Fellowship Baptist Church Food Pantry - Council District 49</t>
  </si>
  <si>
    <t xml:space="preserve">Funding to support Fellowship Baptist Church Food Pantry in Council District 49.</t>
  </si>
  <si>
    <t xml:space="preserve">Funding to support costs related to Emergency Assistance programming and service</t>
  </si>
  <si>
    <t xml:space="preserve">Public School 019R The Curtis School (31R019) &amp; Public School 21R Margaret Emery-Elm Park (31R021)</t>
  </si>
  <si>
    <t xml:space="preserve">P.S 016 John J. Driscoll(31R016) &amp; P.S 59 The Harbor View School(31R059)</t>
  </si>
  <si>
    <t xml:space="preserve">Fort Hill Collaborative Elementary School (31R010) &amp; 65R The Academy of Innovative Learning (31R065)</t>
  </si>
  <si>
    <t xml:space="preserve">Curtis High School (31R450) &amp; Concord High School (31R470)</t>
  </si>
  <si>
    <t xml:space="preserve">Intermediate School 027R Anning S. Prall (31R027) &amp; Staten Island School of Civic Leadership (31R861)</t>
  </si>
  <si>
    <t xml:space="preserve">Richmond County Black &amp; Minority Chamber Commerce, Inc.</t>
  </si>
  <si>
    <t xml:space="preserve">Know Your Rights Program</t>
  </si>
  <si>
    <t xml:space="preserve">The DoVE Initiative supports a range of services that include case management, c</t>
  </si>
  <si>
    <t xml:space="preserve">Staten Island Child Advocacy Center - Council District 49</t>
  </si>
  <si>
    <t xml:space="preserve">Funding will support community programs and services in Council District 49.</t>
  </si>
  <si>
    <t xml:space="preserve">Albanian American Association of Staten Island Inc.</t>
  </si>
  <si>
    <t xml:space="preserve">Funding to support events and programming in Staten Island.</t>
  </si>
  <si>
    <t xml:space="preserve">Public School 020R Port Richmond (31R020) &amp; Public School 18R John G. Whittier (31R018)</t>
  </si>
  <si>
    <t xml:space="preserve">Funding to support programming in Public School 020R Port Richmond (31R020) and </t>
  </si>
  <si>
    <t xml:space="preserve">Funding will support Community Workshops and Visits in Council District 49.</t>
  </si>
  <si>
    <t xml:space="preserve">Funding will support Community Workshops and Visits in District 49.</t>
  </si>
  <si>
    <t xml:space="preserve">Funding will support the Neighborhood Leadership Program in Council District 49.</t>
  </si>
  <si>
    <t xml:space="preserve">Delta Sigma Theta Sorority, Inc. Staten Island Alumnae Chapter</t>
  </si>
  <si>
    <t xml:space="preserve">Designated</t>
  </si>
  <si>
    <t xml:space="preserve">Funds will support community programs and services in Council District 49.</t>
  </si>
  <si>
    <t xml:space="preserve">Funds will be used to support programs and services.</t>
  </si>
  <si>
    <t xml:space="preserve">Funding to support programming and services.</t>
  </si>
  <si>
    <t xml:space="preserve">121st Precinct Community Council - Community Events</t>
  </si>
  <si>
    <t xml:space="preserve">Funds will support 121st Precinct Community Council community events.</t>
  </si>
  <si>
    <t xml:space="preserve">Community Events - 120th Precinct Community Council</t>
  </si>
  <si>
    <t xml:space="preserve">Funding to support 120th Precinct Community Council community events.</t>
  </si>
  <si>
    <t xml:space="preserve">Funding to support community services in Council District 49, including backpack</t>
  </si>
  <si>
    <t xml:space="preserve">Staten Island Black Heritage Parade</t>
  </si>
  <si>
    <t xml:space="preserve">Funding will support the Staten Island Black Heritage parade.</t>
  </si>
  <si>
    <t xml:space="preserve">Family Preservation Services of New York Corporation</t>
  </si>
  <si>
    <t xml:space="preserve">Funding to support Family Preservation Services in Council District 49.</t>
  </si>
  <si>
    <t xml:space="preserve">Funding will support CII programming.</t>
  </si>
  <si>
    <t xml:space="preserve">Funding will support Cultural Immigrant programming.</t>
  </si>
  <si>
    <t xml:space="preserve">Mental Health Services - Council District 49</t>
  </si>
  <si>
    <t xml:space="preserve">Funds will support mental health services in the 49th Council District.</t>
  </si>
  <si>
    <t xml:space="preserve">Neighborhood Housing Services of Staten Island, Inc.</t>
  </si>
  <si>
    <t xml:space="preserve">Funding to support the clean energy hub in Council District 49.</t>
  </si>
  <si>
    <t xml:space="preserve">PASI</t>
  </si>
  <si>
    <t xml:space="preserve">Dignified Burials Program</t>
  </si>
  <si>
    <t xml:space="preserve">Funding will support the dignified burials program.</t>
  </si>
  <si>
    <t xml:space="preserve">Staten Island Integrated Out-Patient Program</t>
  </si>
  <si>
    <t xml:space="preserve">Funding will support the Staten Island Integrated Out-Patient Program.</t>
  </si>
  <si>
    <t xml:space="preserve">Funding will support mentoring potential and in-business owners program in Counc</t>
  </si>
  <si>
    <t xml:space="preserve">Funding to support events and programs in Council District 49.</t>
  </si>
  <si>
    <t xml:space="preserve">Funding will be used to support America 250 in Council District 49.</t>
  </si>
  <si>
    <t xml:space="preserve">Rosebank Merchant Assocation Events</t>
  </si>
  <si>
    <t xml:space="preserve">Funding will support the Rosebank Merchant Assocation Events</t>
  </si>
  <si>
    <t xml:space="preserve">Funding to support operational costs of educational programming for children &amp; a</t>
  </si>
  <si>
    <t xml:space="preserve">Cooks for Health Program - Council District 49</t>
  </si>
  <si>
    <t xml:space="preserve">Funding will support the Cooks for Health Program in Council District 49.</t>
  </si>
  <si>
    <t xml:space="preserve">Port Richmond Neighborhood Development</t>
  </si>
  <si>
    <t xml:space="preserve">Supplemental Sanitation Services - Council District 49</t>
  </si>
  <si>
    <t xml:space="preserve">Funding will support supplemental sanitation services along the Broad Street Cor</t>
  </si>
  <si>
    <t xml:space="preserve">Silver Mount Cemetery Conservancy, Incorporated</t>
  </si>
  <si>
    <t xml:space="preserve">Funding will be used to support clean-up events throughout Council District 49.</t>
  </si>
  <si>
    <t xml:space="preserve">To support senior centers in each Council District with arts programming.</t>
  </si>
  <si>
    <t xml:space="preserve">Stapelton OAC</t>
  </si>
  <si>
    <t xml:space="preserve">Bridge Program - District 49</t>
  </si>
  <si>
    <t xml:space="preserve">Funding will support the bridge program in District 49</t>
  </si>
  <si>
    <t xml:space="preserve">Emma's Place - Grief and Loss Center For Children and Families, Inc.</t>
  </si>
  <si>
    <t xml:space="preserve">Grief and Loss Center for Children &amp; Families - Council District 49</t>
  </si>
  <si>
    <t xml:space="preserve">Funding will support the Immediate Individual Crisis Counseling program in Counc</t>
  </si>
  <si>
    <t xml:space="preserve">Exalt's Core Internship Program</t>
  </si>
  <si>
    <t xml:space="preserve">Funding to support exalt’s Core Internship Program in Council District 49.</t>
  </si>
  <si>
    <t xml:space="preserve">K-12 Financial Literacy, Entrepreneurship &amp; Work Readiness Education - Council District 49</t>
  </si>
  <si>
    <t xml:space="preserve">Funding will support K-12 Financial Literacy, Entrepreneurship and Work Readines</t>
  </si>
  <si>
    <t xml:space="preserve">Baseball &amp; Softball Program</t>
  </si>
  <si>
    <t xml:space="preserve">Funding will support operating cost of the baseball and softball programs.</t>
  </si>
  <si>
    <t xml:space="preserve">Annual Unity Games</t>
  </si>
  <si>
    <t xml:space="preserve">Funding will support the annual Unity Games event.</t>
  </si>
  <si>
    <t xml:space="preserve">FY26 TOTAL</t>
  </si>
  <si>
    <t xml:space="preserve">FY25</t>
  </si>
  <si>
    <t xml:space="preserve">Green Workforce Development &amp; Education Program</t>
  </si>
  <si>
    <t xml:space="preserve">Funding will support an Outreach Coordinator at the Stapleton Older Adult Center</t>
  </si>
  <si>
    <t xml:space="preserve">Serving Our Seniors</t>
  </si>
  <si>
    <t xml:space="preserve">Senior Day Care</t>
  </si>
  <si>
    <t xml:space="preserve">Fellowship Baptist Church Food Pantry</t>
  </si>
  <si>
    <t xml:space="preserve">Bread of Life Food Drive</t>
  </si>
  <si>
    <t xml:space="preserve">Funding will support victim services in the 49th Council District.</t>
  </si>
  <si>
    <t xml:space="preserve">Emergency Assistance Program - Council Disctrict 49</t>
  </si>
  <si>
    <t xml:space="preserve">Public School 019R The Curtis School (31R019) &amp; Public School 020R Port Richmond (31R020)</t>
  </si>
  <si>
    <t xml:space="preserve">Public School 21R Margaret Emery</t>
  </si>
  <si>
    <t xml:space="preserve">Intermediate School 49R Berta A. Dreyfus (31R049)</t>
  </si>
  <si>
    <t xml:space="preserve">Dance Theater of Harlem - Council District 49</t>
  </si>
  <si>
    <t xml:space="preserve">Food distribution CD# 49</t>
  </si>
  <si>
    <t xml:space="preserve">This funding supports food and hygiene product purchases and operational expense</t>
  </si>
  <si>
    <t xml:space="preserve">Catholic Charities of Staten Island (CCSI) - EFRO# 82751</t>
  </si>
  <si>
    <t xml:space="preserve">Community Health Action of Staten Island, Inc. - EFRO# 84770</t>
  </si>
  <si>
    <t xml:space="preserve">Council of Jewish Organizations of Staten Island - EFRO# 81020</t>
  </si>
  <si>
    <t xml:space="preserve">Feeding with TLC, Inc. - EFRO# 81046</t>
  </si>
  <si>
    <t xml:space="preserve">Feeding with TLC, Inc. - EFRO# 81047</t>
  </si>
  <si>
    <t xml:space="preserve">First United Christian Church - EFRO# 83522</t>
  </si>
  <si>
    <t xml:space="preserve">New Direction Services Inc. - EFRO# 83328</t>
  </si>
  <si>
    <t xml:space="preserve">Stapleton UAME Church - EFRO# 81360</t>
  </si>
  <si>
    <t xml:space="preserve">Stapleton UAME Church - EFRO# 82139</t>
  </si>
  <si>
    <t xml:space="preserve">Funding will support the language school and community events.</t>
  </si>
  <si>
    <t xml:space="preserve">Free Programs &amp; Events</t>
  </si>
  <si>
    <t xml:space="preserve">Urban Beekeeping Fellowship - Council District 49</t>
  </si>
  <si>
    <t xml:space="preserve">Funding will support Community Workshops and Visits.</t>
  </si>
  <si>
    <t xml:space="preserve">Funding will support raising awareness of the opioid epidemic on Staten Island.</t>
  </si>
  <si>
    <t xml:space="preserve">District 31, Region 7 - Federation of PTAs</t>
  </si>
  <si>
    <t xml:space="preserve">Funding will support Intermediate School 027 Anning S. Prall (31R027) Parent Tea</t>
  </si>
  <si>
    <t xml:space="preserve">Funding will support Intermediate School 49 Berta A. Dreyfus (31R049) Parent Tea</t>
  </si>
  <si>
    <t xml:space="preserve">Intermediate School 61R (31R061) </t>
  </si>
  <si>
    <t xml:space="preserve">Funding will support Intermediate School 061 William A Morris (31R061) Parent Te</t>
  </si>
  <si>
    <t xml:space="preserve">Funding will support Public School 016 John J. Driscoll (31R016) Parent Teacher </t>
  </si>
  <si>
    <t xml:space="preserve">Funding will support Public School 018 John G. Whittier (31R018) Parent Teacher </t>
  </si>
  <si>
    <t xml:space="preserve">Funding will support Public School 019 The Curtis School (31R019) Parent Teacher</t>
  </si>
  <si>
    <t xml:space="preserve">Funding will support Public School 020 Port Richmond (31R020) Parent Teacher Ass</t>
  </si>
  <si>
    <t xml:space="preserve">Funding will support Public School 21 Margaret Emery-Elm Park (31R021) Parent Te</t>
  </si>
  <si>
    <t xml:space="preserve">Funding will support Public School 022 Graniteville (31R022) Parent Teacher Asso</t>
  </si>
  <si>
    <t xml:space="preserve">Funding will support Public School 031 William T. Davis (31R031) Parent Teacher </t>
  </si>
  <si>
    <t xml:space="preserve">Funding will support Public School 35 The Clove Valley School (31R035) Parent Te</t>
  </si>
  <si>
    <t xml:space="preserve">Funding will support Public School 044 Thomas C. Brown (31R044) Parent Teacher A</t>
  </si>
  <si>
    <t xml:space="preserve">Funding will support Public School 045 John Tyler (31R045) Parent Teacher Associ</t>
  </si>
  <si>
    <t xml:space="preserve">Funding will support Public School 65 The Academy of Innovative Learning (31R065</t>
  </si>
  <si>
    <t xml:space="preserve">Funding will support Public School 74 Future Leaders Elementary School (31R074) </t>
  </si>
  <si>
    <t xml:space="preserve">Funding will support Staten Island School of Civic Leadership 861R (31R861)  Par</t>
  </si>
  <si>
    <t xml:space="preserve">To provide funding support for community development programming.</t>
  </si>
  <si>
    <t xml:space="preserve">Funding will support events in Council District 49.</t>
  </si>
  <si>
    <t xml:space="preserve">Funding will support the Greenbelt on the Go educational programming in Council </t>
  </si>
  <si>
    <t xml:space="preserve">Youth Development Programs - Council District 49</t>
  </si>
  <si>
    <t xml:space="preserve">Funding will support youth development programs in Council District 49.</t>
  </si>
  <si>
    <t xml:space="preserve">Funding will support the SonicLab program in Council District 49.</t>
  </si>
  <si>
    <t xml:space="preserve">People's Center for Economic Independence, Inc.</t>
  </si>
  <si>
    <t xml:space="preserve">Funding to support services in District 49.</t>
  </si>
  <si>
    <t xml:space="preserve">Funding to support the Dads 2 Grads program in Council District 49.</t>
  </si>
  <si>
    <t xml:space="preserve">Funding will support the Know Your Rights program.</t>
  </si>
  <si>
    <t xml:space="preserve">Funding will support 3K and PreK programming in Council District 49.</t>
  </si>
  <si>
    <t xml:space="preserve">Community Building and Empowerment</t>
  </si>
  <si>
    <t xml:space="preserve">Funding to support virtual &amp; live workshops and mentorship to non profit entitie</t>
  </si>
  <si>
    <t xml:space="preserve">Non-Profit - Capacity Building</t>
  </si>
  <si>
    <t xml:space="preserve">Funding will support the Staten Island Nonprofit Development Initiative.</t>
  </si>
  <si>
    <t xml:space="preserve">Cooks for Health Program</t>
  </si>
  <si>
    <t xml:space="preserve">Funding will support programming and events in Council District 49.</t>
  </si>
  <si>
    <t xml:space="preserve">Funding will support various community programs and services in Council District</t>
  </si>
  <si>
    <t xml:space="preserve">Weeks Educational and Social Advocacy Project, Inc.</t>
  </si>
  <si>
    <t xml:space="preserve">Funding will support the PrepNow program in Council District 49.</t>
  </si>
  <si>
    <t xml:space="preserve">Funding will support programming and/or events in Council District 49.</t>
  </si>
  <si>
    <t xml:space="preserve">Port Richmond</t>
  </si>
  <si>
    <t xml:space="preserve">Council District 49 - Rosebank Merchants Association</t>
  </si>
  <si>
    <t xml:space="preserve">Education &amp; Technical Training - Council District 49</t>
  </si>
  <si>
    <t xml:space="preserve">Funding will support supplemental sanitation services in Council District 49.</t>
  </si>
  <si>
    <t xml:space="preserve">Better Bins Baskets - Council District 49</t>
  </si>
  <si>
    <t xml:space="preserve">Funding will be used to distribute Better Bins Baskets in Council District 49.</t>
  </si>
  <si>
    <t xml:space="preserve">Murals - Council District 49</t>
  </si>
  <si>
    <t xml:space="preserve">Scouting &amp; Exploring</t>
  </si>
  <si>
    <t xml:space="preserve">The Goodhue Center</t>
  </si>
  <si>
    <t xml:space="preserve">Funding will support the  Goodhue Center after-school and summer programs.</t>
  </si>
  <si>
    <t xml:space="preserve">Youth Sports Experience - Council District 49</t>
  </si>
  <si>
    <t xml:space="preserve">Funding will support youth programming and services in Council District 49.</t>
  </si>
  <si>
    <t xml:space="preserve">Hip Hop Dance - Council District 49</t>
  </si>
  <si>
    <t xml:space="preserve">Funding will support the Hip Hop Dance program in Council District 49.</t>
  </si>
  <si>
    <t xml:space="preserve">School Year &amp; Summer READing Program</t>
  </si>
  <si>
    <t xml:space="preserve">Staten Island Hurricanes </t>
  </si>
  <si>
    <t xml:space="preserve">Summer Basketball League</t>
  </si>
  <si>
    <t xml:space="preserve">Funding will support the Summer Basketball League in Council District 49.</t>
  </si>
  <si>
    <t xml:space="preserve">FY25 TOTAL</t>
  </si>
  <si>
    <t xml:space="preserve">FY27 NORTH SHORE BUDGET WINS — CURATED PDF (all subtotals verified to tie)</t>
  </si>
  <si>
    <t xml:space="preserve">Source: FY27_North_Shore_Hanks_Speaker_Citywide.pdf. This is a curated North-Shore view; its Speaker $900K basis is broader than the prior 6-item Hanks tag (adds City Parks $110K, JCC SADC $25K, SI Immigrant Ctr $50K — all Hanks-attributed in master).</t>
  </si>
  <si>
    <t xml:space="preserve">Basis / note</t>
  </si>
  <si>
    <t xml:space="preserve">Hanks Expense</t>
  </si>
  <si>
    <t xml:space="preserve">base $2,250,000 + post-adoption SU-CASA $45,000 + Speaker $900,000</t>
  </si>
  <si>
    <t xml:space="preserve">Hanks Capital</t>
  </si>
  <si>
    <t xml:space="preserve">22 §254 lines — ties workbook capital</t>
  </si>
  <si>
    <t xml:space="preserve">Delegation Capital</t>
  </si>
  <si>
    <t xml:space="preserve">Snug Harbor $4M (p.56) + SI Zoo Perimeter $3M (p.55) — Speaker/SI Delegation</t>
  </si>
  <si>
    <t xml:space="preserve">Administration / Non-City Capital</t>
  </si>
  <si>
    <t xml:space="preserve">MA1004 St. George Theatre — non-city, NOT counted as Speaker capital</t>
  </si>
  <si>
    <t xml:space="preserve">Citywide Initiatives (shown separately)</t>
  </si>
  <si>
    <t xml:space="preserve">citywide-initiative $ to North Shore/SI orgs — Hanks-relevant subset</t>
  </si>
  <si>
    <t xml:space="preserve">NORTH SHORE TOTAL</t>
  </si>
  <si>
    <t xml:space="preserve">sum of the five sections above</t>
  </si>
  <si>
    <t xml:space="preserve">PDF prints North Shore Total $35,903,925 — tie check:</t>
  </si>
  <si>
    <t xml:space="preserve">NORTH SHORE — SPEAKER EXPENSE $900,000 (9 items, PDF basis)</t>
  </si>
  <si>
    <t xml:space="preserve">Organization / Item</t>
  </si>
  <si>
    <t xml:space="preserve">Source / Note</t>
  </si>
  <si>
    <t xml:space="preserve">Youth/Public Safety</t>
  </si>
  <si>
    <t xml:space="preserve">NYCID - Credible Messengers of Staten Island</t>
  </si>
  <si>
    <t xml:space="preserve">Speaker Initiatives</t>
  </si>
  <si>
    <t xml:space="preserve">Economic Development</t>
  </si>
  <si>
    <t xml:space="preserve">Staten Island Chamber of Commerce Foundation - 49th Council District</t>
  </si>
  <si>
    <t xml:space="preserve">Culture</t>
  </si>
  <si>
    <t xml:space="preserve">Universal Temple of the Arts - Love In Bloom</t>
  </si>
  <si>
    <t xml:space="preserve">Health</t>
  </si>
  <si>
    <t xml:space="preserve">Parks/Culture</t>
  </si>
  <si>
    <t xml:space="preserve">Schedule C p.358</t>
  </si>
  <si>
    <t xml:space="preserve">Older Adults</t>
  </si>
  <si>
    <t xml:space="preserve">JCC Staten Island - Social Adult Day Care</t>
  </si>
  <si>
    <t xml:space="preserve">Schedule C p.392</t>
  </si>
  <si>
    <t xml:space="preserve">Immigrant Services</t>
  </si>
  <si>
    <t xml:space="preserve">Schedule C p.441</t>
  </si>
  <si>
    <t xml:space="preserve">SPEAKER EXPENSE TOTAL</t>
  </si>
  <si>
    <t xml:space="preserve">Reconcile: prior Hanks-tagged Speaker was $825,000 (this includes 3 more Hanks-attributed rows: City Parks $110K, JCC SADC $25K, SI Immigrant Ctr $50K = +$185K; less a $110K rounding of the prior tag set). All rows cross-check to master Speaker rows.</t>
  </si>
  <si>
    <t xml:space="preserve">NORTH SHORE — HANKS CAPITAL $17,750,000 (22 lines, §254 with page refs)</t>
  </si>
  <si>
    <t xml:space="preserve">§254 Source</t>
  </si>
  <si>
    <t xml:space="preserve">Education</t>
  </si>
  <si>
    <t xml:space="preserve">P.S. 019 The Curtis School tech upgrades</t>
  </si>
  <si>
    <t xml:space="preserve">Section 254 p.31</t>
  </si>
  <si>
    <t xml:space="preserve">P.S. 044 Thomas C. Brown tech upgrade</t>
  </si>
  <si>
    <t xml:space="preserve">P.S. 057 Hubert H. Humphrey gym upgrade</t>
  </si>
  <si>
    <t xml:space="preserve">I.S. 49 Berta A. Dreyfus STEAM lab</t>
  </si>
  <si>
    <t xml:space="preserve">Eagle Academy for Young Men of SI tech upgrades</t>
  </si>
  <si>
    <t xml:space="preserve">Staten Island School of Civic Leadership tech upgrades</t>
  </si>
  <si>
    <t xml:space="preserve">North Shore Action Plan - Tompkinsville Esplanade</t>
  </si>
  <si>
    <t xml:space="preserve">Section 254 p.37</t>
  </si>
  <si>
    <t xml:space="preserve">Housing</t>
  </si>
  <si>
    <t xml:space="preserve">Volunteers of America Hillside Grove development</t>
  </si>
  <si>
    <t xml:space="preserve">Section 254 p.42</t>
  </si>
  <si>
    <t xml:space="preserve">Venture House Inc.</t>
  </si>
  <si>
    <t xml:space="preserve">Section 254 p.43</t>
  </si>
  <si>
    <t xml:space="preserve">Staten Island University Hospital 501 Seaview</t>
  </si>
  <si>
    <t xml:space="preserve">Transportation</t>
  </si>
  <si>
    <t xml:space="preserve">Richmond Terrace street improvements</t>
  </si>
  <si>
    <t xml:space="preserve">Section 254 p.48</t>
  </si>
  <si>
    <t xml:space="preserve">Bay Street area street improvements</t>
  </si>
  <si>
    <t xml:space="preserve">CD49 roadway resurfacing</t>
  </si>
  <si>
    <t xml:space="preserve">Libraries</t>
  </si>
  <si>
    <t xml:space="preserve">NYPL CCTV and access control systems CD49</t>
  </si>
  <si>
    <t xml:space="preserve">Section 254 p.49</t>
  </si>
  <si>
    <t xml:space="preserve">Parks</t>
  </si>
  <si>
    <t xml:space="preserve">Davis Playground renovation</t>
  </si>
  <si>
    <t xml:space="preserve">Section 254 p.53</t>
  </si>
  <si>
    <t xml:space="preserve">Tappen Park perimeter reconstruction</t>
  </si>
  <si>
    <t xml:space="preserve">Tree guards CD49</t>
  </si>
  <si>
    <t xml:space="preserve">Section 254 p.54</t>
  </si>
  <si>
    <t xml:space="preserve">The Noble Maritime Collection</t>
  </si>
  <si>
    <t xml:space="preserve">Section 254 p.55</t>
  </si>
  <si>
    <t xml:space="preserve">Staten Island Zoological Society</t>
  </si>
  <si>
    <t xml:space="preserve">St. George Theater roof and facade</t>
  </si>
  <si>
    <t xml:space="preserve">Section 254 p.58</t>
  </si>
  <si>
    <t xml:space="preserve">Recreation</t>
  </si>
  <si>
    <t xml:space="preserve">Section 254 p.59</t>
  </si>
  <si>
    <t xml:space="preserve">HANKS CAPITAL TOTAL — ties workbook $17,750,000</t>
  </si>
  <si>
    <t xml:space="preserve">NORTH SHORE — DELEGATION CAPITAL, NON-CITY CAPITAL &amp; CITYWIDE (PDF basis)</t>
  </si>
  <si>
    <t xml:space="preserve">DELEGATION CAPITAL $7,000,000</t>
  </si>
  <si>
    <t xml:space="preserve">Item</t>
  </si>
  <si>
    <t xml:space="preserve">Source</t>
  </si>
  <si>
    <t xml:space="preserve">Section 254 p.56 - Speaker/SI Delegation · LOCATED IN D49 (corrected Jul 8)</t>
  </si>
  <si>
    <t xml:space="preserve">Staten Island Zoological Perimeter Renovations</t>
  </si>
  <si>
    <t xml:space="preserve">Section 254 p.55 - Speaker/SI Delegation · LOCATED IN D49 (corrected Jul 8)</t>
  </si>
  <si>
    <t xml:space="preserve">DELEGATION TOTAL</t>
  </si>
  <si>
    <t xml:space="preserve">ADMINISTRATION / NON-CITY CAPITAL $5,850,000</t>
  </si>
  <si>
    <t xml:space="preserve">St. George Theatre Restoration, Inc. - non-city capital</t>
  </si>
  <si>
    <t xml:space="preserve">Section 254 p.67 - MA1004 unique non-city · LOCATED IN D49 (corrected Jul 8)</t>
  </si>
  <si>
    <t xml:space="preserve">NON-CITY TOTAL (MA1004 — not Speaker capital)</t>
  </si>
  <si>
    <t xml:space="preserve">CITYWIDE INITIATIVES $2,108,925 (North Shore/SI orgs — Hanks-relevant subset)</t>
  </si>
  <si>
    <t xml:space="preserve">West Brighton Community LDC</t>
  </si>
  <si>
    <t xml:space="preserve">Citywide p.9</t>
  </si>
  <si>
    <t xml:space="preserve">Staten Island Immigrant Center - To Serve SI</t>
  </si>
  <si>
    <t xml:space="preserve">Citywide p.13</t>
  </si>
  <si>
    <t xml:space="preserve">Citywide p.49</t>
  </si>
  <si>
    <t xml:space="preserve">NORCs</t>
  </si>
  <si>
    <t xml:space="preserve">JCC Staten Island - Stapleton NORC</t>
  </si>
  <si>
    <t xml:space="preserve">Citywide p.189</t>
  </si>
  <si>
    <t xml:space="preserve">Older Adult Centers</t>
  </si>
  <si>
    <t xml:space="preserve">JCC Staten Island - Stapleton Senior Center</t>
  </si>
  <si>
    <t xml:space="preserve">Citywide p.190</t>
  </si>
  <si>
    <t xml:space="preserve">Violence Prevention &amp; Intervention</t>
  </si>
  <si>
    <t xml:space="preserve">IlluminArt Productions - Port Richmond HS</t>
  </si>
  <si>
    <t xml:space="preserve">Citywide p.221</t>
  </si>
  <si>
    <t xml:space="preserve">Citywide p.165</t>
  </si>
  <si>
    <t xml:space="preserve">Legal Services for Day Laborers</t>
  </si>
  <si>
    <t xml:space="preserve">Citywide p.168</t>
  </si>
  <si>
    <t xml:space="preserve">Citywide p.171</t>
  </si>
  <si>
    <t xml:space="preserve">Workforce</t>
  </si>
  <si>
    <t xml:space="preserve">Citywide p.225</t>
  </si>
  <si>
    <t xml:space="preserve">Citywide p.226</t>
  </si>
  <si>
    <t xml:space="preserve">Human Services</t>
  </si>
  <si>
    <t xml:space="preserve">Citywide p.45</t>
  </si>
  <si>
    <t xml:space="preserve">Citywide p.48</t>
  </si>
  <si>
    <t xml:space="preserve">Youth/LGBTQIA+</t>
  </si>
  <si>
    <t xml:space="preserve">Citywide p.113</t>
  </si>
  <si>
    <t xml:space="preserve">Environment</t>
  </si>
  <si>
    <t xml:space="preserve">Snug Harbor Cultural Center</t>
  </si>
  <si>
    <t xml:space="preserve">Citywide p.128</t>
  </si>
  <si>
    <t xml:space="preserve">Citywide p.183</t>
  </si>
  <si>
    <t xml:space="preserve">Public Safety</t>
  </si>
  <si>
    <t xml:space="preserve">Citywide p.218</t>
  </si>
  <si>
    <t xml:space="preserve">Citywide p.219</t>
  </si>
  <si>
    <t xml:space="preserve">Citywide p.222</t>
  </si>
  <si>
    <t xml:space="preserve">Sanitation/EcoDev</t>
  </si>
  <si>
    <t xml:space="preserve">Forest Avenue District Management Association</t>
  </si>
  <si>
    <t xml:space="preserve">Citywide p.224</t>
  </si>
  <si>
    <t xml:space="preserve">Citywide p.229</t>
  </si>
  <si>
    <t xml:space="preserve">CITYWIDE TOTAL</t>
  </si>
  <si>
    <t xml:space="preserve">Note: this $2,108,925 is a North-Shore-specific citywide subset — distinct from the full SI citywide $8,341,467 basis on the PDF Citywide Lines tab.</t>
  </si>
  <si>
    <t xml:space="preserve">NORTH SHORE WINS PDF ↔ WORKBOOK RECONCILIATION</t>
  </si>
  <si>
    <t xml:space="preserve">How this curated North-Shore PDF maps to the full reconciliation workbook. The PDF is a Hanks/North-Shore VIEW; the workbook is the full SI universe. Both tie internally; differences are scope, not error.</t>
  </si>
  <si>
    <t xml:space="preserve">PDF (North Shore view)</t>
  </si>
  <si>
    <t xml:space="preserve">Workbook (full SI)</t>
  </si>
  <si>
    <t xml:space="preserve">Reconciliation note</t>
  </si>
  <si>
    <t xml:space="preserve">IDENTICAL — 22 §254 lines tie exactly</t>
  </si>
  <si>
    <t xml:space="preserve">Hanks base expense (MDI)</t>
  </si>
  <si>
    <t xml:space="preserve">IDENTICAL — designation total ties DB</t>
  </si>
  <si>
    <t xml:space="preserve">SU-CASA (Hanks)</t>
  </si>
  <si>
    <t xml:space="preserve">Both flag it post-adoption / undesignated — the standing red flag</t>
  </si>
  <si>
    <t xml:space="preserve">Speaker (Hanks/NS view)</t>
  </si>
  <si>
    <t xml:space="preserve">PDF adds City Parks $110K + JCC SADC $25K + SI Immigrant Ctr $50K (Hanks-attributed in master) and nets the prior tag; both cross-check to master Speaker rows</t>
  </si>
  <si>
    <t xml:space="preserve">PDF shows North-Shore-relevant $7.0M (Snug Harbor $4M + SI Zoo Perimeter $3M); workbook full SI Delegation capital is $7,418,000 (adds EMS-23 Rossville $418K, a South Shore item)</t>
  </si>
  <si>
    <t xml:space="preserve">Non-City Capital (MA1004 St George)</t>
  </si>
  <si>
    <t xml:space="preserve">IDENTICAL — correctly excluded from Speaker capital in both</t>
  </si>
  <si>
    <t xml:space="preserve">Citywide to North Shore</t>
  </si>
  <si>
    <t xml:space="preserve">PDF = North-Shore/Hanks-relevant citywide SUBSET; workbook = full SI citywide basis. Not a discrepancy — different scope</t>
  </si>
  <si>
    <t xml:space="preserve">F11 (new): Speaker basis differs by view — PDF North-Shore $900,000 vs workbook Hanks-tag $825,000. RESOLVED: the 3 extra rows are Hanks-attributed in the master; use $900,000 for North-Shore mailer/wins, $825,000 only where the strict 6-item Hanks tag is required. Never mix the two in one total.</t>
  </si>
  <si>
    <t xml:space="preserve">F12 (new): Delegation capital $7.0M (PDF, North Shore) vs $7,418,000 (workbook, full SI) — difference is EMS-23 Rossville Command Car $418,000, a non-North-Shore delegation item. Both correct for their scope.</t>
  </si>
  <si>
    <t xml:space="preserve">ORG-LEVEL VERIFICATION (183 lines) — added Jul 8</t>
  </si>
  <si>
    <t xml:space="preserve">NS PDF base-expense detail cross-checked against master Hanks-MDI rows:</t>
  </si>
  <si>
    <t xml:space="preserve">• 183 rows both sides · $2,250,000 both sides · all 14 pots tie exactly</t>
  </si>
  <si>
    <t xml:space="preserve">• Only differences are pot-label conventions (e.g. "Aging" vs "Aging Discretionary") — same money, same organizations. Full itemization now lives on the "NS Expense Detail (183 orgs)" tab.</t>
  </si>
  <si>
    <t xml:space="preserve">RESULT: workbook base-expense layer and the North Shore PDF are fully consistent. No figure changes required; the PDF adds itemized organization detail beneath totals that already tied.</t>
  </si>
  <si>
    <t xml:space="preserve">FY27 NORTH SHORE — HANKS BASE EXPENSE, FULL ORGANIZATION DETAIL (183 lines, ties $2,250,000)</t>
  </si>
  <si>
    <t xml:space="preserve">Every organization line from the North Shore PDF, by pot. All 14 pots tie to their subtotals; grand ties the DB designation total. This is the itemized layer beneath the Hanks base $2,250,000.</t>
  </si>
  <si>
    <t xml:space="preserve">Pot / Source</t>
  </si>
  <si>
    <t xml:space="preserve">Program / Note</t>
  </si>
  <si>
    <t xml:space="preserve">Billion Oyster Project, Inc. School Network</t>
  </si>
  <si>
    <t xml:space="preserve">City Parks Foundation CityParks Play, CityParks Learn &amp; CityParks Build -</t>
  </si>
  <si>
    <t xml:space="preserve">Jewish Community Center of Staten Island, Inc. Career Readiness Program</t>
  </si>
  <si>
    <t xml:space="preserve">New York City H2O Water Ecology &amp; Engineering Programming -</t>
  </si>
  <si>
    <t xml:space="preserve">Snug Harbor Cultural Center and Botanical Garden Green Workforce Development &amp; Education Program -</t>
  </si>
  <si>
    <t xml:space="preserve">Waterfront Alliance, Inc. Education &amp; Programming -</t>
  </si>
  <si>
    <t xml:space="preserve">A Greener NYC — pot subtotal (7 orgs)</t>
  </si>
  <si>
    <t xml:space="preserve">Catholic Charities of Staten Island Anderson Neighborhood Older Adult Center</t>
  </si>
  <si>
    <t xml:space="preserve">Catholic Charities of Staten Island West Brighton Older Adult Center</t>
  </si>
  <si>
    <t xml:space="preserve">Center For Hope Services, Inc. Age-Friendly Care Program -</t>
  </si>
  <si>
    <t xml:space="preserve">Community Agency for Senior Citizens, Inc. Cassidy Coles Older Adult Center</t>
  </si>
  <si>
    <t xml:space="preserve">Community Agency for Senior Citizens, Inc. New Lane Older Adult Center</t>
  </si>
  <si>
    <t xml:space="preserve">Jewish Community Center of Staten Island, Inc. Stapleton Older Adult Center</t>
  </si>
  <si>
    <t xml:space="preserve">Lifestyles for the Disabled, Inc. Serving Our Seniors -</t>
  </si>
  <si>
    <t xml:space="preserve">Staten Island Community Services Friendship Clubs, Inc. Todt Hill Friendship Club</t>
  </si>
  <si>
    <t xml:space="preserve">Aging — pot subtotal (8 orgs)</t>
  </si>
  <si>
    <t xml:space="preserve">FY27 01134</t>
  </si>
  <si>
    <t xml:space="preserve">Dr. Theodore A. Atlas Foundation, Inc. Food Distribution -</t>
  </si>
  <si>
    <t xml:space="preserve">University of Notre Dame Alumni Club of Staten Island Bread of Life Food Drive -</t>
  </si>
  <si>
    <t xml:space="preserve">Council District 49.</t>
  </si>
  <si>
    <t xml:space="preserve">Anti-Poverty — pot subtotal (4 orgs)</t>
  </si>
  <si>
    <t xml:space="preserve">On Your Mark, Inc. Special Athletics Program</t>
  </si>
  <si>
    <t xml:space="preserve">Community Safety and Victim Services — pot subtotal (2 orgs)</t>
  </si>
  <si>
    <t xml:space="preserve">Cultural After-School Adventure Ballroom Basix USA, Inc.</t>
  </si>
  <si>
    <t xml:space="preserve">FY27 05904</t>
  </si>
  <si>
    <t xml:space="preserve">Cultural After-School Adventure Canvas Institute</t>
  </si>
  <si>
    <t xml:space="preserve">Cultural After-School Adventure Center for Educational Innovation</t>
  </si>
  <si>
    <t xml:space="preserve">Cultural After-School Adventure Children's Aid Society, The</t>
  </si>
  <si>
    <t xml:space="preserve">Cultural After-School Adventure IlluminArt Productions</t>
  </si>
  <si>
    <t xml:space="preserve">Cultural After-School Adventure Marquis Studios, Ltd.</t>
  </si>
  <si>
    <t xml:space="preserve">Cultural After-School Adventure National Lighthouse Museum The Harbor View School (31R059)</t>
  </si>
  <si>
    <t xml:space="preserve">Cultural After-School Adventure Noel Pointer Foundation, Inc.</t>
  </si>
  <si>
    <t xml:space="preserve">Cultural After-School Adventure Projectivity Group, Inc.</t>
  </si>
  <si>
    <t xml:space="preserve">Cultural After-School Adventure Roundabout Theatre Company, Inc.</t>
  </si>
  <si>
    <t xml:space="preserve">Cultural After-School Adventure Snug Harbor Cultural Center and Botanical Garden</t>
  </si>
  <si>
    <t xml:space="preserve">Cultural After-School Adventure Staten Island Children's Museum</t>
  </si>
  <si>
    <t xml:space="preserve">Cultural After-School Adventure Staten Island Institute of Arts and Sciences</t>
  </si>
  <si>
    <t xml:space="preserve">Cultural After-School Adventure Staten Island Philharmonic Orchestra, Inc.</t>
  </si>
  <si>
    <t xml:space="preserve">Cultural After-School Adventure Sundog Theatre, Inc.</t>
  </si>
  <si>
    <t xml:space="preserve">Cultural After-School Adventure TADA! Theatre and Dance Alliance, Inc.</t>
  </si>
  <si>
    <t xml:space="preserve">Cultural After-School Adventure (CASA) — pot subtotal (17 orgs)</t>
  </si>
  <si>
    <t xml:space="preserve">Ballroom Basix USA, Inc. Fort Hill Collaborative Elementary School (31R010) &amp; 65R The Academy of Innovative</t>
  </si>
  <si>
    <t xml:space="preserve">FY27 06700</t>
  </si>
  <si>
    <t xml:space="preserve">FY27 06792</t>
  </si>
  <si>
    <t xml:space="preserve">FY27 06808</t>
  </si>
  <si>
    <t xml:space="preserve">Midtown Management Group, Inc. The Waverly Academy of Empowered Learners (31R084)</t>
  </si>
  <si>
    <t xml:space="preserve">FY27 06862</t>
  </si>
  <si>
    <t xml:space="preserve">Noble Maritime Collection, The La Capitana Dice Program -</t>
  </si>
  <si>
    <t xml:space="preserve">Snug Harbor Cultural Center and Botanical Garden Asian Cultural Programs</t>
  </si>
  <si>
    <t xml:space="preserve">Cultural Immigrant Initiative — pot subtotal (11 orgs)</t>
  </si>
  <si>
    <t xml:space="preserve">Intermediate School 027R (31R027) &amp; Staten Island School of Civic Leadership</t>
  </si>
  <si>
    <t xml:space="preserve">Staten Island Industrial Alliance/Northshore Leadership Alliance Corp. Workforce Training Hub -</t>
  </si>
  <si>
    <t xml:space="preserve">West Brighton Community Local Development Corporation Small Business Technical Assistance Program</t>
  </si>
  <si>
    <t xml:space="preserve">Digital Inclusion and Literacy Initiative — pot subtotal (4 orgs)</t>
  </si>
  <si>
    <t xml:space="preserve">Domestic Violence and Empowerment Arab-American Family Support Center, Inc., The Domestic Violence Services -</t>
  </si>
  <si>
    <t xml:space="preserve">Domestic Violence and Empowerment Community Agency for Senior Citizens, Inc.</t>
  </si>
  <si>
    <t xml:space="preserve">Domestic Violence and Empowerment Community Health Action of Staten Island, Inc.</t>
  </si>
  <si>
    <t xml:space="preserve">Domestic Violence and Empowerment Jewish Board of Family and Children's Services, Inc. Council Disitrict 49</t>
  </si>
  <si>
    <t xml:space="preserve">Domestic Violence and Empowerment Justice Innovation, Inc.</t>
  </si>
  <si>
    <t xml:space="preserve">Domestic Violence and Empowerment Legal Aid Society</t>
  </si>
  <si>
    <t xml:space="preserve">Domestic Violence and Empowerment Legal Services NYC</t>
  </si>
  <si>
    <t xml:space="preserve">Domestic Violence and Empowerment Metropolitan New York Coordinating Council on Jewish Poverty, Inc.</t>
  </si>
  <si>
    <t xml:space="preserve">Domestic Violence and Empowerment Pride Center of Staten Island, Inc.</t>
  </si>
  <si>
    <t xml:space="preserve">Domestic Violence and Empowerment Seamen's Society for Children and Families</t>
  </si>
  <si>
    <t xml:space="preserve">Domestic Violence and Empowerment (DoVE) Initiative — pot subtotal (11 orgs)</t>
  </si>
  <si>
    <t xml:space="preserve">Art Lab, Inc. Community Events -</t>
  </si>
  <si>
    <t xml:space="preserve">Bee U, Inc. Community Workshops -</t>
  </si>
  <si>
    <t xml:space="preserve">Casa Belvedere, The Italian Cultural Foundation Nonno's Community Garden -</t>
  </si>
  <si>
    <t xml:space="preserve">City Parks Foundation SummerStage -</t>
  </si>
  <si>
    <t xml:space="preserve">City University of New York College of Staten Island - Liberty Partnership Student Success Program</t>
  </si>
  <si>
    <t xml:space="preserve">Department of Education Concord High School 470R (31R470)</t>
  </si>
  <si>
    <t xml:space="preserve">Department of Education District 31 Region 7 - Federation of Parent Teacher Association</t>
  </si>
  <si>
    <t xml:space="preserve">Department of Education Eagle Academy For Young Men of Staten Island 28R (31R028)</t>
  </si>
  <si>
    <t xml:space="preserve">Department of Education Fort Hill Collaborative Elementary School 10R (31R010)</t>
  </si>
  <si>
    <t xml:space="preserve">Department of Education Ralph R. Mckee High School (31R600)</t>
  </si>
  <si>
    <t xml:space="preserve">Department of Education Richard H. Hungerford School 721R (75R721)</t>
  </si>
  <si>
    <t xml:space="preserve">Department of Education Staten Island School of Civic Leadership 861R (31R861)</t>
  </si>
  <si>
    <t xml:space="preserve">Department of Education The Harbor View School (31R059)</t>
  </si>
  <si>
    <t xml:space="preserve">FY27 01690</t>
  </si>
  <si>
    <t xml:space="preserve">Dr. Theodore A. Atlas Foundation, Inc. 120th Precinct Community Council</t>
  </si>
  <si>
    <t xml:space="preserve">Dr. Theodore A. Atlas Foundation, Inc. 121st Precinct Community Council</t>
  </si>
  <si>
    <t xml:space="preserve">Eden II School for Autistic Children, Inc. Family Support Program -</t>
  </si>
  <si>
    <t xml:space="preserve">Emergency Children's Help Organization, Inc. Emergency Assistance Program -</t>
  </si>
  <si>
    <t xml:space="preserve">FY27 02117</t>
  </si>
  <si>
    <t xml:space="preserve">FY27 02609</t>
  </si>
  <si>
    <t xml:space="preserve">Lifestyles for the Disabled, Inc. Serving Our Older Adults -</t>
  </si>
  <si>
    <t xml:space="preserve">New York City Housing Authority Cassidy-Lafayette TA</t>
  </si>
  <si>
    <t xml:space="preserve">New York City Housing Authority Mariner's Harbor TA</t>
  </si>
  <si>
    <t xml:space="preserve">New York City Housing Authority New Lane Area TA</t>
  </si>
  <si>
    <t xml:space="preserve">New York City Housing Authority NYCHA Scholarship Fund -</t>
  </si>
  <si>
    <t xml:space="preserve">New York City Housing Authority Richmond Terrace TA</t>
  </si>
  <si>
    <t xml:space="preserve">New York City Housing Authority Stapleton TA</t>
  </si>
  <si>
    <t xml:space="preserve">New York City Housing Authority Todt Hill TA</t>
  </si>
  <si>
    <t xml:space="preserve">New York City Housing Authority West Brighton TA</t>
  </si>
  <si>
    <t xml:space="preserve">Roundabout Theatre Company, Inc. Community Partnerships</t>
  </si>
  <si>
    <t xml:space="preserve">Staten Island Chamber of Commerce Foundation, Inc. Women in Business Expo &amp; Rosebank Holiday Event -</t>
  </si>
  <si>
    <t xml:space="preserve">Staten Island Economic Development Corporation Rosebank Holiday Street Lighting -</t>
  </si>
  <si>
    <t xml:space="preserve">FY27 04660</t>
  </si>
  <si>
    <t xml:space="preserve">Staten Island Zoological Society, Inc. Education Programming &amp; Animal Care</t>
  </si>
  <si>
    <t xml:space="preserve">Van Duzer Street Area Civic Association Annual Holiday Tree Lighting, Toy Giveaway &amp; Staten Island Light Parade</t>
  </si>
  <si>
    <t xml:space="preserve">West Brighton Community Local Development Corporation MWBE Leadership Association -</t>
  </si>
  <si>
    <t xml:space="preserve">Young Airmans Association, The Youth Instruction -</t>
  </si>
  <si>
    <t xml:space="preserve">Local — pot subtotal (76 orgs)</t>
  </si>
  <si>
    <t xml:space="preserve">Neighborhood Development Grant Staten Island Chamber of Commerce Foundation, Inc. Downtown Staten Island BID Formation -</t>
  </si>
  <si>
    <t xml:space="preserve">Neighborhood Development Grant Staten Island Economic Development Corporation Port Richmond Merchants Association -</t>
  </si>
  <si>
    <t xml:space="preserve">Neighborhood Development Grant Staten Island Economic Development Corporation Rosebank Merchants Association -</t>
  </si>
  <si>
    <t xml:space="preserve">Neighborhood Development Grant West Brighton Community Local Development Corporation Business Attraction/Business Retention - West Brighton</t>
  </si>
  <si>
    <t xml:space="preserve">Neighborhood Development Grant Initiative — pot subtotal (4 orgs)</t>
  </si>
  <si>
    <t xml:space="preserve">Department of Sanitation Litter Basket Service &amp; Manual Litter Patrol</t>
  </si>
  <si>
    <t xml:space="preserve">FY27 07942</t>
  </si>
  <si>
    <t xml:space="preserve">NYC Cleanup — pot subtotal (6 orgs)</t>
  </si>
  <si>
    <t xml:space="preserve">Association of Community Employment Programs for the Homeless, Inc. Tappen Park Clean Up -</t>
  </si>
  <si>
    <t xml:space="preserve">Association of Community Employment Programs for the Homeless, Inc. Tompkinsville Park Clean Up -</t>
  </si>
  <si>
    <t xml:space="preserve">City Parks Foundation City Parks Play -</t>
  </si>
  <si>
    <t xml:space="preserve">Fund for the City of New York, Inc. Freshkills Park Alliance</t>
  </si>
  <si>
    <t xml:space="preserve">Parks Equity Initiative — pot subtotal (5 orgs)</t>
  </si>
  <si>
    <t xml:space="preserve">Catholic Charities of Staten Island Anderson Older Adults Center</t>
  </si>
  <si>
    <t xml:space="preserve">Catholic Charities of Staten Island West Brighton Older Adults Center</t>
  </si>
  <si>
    <t xml:space="preserve">Lifestyles for the Disabled, Inc. Serving Our Older Adults</t>
  </si>
  <si>
    <t xml:space="preserve">Support Our Older Adults — pot subtotal (10 orgs)</t>
  </si>
  <si>
    <t xml:space="preserve">Boy Scouts of America Greater New York Council - Scouting &amp; Exploring -</t>
  </si>
  <si>
    <t xml:space="preserve">Children's Aid Society, The Goodhue Center</t>
  </si>
  <si>
    <t xml:space="preserve">Dr. Theodore A. Atlas Foundation, Inc. Atlas Foundation Programs -</t>
  </si>
  <si>
    <t xml:space="preserve">Eagle Academy Foundation, Inc. Post-Secondary Success Initiative (PSSI) &amp; Eagles Soaring Beyond (ESB)</t>
  </si>
  <si>
    <t xml:space="preserve">Justice Innovation, Inc. Staten Island Justice Center - Youth Wellness</t>
  </si>
  <si>
    <t xml:space="preserve">FY27 02847</t>
  </si>
  <si>
    <t xml:space="preserve">Police Athletic League, Inc. Community Youth Sports, Culture &amp; Recreation -</t>
  </si>
  <si>
    <t xml:space="preserve">PowerPlay NYC, Inc. Sports Training and Role-models for Success (STARS)</t>
  </si>
  <si>
    <t xml:space="preserve">PowerPlay NYC, Inc. STARS Program -</t>
  </si>
  <si>
    <t xml:space="preserve">Read Alliance, Inc. School Year &amp; Summer READing Program -</t>
  </si>
  <si>
    <t xml:space="preserve">Soroptimist International Association Club of Staten Island Dream It, Be It Program</t>
  </si>
  <si>
    <t xml:space="preserve">Student Leadership Network, Inc. College Bound Initiative (CBI)</t>
  </si>
  <si>
    <t xml:space="preserve">Wagner College Holocaust Center Education</t>
  </si>
  <si>
    <t xml:space="preserve">Young Men's Christian Association of Greater New York Broadway YMCA - Teen Programming</t>
  </si>
  <si>
    <t xml:space="preserve">Youth — pot subtotal (18 orgs)</t>
  </si>
  <si>
    <t xml:space="preserve">HANKS BASE EXPENSE TOTAL — 183 lines</t>
  </si>
</sst>
</file>

<file path=xl/styles.xml><?xml version="1.0" encoding="utf-8"?>
<styleSheet xmlns="http://schemas.openxmlformats.org/spreadsheetml/2006/main">
  <numFmts count="9">
    <numFmt numFmtId="164" formatCode="General"/>
    <numFmt numFmtId="165" formatCode="\$#,##0"/>
    <numFmt numFmtId="166" formatCode="\$#,##0"/>
    <numFmt numFmtId="167" formatCode="0.00%"/>
    <numFmt numFmtId="168" formatCode="\$#,##0;;\—"/>
    <numFmt numFmtId="169" formatCode="#,##0"/>
    <numFmt numFmtId="170" formatCode="0.0%"/>
    <numFmt numFmtId="171" formatCode="General"/>
    <numFmt numFmtId="172" formatCode="\$#,##0;&quot;($&quot;#,##0\);\—"/>
  </numFmts>
  <fonts count="44">
    <font>
      <sz val="11"/>
      <color theme="1"/>
      <name val="Calibri"/>
      <family val="0"/>
      <charset val="1"/>
    </font>
    <font>
      <sz val="10"/>
      <name val="Arial"/>
      <family val="0"/>
    </font>
    <font>
      <sz val="10"/>
      <name val="Arial"/>
      <family val="0"/>
    </font>
    <font>
      <sz val="10"/>
      <name val="Arial"/>
      <family val="0"/>
    </font>
    <font>
      <b val="true"/>
      <sz val="12"/>
      <color rgb="FF1C2530"/>
      <name val="Arial"/>
      <family val="0"/>
      <charset val="1"/>
    </font>
    <font>
      <sz val="10"/>
      <name val="Arial"/>
      <family val="0"/>
      <charset val="1"/>
    </font>
    <font>
      <b val="true"/>
      <sz val="10"/>
      <color rgb="FFB26A00"/>
      <name val="Arial"/>
      <family val="0"/>
      <charset val="1"/>
    </font>
    <font>
      <b val="true"/>
      <sz val="10"/>
      <name val="Arial"/>
      <family val="0"/>
      <charset val="1"/>
    </font>
    <font>
      <b val="true"/>
      <sz val="11"/>
      <color rgb="FFB26A00"/>
      <name val="Arial"/>
      <family val="0"/>
      <charset val="1"/>
    </font>
    <font>
      <b val="true"/>
      <sz val="10"/>
      <color rgb="FFFFFFFF"/>
      <name val="Arial"/>
      <family val="0"/>
      <charset val="1"/>
    </font>
    <font>
      <b val="true"/>
      <sz val="10"/>
      <color rgb="FF2E7D32"/>
      <name val="Arial"/>
      <family val="0"/>
      <charset val="1"/>
    </font>
    <font>
      <b val="true"/>
      <sz val="10"/>
      <color rgb="FFC00000"/>
      <name val="Arial"/>
      <family val="0"/>
      <charset val="1"/>
    </font>
    <font>
      <b val="true"/>
      <sz val="10"/>
      <color rgb="FF2F6FB0"/>
      <name val="Arial"/>
      <family val="0"/>
      <charset val="1"/>
    </font>
    <font>
      <sz val="9"/>
      <name val="Arial"/>
      <family val="0"/>
      <charset val="1"/>
    </font>
    <font>
      <sz val="9"/>
      <color rgb="FF2E7D32"/>
      <name val="Arial"/>
      <family val="0"/>
      <charset val="1"/>
    </font>
    <font>
      <b val="true"/>
      <sz val="9"/>
      <color rgb="FFC00000"/>
      <name val="Arial"/>
      <family val="0"/>
      <charset val="1"/>
    </font>
    <font>
      <b val="true"/>
      <sz val="13"/>
      <color rgb="FF1C2530"/>
      <name val="Arial"/>
      <family val="0"/>
      <charset val="1"/>
    </font>
    <font>
      <i val="true"/>
      <sz val="9"/>
      <color rgb="FF666666"/>
      <name val="Arial"/>
      <family val="0"/>
      <charset val="1"/>
    </font>
    <font>
      <sz val="10"/>
      <color theme="1"/>
      <name val="Arial"/>
      <family val="0"/>
      <charset val="1"/>
    </font>
    <font>
      <sz val="9"/>
      <color rgb="FF444444"/>
      <name val="Arial"/>
      <family val="0"/>
      <charset val="1"/>
    </font>
    <font>
      <b val="true"/>
      <sz val="10"/>
      <color theme="1"/>
      <name val="Arial"/>
      <family val="0"/>
      <charset val="1"/>
    </font>
    <font>
      <b val="true"/>
      <sz val="10"/>
      <color rgb="FFBF9000"/>
      <name val="Arial"/>
      <family val="0"/>
      <charset val="1"/>
    </font>
    <font>
      <b val="true"/>
      <sz val="10"/>
      <color rgb="FF1A56A0"/>
      <name val="Arial"/>
      <family val="0"/>
      <charset val="1"/>
    </font>
    <font>
      <b val="true"/>
      <sz val="9"/>
      <color rgb="FFFFFFFF"/>
      <name val="Arial"/>
      <family val="0"/>
      <charset val="1"/>
    </font>
    <font>
      <sz val="9"/>
      <color theme="1"/>
      <name val="Arial"/>
      <family val="0"/>
      <charset val="1"/>
    </font>
    <font>
      <sz val="8"/>
      <color rgb="FF7A5A00"/>
      <name val="Arial"/>
      <family val="0"/>
      <charset val="1"/>
    </font>
    <font>
      <b val="true"/>
      <sz val="10"/>
      <color rgb="FF1F6B4A"/>
      <name val="Arial"/>
      <family val="0"/>
      <charset val="1"/>
    </font>
    <font>
      <sz val="8"/>
      <color theme="1"/>
      <name val="Arial"/>
      <family val="0"/>
      <charset val="1"/>
    </font>
    <font>
      <sz val="7"/>
      <color rgb="FF999999"/>
      <name val="Arial"/>
      <family val="0"/>
      <charset val="1"/>
    </font>
    <font>
      <sz val="7"/>
      <color rgb="FF1A56A0"/>
      <name val="Arial"/>
      <family val="0"/>
      <charset val="1"/>
    </font>
    <font>
      <sz val="7"/>
      <color rgb="FF555555"/>
      <name val="Arial"/>
      <family val="0"/>
      <charset val="1"/>
    </font>
    <font>
      <b val="true"/>
      <sz val="13"/>
      <color rgb="FF000000"/>
      <name val="Arial"/>
      <family val="0"/>
      <charset val="1"/>
    </font>
    <font>
      <sz val="11"/>
      <color rgb="FF000000"/>
      <name val="Calibri"/>
      <family val="0"/>
      <charset val="1"/>
    </font>
    <font>
      <i val="true"/>
      <sz val="9"/>
      <color rgb="FF595959"/>
      <name val="Arial"/>
      <family val="0"/>
      <charset val="1"/>
    </font>
    <font>
      <b val="true"/>
      <i val="true"/>
      <sz val="9"/>
      <color rgb="FF7F5F00"/>
      <name val="Arial"/>
      <family val="0"/>
      <charset val="1"/>
    </font>
    <font>
      <b val="true"/>
      <sz val="11"/>
      <color rgb="FFFFFFFF"/>
      <name val="Arial"/>
      <family val="0"/>
      <charset val="1"/>
    </font>
    <font>
      <sz val="11"/>
      <color rgb="FF000000"/>
      <name val="Arial"/>
      <family val="0"/>
      <charset val="1"/>
    </font>
    <font>
      <sz val="11"/>
      <color rgb="FF595959"/>
      <name val="Arial"/>
      <family val="0"/>
      <charset val="1"/>
    </font>
    <font>
      <b val="true"/>
      <sz val="11"/>
      <color rgb="FF000000"/>
      <name val="Arial"/>
      <family val="0"/>
      <charset val="1"/>
    </font>
    <font>
      <b val="true"/>
      <sz val="11"/>
      <color rgb="FF7F5F00"/>
      <name val="Arial"/>
      <family val="0"/>
      <charset val="1"/>
    </font>
    <font>
      <b val="true"/>
      <sz val="12"/>
      <color rgb="FFFFFFFF"/>
      <name val="Arial"/>
      <family val="0"/>
      <charset val="1"/>
    </font>
    <font>
      <sz val="8"/>
      <color rgb="FF555555"/>
      <name val="Arial"/>
      <family val="0"/>
      <charset val="1"/>
    </font>
    <font>
      <sz val="9"/>
      <color rgb="FF1F6B4A"/>
      <name val="Arial"/>
      <family val="0"/>
      <charset val="1"/>
    </font>
    <font>
      <b val="true"/>
      <sz val="11"/>
      <color rgb="FF2E7D32"/>
      <name val="Arial"/>
      <family val="0"/>
      <charset val="1"/>
    </font>
  </fonts>
  <fills count="11">
    <fill>
      <patternFill patternType="none"/>
    </fill>
    <fill>
      <patternFill patternType="gray125"/>
    </fill>
    <fill>
      <patternFill patternType="solid">
        <fgColor rgb="FFBF9000"/>
        <bgColor rgb="FFB26A00"/>
      </patternFill>
    </fill>
    <fill>
      <patternFill patternType="solid">
        <fgColor rgb="FFFFF2CC"/>
        <bgColor rgb="FFF5E6C8"/>
      </patternFill>
    </fill>
    <fill>
      <patternFill patternType="solid">
        <fgColor rgb="FFE2EFDA"/>
        <bgColor rgb="FFE6F4EA"/>
      </patternFill>
    </fill>
    <fill>
      <patternFill patternType="solid">
        <fgColor rgb="FFDDEBF7"/>
        <bgColor rgb="FFE8F0FE"/>
      </patternFill>
    </fill>
    <fill>
      <patternFill patternType="solid">
        <fgColor rgb="FF1C2530"/>
        <bgColor rgb="FF003300"/>
      </patternFill>
    </fill>
    <fill>
      <patternFill patternType="solid">
        <fgColor rgb="FFE8F0FE"/>
        <bgColor rgb="FFE6F4EA"/>
      </patternFill>
    </fill>
    <fill>
      <patternFill patternType="solid">
        <fgColor rgb="FFFFFF00"/>
        <bgColor rgb="FFFFFF00"/>
      </patternFill>
    </fill>
    <fill>
      <patternFill patternType="solid">
        <fgColor rgb="FFF5E6C8"/>
        <bgColor rgb="FFFFF2CC"/>
      </patternFill>
    </fill>
    <fill>
      <patternFill patternType="solid">
        <fgColor rgb="FFE6F4EA"/>
        <bgColor rgb="FFE2EFDA"/>
      </patternFill>
    </fill>
  </fills>
  <borders count="4">
    <border diagonalUp="false" diagonalDown="false">
      <left/>
      <right/>
      <top/>
      <bottom/>
      <diagonal/>
    </border>
    <border diagonalUp="false" diagonalDown="false">
      <left/>
      <right/>
      <top/>
      <bottom style="thin">
        <color rgb="FFCCCCCC"/>
      </bottom>
      <diagonal/>
    </border>
    <border diagonalUp="false" diagonalDown="false">
      <left/>
      <right/>
      <top/>
      <bottom style="thin">
        <color rgb="FFDDDDDD"/>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5" fontId="13"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left" vertical="center" textRotation="0" wrapText="false" indent="0" shrinkToFit="false"/>
      <protection locked="true" hidden="false"/>
    </xf>
    <xf numFmtId="164" fontId="9" fillId="6" borderId="0" xfId="0" applyFont="true" applyBorder="fals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right" vertical="center"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general" vertical="bottom" textRotation="0" wrapText="false" indent="0" shrinkToFit="false"/>
      <protection locked="true" hidden="false"/>
    </xf>
    <xf numFmtId="165" fontId="18" fillId="3" borderId="1" xfId="0" applyFont="true" applyBorder="true" applyAlignment="true" applyProtection="false">
      <alignment horizontal="right" vertical="center" textRotation="0" wrapText="false" indent="0" shrinkToFit="false"/>
      <protection locked="true" hidden="false"/>
    </xf>
    <xf numFmtId="164" fontId="19" fillId="3" borderId="1"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5" fontId="21" fillId="0" borderId="1"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8" fillId="7" borderId="0" xfId="0" applyFont="true" applyBorder="false" applyAlignment="true" applyProtection="false">
      <alignment horizontal="general" vertical="bottom" textRotation="0" wrapText="false" indent="0" shrinkToFit="false"/>
      <protection locked="true" hidden="false"/>
    </xf>
    <xf numFmtId="165" fontId="18" fillId="7" borderId="0" xfId="0" applyFont="true" applyBorder="false" applyAlignment="true" applyProtection="false">
      <alignment horizontal="right" vertical="center" textRotation="0" wrapText="false" indent="0" shrinkToFit="false"/>
      <protection locked="true" hidden="false"/>
    </xf>
    <xf numFmtId="164" fontId="19" fillId="7" borderId="0" xfId="0" applyFont="true" applyBorder="false" applyAlignment="true" applyProtection="false">
      <alignment horizontal="general" vertical="bottom" textRotation="0" wrapText="false" indent="0" shrinkToFit="false"/>
      <protection locked="true" hidden="false"/>
    </xf>
    <xf numFmtId="164" fontId="22" fillId="7" borderId="0" xfId="0" applyFont="true" applyBorder="false" applyAlignment="true" applyProtection="false">
      <alignment horizontal="general" vertical="bottom" textRotation="0" wrapText="false" indent="0" shrinkToFit="false"/>
      <protection locked="true" hidden="false"/>
    </xf>
    <xf numFmtId="165" fontId="22" fillId="7" borderId="0" xfId="0" applyFont="true" applyBorder="false" applyAlignment="true" applyProtection="false">
      <alignment horizontal="right" vertical="center" textRotation="0" wrapText="false" indent="0" shrinkToFit="false"/>
      <protection locked="true" hidden="false"/>
    </xf>
    <xf numFmtId="164" fontId="23" fillId="6" borderId="0" xfId="0" applyFont="true" applyBorder="false" applyAlignment="true" applyProtection="false">
      <alignment horizontal="left" vertical="center" textRotation="0" wrapText="fals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23" fillId="6" borderId="0" xfId="0" applyFont="true" applyBorder="false" applyAlignment="true" applyProtection="false">
      <alignment horizontal="right" vertical="center"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center"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65" fontId="21" fillId="0" borderId="2" xfId="0" applyFont="true" applyBorder="true" applyAlignment="true" applyProtection="false">
      <alignment horizontal="right" vertical="center" textRotation="0" wrapText="false" indent="0" shrinkToFit="false"/>
      <protection locked="true" hidden="false"/>
    </xf>
    <xf numFmtId="164" fontId="18" fillId="8" borderId="2" xfId="0" applyFont="true" applyBorder="true" applyAlignment="true" applyProtection="false">
      <alignment horizontal="general" vertical="bottom" textRotation="0" wrapText="false" indent="0" shrinkToFit="false"/>
      <protection locked="true" hidden="false"/>
    </xf>
    <xf numFmtId="165" fontId="18" fillId="8" borderId="2" xfId="0" applyFont="true" applyBorder="true" applyAlignment="true" applyProtection="false">
      <alignment horizontal="right" vertical="center" textRotation="0" wrapText="false" indent="0" shrinkToFit="false"/>
      <protection locked="true" hidden="false"/>
    </xf>
    <xf numFmtId="164" fontId="19" fillId="8" borderId="2" xfId="0" applyFont="true" applyBorder="tru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7" fontId="18" fillId="0"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68" fontId="24" fillId="0" borderId="2" xfId="0" applyFont="true" applyBorder="true" applyAlignment="true" applyProtection="false">
      <alignment horizontal="right" vertical="center" textRotation="0" wrapText="false" indent="0" shrinkToFit="false"/>
      <protection locked="true" hidden="false"/>
    </xf>
    <xf numFmtId="165" fontId="24" fillId="0" borderId="2" xfId="0" applyFont="true" applyBorder="true" applyAlignment="true" applyProtection="false">
      <alignment horizontal="right" vertical="center" textRotation="0" wrapText="false" indent="0" shrinkToFit="false"/>
      <protection locked="true" hidden="false"/>
    </xf>
    <xf numFmtId="164" fontId="27" fillId="0" borderId="2" xfId="0" applyFont="true" applyBorder="true" applyAlignment="true" applyProtection="false">
      <alignment horizontal="general" vertical="bottom" textRotation="0" wrapText="false" indent="0" shrinkToFit="false"/>
      <protection locked="true" hidden="false"/>
    </xf>
    <xf numFmtId="164" fontId="27" fillId="0" borderId="2" xfId="0" applyFont="true" applyBorder="true" applyAlignment="true" applyProtection="false">
      <alignment horizontal="right" vertical="center" textRotation="0" wrapText="false" indent="0" shrinkToFit="false"/>
      <protection locked="true" hidden="false"/>
    </xf>
    <xf numFmtId="169" fontId="27" fillId="0" borderId="2" xfId="0" applyFont="true" applyBorder="true" applyAlignment="true" applyProtection="false">
      <alignment horizontal="right" vertical="center" textRotation="0" wrapText="false" indent="0" shrinkToFit="false"/>
      <protection locked="true" hidden="false"/>
    </xf>
    <xf numFmtId="164" fontId="28" fillId="0" borderId="2" xfId="0" applyFont="true" applyBorder="true" applyAlignment="true" applyProtection="false">
      <alignment horizontal="right" vertical="center" textRotation="0" wrapText="false" indent="0" shrinkToFit="false"/>
      <protection locked="true" hidden="false"/>
    </xf>
    <xf numFmtId="164" fontId="27" fillId="3" borderId="2" xfId="0" applyFont="true" applyBorder="true" applyAlignment="true" applyProtection="false">
      <alignment horizontal="general" vertical="bottom" textRotation="0" wrapText="false" indent="0" shrinkToFit="false"/>
      <protection locked="true" hidden="false"/>
    </xf>
    <xf numFmtId="164" fontId="27" fillId="3" borderId="2" xfId="0" applyFont="true" applyBorder="true" applyAlignment="true" applyProtection="false">
      <alignment horizontal="right" vertical="center" textRotation="0" wrapText="false" indent="0" shrinkToFit="false"/>
      <protection locked="true" hidden="false"/>
    </xf>
    <xf numFmtId="169" fontId="27" fillId="3" borderId="2" xfId="0" applyFont="true" applyBorder="true" applyAlignment="true" applyProtection="false">
      <alignment horizontal="right" vertical="center" textRotation="0" wrapText="false" indent="0" shrinkToFit="false"/>
      <protection locked="true" hidden="false"/>
    </xf>
    <xf numFmtId="164" fontId="28" fillId="3" borderId="2"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9" fontId="21" fillId="0" borderId="0" xfId="0" applyFont="true" applyBorder="false" applyAlignment="true" applyProtection="false">
      <alignment horizontal="right" vertical="center" textRotation="0" wrapText="false" indent="0" shrinkToFit="false"/>
      <protection locked="true" hidden="false"/>
    </xf>
    <xf numFmtId="164" fontId="24" fillId="3" borderId="0" xfId="0" applyFont="true" applyBorder="false" applyAlignment="true" applyProtection="false">
      <alignment horizontal="general" vertical="bottom" textRotation="0" wrapText="false" indent="0" shrinkToFit="false"/>
      <protection locked="true" hidden="false"/>
    </xf>
    <xf numFmtId="169" fontId="24" fillId="3" borderId="0" xfId="0" applyFont="true" applyBorder="false" applyAlignment="true" applyProtection="false">
      <alignment horizontal="right" vertical="center" textRotation="0" wrapText="false" indent="0" shrinkToFit="false"/>
      <protection locked="true" hidden="false"/>
    </xf>
    <xf numFmtId="164" fontId="24" fillId="3" borderId="0" xfId="0" applyFont="true" applyBorder="false" applyAlignment="true" applyProtection="false">
      <alignment horizontal="right" vertical="center" textRotation="0" wrapText="false" indent="0" shrinkToFit="false"/>
      <protection locked="true" hidden="false"/>
    </xf>
    <xf numFmtId="169" fontId="24" fillId="0" borderId="2" xfId="0" applyFont="true" applyBorder="tru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4" fontId="27" fillId="3" borderId="0" xfId="0" applyFont="true" applyBorder="false" applyAlignment="true" applyProtection="false">
      <alignment horizontal="general" vertical="bottom" textRotation="0" wrapText="false" indent="0" shrinkToFit="false"/>
      <protection locked="true" hidden="false"/>
    </xf>
    <xf numFmtId="169" fontId="27" fillId="3" borderId="0" xfId="0" applyFont="true" applyBorder="false" applyAlignment="true" applyProtection="false">
      <alignment horizontal="right" vertical="center" textRotation="0" wrapText="false" indent="0" shrinkToFit="false"/>
      <protection locked="true" hidden="false"/>
    </xf>
    <xf numFmtId="164" fontId="28" fillId="3" borderId="0" xfId="0" applyFont="true" applyBorder="false" applyAlignment="true" applyProtection="false">
      <alignment horizontal="right" vertical="center" textRotation="0" wrapText="false" indent="0" shrinkToFit="false"/>
      <protection locked="true" hidden="false"/>
    </xf>
    <xf numFmtId="170" fontId="18" fillId="0" borderId="1" xfId="0" applyFont="true" applyBorder="true" applyAlignment="true" applyProtection="false">
      <alignment horizontal="right" vertical="center" textRotation="0" wrapText="false" indent="0" shrinkToFit="false"/>
      <protection locked="true" hidden="false"/>
    </xf>
    <xf numFmtId="165" fontId="21" fillId="0" borderId="0" xfId="0" applyFont="true" applyBorder="false" applyAlignment="true" applyProtection="false">
      <alignment horizontal="right" vertical="center"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5" fontId="18" fillId="3" borderId="0" xfId="0" applyFont="true" applyBorder="false" applyAlignment="true" applyProtection="false">
      <alignment horizontal="right" vertical="center" textRotation="0" wrapText="fals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right" vertical="center" textRotation="0" wrapText="false" indent="0" shrinkToFit="false"/>
      <protection locked="true" hidden="false"/>
    </xf>
    <xf numFmtId="164" fontId="27" fillId="3" borderId="1" xfId="0" applyFont="true" applyBorder="tru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71" fontId="21" fillId="0" borderId="0" xfId="0" applyFont="true" applyBorder="false" applyAlignment="true" applyProtection="false">
      <alignment horizontal="right" vertical="center" textRotation="0" wrapText="false" indent="0" shrinkToFit="false"/>
      <protection locked="true" hidden="false"/>
    </xf>
    <xf numFmtId="172" fontId="18" fillId="0" borderId="0" xfId="0" applyFont="true" applyBorder="false" applyAlignment="true" applyProtection="false">
      <alignment horizontal="right"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5" fontId="27" fillId="0" borderId="0" xfId="0"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7" fillId="7" borderId="0" xfId="0" applyFont="true" applyBorder="false" applyAlignment="true" applyProtection="false">
      <alignment horizontal="general" vertical="bottom" textRotation="0" wrapText="false" indent="0" shrinkToFit="false"/>
      <protection locked="true" hidden="false"/>
    </xf>
    <xf numFmtId="165" fontId="27" fillId="7" borderId="0" xfId="0" applyFont="true" applyBorder="false" applyAlignment="true" applyProtection="false">
      <alignment horizontal="right" vertical="center" textRotation="0" wrapText="false" indent="0" shrinkToFit="false"/>
      <protection locked="true" hidden="false"/>
    </xf>
    <xf numFmtId="164" fontId="29" fillId="7"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right" vertical="center" textRotation="0" wrapText="false" indent="0" shrinkToFit="false"/>
      <protection locked="true" hidden="false"/>
    </xf>
    <xf numFmtId="164" fontId="29" fillId="3"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top" textRotation="0" wrapText="false" indent="0" shrinkToFit="false"/>
      <protection locked="true" hidden="false"/>
    </xf>
    <xf numFmtId="164" fontId="34" fillId="0" borderId="0" xfId="0" applyFont="true" applyBorder="true" applyAlignment="true" applyProtection="false">
      <alignment horizontal="general" vertical="top"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36" fillId="0" borderId="3" xfId="0" applyFont="true" applyBorder="true" applyAlignment="true" applyProtection="false">
      <alignment horizontal="general" vertical="bottom" textRotation="0" wrapText="false" indent="0" shrinkToFit="false"/>
      <protection locked="true" hidden="false"/>
    </xf>
    <xf numFmtId="165" fontId="36" fillId="0" borderId="3" xfId="0" applyFont="true" applyBorder="true" applyAlignment="true" applyProtection="false">
      <alignment horizontal="general" vertical="bottom" textRotation="0" wrapText="false" indent="0" shrinkToFit="false"/>
      <protection locked="true" hidden="false"/>
    </xf>
    <xf numFmtId="165" fontId="36" fillId="0" borderId="3" xfId="0" applyFont="true" applyBorder="true" applyAlignment="true" applyProtection="false">
      <alignment horizontal="right" vertical="bottom" textRotation="0" wrapText="false" indent="0" shrinkToFit="false"/>
      <protection locked="true" hidden="false"/>
    </xf>
    <xf numFmtId="164" fontId="37" fillId="0" borderId="3" xfId="0" applyFont="true" applyBorder="true" applyAlignment="true" applyProtection="false">
      <alignment horizontal="general" vertical="bottom" textRotation="0" wrapText="false" indent="0" shrinkToFit="false"/>
      <protection locked="true" hidden="false"/>
    </xf>
    <xf numFmtId="164" fontId="32" fillId="9" borderId="0" xfId="0" applyFont="true" applyBorder="false" applyAlignment="true" applyProtection="false">
      <alignment horizontal="general" vertical="bottom" textRotation="0" wrapText="false" indent="0" shrinkToFit="false"/>
      <protection locked="true" hidden="false"/>
    </xf>
    <xf numFmtId="164" fontId="38" fillId="9" borderId="0" xfId="0" applyFont="true" applyBorder="false" applyAlignment="true" applyProtection="false">
      <alignment horizontal="general" vertical="bottom" textRotation="0" wrapText="false" indent="0" shrinkToFit="false"/>
      <protection locked="true" hidden="false"/>
    </xf>
    <xf numFmtId="165" fontId="32" fillId="9" borderId="0" xfId="0" applyFont="true" applyBorder="false" applyAlignment="true" applyProtection="false">
      <alignment horizontal="general" vertical="bottom" textRotation="0" wrapText="false" indent="0" shrinkToFit="false"/>
      <protection locked="true" hidden="false"/>
    </xf>
    <xf numFmtId="165" fontId="38" fillId="9" borderId="0" xfId="0" applyFont="true" applyBorder="false" applyAlignment="true" applyProtection="false">
      <alignment horizontal="right" vertical="bottom" textRotation="0" wrapText="false" indent="0" shrinkToFit="false"/>
      <protection locked="true" hidden="false"/>
    </xf>
    <xf numFmtId="164" fontId="38" fillId="9" borderId="0" xfId="0" applyFont="true" applyBorder="true" applyAlignment="true" applyProtection="false">
      <alignment horizontal="general" vertical="bottom" textRotation="0" wrapText="false" indent="0" shrinkToFit="false"/>
      <protection locked="true" hidden="false"/>
    </xf>
    <xf numFmtId="164" fontId="36" fillId="3" borderId="3" xfId="0" applyFont="true" applyBorder="true" applyAlignment="true" applyProtection="false">
      <alignment horizontal="general" vertical="bottom" textRotation="0" wrapText="false" indent="0" shrinkToFit="false"/>
      <protection locked="true" hidden="false"/>
    </xf>
    <xf numFmtId="165" fontId="36" fillId="3" borderId="3" xfId="0" applyFont="true" applyBorder="true" applyAlignment="true" applyProtection="false">
      <alignment horizontal="general" vertical="bottom" textRotation="0" wrapText="false" indent="0" shrinkToFit="false"/>
      <protection locked="true" hidden="false"/>
    </xf>
    <xf numFmtId="165" fontId="36" fillId="3" borderId="3" xfId="0" applyFont="true" applyBorder="true" applyAlignment="true" applyProtection="false">
      <alignment horizontal="right" vertical="bottom" textRotation="0" wrapText="false" indent="0" shrinkToFit="false"/>
      <protection locked="true" hidden="false"/>
    </xf>
    <xf numFmtId="164" fontId="39" fillId="3" borderId="3" xfId="0" applyFont="true" applyBorder="true" applyAlignment="true" applyProtection="false">
      <alignment horizontal="general" vertical="bottom" textRotation="0" wrapText="false" indent="0" shrinkToFit="false"/>
      <protection locked="true" hidden="false"/>
    </xf>
    <xf numFmtId="164" fontId="37" fillId="3" borderId="3" xfId="0" applyFont="true" applyBorder="true" applyAlignment="true" applyProtection="false">
      <alignment horizontal="general" vertical="bottom" textRotation="0" wrapText="false" indent="0" shrinkToFit="false"/>
      <protection locked="true" hidden="false"/>
    </xf>
    <xf numFmtId="164" fontId="36" fillId="9" borderId="3" xfId="0" applyFont="true" applyBorder="true" applyAlignment="true" applyProtection="false">
      <alignment horizontal="general" vertical="bottom" textRotation="0" wrapText="false" indent="0" shrinkToFit="false"/>
      <protection locked="true" hidden="false"/>
    </xf>
    <xf numFmtId="165" fontId="36" fillId="9" borderId="3" xfId="0" applyFont="true" applyBorder="true" applyAlignment="true" applyProtection="false">
      <alignment horizontal="right" vertical="bottom" textRotation="0" wrapText="false" indent="0" shrinkToFit="false"/>
      <protection locked="true" hidden="false"/>
    </xf>
    <xf numFmtId="164" fontId="37" fillId="9" borderId="3" xfId="0" applyFont="true" applyBorder="true" applyAlignment="true" applyProtection="false">
      <alignment horizontal="general" vertical="bottom" textRotation="0" wrapText="false" indent="0" shrinkToFit="false"/>
      <protection locked="true" hidden="false"/>
    </xf>
    <xf numFmtId="164" fontId="38" fillId="9" borderId="3" xfId="0" applyFont="true" applyBorder="tru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right" vertical="center" textRotation="0" wrapText="false" indent="0" shrinkToFit="false"/>
      <protection locked="true" hidden="false"/>
    </xf>
    <xf numFmtId="164" fontId="41" fillId="0" borderId="1" xfId="0" applyFont="tru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24" fillId="10" borderId="1" xfId="0" applyFont="true" applyBorder="true" applyAlignment="true" applyProtection="false">
      <alignment horizontal="general" vertical="bottom" textRotation="0" wrapText="false" indent="0" shrinkToFit="false"/>
      <protection locked="true" hidden="false"/>
    </xf>
    <xf numFmtId="165" fontId="24" fillId="10" borderId="1" xfId="0" applyFont="true" applyBorder="true" applyAlignment="true" applyProtection="false">
      <alignment horizontal="right" vertical="center" textRotation="0" wrapText="false" indent="0" shrinkToFit="false"/>
      <protection locked="true" hidden="false"/>
    </xf>
    <xf numFmtId="164" fontId="41" fillId="10" borderId="1" xfId="0" applyFont="true" applyBorder="tru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right" vertical="center"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C2530"/>
          <bgColor rgb="FF000000"/>
        </patternFill>
      </fill>
    </dxf>
    <dxf>
      <fill>
        <patternFill patternType="solid">
          <fgColor rgb="FFE8F0FE"/>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A56A0"/>
          <bgColor rgb="FF000000"/>
        </patternFill>
      </fill>
    </dxf>
    <dxf>
      <fill>
        <patternFill patternType="solid">
          <fgColor rgb="FFE6F4EA"/>
          <bgColor rgb="FF000000"/>
        </patternFill>
      </fill>
    </dxf>
    <dxf>
      <fill>
        <patternFill patternType="solid">
          <fgColor rgb="FFBF9000"/>
          <bgColor rgb="FF000000"/>
        </patternFill>
      </fill>
    </dxf>
    <dxf>
      <fill>
        <patternFill patternType="solid">
          <fgColor rgb="FF555555"/>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5F00"/>
      <rgbColor rgb="FF800080"/>
      <rgbColor rgb="FF1F6B4A"/>
      <rgbColor rgb="FFCCCCCC"/>
      <rgbColor rgb="FF595959"/>
      <rgbColor rgb="FF9999FF"/>
      <rgbColor rgb="FF993366"/>
      <rgbColor rgb="FFFFF2CC"/>
      <rgbColor rgb="FFE6F4EA"/>
      <rgbColor rgb="FF660066"/>
      <rgbColor rgb="FFFF8080"/>
      <rgbColor rgb="FF1A56A0"/>
      <rgbColor rgb="FFD9D9D9"/>
      <rgbColor rgb="FF000080"/>
      <rgbColor rgb="FFFF00FF"/>
      <rgbColor rgb="FFFFFF00"/>
      <rgbColor rgb="FF00FFFF"/>
      <rgbColor rgb="FF800080"/>
      <rgbColor rgb="FF800000"/>
      <rgbColor rgb="FF008080"/>
      <rgbColor rgb="FF0000FF"/>
      <rgbColor rgb="FF00CCFF"/>
      <rgbColor rgb="FFDDEBF7"/>
      <rgbColor rgb="FFE2EFDA"/>
      <rgbColor rgb="FFF5E6C8"/>
      <rgbColor rgb="FFE8F0FE"/>
      <rgbColor rgb="FFFF99CC"/>
      <rgbColor rgb="FFCC99FF"/>
      <rgbColor rgb="FFDDDDDD"/>
      <rgbColor rgb="FF2F6FB0"/>
      <rgbColor rgb="FF33CCCC"/>
      <rgbColor rgb="FF99CC00"/>
      <rgbColor rgb="FFFFCC00"/>
      <rgbColor rgb="FFBF9000"/>
      <rgbColor rgb="FFB26A00"/>
      <rgbColor rgb="FF666666"/>
      <rgbColor rgb="FF999999"/>
      <rgbColor rgb="FF003366"/>
      <rgbColor rgb="FF2E7D32"/>
      <rgbColor rgb="FF003300"/>
      <rgbColor rgb="FF444444"/>
      <rgbColor rgb="FF7A5A00"/>
      <rgbColor rgb="FF993366"/>
      <rgbColor rgb="FF555555"/>
      <rgbColor rgb="FF1C25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3.xml.rels><?xml version="1.0" encoding="UTF-8"?>
<Relationships xmlns="http://schemas.openxmlformats.org/package/2006/relationships"><Relationship Id="rId1" Type="http://schemas.openxmlformats.org/officeDocument/2006/relationships/drawing" Target="../drawings/drawing1.xml"/>
</Relationships>
</file>

<file path=xl/worksheets/_rels/sheet26.xml.rels><?xml version="1.0" encoding="UTF-8"?>
<Relationships xmlns="http://schemas.openxmlformats.org/package/2006/relationships"><Relationship Id="rId1" Type="http://schemas.openxmlformats.org/officeDocument/2006/relationships/drawing" Target="../drawings/drawing2.xml"/>
</Relationships>
</file>

<file path=xl/worksheets/_rels/sheet27.xml.rels><?xml version="1.0" encoding="UTF-8"?>
<Relationships xmlns="http://schemas.openxmlformats.org/package/2006/relationships"><Relationship Id="rId1" Type="http://schemas.openxmlformats.org/officeDocument/2006/relationships/drawing" Target="../drawings/drawing3.xml"/>
</Relationships>
</file>

<file path=xl/worksheets/_rels/sheet28.xml.rels><?xml version="1.0" encoding="UTF-8"?>
<Relationships xmlns="http://schemas.openxmlformats.org/package/2006/relationships"><Relationship Id="rId1" Type="http://schemas.openxmlformats.org/officeDocument/2006/relationships/drawing" Target="../drawings/drawing4.xml"/>
</Relationships>
</file>

<file path=xl/worksheets/_rels/sheet3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0"/>
  </cols>
  <sheetData>
    <row r="1" customFormat="false" ht="15" hidden="false" customHeight="true" outlineLevel="0" collapsed="false">
      <c r="A1" s="2" t="s">
        <v>0</v>
      </c>
      <c r="B1" s="2"/>
    </row>
    <row r="3" customFormat="false" ht="42" hidden="false" customHeight="true" outlineLevel="0" collapsed="false">
      <c r="B3" s="3" t="s">
        <v>1</v>
      </c>
    </row>
    <row r="5" customFormat="false" ht="60" hidden="false" customHeight="true" outlineLevel="0" collapsed="false">
      <c r="A5" s="4" t="s">
        <v>2</v>
      </c>
      <c r="B5" s="5" t="s">
        <v>3</v>
      </c>
    </row>
    <row r="6" customFormat="false" ht="60" hidden="false" customHeight="true" outlineLevel="0" collapsed="false">
      <c r="A6" s="4" t="s">
        <v>4</v>
      </c>
      <c r="B6" s="5" t="s">
        <v>5</v>
      </c>
    </row>
    <row r="7" customFormat="false" ht="60" hidden="false" customHeight="true" outlineLevel="0" collapsed="false">
      <c r="A7" s="4" t="s">
        <v>6</v>
      </c>
      <c r="B7" s="5" t="s">
        <v>7</v>
      </c>
    </row>
    <row r="8" customFormat="false" ht="90" hidden="false" customHeight="true" outlineLevel="0" collapsed="false">
      <c r="A8" s="4" t="s">
        <v>8</v>
      </c>
      <c r="B8" s="5" t="s">
        <v>9</v>
      </c>
    </row>
    <row r="9" customFormat="false" ht="75" hidden="false" customHeight="true" outlineLevel="0" collapsed="false">
      <c r="A9" s="4" t="s">
        <v>10</v>
      </c>
      <c r="B9" s="5" t="s">
        <v>11</v>
      </c>
    </row>
    <row r="10" customFormat="false" ht="60" hidden="false" customHeight="true" outlineLevel="0" collapsed="false">
      <c r="A10" s="4" t="s">
        <v>12</v>
      </c>
      <c r="B10" s="5" t="s">
        <v>13</v>
      </c>
    </row>
    <row r="11" customFormat="false" ht="75" hidden="false" customHeight="true" outlineLevel="0" collapsed="false">
      <c r="A11" s="4" t="s">
        <v>14</v>
      </c>
      <c r="B11" s="5" t="s">
        <v>15</v>
      </c>
    </row>
    <row r="12" customFormat="false" ht="45" hidden="false" customHeight="true" outlineLevel="0" collapsed="false">
      <c r="A12" s="4" t="s">
        <v>16</v>
      </c>
      <c r="B12" s="5" t="s">
        <v>17</v>
      </c>
    </row>
    <row r="14" customFormat="false" ht="43.5" hidden="false" customHeight="true" outlineLevel="0" collapsed="false">
      <c r="B14" s="6"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3" min="2" style="1" width="17"/>
    <col collapsed="false" customWidth="true" hidden="false" outlineLevel="0" max="4" min="4" style="1" width="64"/>
  </cols>
  <sheetData>
    <row r="1" customFormat="false" ht="15" hidden="false" customHeight="true" outlineLevel="0" collapsed="false">
      <c r="A1" s="7" t="s">
        <v>19</v>
      </c>
    </row>
    <row r="2" customFormat="false" ht="15" hidden="false" customHeight="true" outlineLevel="0" collapsed="false">
      <c r="A2" s="8" t="s">
        <v>20</v>
      </c>
    </row>
    <row r="4" customFormat="false" ht="15" hidden="false" customHeight="true" outlineLevel="0" collapsed="false">
      <c r="A4" s="9" t="s">
        <v>21</v>
      </c>
    </row>
    <row r="5" customFormat="false" ht="15" hidden="false" customHeight="true" outlineLevel="0" collapsed="false">
      <c r="A5" s="10" t="s">
        <v>22</v>
      </c>
      <c r="B5" s="10" t="s">
        <v>23</v>
      </c>
      <c r="C5" s="10" t="s">
        <v>24</v>
      </c>
      <c r="D5" s="10" t="s">
        <v>25</v>
      </c>
    </row>
    <row r="6" customFormat="false" ht="15" hidden="false" customHeight="true" outlineLevel="0" collapsed="false">
      <c r="A6" s="8" t="s">
        <v>26</v>
      </c>
      <c r="B6" s="11" t="n">
        <f aca="false">'PDF Capital Detail'!D26</f>
        <v>17750000</v>
      </c>
      <c r="C6" s="11" t="n">
        <f aca="false">'PDF Capital Detail'!D26</f>
        <v>17750000</v>
      </c>
      <c r="D6" s="8" t="s">
        <v>27</v>
      </c>
    </row>
    <row r="7" customFormat="false" ht="15" hidden="false" customHeight="true" outlineLevel="0" collapsed="false">
      <c r="A7" s="8" t="s">
        <v>28</v>
      </c>
      <c r="B7" s="11" t="n">
        <f aca="false">'PDF Capital Detail'!D62</f>
        <v>15600000</v>
      </c>
      <c r="C7" s="11" t="n">
        <f aca="false">'PDF Capital Detail'!D62</f>
        <v>15600000</v>
      </c>
      <c r="D7" s="8" t="s">
        <v>29</v>
      </c>
    </row>
    <row r="8" customFormat="false" ht="15" hidden="false" customHeight="true" outlineLevel="0" collapsed="false">
      <c r="A8" s="8" t="s">
        <v>30</v>
      </c>
      <c r="B8" s="11" t="n">
        <f aca="false">'PDF Capital Detail'!D94</f>
        <v>10536000</v>
      </c>
      <c r="C8" s="11" t="n">
        <f aca="false">'PDF Capital Detail'!D94</f>
        <v>10536000</v>
      </c>
      <c r="D8" s="8" t="s">
        <v>29</v>
      </c>
    </row>
    <row r="9" customFormat="false" ht="15" hidden="false" customHeight="true" outlineLevel="0" collapsed="false">
      <c r="A9" s="8" t="s">
        <v>31</v>
      </c>
      <c r="B9" s="11" t="n">
        <f aca="false">'PDF Capital Detail'!D99</f>
        <v>7418000</v>
      </c>
      <c r="C9" s="11" t="n">
        <f aca="false">'PDF Capital Detail'!D99</f>
        <v>7418000</v>
      </c>
      <c r="D9" s="8" t="s">
        <v>29</v>
      </c>
    </row>
    <row r="10" customFormat="false" ht="15" hidden="false" customHeight="true" outlineLevel="0" collapsed="false">
      <c r="A10" s="8" t="s">
        <v>32</v>
      </c>
      <c r="B10" s="11" t="n">
        <f aca="false">'PDF Capital Detail'!D106</f>
        <v>26046000</v>
      </c>
      <c r="C10" s="11" t="n">
        <f aca="false">'PDF Capital Detail'!D106</f>
        <v>26046000</v>
      </c>
      <c r="D10" s="8" t="s">
        <v>29</v>
      </c>
    </row>
    <row r="11" customFormat="false" ht="15" hidden="false" customHeight="true" outlineLevel="0" collapsed="false">
      <c r="A11" s="12" t="s">
        <v>33</v>
      </c>
      <c r="B11" s="13" t="n">
        <f aca="false">SUM(B6:B10)</f>
        <v>77350000</v>
      </c>
      <c r="C11" s="13" t="n">
        <f aca="false">SUM(C6:C10)</f>
        <v>77350000</v>
      </c>
      <c r="D11" s="8" t="s">
        <v>34</v>
      </c>
    </row>
    <row r="12" customFormat="false" ht="15" hidden="false" customHeight="true" outlineLevel="0" collapsed="false">
      <c r="B12" s="14"/>
      <c r="C12" s="14"/>
    </row>
    <row r="13" customFormat="false" ht="15" hidden="false" customHeight="true" outlineLevel="0" collapsed="false">
      <c r="A13" s="9" t="s">
        <v>35</v>
      </c>
    </row>
    <row r="14" customFormat="false" ht="15" hidden="false" customHeight="true" outlineLevel="0" collapsed="false">
      <c r="A14" s="8" t="s">
        <v>36</v>
      </c>
      <c r="B14" s="11" t="n">
        <f aca="false">'PDF Member Pots'!C55</f>
        <v>6773000</v>
      </c>
      <c r="C14" s="11" t="n">
        <f aca="false">'PDF Member Pots'!C55</f>
        <v>6773000</v>
      </c>
      <c r="D14" s="8" t="s">
        <v>37</v>
      </c>
    </row>
    <row r="15" customFormat="false" ht="15" hidden="false" customHeight="true" outlineLevel="0" collapsed="false">
      <c r="A15" s="8" t="s">
        <v>38</v>
      </c>
      <c r="B15" s="11" t="n">
        <f aca="false">'Speaker Reconcile (Jul 7)'!D42</f>
        <v>2817880</v>
      </c>
      <c r="C15" s="11" t="n">
        <f aca="false">'Speaker Reconcile (Jul 7)'!D40</f>
        <v>2867880</v>
      </c>
      <c r="D15" s="8" t="s">
        <v>39</v>
      </c>
    </row>
    <row r="16" customFormat="false" ht="15" hidden="false" customHeight="true" outlineLevel="0" collapsed="false">
      <c r="A16" s="8" t="s">
        <v>40</v>
      </c>
      <c r="B16" s="11" t="n">
        <f aca="false">'PDF Citywide Lines'!C95</f>
        <v>8341467</v>
      </c>
      <c r="C16" s="11" t="n">
        <f aca="false">'PDF Citywide Lines'!C95</f>
        <v>8341467</v>
      </c>
      <c r="D16" s="8" t="s">
        <v>41</v>
      </c>
    </row>
    <row r="17" customFormat="false" ht="15" hidden="false" customHeight="true" outlineLevel="0" collapsed="false">
      <c r="A17" s="12" t="s">
        <v>42</v>
      </c>
      <c r="B17" s="13" t="n">
        <f aca="false">SUM(B14:B16)</f>
        <v>17932347</v>
      </c>
      <c r="C17" s="13" t="n">
        <f aca="false">SUM(C14:C16)</f>
        <v>17982347</v>
      </c>
      <c r="D17" s="8" t="s">
        <v>43</v>
      </c>
    </row>
    <row r="19" customFormat="false" ht="15" hidden="false" customHeight="true" outlineLevel="0" collapsed="false">
      <c r="A19" s="9" t="s">
        <v>44</v>
      </c>
    </row>
    <row r="20" customFormat="false" ht="15" hidden="false" customHeight="true" outlineLevel="0" collapsed="false">
      <c r="A20" s="12" t="s">
        <v>45</v>
      </c>
      <c r="B20" s="13" t="n">
        <f aca="false">B11+B17</f>
        <v>95282347</v>
      </c>
      <c r="C20" s="13" t="n">
        <f aca="false">C11+C17</f>
        <v>95332347</v>
      </c>
    </row>
    <row r="21" customFormat="false" ht="15" hidden="false" customHeight="true" outlineLevel="0" collapsed="false">
      <c r="A21" s="8" t="s">
        <v>46</v>
      </c>
      <c r="C21" s="11" t="n">
        <v>95332347</v>
      </c>
      <c r="D21" s="8" t="s">
        <v>47</v>
      </c>
    </row>
    <row r="22" customFormat="false" ht="15" hidden="false" customHeight="true" outlineLevel="0" collapsed="false">
      <c r="A22" s="12" t="s">
        <v>48</v>
      </c>
      <c r="C22" s="15" t="str">
        <f aca="false">IF(C20=C21,"TIES ✓","CHECK Δ "&amp;TEXT(C20-C21,"$#,##0"))</f>
        <v>TIES ✓</v>
      </c>
    </row>
    <row r="23" customFormat="false" ht="15" hidden="false" customHeight="true" outlineLevel="0" collapsed="false">
      <c r="A23" s="12" t="s">
        <v>49</v>
      </c>
      <c r="B23" s="13" t="n">
        <f aca="false">B20</f>
        <v>95282347</v>
      </c>
      <c r="D23" s="8" t="s">
        <v>50</v>
      </c>
    </row>
    <row r="24" customFormat="false" ht="15" hidden="false" customHeight="true" outlineLevel="0" collapsed="false">
      <c r="A24" s="12" t="s">
        <v>51</v>
      </c>
      <c r="B24" s="15" t="str">
        <f aca="false">IF(B23=C21-50000,"TIES ✓","CHECK")</f>
        <v>TIES ✓</v>
      </c>
    </row>
    <row r="26" customFormat="false" ht="15" hidden="false" customHeight="true" outlineLevel="0" collapsed="false">
      <c r="A26" s="9" t="s">
        <v>52</v>
      </c>
    </row>
    <row r="27" customFormat="false" ht="15" hidden="false" customHeight="true" outlineLevel="0" collapsed="false">
      <c r="A27" s="8" t="s">
        <v>53</v>
      </c>
      <c r="B27" s="11" t="n">
        <v>93661240</v>
      </c>
      <c r="D27" s="8" t="s">
        <v>54</v>
      </c>
    </row>
    <row r="28" customFormat="false" ht="15" hidden="false" customHeight="true" outlineLevel="0" collapsed="false">
      <c r="A28" s="8" t="s">
        <v>55</v>
      </c>
      <c r="B28" s="11" t="n">
        <v>1668107</v>
      </c>
      <c r="D28" s="8" t="s">
        <v>56</v>
      </c>
    </row>
    <row r="29" customFormat="false" ht="15" hidden="false" customHeight="true" outlineLevel="0" collapsed="false">
      <c r="A29" s="8" t="s">
        <v>57</v>
      </c>
      <c r="B29" s="11" t="n">
        <v>-47000</v>
      </c>
      <c r="D29" s="8" t="s">
        <v>58</v>
      </c>
    </row>
    <row r="30" customFormat="false" ht="15" hidden="false" customHeight="true" outlineLevel="0" collapsed="false">
      <c r="A30" s="12" t="s">
        <v>59</v>
      </c>
      <c r="B30" s="13" t="n">
        <f aca="false">SUM(B27:B29)</f>
        <v>95282347</v>
      </c>
    </row>
    <row r="31" customFormat="false" ht="15" hidden="false" customHeight="true" outlineLevel="0" collapsed="false">
      <c r="A31" s="8" t="s">
        <v>60</v>
      </c>
      <c r="B31" s="11" t="n">
        <f aca="false">B30+50000</f>
        <v>95332347</v>
      </c>
    </row>
    <row r="32" customFormat="false" ht="15" hidden="false" customHeight="true" outlineLevel="0" collapsed="false">
      <c r="A32" s="12" t="s">
        <v>61</v>
      </c>
      <c r="B32" s="15" t="str">
        <f aca="false">IF(B31=95332347,"TIES ✓","CHECK")</f>
        <v>TIES ✓</v>
      </c>
    </row>
    <row r="33" customFormat="false" ht="15" hidden="false" customHeight="true" outlineLevel="0" collapsed="false">
      <c r="A33" s="12" t="s">
        <v>62</v>
      </c>
      <c r="B33" s="15" t="str">
        <f aca="false">IF(B30=B23,"TIES ✓","CHECK")</f>
        <v>TIES ✓</v>
      </c>
    </row>
    <row r="35" customFormat="false" ht="15" hidden="false" customHeight="true" outlineLevel="0" collapsed="false">
      <c r="A35" s="8" t="s">
        <v>63</v>
      </c>
    </row>
    <row r="37" customFormat="false" ht="15" hidden="false" customHeight="true" outlineLevel="0" collapsed="false">
      <c r="A37" s="9" t="s">
        <v>64</v>
      </c>
    </row>
    <row r="38" customFormat="false" ht="15" hidden="false" customHeight="true" outlineLevel="0" collapsed="false">
      <c r="A38" s="8" t="s">
        <v>65</v>
      </c>
      <c r="B38" s="11" t="n">
        <v>135000</v>
      </c>
    </row>
    <row r="39" customFormat="false" ht="15" hidden="false" customHeight="true" outlineLevel="0" collapsed="false">
      <c r="A39" s="8" t="s">
        <v>66</v>
      </c>
      <c r="B39" s="11" t="n">
        <v>-90000</v>
      </c>
    </row>
    <row r="40" customFormat="false" ht="15" hidden="false" customHeight="true" outlineLevel="0" collapsed="false">
      <c r="A40" s="8" t="s">
        <v>67</v>
      </c>
      <c r="B40" s="11" t="n">
        <v>-92000</v>
      </c>
    </row>
    <row r="41" customFormat="false" ht="15" hidden="false" customHeight="true" outlineLevel="0" collapsed="false">
      <c r="A41" s="12" t="s">
        <v>68</v>
      </c>
      <c r="B41" s="13" t="n">
        <f aca="false">SUM(B38:B40)</f>
        <v>-47000</v>
      </c>
    </row>
    <row r="42" customFormat="false" ht="15" hidden="false" customHeight="true" outlineLevel="0" collapsed="false">
      <c r="A42" s="16"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5"/>
    <col collapsed="false" customWidth="true" hidden="false" outlineLevel="0" max="3" min="3" style="1" width="30"/>
    <col collapsed="false" customWidth="true" hidden="false" outlineLevel="0" max="4" min="4" style="1" width="40"/>
    <col collapsed="false" customWidth="true" hidden="false" outlineLevel="0" max="5" min="5" style="1" width="18"/>
  </cols>
  <sheetData>
    <row r="1" customFormat="false" ht="15" hidden="false" customHeight="true" outlineLevel="0" collapsed="false">
      <c r="A1" s="7" t="s">
        <v>70</v>
      </c>
    </row>
    <row r="2" customFormat="false" ht="15" hidden="false" customHeight="true" outlineLevel="0" collapsed="false">
      <c r="A2" s="8" t="s">
        <v>71</v>
      </c>
    </row>
    <row r="4" customFormat="false" ht="15" hidden="false" customHeight="true" outlineLevel="0" collapsed="false">
      <c r="A4" s="10" t="s">
        <v>22</v>
      </c>
      <c r="B4" s="10" t="s">
        <v>72</v>
      </c>
      <c r="C4" s="10" t="s">
        <v>73</v>
      </c>
      <c r="D4" s="10" t="s">
        <v>74</v>
      </c>
      <c r="E4" s="10" t="s">
        <v>75</v>
      </c>
    </row>
    <row r="5" customFormat="false" ht="15" hidden="false" customHeight="true" outlineLevel="0" collapsed="false">
      <c r="A5" s="8" t="s">
        <v>76</v>
      </c>
      <c r="B5" s="11" t="n">
        <v>2250000</v>
      </c>
      <c r="C5" s="8" t="s">
        <v>77</v>
      </c>
      <c r="D5" s="8" t="s">
        <v>78</v>
      </c>
      <c r="E5" s="15" t="s">
        <v>79</v>
      </c>
    </row>
    <row r="6" customFormat="false" ht="15" hidden="false" customHeight="true" outlineLevel="0" collapsed="false">
      <c r="A6" s="8" t="s">
        <v>80</v>
      </c>
      <c r="B6" s="11" t="n">
        <v>45000</v>
      </c>
      <c r="C6" s="8" t="s">
        <v>77</v>
      </c>
      <c r="D6" s="8" t="s">
        <v>81</v>
      </c>
      <c r="E6" s="15" t="s">
        <v>82</v>
      </c>
    </row>
    <row r="7" customFormat="false" ht="15" hidden="false" customHeight="true" outlineLevel="0" collapsed="false">
      <c r="A7" s="8" t="s">
        <v>83</v>
      </c>
      <c r="B7" s="11" t="n">
        <v>500000</v>
      </c>
      <c r="C7" s="8" t="s">
        <v>84</v>
      </c>
      <c r="D7" s="8" t="s">
        <v>85</v>
      </c>
      <c r="E7" s="15" t="s">
        <v>79</v>
      </c>
    </row>
    <row r="8" customFormat="false" ht="15" hidden="false" customHeight="true" outlineLevel="0" collapsed="false">
      <c r="A8" s="17" t="s">
        <v>86</v>
      </c>
      <c r="B8" s="18" t="n">
        <v>75000</v>
      </c>
      <c r="C8" s="17" t="s">
        <v>84</v>
      </c>
      <c r="D8" s="17" t="s">
        <v>87</v>
      </c>
      <c r="E8" s="19" t="s">
        <v>88</v>
      </c>
    </row>
    <row r="9" customFormat="false" ht="15" hidden="false" customHeight="true" outlineLevel="0" collapsed="false">
      <c r="A9" s="8" t="s">
        <v>89</v>
      </c>
      <c r="B9" s="11" t="n">
        <v>50000</v>
      </c>
      <c r="C9" s="8" t="s">
        <v>84</v>
      </c>
      <c r="D9" s="8" t="s">
        <v>90</v>
      </c>
      <c r="E9" s="15" t="s">
        <v>79</v>
      </c>
    </row>
    <row r="10" customFormat="false" ht="15" hidden="false" customHeight="true" outlineLevel="0" collapsed="false">
      <c r="A10" s="8" t="s">
        <v>91</v>
      </c>
      <c r="B10" s="11" t="n">
        <v>35000</v>
      </c>
      <c r="C10" s="8" t="s">
        <v>84</v>
      </c>
      <c r="D10" s="8" t="s">
        <v>92</v>
      </c>
      <c r="E10" s="8" t="s">
        <v>93</v>
      </c>
    </row>
    <row r="11" customFormat="false" ht="15" hidden="false" customHeight="true" outlineLevel="0" collapsed="false">
      <c r="A11" s="8" t="s">
        <v>94</v>
      </c>
      <c r="B11" s="11" t="n">
        <v>30000</v>
      </c>
      <c r="C11" s="8" t="s">
        <v>84</v>
      </c>
      <c r="D11" s="8" t="s">
        <v>95</v>
      </c>
      <c r="E11" s="15" t="s">
        <v>79</v>
      </c>
    </row>
    <row r="12" customFormat="false" ht="15" hidden="false" customHeight="true" outlineLevel="0" collapsed="false">
      <c r="A12" s="8" t="s">
        <v>96</v>
      </c>
      <c r="B12" s="11" t="n">
        <v>25000</v>
      </c>
      <c r="C12" s="8" t="s">
        <v>84</v>
      </c>
      <c r="D12" s="8" t="s">
        <v>97</v>
      </c>
      <c r="E12" s="8" t="s">
        <v>93</v>
      </c>
    </row>
    <row r="13" customFormat="false" ht="15" hidden="false" customHeight="true" outlineLevel="0" collapsed="false">
      <c r="A13" s="8" t="s">
        <v>98</v>
      </c>
      <c r="B13" s="11" t="n">
        <v>110000</v>
      </c>
      <c r="C13" s="8" t="s">
        <v>84</v>
      </c>
      <c r="D13" s="8" t="s">
        <v>99</v>
      </c>
      <c r="E13" s="15" t="s">
        <v>79</v>
      </c>
    </row>
    <row r="14" customFormat="false" ht="15" hidden="false" customHeight="true" outlineLevel="0" collapsed="false">
      <c r="A14" s="8" t="s">
        <v>100</v>
      </c>
      <c r="B14" s="11" t="n">
        <v>25000</v>
      </c>
      <c r="C14" s="8" t="s">
        <v>84</v>
      </c>
      <c r="D14" s="8" t="s">
        <v>101</v>
      </c>
      <c r="E14" s="15" t="s">
        <v>79</v>
      </c>
    </row>
    <row r="15" customFormat="false" ht="15" hidden="false" customHeight="true" outlineLevel="0" collapsed="false">
      <c r="A15" s="8" t="s">
        <v>102</v>
      </c>
      <c r="B15" s="11" t="n">
        <v>50000</v>
      </c>
      <c r="C15" s="8" t="s">
        <v>84</v>
      </c>
      <c r="D15" s="8" t="s">
        <v>103</v>
      </c>
      <c r="E15" s="15" t="s">
        <v>79</v>
      </c>
    </row>
    <row r="16" customFormat="false" ht="15" hidden="false" customHeight="true" outlineLevel="0" collapsed="false">
      <c r="A16" s="8" t="s">
        <v>104</v>
      </c>
      <c r="B16" s="11" t="n">
        <v>17750000</v>
      </c>
      <c r="C16" s="8" t="s">
        <v>105</v>
      </c>
      <c r="D16" s="8" t="s">
        <v>106</v>
      </c>
      <c r="E16" s="15" t="s">
        <v>79</v>
      </c>
    </row>
    <row r="17" customFormat="false" ht="15" hidden="false" customHeight="true" outlineLevel="0" collapsed="false">
      <c r="A17" s="17" t="s">
        <v>107</v>
      </c>
      <c r="B17" s="18" t="n">
        <v>4000000</v>
      </c>
      <c r="C17" s="17" t="s">
        <v>108</v>
      </c>
      <c r="D17" s="17" t="s">
        <v>109</v>
      </c>
      <c r="E17" s="19" t="s">
        <v>88</v>
      </c>
    </row>
    <row r="18" customFormat="false" ht="15" hidden="false" customHeight="true" outlineLevel="0" collapsed="false">
      <c r="A18" s="17" t="s">
        <v>110</v>
      </c>
      <c r="B18" s="18" t="n">
        <v>3000000</v>
      </c>
      <c r="C18" s="17" t="s">
        <v>108</v>
      </c>
      <c r="D18" s="17" t="s">
        <v>111</v>
      </c>
      <c r="E18" s="19" t="s">
        <v>88</v>
      </c>
    </row>
    <row r="19" customFormat="false" ht="15" hidden="false" customHeight="true" outlineLevel="0" collapsed="false">
      <c r="A19" s="17" t="s">
        <v>112</v>
      </c>
      <c r="B19" s="18" t="n">
        <v>5850000</v>
      </c>
      <c r="C19" s="17" t="s">
        <v>113</v>
      </c>
      <c r="D19" s="17" t="s">
        <v>114</v>
      </c>
      <c r="E19" s="19" t="s">
        <v>88</v>
      </c>
    </row>
    <row r="20" customFormat="false" ht="15" hidden="false" customHeight="true" outlineLevel="0" collapsed="false">
      <c r="A20" s="12" t="s">
        <v>115</v>
      </c>
      <c r="B20" s="13" t="n">
        <f aca="false">SUM(B5:B19)</f>
        <v>33795000</v>
      </c>
    </row>
    <row r="21" customFormat="false" ht="15" hidden="false" customHeight="true" outlineLevel="0" collapsed="false">
      <c r="A21" s="8" t="s">
        <v>116</v>
      </c>
      <c r="B21" s="11" t="n">
        <v>2108925</v>
      </c>
    </row>
    <row r="22" customFormat="false" ht="15" hidden="false" customHeight="true" outlineLevel="0" collapsed="false">
      <c r="A22" s="12" t="s">
        <v>117</v>
      </c>
      <c r="B22" s="13" t="n">
        <f aca="false">B20+B21</f>
        <v>35903925</v>
      </c>
    </row>
    <row r="23" customFormat="false" ht="15" hidden="false" customHeight="true" outlineLevel="0" collapsed="false">
      <c r="A23" s="12" t="s">
        <v>118</v>
      </c>
      <c r="B23" s="15" t="str">
        <f aca="false">IF(B22=35903925,"TIES ✓","CHECK")</f>
        <v>TIES ✓</v>
      </c>
    </row>
    <row r="25" customFormat="false" ht="15" hidden="false" customHeight="true" outlineLevel="0" collapsed="false">
      <c r="A25" s="4"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30"/>
    <col collapsed="false" customWidth="true" hidden="false" outlineLevel="0" max="4" min="4" style="0" width="44"/>
  </cols>
  <sheetData>
    <row r="1" customFormat="false" ht="15" hidden="false" customHeight="false" outlineLevel="0" collapsed="false">
      <c r="A1" s="20" t="s">
        <v>120</v>
      </c>
    </row>
    <row r="2" customFormat="false" ht="27.75" hidden="false" customHeight="true" outlineLevel="0" collapsed="false">
      <c r="A2" s="3" t="s">
        <v>121</v>
      </c>
    </row>
    <row r="4" customFormat="false" ht="15" hidden="false" customHeight="false" outlineLevel="0" collapsed="false">
      <c r="A4" s="21" t="s">
        <v>122</v>
      </c>
    </row>
    <row r="5" customFormat="false" ht="15" hidden="false" customHeight="false" outlineLevel="0" collapsed="false">
      <c r="A5" s="22" t="s">
        <v>123</v>
      </c>
      <c r="B5" s="23" t="n">
        <v>2108925</v>
      </c>
      <c r="C5" s="22" t="s">
        <v>124</v>
      </c>
    </row>
    <row r="6" customFormat="false" ht="15" hidden="false" customHeight="false" outlineLevel="0" collapsed="false">
      <c r="A6" s="22" t="s">
        <v>125</v>
      </c>
      <c r="B6" s="23" t="n">
        <v>2144925</v>
      </c>
      <c r="C6" s="22" t="s">
        <v>126</v>
      </c>
    </row>
    <row r="7" customFormat="false" ht="15" hidden="false" customHeight="false" outlineLevel="0" collapsed="false">
      <c r="A7" s="22" t="s">
        <v>127</v>
      </c>
      <c r="B7" s="23" t="n">
        <v>5807090</v>
      </c>
      <c r="C7" s="22" t="s">
        <v>128</v>
      </c>
    </row>
    <row r="9" customFormat="false" ht="15" hidden="false" customHeight="false" outlineLevel="0" collapsed="false">
      <c r="A9" s="24" t="s">
        <v>129</v>
      </c>
    </row>
    <row r="10" customFormat="false" ht="15" hidden="false" customHeight="false" outlineLevel="0" collapsed="false">
      <c r="A10" s="25" t="s">
        <v>130</v>
      </c>
      <c r="B10" s="25" t="s">
        <v>72</v>
      </c>
      <c r="C10" s="25" t="s">
        <v>131</v>
      </c>
      <c r="D10" s="25" t="s">
        <v>132</v>
      </c>
    </row>
    <row r="11" customFormat="false" ht="15" hidden="false" customHeight="false" outlineLevel="0" collapsed="false">
      <c r="A11" s="26" t="s">
        <v>133</v>
      </c>
      <c r="B11" s="27" t="n">
        <v>18000</v>
      </c>
      <c r="C11" s="26" t="s">
        <v>134</v>
      </c>
      <c r="D11" s="26" t="s">
        <v>135</v>
      </c>
    </row>
    <row r="12" customFormat="false" ht="15" hidden="false" customHeight="false" outlineLevel="0" collapsed="false">
      <c r="A12" s="26" t="s">
        <v>136</v>
      </c>
      <c r="B12" s="27" t="n">
        <v>18000</v>
      </c>
      <c r="C12" s="26" t="s">
        <v>134</v>
      </c>
      <c r="D12" s="26" t="s">
        <v>135</v>
      </c>
    </row>
    <row r="13" customFormat="false" ht="15" hidden="false" customHeight="false" outlineLevel="0" collapsed="false">
      <c r="A13" s="28" t="s">
        <v>137</v>
      </c>
      <c r="B13" s="23" t="n">
        <f aca="false">SUM(B11:B12)</f>
        <v>36000</v>
      </c>
    </row>
    <row r="15" customFormat="false" ht="15" hidden="false" customHeight="false" outlineLevel="0" collapsed="false">
      <c r="A15" s="29" t="s">
        <v>138</v>
      </c>
    </row>
    <row r="16" customFormat="false" ht="15" hidden="false" customHeight="false" outlineLevel="0" collapsed="false">
      <c r="A16" s="30" t="s">
        <v>139</v>
      </c>
    </row>
    <row r="17" customFormat="false" ht="15" hidden="false" customHeight="false" outlineLevel="0" collapsed="false">
      <c r="A17" s="25" t="s">
        <v>140</v>
      </c>
      <c r="B17" s="25" t="s">
        <v>72</v>
      </c>
      <c r="C17" s="25" t="s">
        <v>131</v>
      </c>
      <c r="D17" s="25" t="s">
        <v>141</v>
      </c>
    </row>
    <row r="18" customFormat="false" ht="15" hidden="false" customHeight="false" outlineLevel="0" collapsed="false">
      <c r="A18" s="31" t="s">
        <v>142</v>
      </c>
      <c r="B18" s="32" t="n">
        <v>444375</v>
      </c>
      <c r="C18" s="31" t="s">
        <v>143</v>
      </c>
      <c r="D18" s="31" t="s">
        <v>144</v>
      </c>
    </row>
    <row r="19" customFormat="false" ht="15" hidden="false" customHeight="false" outlineLevel="0" collapsed="false">
      <c r="A19" s="31" t="s">
        <v>145</v>
      </c>
      <c r="B19" s="32" t="n">
        <v>363752</v>
      </c>
      <c r="C19" s="31" t="s">
        <v>146</v>
      </c>
      <c r="D19" s="31" t="s">
        <v>90</v>
      </c>
    </row>
    <row r="20" customFormat="false" ht="15" hidden="false" customHeight="false" outlineLevel="0" collapsed="false">
      <c r="A20" s="31" t="s">
        <v>145</v>
      </c>
      <c r="B20" s="32" t="n">
        <v>350000</v>
      </c>
      <c r="C20" s="31" t="s">
        <v>147</v>
      </c>
      <c r="D20" s="31" t="s">
        <v>90</v>
      </c>
    </row>
    <row r="21" customFormat="false" ht="15" hidden="false" customHeight="false" outlineLevel="0" collapsed="false">
      <c r="A21" s="31" t="s">
        <v>142</v>
      </c>
      <c r="B21" s="32" t="n">
        <v>320000</v>
      </c>
      <c r="C21" s="31" t="s">
        <v>148</v>
      </c>
      <c r="D21" s="31" t="s">
        <v>144</v>
      </c>
    </row>
    <row r="22" customFormat="false" ht="15" hidden="false" customHeight="false" outlineLevel="0" collapsed="false">
      <c r="A22" s="31" t="s">
        <v>149</v>
      </c>
      <c r="B22" s="32" t="n">
        <v>259000</v>
      </c>
      <c r="C22" s="31" t="s">
        <v>150</v>
      </c>
      <c r="D22" s="31" t="s">
        <v>95</v>
      </c>
    </row>
    <row r="23" customFormat="false" ht="15" hidden="false" customHeight="false" outlineLevel="0" collapsed="false">
      <c r="A23" s="31" t="s">
        <v>151</v>
      </c>
      <c r="B23" s="32" t="n">
        <v>233523</v>
      </c>
      <c r="C23" s="31" t="s">
        <v>152</v>
      </c>
      <c r="D23" s="31" t="s">
        <v>95</v>
      </c>
    </row>
    <row r="24" customFormat="false" ht="15" hidden="false" customHeight="false" outlineLevel="0" collapsed="false">
      <c r="A24" s="31" t="s">
        <v>142</v>
      </c>
      <c r="B24" s="32" t="n">
        <v>130000</v>
      </c>
      <c r="C24" s="31" t="s">
        <v>153</v>
      </c>
      <c r="D24" s="31" t="s">
        <v>144</v>
      </c>
    </row>
    <row r="25" customFormat="false" ht="15" hidden="false" customHeight="false" outlineLevel="0" collapsed="false">
      <c r="A25" s="31" t="s">
        <v>149</v>
      </c>
      <c r="B25" s="32" t="n">
        <v>107103</v>
      </c>
      <c r="C25" s="31" t="s">
        <v>154</v>
      </c>
      <c r="D25" s="31" t="s">
        <v>95</v>
      </c>
    </row>
    <row r="26" customFormat="false" ht="15" hidden="false" customHeight="false" outlineLevel="0" collapsed="false">
      <c r="A26" s="31" t="s">
        <v>155</v>
      </c>
      <c r="B26" s="32" t="n">
        <v>100000</v>
      </c>
      <c r="C26" s="31" t="s">
        <v>156</v>
      </c>
      <c r="D26" s="31" t="s">
        <v>157</v>
      </c>
    </row>
    <row r="27" customFormat="false" ht="15" hidden="false" customHeight="false" outlineLevel="0" collapsed="false">
      <c r="A27" s="31" t="s">
        <v>158</v>
      </c>
      <c r="B27" s="32" t="n">
        <v>100000</v>
      </c>
      <c r="C27" s="31" t="s">
        <v>153</v>
      </c>
      <c r="D27" s="31" t="s">
        <v>90</v>
      </c>
    </row>
    <row r="28" customFormat="false" ht="15" hidden="false" customHeight="false" outlineLevel="0" collapsed="false">
      <c r="A28" s="31" t="s">
        <v>149</v>
      </c>
      <c r="B28" s="32" t="n">
        <v>100000</v>
      </c>
      <c r="C28" s="31" t="s">
        <v>159</v>
      </c>
      <c r="D28" s="31" t="s">
        <v>95</v>
      </c>
    </row>
    <row r="29" customFormat="false" ht="15" hidden="false" customHeight="false" outlineLevel="0" collapsed="false">
      <c r="A29" s="31" t="s">
        <v>142</v>
      </c>
      <c r="B29" s="32" t="n">
        <v>100000</v>
      </c>
      <c r="C29" s="31" t="s">
        <v>160</v>
      </c>
      <c r="D29" s="31" t="s">
        <v>144</v>
      </c>
    </row>
    <row r="30" customFormat="false" ht="15" hidden="false" customHeight="false" outlineLevel="0" collapsed="false">
      <c r="A30" s="31" t="s">
        <v>161</v>
      </c>
      <c r="B30" s="32" t="n">
        <v>100000</v>
      </c>
      <c r="C30" s="31" t="s">
        <v>162</v>
      </c>
      <c r="D30" s="31" t="s">
        <v>157</v>
      </c>
    </row>
    <row r="31" customFormat="false" ht="15" hidden="false" customHeight="false" outlineLevel="0" collapsed="false">
      <c r="A31" s="31" t="s">
        <v>163</v>
      </c>
      <c r="B31" s="32" t="n">
        <v>98250</v>
      </c>
      <c r="C31" s="31" t="s">
        <v>164</v>
      </c>
      <c r="D31" s="31" t="s">
        <v>157</v>
      </c>
    </row>
    <row r="32" customFormat="false" ht="15" hidden="false" customHeight="false" outlineLevel="0" collapsed="false">
      <c r="A32" s="31" t="s">
        <v>151</v>
      </c>
      <c r="B32" s="32" t="n">
        <v>93834</v>
      </c>
      <c r="C32" s="31" t="s">
        <v>165</v>
      </c>
      <c r="D32" s="31" t="s">
        <v>95</v>
      </c>
    </row>
    <row r="33" customFormat="false" ht="15" hidden="false" customHeight="false" outlineLevel="0" collapsed="false">
      <c r="A33" s="31" t="s">
        <v>145</v>
      </c>
      <c r="B33" s="32" t="n">
        <v>85801</v>
      </c>
      <c r="C33" s="31" t="s">
        <v>166</v>
      </c>
      <c r="D33" s="31" t="s">
        <v>90</v>
      </c>
    </row>
    <row r="34" customFormat="false" ht="15" hidden="false" customHeight="false" outlineLevel="0" collapsed="false">
      <c r="A34" s="31" t="s">
        <v>151</v>
      </c>
      <c r="B34" s="32" t="n">
        <v>82000</v>
      </c>
      <c r="C34" s="31" t="s">
        <v>167</v>
      </c>
      <c r="D34" s="31" t="s">
        <v>95</v>
      </c>
    </row>
    <row r="35" customFormat="false" ht="15" hidden="false" customHeight="false" outlineLevel="0" collapsed="false">
      <c r="A35" s="31" t="s">
        <v>168</v>
      </c>
      <c r="B35" s="32" t="n">
        <v>80000</v>
      </c>
      <c r="C35" s="31" t="s">
        <v>134</v>
      </c>
      <c r="D35" s="31" t="s">
        <v>169</v>
      </c>
    </row>
    <row r="36" customFormat="false" ht="15" hidden="false" customHeight="false" outlineLevel="0" collapsed="false">
      <c r="A36" s="31" t="s">
        <v>149</v>
      </c>
      <c r="B36" s="32" t="n">
        <v>76319</v>
      </c>
      <c r="C36" s="31" t="s">
        <v>152</v>
      </c>
      <c r="D36" s="31" t="s">
        <v>95</v>
      </c>
    </row>
    <row r="37" customFormat="false" ht="15" hidden="false" customHeight="false" outlineLevel="0" collapsed="false">
      <c r="A37" s="31" t="s">
        <v>158</v>
      </c>
      <c r="B37" s="32" t="n">
        <v>74000</v>
      </c>
      <c r="C37" s="31" t="s">
        <v>170</v>
      </c>
      <c r="D37" s="31" t="s">
        <v>90</v>
      </c>
    </row>
    <row r="38" customFormat="false" ht="15" hidden="false" customHeight="false" outlineLevel="0" collapsed="false">
      <c r="A38" s="31" t="s">
        <v>171</v>
      </c>
      <c r="B38" s="32" t="n">
        <v>64576</v>
      </c>
      <c r="C38" s="31" t="s">
        <v>172</v>
      </c>
      <c r="D38" s="31" t="s">
        <v>173</v>
      </c>
    </row>
    <row r="39" customFormat="false" ht="15" hidden="false" customHeight="false" outlineLevel="0" collapsed="false">
      <c r="A39" s="31" t="s">
        <v>174</v>
      </c>
      <c r="B39" s="32" t="n">
        <v>61000</v>
      </c>
      <c r="C39" s="31" t="s">
        <v>175</v>
      </c>
      <c r="D39" s="31" t="s">
        <v>157</v>
      </c>
    </row>
    <row r="40" customFormat="false" ht="15" hidden="false" customHeight="false" outlineLevel="0" collapsed="false">
      <c r="A40" s="31" t="s">
        <v>176</v>
      </c>
      <c r="B40" s="32" t="n">
        <v>54257</v>
      </c>
      <c r="C40" s="31" t="s">
        <v>175</v>
      </c>
      <c r="D40" s="31" t="s">
        <v>157</v>
      </c>
    </row>
    <row r="41" customFormat="false" ht="15" hidden="false" customHeight="false" outlineLevel="0" collapsed="false">
      <c r="A41" s="31" t="s">
        <v>158</v>
      </c>
      <c r="B41" s="32" t="n">
        <v>50000</v>
      </c>
      <c r="C41" s="31" t="s">
        <v>177</v>
      </c>
      <c r="D41" s="31" t="s">
        <v>90</v>
      </c>
    </row>
    <row r="42" customFormat="false" ht="15" hidden="false" customHeight="false" outlineLevel="0" collapsed="false">
      <c r="A42" s="31" t="s">
        <v>151</v>
      </c>
      <c r="B42" s="32" t="n">
        <v>50000</v>
      </c>
      <c r="C42" s="31" t="s">
        <v>178</v>
      </c>
      <c r="D42" s="31" t="s">
        <v>95</v>
      </c>
    </row>
    <row r="43" customFormat="false" ht="15" hidden="false" customHeight="false" outlineLevel="0" collapsed="false">
      <c r="A43" s="31" t="s">
        <v>149</v>
      </c>
      <c r="B43" s="32" t="n">
        <v>49375</v>
      </c>
      <c r="C43" s="31" t="s">
        <v>179</v>
      </c>
      <c r="D43" s="31" t="s">
        <v>95</v>
      </c>
    </row>
    <row r="44" customFormat="false" ht="15" hidden="false" customHeight="false" outlineLevel="0" collapsed="false">
      <c r="A44" s="31" t="s">
        <v>180</v>
      </c>
      <c r="B44" s="32" t="n">
        <v>25000</v>
      </c>
      <c r="C44" s="31" t="s">
        <v>181</v>
      </c>
      <c r="D44" s="31" t="s">
        <v>182</v>
      </c>
    </row>
    <row r="45" customFormat="false" ht="15" hidden="false" customHeight="false" outlineLevel="0" collapsed="false">
      <c r="A45" s="31" t="s">
        <v>183</v>
      </c>
      <c r="B45" s="32" t="n">
        <v>10000</v>
      </c>
      <c r="C45" s="31" t="s">
        <v>184</v>
      </c>
      <c r="D45" s="31" t="s">
        <v>90</v>
      </c>
    </row>
    <row r="46" customFormat="false" ht="15" hidden="false" customHeight="false" outlineLevel="0" collapsed="false">
      <c r="A46" s="28" t="s">
        <v>185</v>
      </c>
      <c r="B46" s="23" t="n">
        <f aca="false">SUM(B18:B45)</f>
        <v>3662165</v>
      </c>
    </row>
    <row r="48" customFormat="false" ht="43.5" hidden="false" customHeight="true" outlineLevel="0" collapsed="false">
      <c r="A48" s="33"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3" min="2" style="1" width="12"/>
    <col collapsed="false" customWidth="true" hidden="false" outlineLevel="0" max="4" min="4" style="1" width="16"/>
    <col collapsed="false" customWidth="true" hidden="false" outlineLevel="0" max="5" min="5" style="1" width="13"/>
    <col collapsed="false" customWidth="true" hidden="false" outlineLevel="0" max="6" min="6" style="1" width="34"/>
    <col collapsed="false" customWidth="true" hidden="false" outlineLevel="0" max="7" min="7" style="1" width="26"/>
    <col collapsed="false" customWidth="true" hidden="false" outlineLevel="0" max="8" min="8" style="1" width="62"/>
  </cols>
  <sheetData>
    <row r="1" customFormat="false" ht="15" hidden="false" customHeight="true" outlineLevel="0" collapsed="false">
      <c r="A1" s="7" t="s">
        <v>187</v>
      </c>
    </row>
    <row r="2" customFormat="false" ht="15" hidden="false" customHeight="true" outlineLevel="0" collapsed="false">
      <c r="A2" s="8" t="s">
        <v>188</v>
      </c>
    </row>
    <row r="4" customFormat="false" ht="15" hidden="false" customHeight="true" outlineLevel="0" collapsed="false">
      <c r="A4" s="9" t="s">
        <v>189</v>
      </c>
    </row>
    <row r="5" customFormat="false" ht="15" hidden="false" customHeight="true" outlineLevel="0" collapsed="false">
      <c r="A5" s="10" t="s">
        <v>140</v>
      </c>
      <c r="B5" s="10" t="s">
        <v>190</v>
      </c>
      <c r="C5" s="10" t="s">
        <v>191</v>
      </c>
      <c r="D5" s="10" t="s">
        <v>192</v>
      </c>
      <c r="E5" s="10" t="s">
        <v>193</v>
      </c>
      <c r="F5" s="10" t="s">
        <v>194</v>
      </c>
      <c r="G5" s="10" t="s">
        <v>195</v>
      </c>
      <c r="H5" s="10" t="s">
        <v>196</v>
      </c>
    </row>
    <row r="6" customFormat="false" ht="15" hidden="false" customHeight="true" outlineLevel="0" collapsed="false">
      <c r="A6" s="34" t="s">
        <v>197</v>
      </c>
      <c r="B6" s="34" t="s">
        <v>198</v>
      </c>
      <c r="C6" s="35" t="n">
        <v>274000</v>
      </c>
      <c r="D6" s="34" t="s">
        <v>199</v>
      </c>
      <c r="E6" s="34" t="s">
        <v>200</v>
      </c>
      <c r="F6" s="34" t="s">
        <v>201</v>
      </c>
      <c r="G6" s="34" t="s">
        <v>202</v>
      </c>
      <c r="H6" s="34" t="s">
        <v>203</v>
      </c>
    </row>
    <row r="7" customFormat="false" ht="15" hidden="false" customHeight="true" outlineLevel="0" collapsed="false">
      <c r="A7" s="34" t="s">
        <v>204</v>
      </c>
      <c r="B7" s="34" t="s">
        <v>205</v>
      </c>
      <c r="C7" s="35" t="n">
        <v>95000</v>
      </c>
      <c r="D7" s="34" t="s">
        <v>206</v>
      </c>
      <c r="E7" s="34" t="s">
        <v>207</v>
      </c>
      <c r="F7" s="34" t="s">
        <v>208</v>
      </c>
      <c r="G7" s="34" t="s">
        <v>209</v>
      </c>
      <c r="H7" s="34" t="s">
        <v>210</v>
      </c>
    </row>
    <row r="8" customFormat="false" ht="15" hidden="false" customHeight="true" outlineLevel="0" collapsed="false">
      <c r="A8" s="34" t="s">
        <v>211</v>
      </c>
      <c r="B8" s="34" t="s">
        <v>212</v>
      </c>
      <c r="C8" s="35" t="n">
        <v>85000</v>
      </c>
      <c r="D8" s="34" t="s">
        <v>206</v>
      </c>
      <c r="E8" s="34" t="s">
        <v>207</v>
      </c>
      <c r="F8" s="34" t="s">
        <v>208</v>
      </c>
      <c r="G8" s="34" t="s">
        <v>213</v>
      </c>
      <c r="H8" s="34" t="s">
        <v>214</v>
      </c>
    </row>
    <row r="9" customFormat="false" ht="15" hidden="false" customHeight="true" outlineLevel="0" collapsed="false">
      <c r="A9" s="34" t="s">
        <v>215</v>
      </c>
      <c r="B9" s="34" t="s">
        <v>216</v>
      </c>
      <c r="C9" s="35" t="n">
        <v>80000</v>
      </c>
      <c r="D9" s="34" t="s">
        <v>217</v>
      </c>
      <c r="E9" s="34" t="s">
        <v>218</v>
      </c>
      <c r="F9" s="36" t="s">
        <v>219</v>
      </c>
      <c r="G9" s="34" t="s">
        <v>213</v>
      </c>
      <c r="H9" s="34" t="s">
        <v>220</v>
      </c>
    </row>
    <row r="10" customFormat="false" ht="15" hidden="false" customHeight="true" outlineLevel="0" collapsed="false">
      <c r="A10" s="34" t="s">
        <v>221</v>
      </c>
      <c r="B10" s="34" t="s">
        <v>222</v>
      </c>
      <c r="C10" s="35" t="n">
        <v>80000</v>
      </c>
      <c r="D10" s="34" t="s">
        <v>223</v>
      </c>
      <c r="E10" s="34" t="s">
        <v>218</v>
      </c>
      <c r="F10" s="36" t="s">
        <v>219</v>
      </c>
      <c r="G10" s="34" t="s">
        <v>213</v>
      </c>
      <c r="H10" s="34" t="s">
        <v>224</v>
      </c>
    </row>
    <row r="11" customFormat="false" ht="15" hidden="false" customHeight="true" outlineLevel="0" collapsed="false">
      <c r="A11" s="34" t="s">
        <v>225</v>
      </c>
      <c r="B11" s="34" t="s">
        <v>226</v>
      </c>
      <c r="C11" s="35" t="n">
        <v>70000</v>
      </c>
      <c r="D11" s="34" t="s">
        <v>227</v>
      </c>
      <c r="E11" s="34" t="s">
        <v>228</v>
      </c>
      <c r="F11" s="36" t="s">
        <v>219</v>
      </c>
      <c r="G11" s="34" t="s">
        <v>213</v>
      </c>
      <c r="H11" s="34" t="s">
        <v>229</v>
      </c>
    </row>
    <row r="12" customFormat="false" ht="15" hidden="false" customHeight="true" outlineLevel="0" collapsed="false">
      <c r="A12" s="34" t="s">
        <v>230</v>
      </c>
      <c r="B12" s="34" t="s">
        <v>231</v>
      </c>
      <c r="C12" s="35" t="n">
        <v>61000</v>
      </c>
      <c r="D12" s="34" t="s">
        <v>232</v>
      </c>
      <c r="E12" s="34" t="s">
        <v>233</v>
      </c>
      <c r="F12" s="34" t="s">
        <v>201</v>
      </c>
      <c r="G12" s="34" t="s">
        <v>213</v>
      </c>
      <c r="H12" s="34" t="s">
        <v>234</v>
      </c>
    </row>
    <row r="13" customFormat="false" ht="15" hidden="false" customHeight="true" outlineLevel="0" collapsed="false">
      <c r="A13" s="34" t="s">
        <v>235</v>
      </c>
      <c r="B13" s="34" t="s">
        <v>236</v>
      </c>
      <c r="C13" s="35" t="n">
        <v>60000</v>
      </c>
      <c r="D13" s="34" t="s">
        <v>237</v>
      </c>
      <c r="E13" s="34" t="s">
        <v>238</v>
      </c>
      <c r="F13" s="34" t="s">
        <v>208</v>
      </c>
      <c r="G13" s="34" t="s">
        <v>213</v>
      </c>
      <c r="H13" s="34" t="s">
        <v>239</v>
      </c>
    </row>
    <row r="14" customFormat="false" ht="15" hidden="false" customHeight="true" outlineLevel="0" collapsed="false">
      <c r="A14" s="34" t="s">
        <v>240</v>
      </c>
      <c r="B14" s="34" t="s">
        <v>241</v>
      </c>
      <c r="C14" s="35" t="n">
        <v>60000</v>
      </c>
      <c r="D14" s="34" t="s">
        <v>242</v>
      </c>
      <c r="E14" s="34" t="s">
        <v>243</v>
      </c>
      <c r="F14" s="34" t="s">
        <v>201</v>
      </c>
      <c r="G14" s="34" t="s">
        <v>213</v>
      </c>
      <c r="H14" s="34" t="s">
        <v>244</v>
      </c>
    </row>
    <row r="15" customFormat="false" ht="15" hidden="false" customHeight="true" outlineLevel="0" collapsed="false">
      <c r="A15" s="34" t="s">
        <v>245</v>
      </c>
      <c r="B15" s="34" t="s">
        <v>246</v>
      </c>
      <c r="C15" s="35" t="n">
        <v>50000</v>
      </c>
      <c r="D15" s="34" t="s">
        <v>247</v>
      </c>
      <c r="E15" s="34" t="s">
        <v>207</v>
      </c>
      <c r="F15" s="34" t="s">
        <v>208</v>
      </c>
      <c r="G15" s="34" t="s">
        <v>248</v>
      </c>
      <c r="H15" s="34" t="s">
        <v>249</v>
      </c>
    </row>
    <row r="16" customFormat="false" ht="15" hidden="false" customHeight="true" outlineLevel="0" collapsed="false">
      <c r="A16" s="34" t="s">
        <v>250</v>
      </c>
      <c r="B16" s="34" t="s">
        <v>251</v>
      </c>
      <c r="C16" s="35" t="n">
        <v>50000</v>
      </c>
      <c r="D16" s="34" t="s">
        <v>252</v>
      </c>
      <c r="E16" s="34" t="s">
        <v>218</v>
      </c>
      <c r="F16" s="36" t="s">
        <v>219</v>
      </c>
      <c r="G16" s="34" t="s">
        <v>253</v>
      </c>
      <c r="H16" s="34" t="s">
        <v>254</v>
      </c>
    </row>
    <row r="17" customFormat="false" ht="15" hidden="false" customHeight="true" outlineLevel="0" collapsed="false">
      <c r="A17" s="34" t="s">
        <v>255</v>
      </c>
      <c r="B17" s="34" t="s">
        <v>256</v>
      </c>
      <c r="C17" s="35" t="n">
        <v>50000</v>
      </c>
      <c r="D17" s="34" t="s">
        <v>257</v>
      </c>
      <c r="E17" s="34" t="s">
        <v>258</v>
      </c>
      <c r="F17" s="34" t="s">
        <v>201</v>
      </c>
      <c r="G17" s="34" t="s">
        <v>213</v>
      </c>
      <c r="H17" s="34" t="s">
        <v>259</v>
      </c>
    </row>
    <row r="18" customFormat="false" ht="15" hidden="false" customHeight="true" outlineLevel="0" collapsed="false">
      <c r="A18" s="34" t="s">
        <v>260</v>
      </c>
      <c r="B18" s="34" t="s">
        <v>261</v>
      </c>
      <c r="C18" s="35" t="n">
        <v>40000</v>
      </c>
      <c r="D18" s="34" t="s">
        <v>262</v>
      </c>
      <c r="E18" s="34" t="s">
        <v>263</v>
      </c>
      <c r="F18" s="34" t="s">
        <v>201</v>
      </c>
      <c r="G18" s="34" t="s">
        <v>202</v>
      </c>
      <c r="H18" s="34" t="s">
        <v>264</v>
      </c>
    </row>
    <row r="19" customFormat="false" ht="15" hidden="false" customHeight="true" outlineLevel="0" collapsed="false">
      <c r="A19" s="34" t="s">
        <v>265</v>
      </c>
      <c r="B19" s="34" t="s">
        <v>266</v>
      </c>
      <c r="C19" s="35" t="n">
        <v>40000</v>
      </c>
      <c r="D19" s="34" t="s">
        <v>267</v>
      </c>
      <c r="E19" s="34" t="s">
        <v>218</v>
      </c>
      <c r="F19" s="36" t="s">
        <v>219</v>
      </c>
      <c r="G19" s="34"/>
      <c r="H19" s="34"/>
    </row>
    <row r="20" customFormat="false" ht="15" hidden="false" customHeight="true" outlineLevel="0" collapsed="false">
      <c r="A20" s="34" t="s">
        <v>268</v>
      </c>
      <c r="B20" s="34" t="s">
        <v>269</v>
      </c>
      <c r="C20" s="35" t="n">
        <v>35000</v>
      </c>
      <c r="D20" s="34" t="s">
        <v>270</v>
      </c>
      <c r="E20" s="34" t="s">
        <v>228</v>
      </c>
      <c r="F20" s="36" t="s">
        <v>219</v>
      </c>
      <c r="G20" s="34" t="s">
        <v>271</v>
      </c>
      <c r="H20" s="34" t="s">
        <v>272</v>
      </c>
    </row>
    <row r="21" customFormat="false" ht="15" hidden="false" customHeight="true" outlineLevel="0" collapsed="false">
      <c r="A21" s="34" t="s">
        <v>273</v>
      </c>
      <c r="B21" s="34" t="s">
        <v>274</v>
      </c>
      <c r="C21" s="35" t="n">
        <v>30000</v>
      </c>
      <c r="D21" s="34" t="s">
        <v>275</v>
      </c>
      <c r="E21" s="34" t="s">
        <v>263</v>
      </c>
      <c r="F21" s="34" t="s">
        <v>201</v>
      </c>
      <c r="G21" s="34" t="s">
        <v>213</v>
      </c>
      <c r="H21" s="34" t="s">
        <v>276</v>
      </c>
    </row>
    <row r="22" customFormat="false" ht="15" hidden="false" customHeight="true" outlineLevel="0" collapsed="false">
      <c r="A22" s="34" t="s">
        <v>277</v>
      </c>
      <c r="B22" s="34" t="s">
        <v>278</v>
      </c>
      <c r="C22" s="35" t="n">
        <v>30000</v>
      </c>
      <c r="D22" s="34" t="s">
        <v>279</v>
      </c>
      <c r="E22" s="34" t="s">
        <v>280</v>
      </c>
      <c r="F22" s="34" t="s">
        <v>208</v>
      </c>
      <c r="G22" s="34"/>
      <c r="H22" s="34"/>
    </row>
    <row r="23" customFormat="false" ht="15" hidden="false" customHeight="true" outlineLevel="0" collapsed="false">
      <c r="A23" s="34" t="s">
        <v>281</v>
      </c>
      <c r="B23" s="34" t="s">
        <v>282</v>
      </c>
      <c r="C23" s="35" t="n">
        <v>30000</v>
      </c>
      <c r="D23" s="34" t="s">
        <v>283</v>
      </c>
      <c r="E23" s="34" t="s">
        <v>218</v>
      </c>
      <c r="F23" s="36" t="s">
        <v>219</v>
      </c>
      <c r="G23" s="34" t="s">
        <v>213</v>
      </c>
      <c r="H23" s="34" t="s">
        <v>284</v>
      </c>
    </row>
    <row r="24" customFormat="false" ht="15" hidden="false" customHeight="true" outlineLevel="0" collapsed="false">
      <c r="A24" s="34" t="s">
        <v>285</v>
      </c>
      <c r="B24" s="34" t="s">
        <v>286</v>
      </c>
      <c r="C24" s="35" t="n">
        <v>30000</v>
      </c>
      <c r="D24" s="34" t="s">
        <v>287</v>
      </c>
      <c r="E24" s="34" t="s">
        <v>288</v>
      </c>
      <c r="F24" s="37" t="s">
        <v>289</v>
      </c>
      <c r="G24" s="34"/>
      <c r="H24" s="34"/>
    </row>
    <row r="25" customFormat="false" ht="15" hidden="false" customHeight="true" outlineLevel="0" collapsed="false">
      <c r="A25" s="34" t="s">
        <v>290</v>
      </c>
      <c r="B25" s="34" t="s">
        <v>291</v>
      </c>
      <c r="C25" s="35" t="n">
        <v>30000</v>
      </c>
      <c r="D25" s="34" t="s">
        <v>292</v>
      </c>
      <c r="E25" s="34" t="s">
        <v>218</v>
      </c>
      <c r="F25" s="36" t="s">
        <v>219</v>
      </c>
      <c r="G25" s="34"/>
      <c r="H25" s="34"/>
    </row>
    <row r="26" customFormat="false" ht="15" hidden="false" customHeight="true" outlineLevel="0" collapsed="false">
      <c r="A26" s="34" t="s">
        <v>293</v>
      </c>
      <c r="B26" s="34" t="s">
        <v>294</v>
      </c>
      <c r="C26" s="35" t="n">
        <v>30000</v>
      </c>
      <c r="D26" s="34" t="s">
        <v>295</v>
      </c>
      <c r="E26" s="34" t="s">
        <v>218</v>
      </c>
      <c r="F26" s="36" t="s">
        <v>219</v>
      </c>
      <c r="G26" s="34"/>
      <c r="H26" s="34"/>
    </row>
    <row r="27" customFormat="false" ht="15" hidden="false" customHeight="true" outlineLevel="0" collapsed="false">
      <c r="A27" s="34" t="s">
        <v>296</v>
      </c>
      <c r="B27" s="34" t="s">
        <v>297</v>
      </c>
      <c r="C27" s="35" t="n">
        <v>30000</v>
      </c>
      <c r="D27" s="34" t="s">
        <v>298</v>
      </c>
      <c r="E27" s="34" t="s">
        <v>243</v>
      </c>
      <c r="F27" s="34" t="s">
        <v>201</v>
      </c>
      <c r="G27" s="34" t="s">
        <v>202</v>
      </c>
      <c r="H27" s="34" t="s">
        <v>299</v>
      </c>
    </row>
    <row r="28" customFormat="false" ht="15" hidden="false" customHeight="true" outlineLevel="0" collapsed="false">
      <c r="A28" s="34" t="s">
        <v>300</v>
      </c>
      <c r="B28" s="34" t="s">
        <v>301</v>
      </c>
      <c r="C28" s="35" t="n">
        <v>30000</v>
      </c>
      <c r="D28" s="34" t="s">
        <v>302</v>
      </c>
      <c r="E28" s="34" t="s">
        <v>218</v>
      </c>
      <c r="F28" s="36" t="s">
        <v>219</v>
      </c>
      <c r="G28" s="34" t="s">
        <v>213</v>
      </c>
      <c r="H28" s="34" t="s">
        <v>303</v>
      </c>
    </row>
    <row r="29" customFormat="false" ht="15" hidden="false" customHeight="true" outlineLevel="0" collapsed="false">
      <c r="A29" s="34" t="s">
        <v>304</v>
      </c>
      <c r="B29" s="34" t="s">
        <v>305</v>
      </c>
      <c r="C29" s="35" t="n">
        <v>30000</v>
      </c>
      <c r="D29" s="34" t="s">
        <v>306</v>
      </c>
      <c r="E29" s="34" t="s">
        <v>307</v>
      </c>
      <c r="F29" s="36" t="s">
        <v>219</v>
      </c>
      <c r="G29" s="34" t="s">
        <v>213</v>
      </c>
      <c r="H29" s="34" t="s">
        <v>308</v>
      </c>
    </row>
    <row r="30" customFormat="false" ht="15" hidden="false" customHeight="true" outlineLevel="0" collapsed="false">
      <c r="A30" s="34" t="s">
        <v>309</v>
      </c>
      <c r="B30" s="34" t="s">
        <v>310</v>
      </c>
      <c r="C30" s="35" t="n">
        <v>25000</v>
      </c>
      <c r="D30" s="34" t="s">
        <v>311</v>
      </c>
      <c r="E30" s="34" t="s">
        <v>207</v>
      </c>
      <c r="F30" s="34" t="s">
        <v>208</v>
      </c>
      <c r="G30" s="34" t="s">
        <v>213</v>
      </c>
      <c r="H30" s="34" t="s">
        <v>312</v>
      </c>
    </row>
    <row r="31" customFormat="false" ht="15" hidden="false" customHeight="true" outlineLevel="0" collapsed="false">
      <c r="A31" s="34" t="s">
        <v>313</v>
      </c>
      <c r="B31" s="34" t="s">
        <v>314</v>
      </c>
      <c r="C31" s="35" t="n">
        <v>25000</v>
      </c>
      <c r="D31" s="34" t="s">
        <v>315</v>
      </c>
      <c r="E31" s="34" t="s">
        <v>218</v>
      </c>
      <c r="F31" s="36" t="s">
        <v>219</v>
      </c>
      <c r="G31" s="34" t="s">
        <v>213</v>
      </c>
      <c r="H31" s="34" t="s">
        <v>316</v>
      </c>
    </row>
    <row r="32" customFormat="false" ht="15" hidden="false" customHeight="true" outlineLevel="0" collapsed="false">
      <c r="A32" s="34" t="s">
        <v>317</v>
      </c>
      <c r="B32" s="34" t="s">
        <v>318</v>
      </c>
      <c r="C32" s="35" t="n">
        <v>25000</v>
      </c>
      <c r="D32" s="34" t="s">
        <v>319</v>
      </c>
      <c r="E32" s="34" t="s">
        <v>218</v>
      </c>
      <c r="F32" s="36" t="s">
        <v>219</v>
      </c>
      <c r="G32" s="34" t="s">
        <v>213</v>
      </c>
      <c r="H32" s="34" t="s">
        <v>320</v>
      </c>
    </row>
    <row r="33" customFormat="false" ht="15" hidden="false" customHeight="true" outlineLevel="0" collapsed="false">
      <c r="A33" s="34" t="s">
        <v>321</v>
      </c>
      <c r="B33" s="34" t="s">
        <v>322</v>
      </c>
      <c r="C33" s="35" t="n">
        <v>20000</v>
      </c>
      <c r="D33" s="34" t="s">
        <v>237</v>
      </c>
      <c r="E33" s="34" t="s">
        <v>323</v>
      </c>
      <c r="F33" s="34" t="s">
        <v>324</v>
      </c>
      <c r="G33" s="34" t="s">
        <v>213</v>
      </c>
      <c r="H33" s="34" t="s">
        <v>325</v>
      </c>
    </row>
    <row r="34" customFormat="false" ht="15" hidden="false" customHeight="true" outlineLevel="0" collapsed="false">
      <c r="A34" s="34" t="s">
        <v>326</v>
      </c>
      <c r="B34" s="34" t="s">
        <v>327</v>
      </c>
      <c r="C34" s="35" t="n">
        <v>20000</v>
      </c>
      <c r="D34" s="34" t="s">
        <v>223</v>
      </c>
      <c r="E34" s="34" t="s">
        <v>218</v>
      </c>
      <c r="F34" s="36" t="s">
        <v>219</v>
      </c>
      <c r="G34" s="34"/>
      <c r="H34" s="34"/>
    </row>
    <row r="35" customFormat="false" ht="15" hidden="false" customHeight="true" outlineLevel="0" collapsed="false">
      <c r="A35" s="34" t="s">
        <v>328</v>
      </c>
      <c r="B35" s="34" t="s">
        <v>329</v>
      </c>
      <c r="C35" s="35" t="n">
        <v>20000</v>
      </c>
      <c r="D35" s="34" t="s">
        <v>330</v>
      </c>
      <c r="E35" s="34" t="s">
        <v>331</v>
      </c>
      <c r="F35" s="37" t="s">
        <v>289</v>
      </c>
      <c r="G35" s="34"/>
      <c r="H35" s="34"/>
    </row>
    <row r="36" customFormat="false" ht="15" hidden="false" customHeight="true" outlineLevel="0" collapsed="false">
      <c r="A36" s="34" t="s">
        <v>332</v>
      </c>
      <c r="B36" s="34" t="s">
        <v>333</v>
      </c>
      <c r="C36" s="35" t="n">
        <v>20000</v>
      </c>
      <c r="D36" s="34" t="s">
        <v>334</v>
      </c>
      <c r="E36" s="34" t="s">
        <v>335</v>
      </c>
      <c r="F36" s="37" t="s">
        <v>289</v>
      </c>
      <c r="G36" s="34"/>
      <c r="H36" s="34"/>
    </row>
    <row r="37" customFormat="false" ht="15" hidden="false" customHeight="true" outlineLevel="0" collapsed="false">
      <c r="A37" s="34" t="s">
        <v>336</v>
      </c>
      <c r="B37" s="34" t="s">
        <v>337</v>
      </c>
      <c r="C37" s="35" t="n">
        <v>20000</v>
      </c>
      <c r="D37" s="34" t="s">
        <v>338</v>
      </c>
      <c r="E37" s="34" t="s">
        <v>339</v>
      </c>
      <c r="F37" s="37" t="s">
        <v>289</v>
      </c>
      <c r="G37" s="34"/>
      <c r="H37" s="34"/>
    </row>
    <row r="38" customFormat="false" ht="15" hidden="false" customHeight="true" outlineLevel="0" collapsed="false">
      <c r="A38" s="34" t="s">
        <v>340</v>
      </c>
      <c r="B38" s="34" t="s">
        <v>341</v>
      </c>
      <c r="C38" s="35" t="n">
        <v>20000</v>
      </c>
      <c r="D38" s="34" t="s">
        <v>342</v>
      </c>
      <c r="E38" s="34" t="s">
        <v>228</v>
      </c>
      <c r="F38" s="36" t="s">
        <v>219</v>
      </c>
      <c r="G38" s="34"/>
      <c r="H38" s="34"/>
    </row>
    <row r="39" customFormat="false" ht="15" hidden="false" customHeight="true" outlineLevel="0" collapsed="false">
      <c r="A39" s="34" t="s">
        <v>343</v>
      </c>
      <c r="B39" s="34" t="s">
        <v>344</v>
      </c>
      <c r="C39" s="35" t="n">
        <v>20000</v>
      </c>
      <c r="D39" s="34" t="s">
        <v>345</v>
      </c>
      <c r="E39" s="34" t="s">
        <v>218</v>
      </c>
      <c r="F39" s="36" t="s">
        <v>219</v>
      </c>
      <c r="G39" s="34"/>
      <c r="H39" s="34"/>
    </row>
    <row r="40" customFormat="false" ht="15" hidden="false" customHeight="true" outlineLevel="0" collapsed="false">
      <c r="A40" s="34" t="s">
        <v>346</v>
      </c>
      <c r="B40" s="34" t="s">
        <v>347</v>
      </c>
      <c r="C40" s="35" t="n">
        <v>20000</v>
      </c>
      <c r="D40" s="34" t="s">
        <v>348</v>
      </c>
      <c r="E40" s="34" t="s">
        <v>218</v>
      </c>
      <c r="F40" s="36" t="s">
        <v>219</v>
      </c>
      <c r="G40" s="34" t="s">
        <v>202</v>
      </c>
      <c r="H40" s="34" t="s">
        <v>349</v>
      </c>
    </row>
    <row r="41" customFormat="false" ht="15" hidden="false" customHeight="true" outlineLevel="0" collapsed="false">
      <c r="A41" s="34" t="s">
        <v>350</v>
      </c>
      <c r="B41" s="34" t="s">
        <v>351</v>
      </c>
      <c r="C41" s="35" t="n">
        <v>20000</v>
      </c>
      <c r="D41" s="34" t="s">
        <v>352</v>
      </c>
      <c r="E41" s="34" t="s">
        <v>218</v>
      </c>
      <c r="F41" s="36" t="s">
        <v>219</v>
      </c>
      <c r="G41" s="34"/>
      <c r="H41" s="34"/>
    </row>
    <row r="42" customFormat="false" ht="15" hidden="false" customHeight="true" outlineLevel="0" collapsed="false">
      <c r="A42" s="34" t="s">
        <v>353</v>
      </c>
      <c r="B42" s="34" t="s">
        <v>354</v>
      </c>
      <c r="C42" s="35" t="n">
        <v>20000</v>
      </c>
      <c r="D42" s="34" t="s">
        <v>352</v>
      </c>
      <c r="E42" s="34" t="s">
        <v>355</v>
      </c>
      <c r="F42" s="37" t="s">
        <v>289</v>
      </c>
      <c r="G42" s="34"/>
      <c r="H42" s="34"/>
    </row>
    <row r="43" customFormat="false" ht="15" hidden="false" customHeight="true" outlineLevel="0" collapsed="false">
      <c r="A43" s="34" t="s">
        <v>356</v>
      </c>
      <c r="B43" s="34" t="s">
        <v>357</v>
      </c>
      <c r="C43" s="35" t="n">
        <v>20000</v>
      </c>
      <c r="D43" s="34" t="s">
        <v>358</v>
      </c>
      <c r="E43" s="34" t="s">
        <v>218</v>
      </c>
      <c r="F43" s="36" t="s">
        <v>219</v>
      </c>
      <c r="G43" s="34" t="s">
        <v>213</v>
      </c>
      <c r="H43" s="34" t="s">
        <v>359</v>
      </c>
    </row>
    <row r="44" customFormat="false" ht="15" hidden="false" customHeight="true" outlineLevel="0" collapsed="false">
      <c r="A44" s="34" t="s">
        <v>360</v>
      </c>
      <c r="B44" s="34" t="s">
        <v>361</v>
      </c>
      <c r="C44" s="35" t="n">
        <v>20000</v>
      </c>
      <c r="D44" s="34" t="s">
        <v>362</v>
      </c>
      <c r="E44" s="34" t="s">
        <v>363</v>
      </c>
      <c r="F44" s="37" t="s">
        <v>289</v>
      </c>
      <c r="G44" s="34"/>
      <c r="H44" s="34"/>
    </row>
    <row r="45" customFormat="false" ht="15" hidden="false" customHeight="true" outlineLevel="0" collapsed="false">
      <c r="A45" s="34" t="s">
        <v>364</v>
      </c>
      <c r="B45" s="34" t="s">
        <v>365</v>
      </c>
      <c r="C45" s="35" t="n">
        <v>20000</v>
      </c>
      <c r="D45" s="34" t="s">
        <v>366</v>
      </c>
      <c r="E45" s="34" t="s">
        <v>367</v>
      </c>
      <c r="F45" s="37" t="s">
        <v>289</v>
      </c>
      <c r="G45" s="34"/>
      <c r="H45" s="34"/>
    </row>
    <row r="46" customFormat="false" ht="15" hidden="false" customHeight="true" outlineLevel="0" collapsed="false">
      <c r="A46" s="34" t="s">
        <v>368</v>
      </c>
      <c r="B46" s="34" t="s">
        <v>369</v>
      </c>
      <c r="C46" s="35" t="n">
        <v>20000</v>
      </c>
      <c r="D46" s="34" t="s">
        <v>370</v>
      </c>
      <c r="E46" s="34" t="s">
        <v>218</v>
      </c>
      <c r="F46" s="36" t="s">
        <v>219</v>
      </c>
      <c r="G46" s="34" t="s">
        <v>213</v>
      </c>
      <c r="H46" s="34" t="s">
        <v>371</v>
      </c>
    </row>
    <row r="47" customFormat="false" ht="15" hidden="false" customHeight="true" outlineLevel="0" collapsed="false">
      <c r="A47" s="34" t="s">
        <v>372</v>
      </c>
      <c r="B47" s="34" t="s">
        <v>373</v>
      </c>
      <c r="C47" s="35" t="n">
        <v>20000</v>
      </c>
      <c r="D47" s="34" t="s">
        <v>315</v>
      </c>
      <c r="E47" s="34" t="s">
        <v>374</v>
      </c>
      <c r="F47" s="34" t="s">
        <v>201</v>
      </c>
      <c r="G47" s="34" t="s">
        <v>213</v>
      </c>
      <c r="H47" s="34" t="s">
        <v>375</v>
      </c>
    </row>
    <row r="48" customFormat="false" ht="15" hidden="false" customHeight="true" outlineLevel="0" collapsed="false">
      <c r="A48" s="34" t="s">
        <v>376</v>
      </c>
      <c r="B48" s="34" t="s">
        <v>377</v>
      </c>
      <c r="C48" s="35" t="n">
        <v>20000</v>
      </c>
      <c r="D48" s="34" t="s">
        <v>378</v>
      </c>
      <c r="E48" s="34" t="s">
        <v>363</v>
      </c>
      <c r="F48" s="34" t="s">
        <v>201</v>
      </c>
      <c r="G48" s="34" t="s">
        <v>213</v>
      </c>
      <c r="H48" s="34" t="s">
        <v>379</v>
      </c>
    </row>
    <row r="49" customFormat="false" ht="15" hidden="false" customHeight="true" outlineLevel="0" collapsed="false">
      <c r="A49" s="34" t="s">
        <v>380</v>
      </c>
      <c r="B49" s="34" t="s">
        <v>381</v>
      </c>
      <c r="C49" s="35" t="n">
        <v>20000</v>
      </c>
      <c r="D49" s="34" t="s">
        <v>382</v>
      </c>
      <c r="E49" s="34" t="s">
        <v>207</v>
      </c>
      <c r="F49" s="34" t="s">
        <v>208</v>
      </c>
      <c r="G49" s="34" t="s">
        <v>213</v>
      </c>
      <c r="H49" s="34" t="s">
        <v>383</v>
      </c>
    </row>
    <row r="50" customFormat="false" ht="15" hidden="false" customHeight="true" outlineLevel="0" collapsed="false">
      <c r="A50" s="34" t="s">
        <v>384</v>
      </c>
      <c r="B50" s="34" t="s">
        <v>385</v>
      </c>
      <c r="C50" s="35" t="n">
        <v>20000</v>
      </c>
      <c r="D50" s="34" t="s">
        <v>386</v>
      </c>
      <c r="E50" s="34" t="s">
        <v>387</v>
      </c>
      <c r="F50" s="36" t="s">
        <v>219</v>
      </c>
      <c r="G50" s="34"/>
      <c r="H50" s="34"/>
    </row>
    <row r="51" customFormat="false" ht="15" hidden="false" customHeight="true" outlineLevel="0" collapsed="false">
      <c r="A51" s="34" t="s">
        <v>388</v>
      </c>
      <c r="B51" s="34" t="s">
        <v>389</v>
      </c>
      <c r="C51" s="35" t="n">
        <v>20000</v>
      </c>
      <c r="D51" s="34" t="s">
        <v>390</v>
      </c>
      <c r="E51" s="34" t="s">
        <v>228</v>
      </c>
      <c r="F51" s="36" t="s">
        <v>219</v>
      </c>
      <c r="G51" s="34"/>
      <c r="H51" s="34"/>
    </row>
    <row r="52" customFormat="false" ht="15" hidden="false" customHeight="true" outlineLevel="0" collapsed="false">
      <c r="A52" s="34" t="s">
        <v>151</v>
      </c>
      <c r="B52" s="34" t="s">
        <v>391</v>
      </c>
      <c r="C52" s="35" t="n">
        <v>20000</v>
      </c>
      <c r="D52" s="34" t="s">
        <v>392</v>
      </c>
      <c r="E52" s="34" t="s">
        <v>393</v>
      </c>
      <c r="F52" s="36" t="s">
        <v>219</v>
      </c>
      <c r="G52" s="34" t="s">
        <v>213</v>
      </c>
      <c r="H52" s="34" t="s">
        <v>394</v>
      </c>
    </row>
    <row r="53" customFormat="false" ht="15" hidden="false" customHeight="true" outlineLevel="0" collapsed="false">
      <c r="A53" s="34" t="s">
        <v>395</v>
      </c>
      <c r="B53" s="34" t="s">
        <v>396</v>
      </c>
      <c r="C53" s="35" t="n">
        <v>15000</v>
      </c>
      <c r="D53" s="34" t="s">
        <v>397</v>
      </c>
      <c r="E53" s="34" t="s">
        <v>398</v>
      </c>
      <c r="F53" s="34" t="s">
        <v>201</v>
      </c>
      <c r="G53" s="34" t="s">
        <v>213</v>
      </c>
      <c r="H53" s="34" t="s">
        <v>399</v>
      </c>
    </row>
    <row r="54" customFormat="false" ht="15" hidden="false" customHeight="true" outlineLevel="0" collapsed="false">
      <c r="A54" s="34" t="s">
        <v>400</v>
      </c>
      <c r="B54" s="34" t="s">
        <v>401</v>
      </c>
      <c r="C54" s="35" t="n">
        <v>15000</v>
      </c>
      <c r="D54" s="34" t="s">
        <v>402</v>
      </c>
      <c r="E54" s="34" t="s">
        <v>243</v>
      </c>
      <c r="F54" s="34" t="s">
        <v>201</v>
      </c>
      <c r="G54" s="34" t="s">
        <v>213</v>
      </c>
      <c r="H54" s="34" t="s">
        <v>403</v>
      </c>
    </row>
    <row r="55" customFormat="false" ht="15" hidden="false" customHeight="true" outlineLevel="0" collapsed="false">
      <c r="A55" s="34" t="s">
        <v>404</v>
      </c>
      <c r="B55" s="34" t="s">
        <v>405</v>
      </c>
      <c r="C55" s="35" t="n">
        <v>15000</v>
      </c>
      <c r="D55" s="34" t="s">
        <v>406</v>
      </c>
      <c r="E55" s="34" t="s">
        <v>387</v>
      </c>
      <c r="F55" s="36" t="s">
        <v>219</v>
      </c>
      <c r="G55" s="34" t="s">
        <v>213</v>
      </c>
      <c r="H55" s="34" t="s">
        <v>407</v>
      </c>
    </row>
    <row r="56" customFormat="false" ht="15" hidden="false" customHeight="true" outlineLevel="0" collapsed="false">
      <c r="A56" s="34" t="s">
        <v>408</v>
      </c>
      <c r="B56" s="34" t="s">
        <v>409</v>
      </c>
      <c r="C56" s="35" t="n">
        <v>15000</v>
      </c>
      <c r="D56" s="34" t="s">
        <v>410</v>
      </c>
      <c r="E56" s="34" t="s">
        <v>374</v>
      </c>
      <c r="F56" s="34" t="s">
        <v>201</v>
      </c>
      <c r="G56" s="34" t="s">
        <v>213</v>
      </c>
      <c r="H56" s="34" t="s">
        <v>411</v>
      </c>
    </row>
    <row r="57" customFormat="false" ht="15" hidden="false" customHeight="true" outlineLevel="0" collapsed="false">
      <c r="A57" s="34" t="s">
        <v>412</v>
      </c>
      <c r="B57" s="34" t="s">
        <v>413</v>
      </c>
      <c r="C57" s="35" t="n">
        <v>15000</v>
      </c>
      <c r="D57" s="34" t="s">
        <v>414</v>
      </c>
      <c r="E57" s="34" t="s">
        <v>238</v>
      </c>
      <c r="F57" s="34" t="s">
        <v>208</v>
      </c>
      <c r="G57" s="34"/>
      <c r="H57" s="34"/>
    </row>
    <row r="58" customFormat="false" ht="15" hidden="false" customHeight="true" outlineLevel="0" collapsed="false">
      <c r="A58" s="34" t="s">
        <v>415</v>
      </c>
      <c r="B58" s="34" t="s">
        <v>416</v>
      </c>
      <c r="C58" s="35" t="n">
        <v>15000</v>
      </c>
      <c r="D58" s="34" t="s">
        <v>417</v>
      </c>
      <c r="E58" s="34" t="s">
        <v>418</v>
      </c>
      <c r="F58" s="34" t="s">
        <v>201</v>
      </c>
      <c r="G58" s="34" t="s">
        <v>213</v>
      </c>
      <c r="H58" s="34" t="s">
        <v>419</v>
      </c>
    </row>
    <row r="59" customFormat="false" ht="15" hidden="false" customHeight="true" outlineLevel="0" collapsed="false">
      <c r="A59" s="34" t="s">
        <v>420</v>
      </c>
      <c r="B59" s="34" t="s">
        <v>421</v>
      </c>
      <c r="C59" s="35" t="n">
        <v>15000</v>
      </c>
      <c r="D59" s="34" t="s">
        <v>422</v>
      </c>
      <c r="E59" s="34" t="s">
        <v>228</v>
      </c>
      <c r="F59" s="36" t="s">
        <v>219</v>
      </c>
      <c r="G59" s="34" t="s">
        <v>213</v>
      </c>
      <c r="H59" s="34" t="s">
        <v>423</v>
      </c>
    </row>
    <row r="60" customFormat="false" ht="15" hidden="false" customHeight="true" outlineLevel="0" collapsed="false">
      <c r="A60" s="34" t="s">
        <v>424</v>
      </c>
      <c r="B60" s="34" t="s">
        <v>425</v>
      </c>
      <c r="C60" s="35" t="n">
        <v>10000</v>
      </c>
      <c r="D60" s="34" t="s">
        <v>426</v>
      </c>
      <c r="E60" s="34" t="s">
        <v>363</v>
      </c>
      <c r="F60" s="37" t="s">
        <v>289</v>
      </c>
      <c r="G60" s="34"/>
      <c r="H60" s="34"/>
    </row>
    <row r="61" customFormat="false" ht="15" hidden="false" customHeight="true" outlineLevel="0" collapsed="false">
      <c r="A61" s="34" t="s">
        <v>427</v>
      </c>
      <c r="B61" s="34" t="s">
        <v>428</v>
      </c>
      <c r="C61" s="35" t="n">
        <v>10000</v>
      </c>
      <c r="D61" s="34" t="s">
        <v>429</v>
      </c>
      <c r="E61" s="34" t="s">
        <v>323</v>
      </c>
      <c r="F61" s="34" t="s">
        <v>324</v>
      </c>
      <c r="G61" s="34" t="s">
        <v>202</v>
      </c>
      <c r="H61" s="34" t="s">
        <v>430</v>
      </c>
    </row>
    <row r="62" customFormat="false" ht="15" hidden="false" customHeight="true" outlineLevel="0" collapsed="false">
      <c r="A62" s="34" t="s">
        <v>431</v>
      </c>
      <c r="B62" s="34" t="s">
        <v>432</v>
      </c>
      <c r="C62" s="35" t="n">
        <v>10000</v>
      </c>
      <c r="D62" s="34" t="s">
        <v>433</v>
      </c>
      <c r="E62" s="34" t="s">
        <v>434</v>
      </c>
      <c r="F62" s="37" t="s">
        <v>289</v>
      </c>
      <c r="G62" s="34"/>
      <c r="H62" s="34"/>
    </row>
    <row r="63" customFormat="false" ht="15" hidden="false" customHeight="true" outlineLevel="0" collapsed="false">
      <c r="A63" s="34" t="s">
        <v>435</v>
      </c>
      <c r="B63" s="34" t="s">
        <v>436</v>
      </c>
      <c r="C63" s="35" t="n">
        <v>10000</v>
      </c>
      <c r="D63" s="34" t="s">
        <v>437</v>
      </c>
      <c r="E63" s="34" t="s">
        <v>218</v>
      </c>
      <c r="F63" s="36" t="s">
        <v>219</v>
      </c>
      <c r="G63" s="34"/>
      <c r="H63" s="34"/>
    </row>
    <row r="64" customFormat="false" ht="15" hidden="false" customHeight="true" outlineLevel="0" collapsed="false">
      <c r="A64" s="34" t="s">
        <v>438</v>
      </c>
      <c r="B64" s="34" t="s">
        <v>439</v>
      </c>
      <c r="C64" s="35" t="n">
        <v>10000</v>
      </c>
      <c r="D64" s="34" t="s">
        <v>440</v>
      </c>
      <c r="E64" s="34" t="s">
        <v>243</v>
      </c>
      <c r="F64" s="37" t="s">
        <v>289</v>
      </c>
      <c r="G64" s="34"/>
      <c r="H64" s="34"/>
    </row>
    <row r="65" customFormat="false" ht="15" hidden="false" customHeight="true" outlineLevel="0" collapsed="false">
      <c r="A65" s="34" t="s">
        <v>142</v>
      </c>
      <c r="B65" s="34" t="s">
        <v>441</v>
      </c>
      <c r="C65" s="35" t="n">
        <v>10000</v>
      </c>
      <c r="D65" s="34" t="s">
        <v>442</v>
      </c>
      <c r="E65" s="34" t="s">
        <v>323</v>
      </c>
      <c r="F65" s="34" t="s">
        <v>324</v>
      </c>
      <c r="G65" s="34" t="s">
        <v>213</v>
      </c>
      <c r="H65" s="34" t="s">
        <v>443</v>
      </c>
    </row>
    <row r="66" customFormat="false" ht="15" hidden="false" customHeight="true" outlineLevel="0" collapsed="false">
      <c r="A66" s="34" t="s">
        <v>444</v>
      </c>
      <c r="B66" s="34" t="s">
        <v>445</v>
      </c>
      <c r="C66" s="35" t="n">
        <v>10000</v>
      </c>
      <c r="D66" s="34" t="s">
        <v>446</v>
      </c>
      <c r="E66" s="34" t="s">
        <v>228</v>
      </c>
      <c r="F66" s="36" t="s">
        <v>219</v>
      </c>
      <c r="G66" s="34" t="s">
        <v>213</v>
      </c>
      <c r="H66" s="34" t="s">
        <v>447</v>
      </c>
    </row>
    <row r="67" customFormat="false" ht="15" hidden="false" customHeight="true" outlineLevel="0" collapsed="false">
      <c r="A67" s="34" t="s">
        <v>448</v>
      </c>
      <c r="B67" s="34" t="s">
        <v>449</v>
      </c>
      <c r="C67" s="35" t="n">
        <v>10000</v>
      </c>
      <c r="D67" s="34" t="s">
        <v>450</v>
      </c>
      <c r="E67" s="34" t="s">
        <v>387</v>
      </c>
      <c r="F67" s="36" t="s">
        <v>219</v>
      </c>
      <c r="G67" s="34" t="s">
        <v>213</v>
      </c>
      <c r="H67" s="34" t="s">
        <v>451</v>
      </c>
    </row>
    <row r="68" customFormat="false" ht="15" hidden="false" customHeight="true" outlineLevel="0" collapsed="false">
      <c r="A68" s="34" t="s">
        <v>452</v>
      </c>
      <c r="B68" s="34" t="s">
        <v>453</v>
      </c>
      <c r="C68" s="35" t="n">
        <v>10000</v>
      </c>
      <c r="D68" s="34" t="s">
        <v>454</v>
      </c>
      <c r="E68" s="34" t="s">
        <v>233</v>
      </c>
      <c r="F68" s="34" t="s">
        <v>201</v>
      </c>
      <c r="G68" s="34" t="s">
        <v>213</v>
      </c>
      <c r="H68" s="34" t="s">
        <v>455</v>
      </c>
    </row>
    <row r="69" customFormat="false" ht="15" hidden="false" customHeight="true" outlineLevel="0" collapsed="false">
      <c r="A69" s="34" t="s">
        <v>456</v>
      </c>
      <c r="B69" s="34" t="s">
        <v>457</v>
      </c>
      <c r="C69" s="35" t="n">
        <v>10000</v>
      </c>
      <c r="D69" s="34" t="s">
        <v>458</v>
      </c>
      <c r="E69" s="34" t="s">
        <v>459</v>
      </c>
      <c r="F69" s="34" t="s">
        <v>201</v>
      </c>
      <c r="G69" s="34" t="s">
        <v>460</v>
      </c>
      <c r="H69" s="34" t="s">
        <v>461</v>
      </c>
    </row>
    <row r="70" customFormat="false" ht="15" hidden="false" customHeight="true" outlineLevel="0" collapsed="false">
      <c r="A70" s="34" t="s">
        <v>462</v>
      </c>
      <c r="B70" s="34" t="s">
        <v>463</v>
      </c>
      <c r="C70" s="35" t="n">
        <v>10000</v>
      </c>
      <c r="D70" s="34" t="s">
        <v>464</v>
      </c>
      <c r="E70" s="34" t="s">
        <v>218</v>
      </c>
      <c r="F70" s="36" t="s">
        <v>219</v>
      </c>
      <c r="G70" s="34" t="s">
        <v>213</v>
      </c>
      <c r="H70" s="34" t="s">
        <v>465</v>
      </c>
    </row>
    <row r="71" customFormat="false" ht="15" hidden="false" customHeight="true" outlineLevel="0" collapsed="false">
      <c r="A71" s="34" t="s">
        <v>466</v>
      </c>
      <c r="B71" s="34" t="s">
        <v>467</v>
      </c>
      <c r="C71" s="35" t="n">
        <v>10000</v>
      </c>
      <c r="D71" s="34" t="s">
        <v>468</v>
      </c>
      <c r="E71" s="34" t="s">
        <v>228</v>
      </c>
      <c r="F71" s="36" t="s">
        <v>219</v>
      </c>
      <c r="G71" s="34" t="s">
        <v>213</v>
      </c>
      <c r="H71" s="34" t="s">
        <v>469</v>
      </c>
    </row>
    <row r="72" customFormat="false" ht="15" hidden="false" customHeight="true" outlineLevel="0" collapsed="false">
      <c r="A72" s="34" t="s">
        <v>470</v>
      </c>
      <c r="B72" s="34" t="s">
        <v>471</v>
      </c>
      <c r="C72" s="35" t="n">
        <v>10000</v>
      </c>
      <c r="D72" s="34" t="s">
        <v>472</v>
      </c>
      <c r="E72" s="34" t="s">
        <v>218</v>
      </c>
      <c r="F72" s="36" t="s">
        <v>219</v>
      </c>
      <c r="G72" s="34"/>
      <c r="H72" s="34"/>
    </row>
    <row r="73" customFormat="false" ht="15" hidden="false" customHeight="true" outlineLevel="0" collapsed="false">
      <c r="A73" s="34" t="s">
        <v>473</v>
      </c>
      <c r="B73" s="34" t="s">
        <v>474</v>
      </c>
      <c r="C73" s="35" t="n">
        <v>10000</v>
      </c>
      <c r="D73" s="34" t="s">
        <v>475</v>
      </c>
      <c r="E73" s="34" t="s">
        <v>476</v>
      </c>
      <c r="F73" s="37" t="s">
        <v>289</v>
      </c>
      <c r="G73" s="34"/>
      <c r="H73" s="34"/>
    </row>
    <row r="74" customFormat="false" ht="15" hidden="false" customHeight="true" outlineLevel="0" collapsed="false">
      <c r="A74" s="34" t="s">
        <v>477</v>
      </c>
      <c r="B74" s="34" t="s">
        <v>478</v>
      </c>
      <c r="C74" s="35" t="n">
        <v>10000</v>
      </c>
      <c r="D74" s="34" t="s">
        <v>479</v>
      </c>
      <c r="E74" s="34" t="s">
        <v>393</v>
      </c>
      <c r="F74" s="36" t="s">
        <v>219</v>
      </c>
      <c r="G74" s="34" t="s">
        <v>213</v>
      </c>
      <c r="H74" s="34" t="s">
        <v>480</v>
      </c>
    </row>
    <row r="75" customFormat="false" ht="15" hidden="false" customHeight="true" outlineLevel="0" collapsed="false">
      <c r="A75" s="34" t="s">
        <v>481</v>
      </c>
      <c r="B75" s="34" t="s">
        <v>482</v>
      </c>
      <c r="C75" s="35" t="n">
        <v>10000</v>
      </c>
      <c r="D75" s="34" t="s">
        <v>483</v>
      </c>
      <c r="E75" s="34" t="s">
        <v>288</v>
      </c>
      <c r="F75" s="34" t="s">
        <v>201</v>
      </c>
      <c r="G75" s="34" t="s">
        <v>213</v>
      </c>
      <c r="H75" s="34" t="s">
        <v>484</v>
      </c>
    </row>
    <row r="76" customFormat="false" ht="15" hidden="false" customHeight="true" outlineLevel="0" collapsed="false">
      <c r="A76" s="34" t="s">
        <v>485</v>
      </c>
      <c r="B76" s="34" t="s">
        <v>486</v>
      </c>
      <c r="C76" s="35" t="n">
        <v>10000</v>
      </c>
      <c r="D76" s="34" t="s">
        <v>487</v>
      </c>
      <c r="E76" s="34" t="s">
        <v>207</v>
      </c>
      <c r="F76" s="34" t="s">
        <v>208</v>
      </c>
      <c r="G76" s="34" t="s">
        <v>213</v>
      </c>
      <c r="H76" s="34" t="s">
        <v>488</v>
      </c>
    </row>
    <row r="77" customFormat="false" ht="15" hidden="false" customHeight="true" outlineLevel="0" collapsed="false">
      <c r="A77" s="34" t="s">
        <v>489</v>
      </c>
      <c r="B77" s="34" t="s">
        <v>490</v>
      </c>
      <c r="C77" s="35" t="n">
        <v>5000</v>
      </c>
      <c r="D77" s="34" t="s">
        <v>491</v>
      </c>
      <c r="E77" s="34"/>
      <c r="F77" s="34" t="s">
        <v>492</v>
      </c>
      <c r="G77" s="34" t="s">
        <v>213</v>
      </c>
      <c r="H77" s="34" t="s">
        <v>493</v>
      </c>
    </row>
    <row r="78" customFormat="false" ht="15" hidden="false" customHeight="true" outlineLevel="0" collapsed="false">
      <c r="A78" s="34" t="s">
        <v>494</v>
      </c>
      <c r="B78" s="34" t="s">
        <v>495</v>
      </c>
      <c r="C78" s="35" t="n">
        <v>5000</v>
      </c>
      <c r="D78" s="34" t="s">
        <v>496</v>
      </c>
      <c r="E78" s="34" t="s">
        <v>238</v>
      </c>
      <c r="F78" s="34" t="s">
        <v>208</v>
      </c>
      <c r="G78" s="34" t="s">
        <v>497</v>
      </c>
      <c r="H78" s="34" t="s">
        <v>498</v>
      </c>
    </row>
    <row r="79" customFormat="false" ht="15" hidden="false" customHeight="true" outlineLevel="0" collapsed="false">
      <c r="A79" s="34" t="s">
        <v>499</v>
      </c>
      <c r="B79" s="34" t="s">
        <v>500</v>
      </c>
      <c r="C79" s="35" t="n">
        <v>5000</v>
      </c>
      <c r="D79" s="34" t="s">
        <v>501</v>
      </c>
      <c r="E79" s="34" t="s">
        <v>335</v>
      </c>
      <c r="F79" s="34" t="s">
        <v>201</v>
      </c>
      <c r="G79" s="34" t="s">
        <v>213</v>
      </c>
      <c r="H79" s="34" t="s">
        <v>502</v>
      </c>
    </row>
    <row r="80" customFormat="false" ht="15" hidden="false" customHeight="true" outlineLevel="0" collapsed="false">
      <c r="A80" s="34" t="s">
        <v>503</v>
      </c>
      <c r="B80" s="34" t="s">
        <v>504</v>
      </c>
      <c r="C80" s="35" t="n">
        <v>5000</v>
      </c>
      <c r="D80" s="34" t="s">
        <v>505</v>
      </c>
      <c r="E80" s="34" t="s">
        <v>218</v>
      </c>
      <c r="F80" s="36" t="s">
        <v>219</v>
      </c>
      <c r="G80" s="34" t="s">
        <v>213</v>
      </c>
      <c r="H80" s="34" t="s">
        <v>506</v>
      </c>
    </row>
    <row r="81" customFormat="false" ht="15" hidden="false" customHeight="true" outlineLevel="0" collapsed="false">
      <c r="A81" s="34" t="s">
        <v>507</v>
      </c>
      <c r="B81" s="34" t="s">
        <v>508</v>
      </c>
      <c r="C81" s="35" t="n">
        <v>5000</v>
      </c>
      <c r="D81" s="34" t="s">
        <v>509</v>
      </c>
      <c r="E81" s="34" t="s">
        <v>238</v>
      </c>
      <c r="F81" s="34" t="s">
        <v>208</v>
      </c>
      <c r="G81" s="34" t="s">
        <v>213</v>
      </c>
      <c r="H81" s="34" t="s">
        <v>510</v>
      </c>
    </row>
    <row r="82" customFormat="false" ht="15" hidden="false" customHeight="true" outlineLevel="0" collapsed="false">
      <c r="A82" s="34" t="s">
        <v>511</v>
      </c>
      <c r="B82" s="34" t="s">
        <v>512</v>
      </c>
      <c r="C82" s="35" t="n">
        <v>5000</v>
      </c>
      <c r="D82" s="34" t="s">
        <v>513</v>
      </c>
      <c r="E82" s="34" t="s">
        <v>228</v>
      </c>
      <c r="F82" s="36" t="s">
        <v>219</v>
      </c>
      <c r="G82" s="34" t="s">
        <v>213</v>
      </c>
      <c r="H82" s="34" t="s">
        <v>514</v>
      </c>
    </row>
    <row r="83" customFormat="false" ht="15" hidden="false" customHeight="true" outlineLevel="0" collapsed="false">
      <c r="A83" s="34" t="s">
        <v>515</v>
      </c>
      <c r="B83" s="34" t="s">
        <v>516</v>
      </c>
      <c r="C83" s="35" t="n">
        <v>5000</v>
      </c>
      <c r="D83" s="34" t="s">
        <v>517</v>
      </c>
      <c r="E83" s="34" t="s">
        <v>323</v>
      </c>
      <c r="F83" s="34" t="s">
        <v>324</v>
      </c>
      <c r="G83" s="34"/>
      <c r="H83" s="34"/>
    </row>
    <row r="84" customFormat="false" ht="15" hidden="false" customHeight="true" outlineLevel="0" collapsed="false">
      <c r="A84" s="34" t="s">
        <v>518</v>
      </c>
      <c r="B84" s="34" t="s">
        <v>519</v>
      </c>
      <c r="C84" s="35" t="n">
        <v>5000</v>
      </c>
      <c r="D84" s="34" t="s">
        <v>520</v>
      </c>
      <c r="E84" s="34" t="s">
        <v>521</v>
      </c>
      <c r="F84" s="34" t="s">
        <v>201</v>
      </c>
      <c r="G84" s="34" t="s">
        <v>213</v>
      </c>
      <c r="H84" s="34" t="s">
        <v>522</v>
      </c>
    </row>
    <row r="85" customFormat="false" ht="15" hidden="false" customHeight="true" outlineLevel="0" collapsed="false">
      <c r="A85" s="34" t="s">
        <v>523</v>
      </c>
      <c r="B85" s="34" t="s">
        <v>524</v>
      </c>
      <c r="C85" s="35" t="n">
        <v>5000</v>
      </c>
      <c r="D85" s="34" t="s">
        <v>525</v>
      </c>
      <c r="E85" s="34" t="s">
        <v>207</v>
      </c>
      <c r="F85" s="34" t="s">
        <v>208</v>
      </c>
      <c r="G85" s="34" t="s">
        <v>526</v>
      </c>
      <c r="H85" s="34" t="s">
        <v>527</v>
      </c>
    </row>
    <row r="86" customFormat="false" ht="15" hidden="false" customHeight="true" outlineLevel="0" collapsed="false">
      <c r="A86" s="34" t="s">
        <v>528</v>
      </c>
      <c r="B86" s="34" t="s">
        <v>529</v>
      </c>
      <c r="C86" s="35" t="n">
        <v>5000</v>
      </c>
      <c r="D86" s="34" t="s">
        <v>390</v>
      </c>
      <c r="E86" s="34" t="s">
        <v>530</v>
      </c>
      <c r="F86" s="34" t="s">
        <v>208</v>
      </c>
      <c r="G86" s="34"/>
      <c r="H86" s="34"/>
    </row>
    <row r="87" customFormat="false" ht="15" hidden="false" customHeight="true" outlineLevel="0" collapsed="false">
      <c r="A87" s="34" t="s">
        <v>531</v>
      </c>
      <c r="B87" s="34" t="s">
        <v>532</v>
      </c>
      <c r="C87" s="35" t="n">
        <v>5000</v>
      </c>
      <c r="D87" s="34" t="s">
        <v>533</v>
      </c>
      <c r="E87" s="34" t="s">
        <v>387</v>
      </c>
      <c r="F87" s="36" t="s">
        <v>219</v>
      </c>
      <c r="G87" s="34" t="s">
        <v>213</v>
      </c>
      <c r="H87" s="34" t="s">
        <v>534</v>
      </c>
    </row>
    <row r="88" customFormat="false" ht="15" hidden="false" customHeight="true" outlineLevel="0" collapsed="false">
      <c r="A88" s="34" t="s">
        <v>535</v>
      </c>
      <c r="B88" s="34" t="s">
        <v>536</v>
      </c>
      <c r="C88" s="35" t="n">
        <v>5000</v>
      </c>
      <c r="D88" s="34" t="s">
        <v>537</v>
      </c>
      <c r="E88" s="34" t="s">
        <v>538</v>
      </c>
      <c r="F88" s="34" t="s">
        <v>201</v>
      </c>
      <c r="G88" s="34" t="s">
        <v>213</v>
      </c>
      <c r="H88" s="34" t="s">
        <v>539</v>
      </c>
    </row>
    <row r="89" customFormat="false" ht="15" hidden="false" customHeight="true" outlineLevel="0" collapsed="false">
      <c r="A89" s="34" t="s">
        <v>540</v>
      </c>
      <c r="B89" s="34" t="s">
        <v>541</v>
      </c>
      <c r="C89" s="35" t="n">
        <v>5000</v>
      </c>
      <c r="D89" s="34" t="s">
        <v>542</v>
      </c>
      <c r="E89" s="34" t="s">
        <v>543</v>
      </c>
      <c r="F89" s="34" t="s">
        <v>201</v>
      </c>
      <c r="G89" s="34" t="s">
        <v>213</v>
      </c>
      <c r="H89" s="34" t="s">
        <v>544</v>
      </c>
    </row>
    <row r="90" customFormat="false" ht="15" hidden="false" customHeight="true" outlineLevel="0" collapsed="false">
      <c r="A90" s="34" t="s">
        <v>545</v>
      </c>
      <c r="B90" s="34" t="s">
        <v>546</v>
      </c>
      <c r="C90" s="35" t="n">
        <v>5000</v>
      </c>
      <c r="D90" s="34" t="s">
        <v>547</v>
      </c>
      <c r="E90" s="34" t="s">
        <v>218</v>
      </c>
      <c r="F90" s="36" t="s">
        <v>219</v>
      </c>
      <c r="G90" s="34" t="s">
        <v>213</v>
      </c>
      <c r="H90" s="34" t="s">
        <v>548</v>
      </c>
    </row>
    <row r="91" customFormat="false" ht="15" hidden="false" customHeight="true" outlineLevel="0" collapsed="false">
      <c r="A91" s="34" t="s">
        <v>549</v>
      </c>
      <c r="B91" s="34" t="s">
        <v>550</v>
      </c>
      <c r="C91" s="35" t="n">
        <v>5000</v>
      </c>
      <c r="D91" s="34" t="s">
        <v>417</v>
      </c>
      <c r="E91" s="34" t="s">
        <v>367</v>
      </c>
      <c r="F91" s="34" t="s">
        <v>201</v>
      </c>
      <c r="G91" s="34" t="s">
        <v>213</v>
      </c>
      <c r="H91" s="34" t="s">
        <v>551</v>
      </c>
    </row>
    <row r="92" customFormat="false" ht="15" hidden="false" customHeight="true" outlineLevel="0" collapsed="false">
      <c r="A92" s="34" t="s">
        <v>552</v>
      </c>
      <c r="B92" s="34" t="s">
        <v>553</v>
      </c>
      <c r="C92" s="35" t="n">
        <v>5000</v>
      </c>
      <c r="D92" s="34" t="s">
        <v>554</v>
      </c>
      <c r="E92" s="34" t="s">
        <v>374</v>
      </c>
      <c r="F92" s="34" t="s">
        <v>201</v>
      </c>
      <c r="G92" s="34" t="s">
        <v>213</v>
      </c>
      <c r="H92" s="34" t="s">
        <v>555</v>
      </c>
    </row>
    <row r="93" customFormat="false" ht="15" hidden="false" customHeight="true" outlineLevel="0" collapsed="false">
      <c r="A93" s="34" t="s">
        <v>556</v>
      </c>
      <c r="B93" s="34" t="s">
        <v>557</v>
      </c>
      <c r="C93" s="35" t="n">
        <v>5000</v>
      </c>
      <c r="D93" s="34" t="s">
        <v>558</v>
      </c>
      <c r="E93" s="34" t="s">
        <v>207</v>
      </c>
      <c r="F93" s="34" t="s">
        <v>208</v>
      </c>
      <c r="G93" s="34" t="s">
        <v>213</v>
      </c>
      <c r="H93" s="34" t="s">
        <v>559</v>
      </c>
    </row>
    <row r="94" customFormat="false" ht="15" hidden="false" customHeight="true" outlineLevel="0" collapsed="false">
      <c r="A94" s="34" t="s">
        <v>560</v>
      </c>
      <c r="B94" s="34" t="s">
        <v>561</v>
      </c>
      <c r="C94" s="35" t="n">
        <v>5000</v>
      </c>
      <c r="D94" s="34" t="s">
        <v>422</v>
      </c>
      <c r="E94" s="34" t="s">
        <v>355</v>
      </c>
      <c r="F94" s="34" t="s">
        <v>201</v>
      </c>
      <c r="G94" s="34" t="s">
        <v>213</v>
      </c>
      <c r="H94" s="34" t="s">
        <v>562</v>
      </c>
    </row>
    <row r="95" customFormat="false" ht="15" hidden="false" customHeight="true" outlineLevel="0" collapsed="false">
      <c r="A95" s="34" t="s">
        <v>563</v>
      </c>
      <c r="B95" s="34" t="s">
        <v>564</v>
      </c>
      <c r="C95" s="35" t="n">
        <v>5000</v>
      </c>
      <c r="D95" s="34" t="s">
        <v>565</v>
      </c>
      <c r="E95" s="34" t="s">
        <v>218</v>
      </c>
      <c r="F95" s="36" t="s">
        <v>219</v>
      </c>
      <c r="G95" s="34"/>
      <c r="H95" s="34"/>
    </row>
    <row r="96" customFormat="false" ht="15" hidden="false" customHeight="true" outlineLevel="0" collapsed="false">
      <c r="A96" s="34" t="s">
        <v>566</v>
      </c>
      <c r="B96" s="34" t="s">
        <v>567</v>
      </c>
      <c r="C96" s="35" t="n">
        <v>5000</v>
      </c>
      <c r="D96" s="34" t="s">
        <v>568</v>
      </c>
      <c r="E96" s="34" t="s">
        <v>569</v>
      </c>
      <c r="F96" s="37" t="s">
        <v>289</v>
      </c>
      <c r="G96" s="34"/>
      <c r="H96" s="34"/>
    </row>
    <row r="97" customFormat="false" ht="15" hidden="false" customHeight="true" outlineLevel="0" collapsed="false">
      <c r="A97" s="12" t="s">
        <v>570</v>
      </c>
      <c r="C97" s="13" t="n">
        <f aca="false">SUM(C6:C96)</f>
        <v>2250000</v>
      </c>
      <c r="D97" s="12" t="s">
        <v>571</v>
      </c>
    </row>
    <row r="99" customFormat="false" ht="15" hidden="false" customHeight="true" outlineLevel="0" collapsed="false">
      <c r="A99" s="9" t="s">
        <v>572</v>
      </c>
    </row>
    <row r="100" customFormat="false" ht="15" hidden="false" customHeight="true" outlineLevel="0" collapsed="false">
      <c r="A100" s="10" t="s">
        <v>573</v>
      </c>
      <c r="B100" s="10" t="s">
        <v>574</v>
      </c>
      <c r="C100" s="10" t="s">
        <v>72</v>
      </c>
      <c r="D100" s="10" t="s">
        <v>575</v>
      </c>
      <c r="E100" s="10" t="s">
        <v>193</v>
      </c>
      <c r="F100" s="10" t="s">
        <v>576</v>
      </c>
      <c r="G100" s="10" t="s">
        <v>577</v>
      </c>
      <c r="H100" s="10"/>
    </row>
    <row r="101" customFormat="false" ht="15" hidden="false" customHeight="true" outlineLevel="0" collapsed="false">
      <c r="A101" s="34" t="s">
        <v>578</v>
      </c>
      <c r="B101" s="34"/>
      <c r="C101" s="35" t="n">
        <v>50000</v>
      </c>
      <c r="D101" s="34" t="s">
        <v>579</v>
      </c>
      <c r="E101" s="34" t="s">
        <v>387</v>
      </c>
      <c r="F101" s="34" t="s">
        <v>580</v>
      </c>
      <c r="G101" s="34" t="s">
        <v>581</v>
      </c>
      <c r="H101" s="34"/>
    </row>
    <row r="102" customFormat="false" ht="15" hidden="false" customHeight="true" outlineLevel="0" collapsed="false">
      <c r="A102" s="34" t="s">
        <v>582</v>
      </c>
      <c r="B102" s="34"/>
      <c r="C102" s="35" t="n">
        <v>75000</v>
      </c>
      <c r="D102" s="34" t="s">
        <v>583</v>
      </c>
      <c r="E102" s="34" t="s">
        <v>218</v>
      </c>
      <c r="F102" s="34" t="s">
        <v>584</v>
      </c>
      <c r="G102" s="34" t="s">
        <v>585</v>
      </c>
      <c r="H102" s="34"/>
    </row>
    <row r="103" customFormat="false" ht="15" hidden="false" customHeight="true" outlineLevel="0" collapsed="false">
      <c r="A103" s="34" t="s">
        <v>586</v>
      </c>
      <c r="B103" s="34"/>
      <c r="C103" s="35" t="n">
        <v>40000</v>
      </c>
      <c r="D103" s="34" t="s">
        <v>583</v>
      </c>
      <c r="E103" s="34"/>
      <c r="F103" s="34" t="s">
        <v>587</v>
      </c>
      <c r="G103" s="34" t="s">
        <v>588</v>
      </c>
      <c r="H103" s="34"/>
    </row>
    <row r="104" customFormat="false" ht="15" hidden="false" customHeight="true" outlineLevel="0" collapsed="false">
      <c r="A104" s="34" t="s">
        <v>589</v>
      </c>
      <c r="B104" s="34"/>
      <c r="C104" s="35" t="n">
        <v>50000</v>
      </c>
      <c r="D104" s="34" t="s">
        <v>590</v>
      </c>
      <c r="E104" s="34" t="s">
        <v>233</v>
      </c>
      <c r="F104" s="34" t="s">
        <v>591</v>
      </c>
      <c r="G104" s="34" t="s">
        <v>581</v>
      </c>
      <c r="H104" s="34"/>
    </row>
    <row r="105" customFormat="false" ht="15" hidden="false" customHeight="true" outlineLevel="0" collapsed="false">
      <c r="A105" s="38" t="s">
        <v>592</v>
      </c>
      <c r="B105" s="38"/>
      <c r="C105" s="39" t="n">
        <v>25000</v>
      </c>
      <c r="D105" s="38" t="s">
        <v>593</v>
      </c>
      <c r="E105" s="38"/>
      <c r="F105" s="38" t="s">
        <v>594</v>
      </c>
      <c r="G105" s="38" t="s">
        <v>595</v>
      </c>
      <c r="H105" s="34"/>
    </row>
    <row r="106" customFormat="false" ht="15" hidden="false" customHeight="true" outlineLevel="0" collapsed="false">
      <c r="A106" s="38" t="s">
        <v>225</v>
      </c>
      <c r="B106" s="38"/>
      <c r="C106" s="39" t="n">
        <v>30000</v>
      </c>
      <c r="D106" s="38" t="s">
        <v>583</v>
      </c>
      <c r="E106" s="38" t="s">
        <v>228</v>
      </c>
      <c r="F106" s="38" t="s">
        <v>596</v>
      </c>
      <c r="G106" s="38" t="s">
        <v>595</v>
      </c>
      <c r="H106" s="34"/>
    </row>
    <row r="107" customFormat="false" ht="15" hidden="false" customHeight="true" outlineLevel="0" collapsed="false">
      <c r="A107" s="34" t="s">
        <v>597</v>
      </c>
      <c r="B107" s="34"/>
      <c r="C107" s="35" t="n">
        <v>25000</v>
      </c>
      <c r="D107" s="34" t="s">
        <v>583</v>
      </c>
      <c r="E107" s="34" t="s">
        <v>387</v>
      </c>
      <c r="F107" s="34" t="s">
        <v>598</v>
      </c>
      <c r="G107" s="34" t="s">
        <v>599</v>
      </c>
      <c r="H107" s="34"/>
    </row>
    <row r="108" customFormat="false" ht="15" hidden="false" customHeight="true" outlineLevel="0" collapsed="false">
      <c r="A108" s="34" t="s">
        <v>600</v>
      </c>
      <c r="B108" s="34"/>
      <c r="C108" s="35" t="n">
        <v>25000</v>
      </c>
      <c r="D108" s="34" t="s">
        <v>583</v>
      </c>
      <c r="E108" s="34" t="s">
        <v>207</v>
      </c>
      <c r="F108" s="34" t="s">
        <v>601</v>
      </c>
      <c r="G108" s="34" t="s">
        <v>602</v>
      </c>
      <c r="H108" s="34"/>
    </row>
    <row r="109" customFormat="false" ht="15" hidden="false" customHeight="true" outlineLevel="0" collapsed="false">
      <c r="A109" s="34" t="s">
        <v>603</v>
      </c>
      <c r="B109" s="34"/>
      <c r="C109" s="35" t="n">
        <v>50000</v>
      </c>
      <c r="D109" s="34" t="s">
        <v>604</v>
      </c>
      <c r="E109" s="34"/>
      <c r="F109" s="34" t="s">
        <v>605</v>
      </c>
      <c r="G109" s="34" t="s">
        <v>581</v>
      </c>
      <c r="H109" s="34"/>
    </row>
    <row r="110" customFormat="false" ht="15" hidden="false" customHeight="true" outlineLevel="0" collapsed="false">
      <c r="A110" s="34" t="s">
        <v>606</v>
      </c>
      <c r="B110" s="34"/>
      <c r="C110" s="35" t="n">
        <v>35000</v>
      </c>
      <c r="D110" s="34" t="s">
        <v>607</v>
      </c>
      <c r="E110" s="34" t="s">
        <v>207</v>
      </c>
      <c r="F110" s="34" t="s">
        <v>601</v>
      </c>
      <c r="G110" s="34" t="s">
        <v>602</v>
      </c>
      <c r="H110" s="34"/>
    </row>
    <row r="111" customFormat="false" ht="15" hidden="false" customHeight="true" outlineLevel="0" collapsed="false">
      <c r="A111" s="38" t="s">
        <v>608</v>
      </c>
      <c r="B111" s="38"/>
      <c r="C111" s="39" t="n">
        <v>500000</v>
      </c>
      <c r="D111" s="38" t="s">
        <v>609</v>
      </c>
      <c r="E111" s="38" t="s">
        <v>218</v>
      </c>
      <c r="F111" s="38" t="s">
        <v>610</v>
      </c>
      <c r="G111" s="38" t="s">
        <v>595</v>
      </c>
      <c r="H111" s="34"/>
    </row>
    <row r="112" customFormat="false" ht="15" hidden="false" customHeight="true" outlineLevel="0" collapsed="false">
      <c r="A112" s="38" t="s">
        <v>326</v>
      </c>
      <c r="B112" s="38"/>
      <c r="C112" s="39" t="n">
        <v>35000</v>
      </c>
      <c r="D112" s="38" t="s">
        <v>583</v>
      </c>
      <c r="E112" s="38" t="s">
        <v>218</v>
      </c>
      <c r="F112" s="38" t="s">
        <v>610</v>
      </c>
      <c r="G112" s="38" t="s">
        <v>595</v>
      </c>
      <c r="H112" s="34"/>
    </row>
    <row r="113" customFormat="false" ht="15" hidden="false" customHeight="true" outlineLevel="0" collapsed="false">
      <c r="A113" s="34" t="s">
        <v>142</v>
      </c>
      <c r="B113" s="34"/>
      <c r="C113" s="35" t="n">
        <v>30000</v>
      </c>
      <c r="D113" s="34" t="s">
        <v>611</v>
      </c>
      <c r="E113" s="34" t="s">
        <v>323</v>
      </c>
      <c r="F113" s="34" t="s">
        <v>612</v>
      </c>
      <c r="G113" s="34" t="s">
        <v>613</v>
      </c>
      <c r="H113" s="34"/>
    </row>
    <row r="114" customFormat="false" ht="15" hidden="false" customHeight="true" outlineLevel="0" collapsed="false">
      <c r="A114" s="34" t="s">
        <v>142</v>
      </c>
      <c r="B114" s="34"/>
      <c r="C114" s="35" t="n">
        <v>50000</v>
      </c>
      <c r="D114" s="34" t="s">
        <v>611</v>
      </c>
      <c r="E114" s="34" t="s">
        <v>323</v>
      </c>
      <c r="F114" s="34" t="s">
        <v>614</v>
      </c>
      <c r="G114" s="34" t="s">
        <v>602</v>
      </c>
      <c r="H114" s="34"/>
    </row>
    <row r="115" customFormat="false" ht="15" hidden="false" customHeight="true" outlineLevel="0" collapsed="false">
      <c r="A115" s="34" t="s">
        <v>615</v>
      </c>
      <c r="B115" s="34"/>
      <c r="C115" s="35" t="n">
        <v>250000</v>
      </c>
      <c r="D115" s="34" t="s">
        <v>616</v>
      </c>
      <c r="E115" s="34"/>
      <c r="F115" s="34" t="s">
        <v>605</v>
      </c>
      <c r="G115" s="34" t="s">
        <v>581</v>
      </c>
      <c r="H115" s="34"/>
    </row>
    <row r="116" customFormat="false" ht="15" hidden="false" customHeight="true" outlineLevel="0" collapsed="false">
      <c r="A116" s="34" t="s">
        <v>617</v>
      </c>
      <c r="B116" s="34"/>
      <c r="C116" s="35" t="n">
        <v>25000</v>
      </c>
      <c r="D116" s="34" t="s">
        <v>618</v>
      </c>
      <c r="E116" s="34" t="s">
        <v>207</v>
      </c>
      <c r="F116" s="34" t="s">
        <v>619</v>
      </c>
      <c r="G116" s="34" t="s">
        <v>585</v>
      </c>
      <c r="H116" s="34"/>
    </row>
    <row r="117" customFormat="false" ht="15" hidden="false" customHeight="true" outlineLevel="0" collapsed="false">
      <c r="A117" s="34" t="s">
        <v>620</v>
      </c>
      <c r="B117" s="34"/>
      <c r="C117" s="35" t="n">
        <v>75000</v>
      </c>
      <c r="D117" s="34" t="s">
        <v>618</v>
      </c>
      <c r="E117" s="34" t="s">
        <v>207</v>
      </c>
      <c r="F117" s="34" t="s">
        <v>621</v>
      </c>
      <c r="G117" s="34" t="s">
        <v>581</v>
      </c>
      <c r="H117" s="34"/>
    </row>
    <row r="118" customFormat="false" ht="15" hidden="false" customHeight="true" outlineLevel="0" collapsed="false">
      <c r="A118" s="34" t="s">
        <v>343</v>
      </c>
      <c r="B118" s="34"/>
      <c r="C118" s="35" t="n">
        <v>20000</v>
      </c>
      <c r="D118" s="34" t="s">
        <v>618</v>
      </c>
      <c r="E118" s="34" t="s">
        <v>218</v>
      </c>
      <c r="F118" s="34" t="s">
        <v>622</v>
      </c>
      <c r="G118" s="34" t="s">
        <v>581</v>
      </c>
      <c r="H118" s="34"/>
    </row>
    <row r="119" customFormat="false" ht="15" hidden="false" customHeight="true" outlineLevel="0" collapsed="false">
      <c r="A119" s="34" t="s">
        <v>623</v>
      </c>
      <c r="B119" s="34"/>
      <c r="C119" s="35" t="n">
        <v>200000</v>
      </c>
      <c r="D119" s="34" t="s">
        <v>618</v>
      </c>
      <c r="E119" s="34" t="s">
        <v>207</v>
      </c>
      <c r="F119" s="34" t="s">
        <v>619</v>
      </c>
      <c r="G119" s="34" t="s">
        <v>624</v>
      </c>
      <c r="H119" s="34"/>
    </row>
    <row r="120" customFormat="false" ht="15" hidden="false" customHeight="true" outlineLevel="0" collapsed="false">
      <c r="A120" s="34" t="s">
        <v>625</v>
      </c>
      <c r="B120" s="34"/>
      <c r="C120" s="35" t="n">
        <v>25000</v>
      </c>
      <c r="D120" s="34" t="s">
        <v>618</v>
      </c>
      <c r="E120" s="34"/>
      <c r="F120" s="34" t="s">
        <v>626</v>
      </c>
      <c r="G120" s="34" t="s">
        <v>602</v>
      </c>
      <c r="H120" s="34"/>
    </row>
    <row r="121" customFormat="false" ht="15" hidden="false" customHeight="true" outlineLevel="0" collapsed="false">
      <c r="A121" s="34" t="s">
        <v>627</v>
      </c>
      <c r="B121" s="34"/>
      <c r="C121" s="35" t="n">
        <v>260000</v>
      </c>
      <c r="D121" s="34" t="s">
        <v>628</v>
      </c>
      <c r="E121" s="34" t="s">
        <v>228</v>
      </c>
      <c r="F121" s="34" t="s">
        <v>629</v>
      </c>
      <c r="G121" s="34" t="s">
        <v>630</v>
      </c>
      <c r="H121" s="34"/>
    </row>
    <row r="122" customFormat="false" ht="15" hidden="false" customHeight="true" outlineLevel="0" collapsed="false">
      <c r="A122" s="34" t="s">
        <v>631</v>
      </c>
      <c r="B122" s="34"/>
      <c r="C122" s="35" t="n">
        <v>157880</v>
      </c>
      <c r="D122" s="34" t="s">
        <v>628</v>
      </c>
      <c r="E122" s="34" t="s">
        <v>228</v>
      </c>
      <c r="F122" s="34" t="s">
        <v>632</v>
      </c>
      <c r="G122" s="34" t="s">
        <v>581</v>
      </c>
      <c r="H122" s="34"/>
    </row>
    <row r="123" customFormat="false" ht="15" hidden="false" customHeight="true" outlineLevel="0" collapsed="false">
      <c r="A123" s="34" t="s">
        <v>633</v>
      </c>
      <c r="B123" s="34"/>
      <c r="C123" s="35" t="n">
        <v>50000</v>
      </c>
      <c r="D123" s="34" t="s">
        <v>583</v>
      </c>
      <c r="E123" s="34"/>
      <c r="F123" s="34" t="s">
        <v>634</v>
      </c>
      <c r="G123" s="34" t="s">
        <v>635</v>
      </c>
      <c r="H123" s="34"/>
    </row>
    <row r="124" customFormat="false" ht="15" hidden="false" customHeight="true" outlineLevel="0" collapsed="false">
      <c r="A124" s="38" t="s">
        <v>636</v>
      </c>
      <c r="B124" s="38"/>
      <c r="C124" s="39" t="n">
        <v>50000</v>
      </c>
      <c r="D124" s="38" t="s">
        <v>637</v>
      </c>
      <c r="E124" s="38" t="s">
        <v>218</v>
      </c>
      <c r="F124" s="38" t="s">
        <v>610</v>
      </c>
      <c r="G124" s="38" t="s">
        <v>595</v>
      </c>
      <c r="H124" s="34"/>
    </row>
    <row r="125" customFormat="false" ht="15" hidden="false" customHeight="true" outlineLevel="0" collapsed="false">
      <c r="A125" s="38" t="s">
        <v>638</v>
      </c>
      <c r="B125" s="38"/>
      <c r="C125" s="39" t="n">
        <v>110000</v>
      </c>
      <c r="D125" s="38" t="s">
        <v>454</v>
      </c>
      <c r="E125" s="38" t="s">
        <v>233</v>
      </c>
      <c r="F125" s="38" t="s">
        <v>639</v>
      </c>
      <c r="G125" s="38" t="s">
        <v>595</v>
      </c>
      <c r="H125" s="34"/>
    </row>
    <row r="126" customFormat="false" ht="15" hidden="false" customHeight="true" outlineLevel="0" collapsed="false">
      <c r="A126" s="34" t="s">
        <v>640</v>
      </c>
      <c r="B126" s="34"/>
      <c r="C126" s="35" t="n">
        <v>100000</v>
      </c>
      <c r="D126" s="34" t="s">
        <v>583</v>
      </c>
      <c r="E126" s="34"/>
      <c r="F126" s="34" t="s">
        <v>626</v>
      </c>
      <c r="G126" s="34" t="s">
        <v>602</v>
      </c>
      <c r="H126" s="34"/>
    </row>
    <row r="127" customFormat="false" ht="15" hidden="false" customHeight="true" outlineLevel="0" collapsed="false">
      <c r="A127" s="34" t="s">
        <v>380</v>
      </c>
      <c r="B127" s="34"/>
      <c r="C127" s="35" t="n">
        <v>50000</v>
      </c>
      <c r="D127" s="34" t="s">
        <v>583</v>
      </c>
      <c r="E127" s="34" t="s">
        <v>207</v>
      </c>
      <c r="F127" s="34" t="s">
        <v>619</v>
      </c>
      <c r="G127" s="34" t="s">
        <v>635</v>
      </c>
      <c r="H127" s="34"/>
    </row>
    <row r="128" customFormat="false" ht="15" hidden="false" customHeight="true" outlineLevel="0" collapsed="false">
      <c r="A128" s="34" t="s">
        <v>641</v>
      </c>
      <c r="B128" s="34"/>
      <c r="C128" s="35" t="n">
        <v>15000</v>
      </c>
      <c r="D128" s="34" t="s">
        <v>583</v>
      </c>
      <c r="E128" s="34" t="s">
        <v>207</v>
      </c>
      <c r="F128" s="34" t="s">
        <v>621</v>
      </c>
      <c r="G128" s="34" t="s">
        <v>581</v>
      </c>
      <c r="H128" s="34"/>
    </row>
    <row r="129" customFormat="false" ht="15" hidden="false" customHeight="true" outlineLevel="0" collapsed="false">
      <c r="A129" s="38" t="s">
        <v>642</v>
      </c>
      <c r="B129" s="38"/>
      <c r="C129" s="39" t="n">
        <v>25000</v>
      </c>
      <c r="D129" s="38" t="s">
        <v>583</v>
      </c>
      <c r="E129" s="38" t="s">
        <v>207</v>
      </c>
      <c r="F129" s="38" t="s">
        <v>643</v>
      </c>
      <c r="G129" s="38" t="s">
        <v>595</v>
      </c>
      <c r="H129" s="34"/>
    </row>
    <row r="130" customFormat="false" ht="15" hidden="false" customHeight="true" outlineLevel="0" collapsed="false">
      <c r="A130" s="34" t="s">
        <v>644</v>
      </c>
      <c r="B130" s="34"/>
      <c r="C130" s="35" t="n">
        <v>100000</v>
      </c>
      <c r="D130" s="34" t="s">
        <v>616</v>
      </c>
      <c r="E130" s="34"/>
      <c r="F130" s="34" t="s">
        <v>634</v>
      </c>
      <c r="G130" s="34" t="s">
        <v>585</v>
      </c>
      <c r="H130" s="34"/>
    </row>
    <row r="131" customFormat="false" ht="15" hidden="false" customHeight="true" outlineLevel="0" collapsed="false">
      <c r="A131" s="34" t="s">
        <v>645</v>
      </c>
      <c r="B131" s="34"/>
      <c r="C131" s="35" t="n">
        <v>45000</v>
      </c>
      <c r="D131" s="34" t="s">
        <v>583</v>
      </c>
      <c r="E131" s="34"/>
      <c r="F131" s="34" t="s">
        <v>634</v>
      </c>
      <c r="G131" s="34" t="s">
        <v>624</v>
      </c>
      <c r="H131" s="34"/>
    </row>
    <row r="132" customFormat="false" ht="15" hidden="false" customHeight="true" outlineLevel="0" collapsed="false">
      <c r="A132" s="34" t="s">
        <v>623</v>
      </c>
      <c r="B132" s="34"/>
      <c r="C132" s="35" t="n">
        <v>140000</v>
      </c>
      <c r="D132" s="34" t="s">
        <v>618</v>
      </c>
      <c r="E132" s="34" t="s">
        <v>207</v>
      </c>
      <c r="F132" s="34" t="s">
        <v>619</v>
      </c>
      <c r="G132" s="34" t="s">
        <v>635</v>
      </c>
      <c r="H132" s="34"/>
    </row>
    <row r="133" customFormat="false" ht="15" hidden="false" customHeight="true" outlineLevel="0" collapsed="false">
      <c r="A133" s="34" t="s">
        <v>646</v>
      </c>
      <c r="B133" s="34"/>
      <c r="C133" s="35" t="n">
        <v>50000</v>
      </c>
      <c r="D133" s="34" t="s">
        <v>647</v>
      </c>
      <c r="E133" s="34"/>
      <c r="F133" s="34" t="s">
        <v>634</v>
      </c>
      <c r="G133" s="34" t="s">
        <v>630</v>
      </c>
      <c r="H133" s="34"/>
    </row>
    <row r="134" customFormat="false" ht="15" hidden="false" customHeight="true" outlineLevel="0" collapsed="false">
      <c r="A134" s="38" t="s">
        <v>648</v>
      </c>
      <c r="B134" s="38"/>
      <c r="C134" s="39" t="n">
        <v>50000</v>
      </c>
      <c r="D134" s="38" t="s">
        <v>583</v>
      </c>
      <c r="E134" s="38"/>
      <c r="F134" s="38" t="s">
        <v>594</v>
      </c>
      <c r="G134" s="38" t="s">
        <v>595</v>
      </c>
      <c r="H134" s="34"/>
    </row>
    <row r="135" customFormat="false" ht="15" hidden="false" customHeight="true" outlineLevel="0" collapsed="false">
      <c r="A135" s="12" t="s">
        <v>649</v>
      </c>
      <c r="C135" s="13" t="n">
        <f aca="false">SUM(C101:C134)</f>
        <v>2817880</v>
      </c>
    </row>
    <row r="137" customFormat="false" ht="15" hidden="false" customHeight="true" outlineLevel="0" collapsed="false">
      <c r="A137" s="9" t="s">
        <v>650</v>
      </c>
    </row>
    <row r="138" customFormat="false" ht="15" hidden="false" customHeight="true" outlineLevel="0" collapsed="false">
      <c r="A138" s="10" t="s">
        <v>573</v>
      </c>
      <c r="B138" s="10" t="s">
        <v>131</v>
      </c>
      <c r="C138" s="10" t="s">
        <v>72</v>
      </c>
      <c r="D138" s="10" t="s">
        <v>651</v>
      </c>
      <c r="E138" s="10" t="s">
        <v>193</v>
      </c>
      <c r="F138" s="10" t="s">
        <v>652</v>
      </c>
      <c r="G138" s="10"/>
      <c r="H138" s="10"/>
    </row>
    <row r="139" customFormat="false" ht="15" hidden="false" customHeight="true" outlineLevel="0" collapsed="false">
      <c r="A139" s="34" t="s">
        <v>653</v>
      </c>
      <c r="B139" s="34" t="s">
        <v>654</v>
      </c>
      <c r="C139" s="35" t="n">
        <v>50000</v>
      </c>
      <c r="D139" s="34" t="s">
        <v>655</v>
      </c>
      <c r="E139" s="34"/>
      <c r="F139" s="34" t="s">
        <v>656</v>
      </c>
    </row>
    <row r="140" customFormat="false" ht="15" hidden="false" customHeight="true" outlineLevel="0" collapsed="false">
      <c r="A140" s="34" t="s">
        <v>657</v>
      </c>
      <c r="B140" s="34" t="s">
        <v>658</v>
      </c>
      <c r="C140" s="35" t="n">
        <v>400628</v>
      </c>
      <c r="D140" s="34" t="s">
        <v>659</v>
      </c>
      <c r="E140" s="34" t="s">
        <v>207</v>
      </c>
      <c r="F140" s="34" t="s">
        <v>660</v>
      </c>
    </row>
    <row r="141" customFormat="false" ht="15" hidden="false" customHeight="true" outlineLevel="0" collapsed="false">
      <c r="A141" s="34" t="s">
        <v>657</v>
      </c>
      <c r="B141" s="34" t="s">
        <v>661</v>
      </c>
      <c r="C141" s="35" t="n">
        <v>36000</v>
      </c>
      <c r="D141" s="34" t="s">
        <v>662</v>
      </c>
      <c r="E141" s="34" t="s">
        <v>207</v>
      </c>
      <c r="F141" s="34" t="s">
        <v>660</v>
      </c>
    </row>
    <row r="142" customFormat="false" ht="15" hidden="false" customHeight="true" outlineLevel="0" collapsed="false">
      <c r="A142" s="34" t="s">
        <v>404</v>
      </c>
      <c r="B142" s="34" t="s">
        <v>663</v>
      </c>
      <c r="C142" s="35" t="n">
        <v>109012</v>
      </c>
      <c r="D142" s="34" t="s">
        <v>664</v>
      </c>
      <c r="E142" s="34" t="s">
        <v>387</v>
      </c>
      <c r="F142" s="34" t="s">
        <v>660</v>
      </c>
    </row>
    <row r="143" customFormat="false" ht="15" hidden="false" customHeight="true" outlineLevel="0" collapsed="false">
      <c r="A143" s="34" t="s">
        <v>657</v>
      </c>
      <c r="B143" s="34" t="s">
        <v>663</v>
      </c>
      <c r="C143" s="35" t="n">
        <v>50000</v>
      </c>
      <c r="D143" s="34" t="s">
        <v>664</v>
      </c>
      <c r="E143" s="34" t="s">
        <v>207</v>
      </c>
      <c r="F143" s="34" t="s">
        <v>660</v>
      </c>
    </row>
    <row r="144" customFormat="false" ht="15" hidden="false" customHeight="true" outlineLevel="0" collapsed="false">
      <c r="A144" s="34" t="s">
        <v>326</v>
      </c>
      <c r="B144" s="34" t="s">
        <v>663</v>
      </c>
      <c r="C144" s="35" t="n">
        <v>25000</v>
      </c>
      <c r="D144" s="34" t="s">
        <v>664</v>
      </c>
      <c r="E144" s="34" t="s">
        <v>218</v>
      </c>
      <c r="F144" s="34" t="s">
        <v>660</v>
      </c>
    </row>
    <row r="145" customFormat="false" ht="15" hidden="false" customHeight="true" outlineLevel="0" collapsed="false">
      <c r="A145" s="34" t="s">
        <v>149</v>
      </c>
      <c r="B145" s="34" t="s">
        <v>179</v>
      </c>
      <c r="C145" s="35" t="n">
        <v>49375</v>
      </c>
      <c r="D145" s="34" t="s">
        <v>665</v>
      </c>
      <c r="E145" s="34"/>
      <c r="F145" s="34" t="s">
        <v>660</v>
      </c>
    </row>
    <row r="146" customFormat="false" ht="15" hidden="false" customHeight="true" outlineLevel="0" collapsed="false">
      <c r="A146" s="34" t="s">
        <v>617</v>
      </c>
      <c r="B146" s="34" t="s">
        <v>666</v>
      </c>
      <c r="C146" s="35" t="n">
        <v>130265</v>
      </c>
      <c r="D146" s="34" t="s">
        <v>667</v>
      </c>
      <c r="E146" s="34" t="s">
        <v>207</v>
      </c>
      <c r="F146" s="34" t="s">
        <v>660</v>
      </c>
    </row>
    <row r="147" customFormat="false" ht="15" hidden="false" customHeight="true" outlineLevel="0" collapsed="false">
      <c r="A147" s="34" t="s">
        <v>617</v>
      </c>
      <c r="B147" s="34" t="s">
        <v>668</v>
      </c>
      <c r="C147" s="35" t="n">
        <v>200000</v>
      </c>
      <c r="D147" s="34" t="s">
        <v>669</v>
      </c>
      <c r="E147" s="34" t="s">
        <v>207</v>
      </c>
      <c r="F147" s="34" t="s">
        <v>660</v>
      </c>
    </row>
    <row r="148" customFormat="false" ht="15" hidden="false" customHeight="true" outlineLevel="0" collapsed="false">
      <c r="A148" s="34" t="s">
        <v>300</v>
      </c>
      <c r="B148" s="34" t="s">
        <v>670</v>
      </c>
      <c r="C148" s="35" t="n">
        <v>70000</v>
      </c>
      <c r="D148" s="34" t="s">
        <v>671</v>
      </c>
      <c r="E148" s="34" t="s">
        <v>218</v>
      </c>
      <c r="F148" s="34" t="s">
        <v>660</v>
      </c>
    </row>
    <row r="149" customFormat="false" ht="15" hidden="false" customHeight="true" outlineLevel="0" collapsed="false">
      <c r="A149" s="34" t="s">
        <v>672</v>
      </c>
      <c r="B149" s="34" t="s">
        <v>673</v>
      </c>
      <c r="C149" s="35" t="n">
        <v>335000</v>
      </c>
      <c r="D149" s="34" t="s">
        <v>674</v>
      </c>
      <c r="E149" s="34" t="s">
        <v>218</v>
      </c>
      <c r="F149" s="34" t="s">
        <v>660</v>
      </c>
    </row>
    <row r="150" customFormat="false" ht="15" hidden="false" customHeight="true" outlineLevel="0" collapsed="false">
      <c r="A150" s="34" t="s">
        <v>675</v>
      </c>
      <c r="B150" s="34" t="s">
        <v>676</v>
      </c>
      <c r="C150" s="35" t="n">
        <v>61000</v>
      </c>
      <c r="D150" s="34" t="s">
        <v>677</v>
      </c>
      <c r="E150" s="34" t="s">
        <v>393</v>
      </c>
      <c r="F150" s="34" t="s">
        <v>660</v>
      </c>
    </row>
    <row r="151" customFormat="false" ht="15" hidden="false" customHeight="true" outlineLevel="0" collapsed="false">
      <c r="A151" s="34" t="s">
        <v>678</v>
      </c>
      <c r="B151" s="34" t="s">
        <v>676</v>
      </c>
      <c r="C151" s="35" t="n">
        <v>54257</v>
      </c>
      <c r="D151" s="34" t="s">
        <v>677</v>
      </c>
      <c r="E151" s="34" t="s">
        <v>393</v>
      </c>
      <c r="F151" s="34" t="s">
        <v>660</v>
      </c>
    </row>
    <row r="152" customFormat="false" ht="15" hidden="false" customHeight="true" outlineLevel="0" collapsed="false">
      <c r="A152" s="34" t="s">
        <v>679</v>
      </c>
      <c r="B152" s="34" t="s">
        <v>680</v>
      </c>
      <c r="C152" s="35" t="n">
        <v>100000</v>
      </c>
      <c r="D152" s="34" t="s">
        <v>681</v>
      </c>
      <c r="E152" s="34"/>
      <c r="F152" s="34" t="s">
        <v>660</v>
      </c>
    </row>
    <row r="153" customFormat="false" ht="15" hidden="false" customHeight="true" outlineLevel="0" collapsed="false">
      <c r="A153" s="34" t="s">
        <v>682</v>
      </c>
      <c r="B153" s="34" t="s">
        <v>680</v>
      </c>
      <c r="C153" s="35" t="n">
        <v>50000</v>
      </c>
      <c r="D153" s="34" t="s">
        <v>681</v>
      </c>
      <c r="E153" s="34"/>
      <c r="F153" s="34" t="s">
        <v>660</v>
      </c>
    </row>
    <row r="154" customFormat="false" ht="15" hidden="false" customHeight="true" outlineLevel="0" collapsed="false">
      <c r="A154" s="34" t="s">
        <v>683</v>
      </c>
      <c r="B154" s="34" t="s">
        <v>680</v>
      </c>
      <c r="C154" s="35" t="n">
        <v>50000</v>
      </c>
      <c r="D154" s="34" t="s">
        <v>681</v>
      </c>
      <c r="E154" s="34"/>
      <c r="F154" s="34" t="s">
        <v>684</v>
      </c>
    </row>
    <row r="155" customFormat="false" ht="15" hidden="false" customHeight="true" outlineLevel="0" collapsed="false">
      <c r="A155" s="34" t="s">
        <v>163</v>
      </c>
      <c r="B155" s="34" t="s">
        <v>164</v>
      </c>
      <c r="C155" s="35" t="n">
        <v>98250</v>
      </c>
      <c r="D155" s="34" t="s">
        <v>685</v>
      </c>
      <c r="E155" s="34" t="s">
        <v>393</v>
      </c>
      <c r="F155" s="34" t="s">
        <v>660</v>
      </c>
    </row>
    <row r="156" customFormat="false" ht="15" hidden="false" customHeight="true" outlineLevel="0" collapsed="false">
      <c r="A156" s="34" t="s">
        <v>679</v>
      </c>
      <c r="B156" s="34" t="s">
        <v>686</v>
      </c>
      <c r="C156" s="35" t="n">
        <v>125000</v>
      </c>
      <c r="D156" s="34" t="s">
        <v>687</v>
      </c>
      <c r="E156" s="34"/>
      <c r="F156" s="34" t="s">
        <v>660</v>
      </c>
    </row>
    <row r="157" customFormat="false" ht="15" hidden="false" customHeight="true" outlineLevel="0" collapsed="false">
      <c r="A157" s="34" t="s">
        <v>149</v>
      </c>
      <c r="B157" s="34" t="s">
        <v>688</v>
      </c>
      <c r="C157" s="35" t="n">
        <v>259000</v>
      </c>
      <c r="D157" s="34" t="s">
        <v>689</v>
      </c>
      <c r="E157" s="34"/>
      <c r="F157" s="34" t="s">
        <v>660</v>
      </c>
    </row>
    <row r="158" customFormat="false" ht="15" hidden="false" customHeight="true" outlineLevel="0" collapsed="false">
      <c r="A158" s="34" t="s">
        <v>690</v>
      </c>
      <c r="B158" s="34" t="s">
        <v>691</v>
      </c>
      <c r="C158" s="35" t="n">
        <v>10000</v>
      </c>
      <c r="D158" s="34" t="s">
        <v>437</v>
      </c>
      <c r="E158" s="34"/>
      <c r="F158" s="34" t="s">
        <v>692</v>
      </c>
    </row>
    <row r="159" customFormat="false" ht="15" hidden="false" customHeight="true" outlineLevel="0" collapsed="false">
      <c r="A159" s="34" t="s">
        <v>155</v>
      </c>
      <c r="B159" s="34" t="s">
        <v>693</v>
      </c>
      <c r="C159" s="35" t="n">
        <v>100000</v>
      </c>
      <c r="D159" s="34" t="s">
        <v>694</v>
      </c>
      <c r="E159" s="34"/>
      <c r="F159" s="34" t="s">
        <v>660</v>
      </c>
    </row>
    <row r="160" customFormat="false" ht="15" hidden="false" customHeight="true" outlineLevel="0" collapsed="false">
      <c r="A160" s="34" t="s">
        <v>695</v>
      </c>
      <c r="B160" s="34" t="s">
        <v>162</v>
      </c>
      <c r="C160" s="35" t="n">
        <v>646666</v>
      </c>
      <c r="D160" s="34" t="s">
        <v>696</v>
      </c>
      <c r="E160" s="34"/>
      <c r="F160" s="34" t="s">
        <v>660</v>
      </c>
    </row>
    <row r="161" customFormat="false" ht="15" hidden="false" customHeight="true" outlineLevel="0" collapsed="false">
      <c r="A161" s="34" t="s">
        <v>161</v>
      </c>
      <c r="B161" s="34" t="s">
        <v>162</v>
      </c>
      <c r="C161" s="35" t="n">
        <v>100000</v>
      </c>
      <c r="D161" s="34" t="s">
        <v>696</v>
      </c>
      <c r="E161" s="34" t="s">
        <v>387</v>
      </c>
      <c r="F161" s="34" t="s">
        <v>660</v>
      </c>
    </row>
    <row r="162" customFormat="false" ht="15" hidden="false" customHeight="true" outlineLevel="0" collapsed="false">
      <c r="A162" s="34" t="s">
        <v>149</v>
      </c>
      <c r="B162" s="34" t="s">
        <v>697</v>
      </c>
      <c r="C162" s="35" t="n">
        <v>107103</v>
      </c>
      <c r="D162" s="34" t="s">
        <v>689</v>
      </c>
      <c r="E162" s="34"/>
      <c r="F162" s="34" t="s">
        <v>660</v>
      </c>
    </row>
    <row r="163" customFormat="false" ht="15" hidden="false" customHeight="true" outlineLevel="0" collapsed="false">
      <c r="A163" s="34" t="s">
        <v>657</v>
      </c>
      <c r="B163" s="34" t="s">
        <v>698</v>
      </c>
      <c r="C163" s="35" t="n">
        <v>56100</v>
      </c>
      <c r="D163" s="34" t="s">
        <v>699</v>
      </c>
      <c r="E163" s="34" t="s">
        <v>207</v>
      </c>
      <c r="F163" s="34" t="s">
        <v>660</v>
      </c>
    </row>
    <row r="164" customFormat="false" ht="15" hidden="false" customHeight="true" outlineLevel="0" collapsed="false">
      <c r="A164" s="34" t="s">
        <v>617</v>
      </c>
      <c r="B164" s="34" t="s">
        <v>700</v>
      </c>
      <c r="C164" s="35" t="n">
        <v>62500</v>
      </c>
      <c r="D164" s="34" t="s">
        <v>701</v>
      </c>
      <c r="E164" s="34" t="s">
        <v>207</v>
      </c>
      <c r="F164" s="34" t="s">
        <v>660</v>
      </c>
    </row>
    <row r="165" customFormat="false" ht="15" hidden="false" customHeight="true" outlineLevel="0" collapsed="false">
      <c r="A165" s="34" t="s">
        <v>145</v>
      </c>
      <c r="B165" s="34" t="s">
        <v>146</v>
      </c>
      <c r="C165" s="35" t="n">
        <v>363752</v>
      </c>
      <c r="D165" s="34" t="s">
        <v>702</v>
      </c>
      <c r="E165" s="34" t="s">
        <v>218</v>
      </c>
      <c r="F165" s="34" t="s">
        <v>660</v>
      </c>
    </row>
    <row r="166" customFormat="false" ht="15" hidden="false" customHeight="true" outlineLevel="0" collapsed="false">
      <c r="A166" s="34" t="s">
        <v>657</v>
      </c>
      <c r="B166" s="34" t="s">
        <v>146</v>
      </c>
      <c r="C166" s="35" t="n">
        <v>101338</v>
      </c>
      <c r="D166" s="34" t="s">
        <v>702</v>
      </c>
      <c r="E166" s="34" t="s">
        <v>207</v>
      </c>
      <c r="F166" s="34" t="s">
        <v>660</v>
      </c>
    </row>
    <row r="167" customFormat="false" ht="15" hidden="false" customHeight="true" outlineLevel="0" collapsed="false">
      <c r="A167" s="34" t="s">
        <v>149</v>
      </c>
      <c r="B167" s="34" t="s">
        <v>152</v>
      </c>
      <c r="C167" s="35" t="n">
        <v>76319</v>
      </c>
      <c r="D167" s="34" t="s">
        <v>703</v>
      </c>
      <c r="E167" s="34"/>
      <c r="F167" s="34" t="s">
        <v>660</v>
      </c>
    </row>
    <row r="168" customFormat="false" ht="15" hidden="false" customHeight="true" outlineLevel="0" collapsed="false">
      <c r="A168" s="34" t="s">
        <v>679</v>
      </c>
      <c r="B168" s="34" t="s">
        <v>704</v>
      </c>
      <c r="C168" s="35" t="n">
        <v>50000</v>
      </c>
      <c r="D168" s="34" t="s">
        <v>705</v>
      </c>
      <c r="E168" s="34"/>
      <c r="F168" s="34" t="s">
        <v>660</v>
      </c>
    </row>
    <row r="169" customFormat="false" ht="15" hidden="false" customHeight="true" outlineLevel="0" collapsed="false">
      <c r="A169" s="34" t="s">
        <v>149</v>
      </c>
      <c r="B169" s="34" t="s">
        <v>706</v>
      </c>
      <c r="C169" s="35" t="n">
        <v>100000</v>
      </c>
      <c r="D169" s="34" t="s">
        <v>707</v>
      </c>
      <c r="E169" s="34"/>
      <c r="F169" s="34" t="s">
        <v>660</v>
      </c>
    </row>
    <row r="170" customFormat="false" ht="15" hidden="false" customHeight="true" outlineLevel="0" collapsed="false">
      <c r="A170" s="34" t="s">
        <v>142</v>
      </c>
      <c r="B170" s="34" t="s">
        <v>143</v>
      </c>
      <c r="C170" s="35" t="n">
        <v>444375</v>
      </c>
      <c r="D170" s="34" t="s">
        <v>708</v>
      </c>
      <c r="E170" s="34" t="s">
        <v>323</v>
      </c>
      <c r="F170" s="34" t="s">
        <v>660</v>
      </c>
    </row>
    <row r="171" customFormat="false" ht="15" hidden="false" customHeight="true" outlineLevel="0" collapsed="false">
      <c r="A171" s="34" t="s">
        <v>142</v>
      </c>
      <c r="B171" s="34" t="s">
        <v>709</v>
      </c>
      <c r="C171" s="35" t="n">
        <v>100000</v>
      </c>
      <c r="D171" s="34" t="s">
        <v>710</v>
      </c>
      <c r="E171" s="34" t="s">
        <v>323</v>
      </c>
      <c r="F171" s="34" t="s">
        <v>660</v>
      </c>
    </row>
    <row r="172" customFormat="false" ht="15" hidden="false" customHeight="true" outlineLevel="0" collapsed="false">
      <c r="A172" s="34" t="s">
        <v>142</v>
      </c>
      <c r="B172" s="34" t="s">
        <v>711</v>
      </c>
      <c r="C172" s="35" t="n">
        <v>130000</v>
      </c>
      <c r="D172" s="34" t="s">
        <v>712</v>
      </c>
      <c r="E172" s="34" t="s">
        <v>323</v>
      </c>
      <c r="F172" s="34" t="s">
        <v>660</v>
      </c>
    </row>
    <row r="173" customFormat="false" ht="15" hidden="false" customHeight="true" outlineLevel="0" collapsed="false">
      <c r="A173" s="34" t="s">
        <v>653</v>
      </c>
      <c r="B173" s="34" t="s">
        <v>713</v>
      </c>
      <c r="C173" s="35" t="n">
        <v>75000</v>
      </c>
      <c r="D173" s="34" t="s">
        <v>714</v>
      </c>
      <c r="E173" s="34"/>
      <c r="F173" s="34" t="s">
        <v>656</v>
      </c>
    </row>
    <row r="174" customFormat="false" ht="15" hidden="false" customHeight="true" outlineLevel="0" collapsed="false">
      <c r="A174" s="34" t="s">
        <v>679</v>
      </c>
      <c r="B174" s="34" t="s">
        <v>715</v>
      </c>
      <c r="C174" s="35" t="n">
        <v>150000</v>
      </c>
      <c r="D174" s="34" t="s">
        <v>716</v>
      </c>
      <c r="E174" s="34"/>
      <c r="F174" s="34" t="s">
        <v>660</v>
      </c>
    </row>
    <row r="175" customFormat="false" ht="15" hidden="false" customHeight="true" outlineLevel="0" collapsed="false">
      <c r="A175" s="34" t="s">
        <v>657</v>
      </c>
      <c r="B175" s="34" t="s">
        <v>167</v>
      </c>
      <c r="C175" s="35" t="n">
        <v>82000</v>
      </c>
      <c r="D175" s="34" t="s">
        <v>717</v>
      </c>
      <c r="E175" s="34" t="s">
        <v>207</v>
      </c>
      <c r="F175" s="34" t="s">
        <v>660</v>
      </c>
    </row>
    <row r="176" customFormat="false" ht="15" hidden="false" customHeight="true" outlineLevel="0" collapsed="false">
      <c r="A176" s="34" t="s">
        <v>718</v>
      </c>
      <c r="B176" s="34" t="s">
        <v>719</v>
      </c>
      <c r="C176" s="35" t="n">
        <v>73070</v>
      </c>
      <c r="D176" s="34" t="s">
        <v>720</v>
      </c>
      <c r="E176" s="34" t="s">
        <v>228</v>
      </c>
      <c r="F176" s="34" t="s">
        <v>660</v>
      </c>
    </row>
    <row r="177" customFormat="false" ht="15" hidden="false" customHeight="true" outlineLevel="0" collapsed="false">
      <c r="A177" s="34" t="s">
        <v>721</v>
      </c>
      <c r="B177" s="34" t="s">
        <v>722</v>
      </c>
      <c r="C177" s="35" t="n">
        <v>96421</v>
      </c>
      <c r="D177" s="34" t="s">
        <v>723</v>
      </c>
      <c r="E177" s="34" t="s">
        <v>207</v>
      </c>
      <c r="F177" s="34" t="s">
        <v>660</v>
      </c>
    </row>
    <row r="178" customFormat="false" ht="15" hidden="false" customHeight="true" outlineLevel="0" collapsed="false">
      <c r="A178" s="34" t="s">
        <v>721</v>
      </c>
      <c r="B178" s="34" t="s">
        <v>724</v>
      </c>
      <c r="C178" s="35" t="n">
        <v>8333</v>
      </c>
      <c r="D178" s="34" t="s">
        <v>725</v>
      </c>
      <c r="E178" s="34" t="s">
        <v>207</v>
      </c>
      <c r="F178" s="34" t="s">
        <v>660</v>
      </c>
    </row>
    <row r="179" customFormat="false" ht="15" hidden="false" customHeight="true" outlineLevel="0" collapsed="false">
      <c r="A179" s="34" t="s">
        <v>657</v>
      </c>
      <c r="B179" s="34" t="s">
        <v>178</v>
      </c>
      <c r="C179" s="35" t="n">
        <v>50000</v>
      </c>
      <c r="D179" s="34" t="s">
        <v>726</v>
      </c>
      <c r="E179" s="34" t="s">
        <v>207</v>
      </c>
      <c r="F179" s="34" t="s">
        <v>660</v>
      </c>
    </row>
    <row r="180" customFormat="false" ht="15" hidden="false" customHeight="true" outlineLevel="0" collapsed="false">
      <c r="A180" s="34" t="s">
        <v>145</v>
      </c>
      <c r="B180" s="34" t="s">
        <v>147</v>
      </c>
      <c r="C180" s="35" t="n">
        <v>350000</v>
      </c>
      <c r="D180" s="34" t="s">
        <v>727</v>
      </c>
      <c r="E180" s="34" t="s">
        <v>218</v>
      </c>
      <c r="F180" s="34" t="s">
        <v>660</v>
      </c>
    </row>
    <row r="181" customFormat="false" ht="15" hidden="false" customHeight="true" outlineLevel="0" collapsed="false">
      <c r="A181" s="34" t="s">
        <v>657</v>
      </c>
      <c r="B181" s="34" t="s">
        <v>728</v>
      </c>
      <c r="C181" s="35" t="n">
        <v>167284</v>
      </c>
      <c r="D181" s="34" t="s">
        <v>729</v>
      </c>
      <c r="E181" s="34" t="s">
        <v>207</v>
      </c>
      <c r="F181" s="34" t="s">
        <v>660</v>
      </c>
    </row>
    <row r="182" customFormat="false" ht="15" hidden="false" customHeight="true" outlineLevel="0" collapsed="false">
      <c r="A182" s="34" t="s">
        <v>317</v>
      </c>
      <c r="B182" s="34" t="s">
        <v>730</v>
      </c>
      <c r="C182" s="35" t="n">
        <v>52935</v>
      </c>
      <c r="D182" s="34" t="s">
        <v>731</v>
      </c>
      <c r="E182" s="34" t="s">
        <v>218</v>
      </c>
      <c r="F182" s="34" t="s">
        <v>660</v>
      </c>
    </row>
    <row r="183" customFormat="false" ht="15" hidden="false" customHeight="true" outlineLevel="0" collapsed="false">
      <c r="A183" s="34" t="s">
        <v>142</v>
      </c>
      <c r="B183" s="34" t="s">
        <v>148</v>
      </c>
      <c r="C183" s="35" t="n">
        <v>320000</v>
      </c>
      <c r="D183" s="34" t="s">
        <v>732</v>
      </c>
      <c r="E183" s="34" t="s">
        <v>323</v>
      </c>
      <c r="F183" s="34" t="s">
        <v>660</v>
      </c>
    </row>
    <row r="184" customFormat="false" ht="15" hidden="false" customHeight="true" outlineLevel="0" collapsed="false">
      <c r="A184" s="34" t="s">
        <v>168</v>
      </c>
      <c r="B184" s="34" t="s">
        <v>733</v>
      </c>
      <c r="C184" s="35" t="n">
        <v>80000</v>
      </c>
      <c r="D184" s="34" t="s">
        <v>734</v>
      </c>
      <c r="E184" s="34" t="s">
        <v>218</v>
      </c>
      <c r="F184" s="34" t="s">
        <v>660</v>
      </c>
    </row>
    <row r="185" customFormat="false" ht="15" hidden="false" customHeight="true" outlineLevel="0" collapsed="false">
      <c r="A185" s="34" t="s">
        <v>735</v>
      </c>
      <c r="B185" s="34" t="s">
        <v>733</v>
      </c>
      <c r="C185" s="35" t="n">
        <v>40000</v>
      </c>
      <c r="D185" s="34" t="s">
        <v>734</v>
      </c>
      <c r="E185" s="34" t="s">
        <v>218</v>
      </c>
      <c r="F185" s="34" t="s">
        <v>660</v>
      </c>
    </row>
    <row r="186" customFormat="false" ht="15" hidden="false" customHeight="true" outlineLevel="0" collapsed="false">
      <c r="A186" s="34" t="s">
        <v>736</v>
      </c>
      <c r="B186" s="34" t="s">
        <v>733</v>
      </c>
      <c r="C186" s="35" t="n">
        <v>40000</v>
      </c>
      <c r="D186" s="34" t="s">
        <v>734</v>
      </c>
      <c r="E186" s="34" t="s">
        <v>218</v>
      </c>
      <c r="F186" s="34" t="s">
        <v>660</v>
      </c>
    </row>
    <row r="187" customFormat="false" ht="15" hidden="false" customHeight="true" outlineLevel="0" collapsed="false">
      <c r="A187" s="34" t="s">
        <v>737</v>
      </c>
      <c r="B187" s="34" t="s">
        <v>733</v>
      </c>
      <c r="C187" s="35" t="n">
        <v>18000</v>
      </c>
      <c r="D187" s="34" t="s">
        <v>738</v>
      </c>
      <c r="E187" s="34" t="s">
        <v>218</v>
      </c>
      <c r="F187" s="34" t="s">
        <v>660</v>
      </c>
    </row>
    <row r="188" customFormat="false" ht="15" hidden="false" customHeight="true" outlineLevel="0" collapsed="false">
      <c r="A188" s="34" t="s">
        <v>739</v>
      </c>
      <c r="B188" s="34" t="s">
        <v>733</v>
      </c>
      <c r="C188" s="35" t="n">
        <v>18000</v>
      </c>
      <c r="D188" s="34" t="s">
        <v>738</v>
      </c>
      <c r="E188" s="34" t="s">
        <v>218</v>
      </c>
      <c r="F188" s="34" t="s">
        <v>660</v>
      </c>
    </row>
    <row r="189" customFormat="false" ht="15" hidden="false" customHeight="true" outlineLevel="0" collapsed="false">
      <c r="A189" s="34" t="s">
        <v>350</v>
      </c>
      <c r="B189" s="34" t="s">
        <v>733</v>
      </c>
      <c r="C189" s="35" t="n">
        <v>6000</v>
      </c>
      <c r="D189" s="34" t="s">
        <v>738</v>
      </c>
      <c r="E189" s="34" t="s">
        <v>218</v>
      </c>
      <c r="F189" s="34" t="s">
        <v>660</v>
      </c>
    </row>
    <row r="190" customFormat="false" ht="15" hidden="false" customHeight="true" outlineLevel="0" collapsed="false">
      <c r="A190" s="34" t="s">
        <v>145</v>
      </c>
      <c r="B190" s="34" t="s">
        <v>166</v>
      </c>
      <c r="C190" s="35" t="n">
        <v>85801</v>
      </c>
      <c r="D190" s="34" t="s">
        <v>740</v>
      </c>
      <c r="E190" s="34" t="s">
        <v>218</v>
      </c>
      <c r="F190" s="34" t="s">
        <v>660</v>
      </c>
    </row>
    <row r="191" customFormat="false" ht="15" hidden="false" customHeight="true" outlineLevel="0" collapsed="false">
      <c r="A191" s="34" t="s">
        <v>679</v>
      </c>
      <c r="B191" s="34" t="s">
        <v>741</v>
      </c>
      <c r="C191" s="35" t="n">
        <v>50000</v>
      </c>
      <c r="D191" s="34" t="s">
        <v>742</v>
      </c>
      <c r="E191" s="34"/>
      <c r="F191" s="34" t="s">
        <v>660</v>
      </c>
    </row>
    <row r="192" customFormat="false" ht="15" hidden="false" customHeight="true" outlineLevel="0" collapsed="false">
      <c r="A192" s="34" t="s">
        <v>171</v>
      </c>
      <c r="B192" s="34" t="s">
        <v>743</v>
      </c>
      <c r="C192" s="35" t="n">
        <v>64576</v>
      </c>
      <c r="D192" s="34" t="s">
        <v>744</v>
      </c>
      <c r="E192" s="34" t="s">
        <v>218</v>
      </c>
      <c r="F192" s="34" t="s">
        <v>660</v>
      </c>
    </row>
    <row r="193" customFormat="false" ht="15" hidden="false" customHeight="true" outlineLevel="0" collapsed="false">
      <c r="A193" s="38" t="s">
        <v>745</v>
      </c>
      <c r="B193" s="38" t="s">
        <v>741</v>
      </c>
      <c r="C193" s="39" t="n">
        <v>25000</v>
      </c>
      <c r="D193" s="38" t="s">
        <v>746</v>
      </c>
      <c r="E193" s="38" t="s">
        <v>228</v>
      </c>
      <c r="F193" s="38" t="s">
        <v>747</v>
      </c>
    </row>
    <row r="194" customFormat="false" ht="15" hidden="false" customHeight="true" outlineLevel="0" collapsed="false">
      <c r="A194" s="38" t="s">
        <v>748</v>
      </c>
      <c r="B194" s="38" t="s">
        <v>741</v>
      </c>
      <c r="C194" s="39" t="n">
        <v>25000</v>
      </c>
      <c r="D194" s="38" t="s">
        <v>749</v>
      </c>
      <c r="E194" s="38"/>
      <c r="F194" s="38" t="s">
        <v>747</v>
      </c>
    </row>
    <row r="195" customFormat="false" ht="15" hidden="false" customHeight="true" outlineLevel="0" collapsed="false">
      <c r="A195" s="38" t="s">
        <v>158</v>
      </c>
      <c r="B195" s="38" t="s">
        <v>711</v>
      </c>
      <c r="C195" s="39" t="n">
        <v>100000</v>
      </c>
      <c r="D195" s="38" t="s">
        <v>750</v>
      </c>
      <c r="E195" s="38"/>
      <c r="F195" s="38" t="s">
        <v>747</v>
      </c>
    </row>
    <row r="196" customFormat="false" ht="15" hidden="false" customHeight="true" outlineLevel="0" collapsed="false">
      <c r="A196" s="38" t="s">
        <v>158</v>
      </c>
      <c r="B196" s="38" t="s">
        <v>177</v>
      </c>
      <c r="C196" s="39" t="n">
        <v>50000</v>
      </c>
      <c r="D196" s="38" t="s">
        <v>751</v>
      </c>
      <c r="E196" s="38"/>
      <c r="F196" s="38" t="s">
        <v>747</v>
      </c>
    </row>
    <row r="197" customFormat="false" ht="15" hidden="false" customHeight="true" outlineLevel="0" collapsed="false">
      <c r="A197" s="38" t="s">
        <v>158</v>
      </c>
      <c r="B197" s="38" t="s">
        <v>752</v>
      </c>
      <c r="C197" s="39" t="n">
        <v>74000</v>
      </c>
      <c r="D197" s="38" t="s">
        <v>753</v>
      </c>
      <c r="E197" s="38"/>
      <c r="F197" s="38" t="s">
        <v>747</v>
      </c>
    </row>
    <row r="198" customFormat="false" ht="15" hidden="false" customHeight="true" outlineLevel="0" collapsed="false">
      <c r="A198" s="38" t="s">
        <v>151</v>
      </c>
      <c r="B198" s="38" t="s">
        <v>165</v>
      </c>
      <c r="C198" s="39" t="n">
        <v>93834</v>
      </c>
      <c r="D198" s="38" t="s">
        <v>754</v>
      </c>
      <c r="E198" s="38" t="s">
        <v>393</v>
      </c>
      <c r="F198" s="38" t="s">
        <v>747</v>
      </c>
    </row>
    <row r="199" customFormat="false" ht="15" hidden="false" customHeight="true" outlineLevel="0" collapsed="false">
      <c r="A199" s="38" t="s">
        <v>151</v>
      </c>
      <c r="B199" s="38" t="s">
        <v>152</v>
      </c>
      <c r="C199" s="39" t="n">
        <v>233523</v>
      </c>
      <c r="D199" s="38" t="s">
        <v>755</v>
      </c>
      <c r="E199" s="38" t="s">
        <v>393</v>
      </c>
      <c r="F199" s="38" t="s">
        <v>747</v>
      </c>
    </row>
    <row r="200" customFormat="false" ht="15" hidden="false" customHeight="true" outlineLevel="0" collapsed="false">
      <c r="A200" s="38" t="s">
        <v>151</v>
      </c>
      <c r="B200" s="38" t="s">
        <v>167</v>
      </c>
      <c r="C200" s="39" t="n">
        <v>82000</v>
      </c>
      <c r="D200" s="38" t="s">
        <v>756</v>
      </c>
      <c r="E200" s="38" t="s">
        <v>393</v>
      </c>
      <c r="F200" s="38" t="s">
        <v>747</v>
      </c>
    </row>
    <row r="201" customFormat="false" ht="15" hidden="false" customHeight="true" outlineLevel="0" collapsed="false">
      <c r="A201" s="38" t="s">
        <v>151</v>
      </c>
      <c r="B201" s="38" t="s">
        <v>178</v>
      </c>
      <c r="C201" s="39" t="n">
        <v>50000</v>
      </c>
      <c r="D201" s="38" t="s">
        <v>757</v>
      </c>
      <c r="E201" s="38" t="s">
        <v>393</v>
      </c>
      <c r="F201" s="38" t="s">
        <v>747</v>
      </c>
    </row>
    <row r="202" customFormat="false" ht="15" hidden="false" customHeight="true" outlineLevel="0" collapsed="false">
      <c r="A202" s="38" t="s">
        <v>758</v>
      </c>
      <c r="B202" s="38" t="s">
        <v>759</v>
      </c>
      <c r="C202" s="39" t="n">
        <v>500000</v>
      </c>
      <c r="D202" s="38" t="s">
        <v>760</v>
      </c>
      <c r="E202" s="38" t="s">
        <v>233</v>
      </c>
      <c r="F202" s="38" t="s">
        <v>747</v>
      </c>
    </row>
    <row r="203" customFormat="false" ht="15" hidden="false" customHeight="true" outlineLevel="0" collapsed="false">
      <c r="A203" s="38" t="s">
        <v>380</v>
      </c>
      <c r="B203" s="38" t="s">
        <v>663</v>
      </c>
      <c r="C203" s="39" t="n">
        <v>107372</v>
      </c>
      <c r="D203" s="38" t="s">
        <v>761</v>
      </c>
      <c r="E203" s="38" t="s">
        <v>207</v>
      </c>
      <c r="F203" s="38" t="s">
        <v>747</v>
      </c>
    </row>
    <row r="204" customFormat="false" ht="15" hidden="false" customHeight="true" outlineLevel="0" collapsed="false">
      <c r="A204" s="38" t="s">
        <v>427</v>
      </c>
      <c r="B204" s="38" t="s">
        <v>670</v>
      </c>
      <c r="C204" s="39" t="n">
        <v>70000</v>
      </c>
      <c r="D204" s="38" t="s">
        <v>762</v>
      </c>
      <c r="E204" s="38" t="s">
        <v>323</v>
      </c>
      <c r="F204" s="38" t="s">
        <v>747</v>
      </c>
    </row>
    <row r="205" customFormat="false" ht="15" hidden="false" customHeight="true" outlineLevel="0" collapsed="false">
      <c r="A205" s="38" t="s">
        <v>427</v>
      </c>
      <c r="B205" s="38" t="s">
        <v>763</v>
      </c>
      <c r="C205" s="39" t="n">
        <v>37500</v>
      </c>
      <c r="D205" s="38" t="s">
        <v>764</v>
      </c>
      <c r="E205" s="38" t="s">
        <v>323</v>
      </c>
      <c r="F205" s="38" t="s">
        <v>747</v>
      </c>
    </row>
    <row r="206" customFormat="false" ht="15" hidden="false" customHeight="true" outlineLevel="0" collapsed="false">
      <c r="A206" s="38" t="s">
        <v>765</v>
      </c>
      <c r="B206" s="38" t="s">
        <v>724</v>
      </c>
      <c r="C206" s="39" t="n">
        <v>8333</v>
      </c>
      <c r="D206" s="38" t="s">
        <v>725</v>
      </c>
      <c r="E206" s="38" t="s">
        <v>280</v>
      </c>
      <c r="F206" s="38" t="s">
        <v>747</v>
      </c>
    </row>
    <row r="207" customFormat="false" ht="15" hidden="false" customHeight="true" outlineLevel="0" collapsed="false">
      <c r="A207" s="38" t="s">
        <v>765</v>
      </c>
      <c r="B207" s="38" t="s">
        <v>724</v>
      </c>
      <c r="C207" s="39" t="n">
        <v>8333</v>
      </c>
      <c r="D207" s="38" t="s">
        <v>725</v>
      </c>
      <c r="E207" s="38" t="s">
        <v>280</v>
      </c>
      <c r="F207" s="38" t="s">
        <v>747</v>
      </c>
    </row>
    <row r="208" customFormat="false" ht="15" hidden="false" customHeight="true" outlineLevel="0" collapsed="false">
      <c r="A208" s="38" t="s">
        <v>765</v>
      </c>
      <c r="B208" s="38" t="s">
        <v>724</v>
      </c>
      <c r="C208" s="39" t="n">
        <v>8333</v>
      </c>
      <c r="D208" s="38" t="s">
        <v>725</v>
      </c>
      <c r="E208" s="38" t="s">
        <v>280</v>
      </c>
      <c r="F208" s="38" t="s">
        <v>747</v>
      </c>
    </row>
    <row r="209" customFormat="false" ht="15" hidden="false" customHeight="true" outlineLevel="0" collapsed="false">
      <c r="A209" s="38" t="s">
        <v>765</v>
      </c>
      <c r="B209" s="38" t="s">
        <v>724</v>
      </c>
      <c r="C209" s="39" t="n">
        <v>8333</v>
      </c>
      <c r="D209" s="38" t="s">
        <v>725</v>
      </c>
      <c r="E209" s="38" t="s">
        <v>280</v>
      </c>
      <c r="F209" s="38" t="s">
        <v>747</v>
      </c>
    </row>
    <row r="210" customFormat="false" ht="15" hidden="false" customHeight="true" outlineLevel="0" collapsed="false">
      <c r="A210" s="38" t="s">
        <v>765</v>
      </c>
      <c r="B210" s="38" t="s">
        <v>724</v>
      </c>
      <c r="C210" s="39" t="n">
        <v>8333</v>
      </c>
      <c r="D210" s="38" t="s">
        <v>725</v>
      </c>
      <c r="E210" s="38" t="s">
        <v>280</v>
      </c>
      <c r="F210" s="38" t="s">
        <v>747</v>
      </c>
    </row>
    <row r="211" customFormat="false" ht="15" hidden="false" customHeight="true" outlineLevel="0" collapsed="false">
      <c r="A211" s="38" t="s">
        <v>225</v>
      </c>
      <c r="B211" s="38" t="s">
        <v>766</v>
      </c>
      <c r="C211" s="39" t="n">
        <v>10000</v>
      </c>
      <c r="D211" s="38" t="s">
        <v>767</v>
      </c>
      <c r="E211" s="38" t="s">
        <v>228</v>
      </c>
      <c r="F211" s="38" t="s">
        <v>747</v>
      </c>
    </row>
    <row r="212" customFormat="false" ht="15" hidden="false" customHeight="true" outlineLevel="0" collapsed="false">
      <c r="A212" s="38" t="s">
        <v>225</v>
      </c>
      <c r="B212" s="38" t="s">
        <v>766</v>
      </c>
      <c r="C212" s="39" t="n">
        <v>25000</v>
      </c>
      <c r="D212" s="38" t="s">
        <v>767</v>
      </c>
      <c r="E212" s="38" t="s">
        <v>228</v>
      </c>
      <c r="F212" s="38" t="s">
        <v>747</v>
      </c>
    </row>
    <row r="213" customFormat="false" ht="15" hidden="false" customHeight="true" outlineLevel="0" collapsed="false">
      <c r="A213" s="38" t="s">
        <v>290</v>
      </c>
      <c r="B213" s="38" t="s">
        <v>147</v>
      </c>
      <c r="C213" s="39" t="n">
        <v>50000</v>
      </c>
      <c r="D213" s="38" t="s">
        <v>768</v>
      </c>
      <c r="E213" s="38" t="s">
        <v>218</v>
      </c>
      <c r="F213" s="38" t="s">
        <v>747</v>
      </c>
    </row>
    <row r="214" customFormat="false" ht="15" hidden="false" customHeight="true" outlineLevel="0" collapsed="false">
      <c r="A214" s="38" t="s">
        <v>290</v>
      </c>
      <c r="B214" s="38" t="s">
        <v>769</v>
      </c>
      <c r="C214" s="39" t="n">
        <v>25000</v>
      </c>
      <c r="D214" s="38" t="s">
        <v>770</v>
      </c>
      <c r="E214" s="38" t="s">
        <v>218</v>
      </c>
      <c r="F214" s="38" t="s">
        <v>747</v>
      </c>
    </row>
    <row r="215" customFormat="false" ht="15" hidden="false" customHeight="true" outlineLevel="0" collapsed="false">
      <c r="A215" s="38" t="s">
        <v>563</v>
      </c>
      <c r="B215" s="38" t="s">
        <v>769</v>
      </c>
      <c r="C215" s="39" t="n">
        <v>25000</v>
      </c>
      <c r="D215" s="38" t="s">
        <v>770</v>
      </c>
      <c r="E215" s="38" t="s">
        <v>218</v>
      </c>
      <c r="F215" s="38" t="s">
        <v>747</v>
      </c>
    </row>
    <row r="216" customFormat="false" ht="15" hidden="false" customHeight="true" outlineLevel="0" collapsed="false">
      <c r="A216" s="38" t="s">
        <v>771</v>
      </c>
      <c r="B216" s="38" t="s">
        <v>772</v>
      </c>
      <c r="C216" s="39" t="n">
        <v>35000</v>
      </c>
      <c r="D216" s="38" t="s">
        <v>773</v>
      </c>
      <c r="E216" s="38" t="s">
        <v>228</v>
      </c>
      <c r="F216" s="38" t="s">
        <v>747</v>
      </c>
    </row>
    <row r="217" customFormat="false" ht="15" hidden="false" customHeight="true" outlineLevel="0" collapsed="false">
      <c r="A217" s="38" t="s">
        <v>774</v>
      </c>
      <c r="B217" s="38" t="s">
        <v>772</v>
      </c>
      <c r="C217" s="39" t="n">
        <v>18213</v>
      </c>
      <c r="D217" s="38" t="s">
        <v>773</v>
      </c>
      <c r="E217" s="38"/>
      <c r="F217" s="38" t="s">
        <v>747</v>
      </c>
    </row>
    <row r="218" customFormat="false" ht="15" hidden="false" customHeight="true" outlineLevel="0" collapsed="false">
      <c r="A218" s="38" t="s">
        <v>180</v>
      </c>
      <c r="B218" s="38" t="s">
        <v>775</v>
      </c>
      <c r="C218" s="39" t="n">
        <v>25000</v>
      </c>
      <c r="D218" s="38" t="s">
        <v>776</v>
      </c>
      <c r="E218" s="38"/>
      <c r="F218" s="38" t="s">
        <v>747</v>
      </c>
    </row>
    <row r="219" customFormat="false" ht="15" hidden="false" customHeight="true" outlineLevel="0" collapsed="false">
      <c r="A219" s="12" t="s">
        <v>777</v>
      </c>
      <c r="C219" s="13" t="n">
        <f aca="false">SUM(C139:C218)</f>
        <v>8231467</v>
      </c>
    </row>
    <row r="221" customFormat="false" ht="15" hidden="false" customHeight="true" outlineLevel="0" collapsed="false">
      <c r="A221" s="9" t="s">
        <v>778</v>
      </c>
    </row>
    <row r="222" customFormat="false" ht="15" hidden="false" customHeight="true" outlineLevel="0" collapsed="false">
      <c r="A222" s="10" t="s">
        <v>779</v>
      </c>
      <c r="B222" s="10" t="s">
        <v>780</v>
      </c>
      <c r="C222" s="10" t="s">
        <v>72</v>
      </c>
      <c r="D222" s="10"/>
      <c r="E222" s="10"/>
      <c r="F222" s="10" t="s">
        <v>781</v>
      </c>
      <c r="G222" s="10"/>
      <c r="H222" s="10"/>
    </row>
    <row r="223" customFormat="false" ht="15" hidden="false" customHeight="true" outlineLevel="0" collapsed="false">
      <c r="A223" s="34" t="s">
        <v>782</v>
      </c>
      <c r="B223" s="34" t="s">
        <v>783</v>
      </c>
      <c r="C223" s="35" t="n">
        <v>7000000</v>
      </c>
      <c r="D223" s="34"/>
      <c r="E223" s="34"/>
      <c r="F223" s="34" t="s">
        <v>784</v>
      </c>
    </row>
    <row r="224" customFormat="false" ht="15" hidden="false" customHeight="true" outlineLevel="0" collapsed="false">
      <c r="A224" s="34" t="s">
        <v>785</v>
      </c>
      <c r="B224" s="34" t="s">
        <v>786</v>
      </c>
      <c r="C224" s="35" t="n">
        <v>2500000</v>
      </c>
      <c r="D224" s="34"/>
      <c r="E224" s="34"/>
      <c r="F224" s="34" t="s">
        <v>787</v>
      </c>
    </row>
    <row r="225" customFormat="false" ht="15" hidden="false" customHeight="true" outlineLevel="0" collapsed="false">
      <c r="A225" s="34" t="s">
        <v>788</v>
      </c>
      <c r="B225" s="34" t="s">
        <v>789</v>
      </c>
      <c r="C225" s="35" t="n">
        <v>2000000</v>
      </c>
      <c r="D225" s="34"/>
      <c r="E225" s="34"/>
      <c r="F225" s="34" t="s">
        <v>790</v>
      </c>
    </row>
    <row r="226" customFormat="false" ht="15" hidden="false" customHeight="true" outlineLevel="0" collapsed="false">
      <c r="A226" s="34" t="s">
        <v>791</v>
      </c>
      <c r="B226" s="34" t="s">
        <v>792</v>
      </c>
      <c r="C226" s="35" t="n">
        <v>1250000</v>
      </c>
      <c r="D226" s="34"/>
      <c r="E226" s="34"/>
      <c r="F226" s="34" t="s">
        <v>790</v>
      </c>
    </row>
    <row r="227" customFormat="false" ht="15" hidden="false" customHeight="true" outlineLevel="0" collapsed="false">
      <c r="A227" s="34" t="s">
        <v>793</v>
      </c>
      <c r="B227" s="34" t="s">
        <v>794</v>
      </c>
      <c r="C227" s="35" t="n">
        <v>870000</v>
      </c>
      <c r="D227" s="34"/>
      <c r="E227" s="34"/>
      <c r="F227" s="34" t="s">
        <v>790</v>
      </c>
    </row>
    <row r="228" customFormat="false" ht="15" hidden="false" customHeight="true" outlineLevel="0" collapsed="false">
      <c r="A228" s="34" t="s">
        <v>795</v>
      </c>
      <c r="B228" s="34" t="s">
        <v>796</v>
      </c>
      <c r="C228" s="35" t="n">
        <v>500000</v>
      </c>
      <c r="D228" s="34"/>
      <c r="E228" s="34"/>
      <c r="F228" s="34" t="s">
        <v>797</v>
      </c>
    </row>
    <row r="229" customFormat="false" ht="15" hidden="false" customHeight="true" outlineLevel="0" collapsed="false">
      <c r="A229" s="34" t="s">
        <v>798</v>
      </c>
      <c r="B229" s="34" t="s">
        <v>799</v>
      </c>
      <c r="C229" s="35" t="n">
        <v>500000</v>
      </c>
      <c r="D229" s="34"/>
      <c r="E229" s="34"/>
      <c r="F229" s="34" t="s">
        <v>800</v>
      </c>
    </row>
    <row r="230" customFormat="false" ht="15" hidden="false" customHeight="true" outlineLevel="0" collapsed="false">
      <c r="A230" s="34" t="s">
        <v>801</v>
      </c>
      <c r="B230" s="34" t="s">
        <v>802</v>
      </c>
      <c r="C230" s="35" t="n">
        <v>500000</v>
      </c>
      <c r="D230" s="34"/>
      <c r="E230" s="34"/>
      <c r="F230" s="34" t="s">
        <v>803</v>
      </c>
    </row>
    <row r="231" customFormat="false" ht="15" hidden="false" customHeight="true" outlineLevel="0" collapsed="false">
      <c r="A231" s="34" t="s">
        <v>804</v>
      </c>
      <c r="B231" s="34" t="s">
        <v>805</v>
      </c>
      <c r="C231" s="35" t="n">
        <v>400000</v>
      </c>
      <c r="D231" s="34"/>
      <c r="E231" s="34"/>
      <c r="F231" s="34" t="s">
        <v>806</v>
      </c>
    </row>
    <row r="232" customFormat="false" ht="15" hidden="false" customHeight="true" outlineLevel="0" collapsed="false">
      <c r="A232" s="34" t="s">
        <v>807</v>
      </c>
      <c r="B232" s="34" t="s">
        <v>808</v>
      </c>
      <c r="C232" s="35" t="n">
        <v>340000</v>
      </c>
      <c r="D232" s="34"/>
      <c r="E232" s="34"/>
      <c r="F232" s="34" t="s">
        <v>790</v>
      </c>
    </row>
    <row r="233" customFormat="false" ht="15" hidden="false" customHeight="true" outlineLevel="0" collapsed="false">
      <c r="A233" s="34" t="s">
        <v>809</v>
      </c>
      <c r="B233" s="34" t="s">
        <v>810</v>
      </c>
      <c r="C233" s="35" t="n">
        <v>250000</v>
      </c>
      <c r="D233" s="34"/>
      <c r="E233" s="34"/>
      <c r="F233" s="34" t="s">
        <v>811</v>
      </c>
    </row>
    <row r="234" customFormat="false" ht="15" hidden="false" customHeight="true" outlineLevel="0" collapsed="false">
      <c r="A234" s="34" t="s">
        <v>812</v>
      </c>
      <c r="B234" s="34" t="s">
        <v>813</v>
      </c>
      <c r="C234" s="35" t="n">
        <v>250000</v>
      </c>
      <c r="D234" s="34"/>
      <c r="E234" s="34"/>
      <c r="F234" s="34" t="s">
        <v>814</v>
      </c>
    </row>
    <row r="235" customFormat="false" ht="15" hidden="false" customHeight="true" outlineLevel="0" collapsed="false">
      <c r="A235" s="34" t="s">
        <v>815</v>
      </c>
      <c r="B235" s="34" t="s">
        <v>816</v>
      </c>
      <c r="C235" s="35" t="n">
        <v>250000</v>
      </c>
      <c r="D235" s="34"/>
      <c r="E235" s="34"/>
      <c r="F235" s="34" t="s">
        <v>817</v>
      </c>
    </row>
    <row r="236" customFormat="false" ht="15" hidden="false" customHeight="true" outlineLevel="0" collapsed="false">
      <c r="A236" s="34" t="s">
        <v>818</v>
      </c>
      <c r="B236" s="34" t="s">
        <v>819</v>
      </c>
      <c r="C236" s="35" t="n">
        <v>250000</v>
      </c>
      <c r="D236" s="34"/>
      <c r="E236" s="34"/>
      <c r="F236" s="34" t="s">
        <v>820</v>
      </c>
    </row>
    <row r="237" customFormat="false" ht="15" hidden="false" customHeight="true" outlineLevel="0" collapsed="false">
      <c r="A237" s="34" t="s">
        <v>821</v>
      </c>
      <c r="B237" s="34" t="s">
        <v>822</v>
      </c>
      <c r="C237" s="35" t="n">
        <v>200000</v>
      </c>
      <c r="D237" s="34"/>
      <c r="E237" s="34"/>
      <c r="F237" s="34" t="s">
        <v>790</v>
      </c>
    </row>
    <row r="238" customFormat="false" ht="15" hidden="false" customHeight="true" outlineLevel="0" collapsed="false">
      <c r="A238" s="34" t="s">
        <v>823</v>
      </c>
      <c r="B238" s="34" t="s">
        <v>824</v>
      </c>
      <c r="C238" s="35" t="n">
        <v>150000</v>
      </c>
      <c r="D238" s="34"/>
      <c r="E238" s="34"/>
      <c r="F238" s="34" t="s">
        <v>825</v>
      </c>
    </row>
    <row r="239" customFormat="false" ht="15" hidden="false" customHeight="true" outlineLevel="0" collapsed="false">
      <c r="A239" s="34" t="s">
        <v>826</v>
      </c>
      <c r="B239" s="34" t="s">
        <v>827</v>
      </c>
      <c r="C239" s="35" t="n">
        <v>150000</v>
      </c>
      <c r="D239" s="34"/>
      <c r="E239" s="34"/>
      <c r="F239" s="34" t="s">
        <v>828</v>
      </c>
    </row>
    <row r="240" customFormat="false" ht="15" hidden="false" customHeight="true" outlineLevel="0" collapsed="false">
      <c r="A240" s="34" t="s">
        <v>829</v>
      </c>
      <c r="B240" s="34" t="s">
        <v>830</v>
      </c>
      <c r="C240" s="35" t="n">
        <v>120000</v>
      </c>
      <c r="D240" s="34"/>
      <c r="E240" s="34"/>
      <c r="F240" s="34" t="s">
        <v>790</v>
      </c>
    </row>
    <row r="241" customFormat="false" ht="15" hidden="false" customHeight="true" outlineLevel="0" collapsed="false">
      <c r="A241" s="34" t="s">
        <v>831</v>
      </c>
      <c r="B241" s="34" t="s">
        <v>832</v>
      </c>
      <c r="C241" s="35" t="n">
        <v>75000</v>
      </c>
      <c r="D241" s="34"/>
      <c r="E241" s="34"/>
      <c r="F241" s="34" t="s">
        <v>833</v>
      </c>
    </row>
    <row r="242" customFormat="false" ht="15" hidden="false" customHeight="true" outlineLevel="0" collapsed="false">
      <c r="A242" s="34" t="s">
        <v>834</v>
      </c>
      <c r="B242" s="34" t="s">
        <v>835</v>
      </c>
      <c r="C242" s="35" t="n">
        <v>75000</v>
      </c>
      <c r="D242" s="34"/>
      <c r="E242" s="34"/>
      <c r="F242" s="34" t="s">
        <v>836</v>
      </c>
    </row>
    <row r="243" customFormat="false" ht="15" hidden="false" customHeight="true" outlineLevel="0" collapsed="false">
      <c r="A243" s="34" t="s">
        <v>837</v>
      </c>
      <c r="B243" s="34" t="s">
        <v>838</v>
      </c>
      <c r="C243" s="35" t="n">
        <v>70000</v>
      </c>
      <c r="D243" s="34"/>
      <c r="E243" s="34"/>
      <c r="F243" s="34" t="s">
        <v>839</v>
      </c>
    </row>
    <row r="244" customFormat="false" ht="15" hidden="false" customHeight="true" outlineLevel="0" collapsed="false">
      <c r="A244" s="34" t="s">
        <v>840</v>
      </c>
      <c r="B244" s="34" t="s">
        <v>841</v>
      </c>
      <c r="C244" s="35" t="n">
        <v>50000</v>
      </c>
      <c r="D244" s="34"/>
      <c r="E244" s="34"/>
      <c r="F244" s="34" t="s">
        <v>817</v>
      </c>
    </row>
    <row r="245" customFormat="false" ht="15" hidden="false" customHeight="true" outlineLevel="0" collapsed="false">
      <c r="A245" s="12" t="s">
        <v>842</v>
      </c>
      <c r="C245" s="13" t="n">
        <f aca="false">SUM(C223:C244)</f>
        <v>17750000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4"/>
    <col collapsed="false" customWidth="true" hidden="false" outlineLevel="0" max="7" min="7" style="1" width="16"/>
    <col collapsed="false" customWidth="true" hidden="false" outlineLevel="0" max="8" min="8" style="1" width="40"/>
  </cols>
  <sheetData>
    <row r="1" customFormat="false" ht="15" hidden="false" customHeight="true" outlineLevel="0" collapsed="false">
      <c r="A1" s="7" t="s">
        <v>843</v>
      </c>
    </row>
    <row r="2" customFormat="false" ht="15" hidden="false" customHeight="true" outlineLevel="0" collapsed="false">
      <c r="A2" s="8" t="s">
        <v>844</v>
      </c>
    </row>
    <row r="4" customFormat="false" ht="15" hidden="false" customHeight="true" outlineLevel="0" collapsed="false">
      <c r="A4" s="12" t="s">
        <v>845</v>
      </c>
      <c r="B4" s="40" t="s">
        <v>846</v>
      </c>
    </row>
    <row r="6" customFormat="false" ht="15" hidden="false" customHeight="true" outlineLevel="0" collapsed="false">
      <c r="A6" s="10" t="s">
        <v>847</v>
      </c>
      <c r="B6" s="10" t="s">
        <v>191</v>
      </c>
      <c r="C6" s="10" t="s">
        <v>848</v>
      </c>
      <c r="D6" s="10" t="s">
        <v>849</v>
      </c>
      <c r="E6" s="10" t="s">
        <v>850</v>
      </c>
      <c r="F6" s="10" t="s">
        <v>851</v>
      </c>
      <c r="G6" s="10" t="s">
        <v>852</v>
      </c>
      <c r="H6" s="10" t="s">
        <v>853</v>
      </c>
    </row>
    <row r="7" customFormat="false" ht="15" hidden="false" customHeight="true" outlineLevel="0" collapsed="false">
      <c r="A7" s="8" t="s">
        <v>854</v>
      </c>
      <c r="B7" s="14" t="n">
        <f aca="false">SUMPRODUCT(--ISNUMBER(SEARCH($B$4,'Hanks D49 FY25–27 (DB 7-7)'!$C$4:$C$186&amp;"")),'Hanks D49 FY25–27 (DB 7-7)'!$E$4:$E$186)</f>
        <v>20000</v>
      </c>
      <c r="C7" s="14" t="n">
        <f aca="false">SUMPRODUCT(--ISNUMBER(SEARCH($B$4,'Hanks D49 FY25–27 (DB 7-7)'!$C$188:$C$389&amp;"")),'Hanks D49 FY25–27 (DB 7-7)'!$E$188:$E$389)</f>
        <v>20000</v>
      </c>
      <c r="D7" s="14" t="n">
        <f aca="false">SUMPRODUCT(--ISNUMBER(SEARCH($B$4,'Hanks D49 FY25–27 (DB 7-7)'!$C$391:$C$601&amp;"")),'Hanks D49 FY25–27 (DB 7-7)'!$E$391:$E$601)</f>
        <v>5000</v>
      </c>
      <c r="E7" s="14" t="n">
        <f aca="false">SUMPRODUCT(--ISNUMBER(SEARCH($B$4,'PDF Capital Detail'!$C$6:$C$107&amp;"")),--('PDF Capital Detail'!$A$6:$A$107="HANKS"),'PDF Capital Detail'!$D$6:$D$107)</f>
        <v>120000</v>
      </c>
      <c r="F7" s="14" t="n">
        <f aca="false">SUMPRODUCT(--ISNUMBER(SEARCH($B$4,'Speaker Reconcile (Jul 7)'!$C$4:$C$39&amp;"")),--ISNUMBER(SEARCH("HANKS",'Speaker Reconcile (Jul 7)'!$A$4:$A$39&amp;"")),--('Speaker Reconcile (Jul 7)'!$E$4:$E$39="Retained"),'Speaker Reconcile (Jul 7)'!$D$4:$D$39)</f>
        <v>0</v>
      </c>
      <c r="G7" s="1" t="n">
        <f aca="false">SUMPRODUCT(--ISNUMBER(SEARCH($B$4,'Hanks D49 FY25–27 (DB 7-7)'!$C$4:$C$601&amp;"")))</f>
        <v>3</v>
      </c>
      <c r="H7" s="8" t="s">
        <v>855</v>
      </c>
    </row>
    <row r="10" customFormat="false" ht="15" hidden="false" customHeight="true" outlineLevel="0" collapsed="false">
      <c r="A10" s="9" t="s">
        <v>856</v>
      </c>
    </row>
    <row r="11" customFormat="false" ht="15" hidden="false" customHeight="true" outlineLevel="0" collapsed="false">
      <c r="A11" s="10" t="s">
        <v>22</v>
      </c>
      <c r="B11" s="10" t="s">
        <v>72</v>
      </c>
      <c r="C11" s="10" t="s">
        <v>857</v>
      </c>
    </row>
    <row r="12" customFormat="false" ht="15" hidden="false" customHeight="true" outlineLevel="0" collapsed="false">
      <c r="A12" s="8" t="s">
        <v>858</v>
      </c>
      <c r="B12" s="11" t="n">
        <f aca="false">'Hanks D49 FY25–27 (DB 7-7)'!E187</f>
        <v>2250000</v>
      </c>
      <c r="C12" s="8" t="s">
        <v>859</v>
      </c>
    </row>
    <row r="13" customFormat="false" ht="15" hidden="false" customHeight="true" outlineLevel="0" collapsed="false">
      <c r="A13" s="41" t="s">
        <v>860</v>
      </c>
      <c r="B13" s="18" t="n">
        <v>45000</v>
      </c>
      <c r="C13" s="17" t="s">
        <v>861</v>
      </c>
    </row>
    <row r="14" customFormat="false" ht="15" hidden="false" customHeight="true" outlineLevel="0" collapsed="false">
      <c r="A14" s="8" t="s">
        <v>862</v>
      </c>
      <c r="B14" s="11" t="n">
        <f aca="false">'PDF Capital Detail'!D26</f>
        <v>17750000</v>
      </c>
      <c r="C14" s="8" t="s">
        <v>863</v>
      </c>
    </row>
    <row r="15" customFormat="false" ht="15" hidden="false" customHeight="true" outlineLevel="0" collapsed="false">
      <c r="A15" s="8" t="s">
        <v>864</v>
      </c>
      <c r="B15" s="11" t="n">
        <v>825000</v>
      </c>
      <c r="C15" s="17" t="s">
        <v>865</v>
      </c>
    </row>
    <row r="16" customFormat="false" ht="15" hidden="false" customHeight="true" outlineLevel="0" collapsed="false">
      <c r="A16" s="12" t="s">
        <v>866</v>
      </c>
      <c r="B16" s="13" t="n">
        <f aca="false">SUM(B12:B15)</f>
        <v>20870000</v>
      </c>
      <c r="C16" s="8" t="s">
        <v>867</v>
      </c>
    </row>
    <row r="17" customFormat="false" ht="15" hidden="false" customHeight="true" outlineLevel="0" collapsed="false">
      <c r="A17" s="8" t="s">
        <v>868</v>
      </c>
      <c r="B17" s="11" t="n">
        <v>7418000</v>
      </c>
      <c r="C17" s="8" t="s">
        <v>869</v>
      </c>
    </row>
    <row r="18" customFormat="false" ht="15" hidden="false" customHeight="true" outlineLevel="0" collapsed="false">
      <c r="A18" s="8" t="s">
        <v>870</v>
      </c>
      <c r="B18" s="11" t="n">
        <v>120000</v>
      </c>
      <c r="C18" s="8" t="s">
        <v>871</v>
      </c>
    </row>
    <row r="19" customFormat="false" ht="15" hidden="false" customHeight="true" outlineLevel="0" collapsed="false">
      <c r="A19" s="8" t="s">
        <v>872</v>
      </c>
      <c r="B19" s="11" t="n">
        <v>8341467</v>
      </c>
      <c r="C19" s="8" t="s">
        <v>873</v>
      </c>
    </row>
    <row r="20" customFormat="false" ht="15" hidden="false" customHeight="true" outlineLevel="0" collapsed="false">
      <c r="A20" s="8" t="s">
        <v>874</v>
      </c>
      <c r="C20" s="8" t="s">
        <v>875</v>
      </c>
    </row>
    <row r="23" customFormat="false" ht="15" hidden="false" customHeight="true" outlineLevel="0" collapsed="false">
      <c r="A23" s="9" t="s">
        <v>876</v>
      </c>
    </row>
    <row r="24" customFormat="false" ht="15" hidden="false" customHeight="true" outlineLevel="0" collapsed="false">
      <c r="A24" s="10" t="s">
        <v>877</v>
      </c>
      <c r="B24" s="10" t="s">
        <v>190</v>
      </c>
      <c r="C24" s="10" t="s">
        <v>191</v>
      </c>
      <c r="D24" s="10" t="s">
        <v>848</v>
      </c>
      <c r="E24" s="10" t="s">
        <v>849</v>
      </c>
      <c r="F24" s="10" t="s">
        <v>851</v>
      </c>
      <c r="G24" s="10" t="s">
        <v>878</v>
      </c>
      <c r="H24" s="10" t="s">
        <v>879</v>
      </c>
    </row>
    <row r="25" customFormat="false" ht="15" hidden="false" customHeight="true" outlineLevel="0" collapsed="false">
      <c r="A25" s="8" t="s">
        <v>880</v>
      </c>
      <c r="B25" s="8" t="s">
        <v>222</v>
      </c>
      <c r="C25" s="11" t="n">
        <v>80000</v>
      </c>
      <c r="D25" s="11" t="n">
        <v>80000</v>
      </c>
      <c r="E25" s="11" t="n">
        <v>80000</v>
      </c>
      <c r="F25" s="11" t="n">
        <v>500000</v>
      </c>
      <c r="G25" s="11" t="n">
        <f aca="false">SUM(C25:F25)</f>
        <v>740000</v>
      </c>
      <c r="H25" s="8" t="s">
        <v>881</v>
      </c>
    </row>
    <row r="26" customFormat="false" ht="15" hidden="false" customHeight="true" outlineLevel="0" collapsed="false">
      <c r="A26" s="8" t="s">
        <v>640</v>
      </c>
      <c r="B26" s="8" t="s">
        <v>198</v>
      </c>
      <c r="C26" s="11" t="n">
        <v>180000</v>
      </c>
      <c r="D26" s="11" t="n">
        <v>150000</v>
      </c>
      <c r="E26" s="11" t="n">
        <v>200000</v>
      </c>
      <c r="F26" s="11"/>
      <c r="G26" s="11" t="n">
        <f aca="false">SUM(C26:F26)</f>
        <v>530000</v>
      </c>
      <c r="H26" s="8" t="s">
        <v>882</v>
      </c>
    </row>
    <row r="27" customFormat="false" ht="15" hidden="false" customHeight="true" outlineLevel="0" collapsed="false">
      <c r="A27" s="8" t="s">
        <v>225</v>
      </c>
      <c r="B27" s="8" t="s">
        <v>226</v>
      </c>
      <c r="C27" s="11" t="n">
        <v>70000</v>
      </c>
      <c r="D27" s="11" t="n">
        <v>124500</v>
      </c>
      <c r="E27" s="11" t="n">
        <v>97500</v>
      </c>
      <c r="F27" s="11" t="n">
        <v>30000</v>
      </c>
      <c r="G27" s="11" t="n">
        <f aca="false">SUM(C27:F27)</f>
        <v>322000</v>
      </c>
      <c r="H27" s="8" t="s">
        <v>883</v>
      </c>
    </row>
    <row r="28" customFormat="false" ht="15" hidden="false" customHeight="true" outlineLevel="0" collapsed="false">
      <c r="A28" s="8" t="s">
        <v>230</v>
      </c>
      <c r="B28" s="8" t="s">
        <v>231</v>
      </c>
      <c r="C28" s="11" t="n">
        <v>61000</v>
      </c>
      <c r="D28" s="11" t="n">
        <v>45000</v>
      </c>
      <c r="E28" s="11" t="n">
        <v>25000</v>
      </c>
      <c r="F28" s="11" t="n">
        <v>110000</v>
      </c>
      <c r="G28" s="11" t="n">
        <f aca="false">SUM(C28:F28)</f>
        <v>241000</v>
      </c>
      <c r="H28" s="8" t="s">
        <v>884</v>
      </c>
    </row>
    <row r="29" customFormat="false" ht="15" hidden="false" customHeight="true" outlineLevel="0" collapsed="false">
      <c r="A29" s="8" t="s">
        <v>215</v>
      </c>
      <c r="B29" s="8" t="s">
        <v>216</v>
      </c>
      <c r="C29" s="11" t="n">
        <v>80000</v>
      </c>
      <c r="D29" s="11" t="n">
        <v>70000</v>
      </c>
      <c r="E29" s="11" t="n">
        <v>90000</v>
      </c>
      <c r="F29" s="11"/>
      <c r="G29" s="11" t="n">
        <f aca="false">SUM(C29:F29)</f>
        <v>240000</v>
      </c>
      <c r="H29" s="8" t="s">
        <v>885</v>
      </c>
    </row>
    <row r="30" customFormat="false" ht="15" hidden="false" customHeight="true" outlineLevel="0" collapsed="false">
      <c r="A30" s="8" t="s">
        <v>886</v>
      </c>
      <c r="B30" s="8" t="s">
        <v>205</v>
      </c>
      <c r="C30" s="11" t="n">
        <v>95000</v>
      </c>
      <c r="D30" s="11" t="n">
        <v>75000</v>
      </c>
      <c r="E30" s="11" t="n">
        <v>50000</v>
      </c>
      <c r="F30" s="11"/>
      <c r="G30" s="11" t="n">
        <f aca="false">SUM(C30:F30)</f>
        <v>220000</v>
      </c>
      <c r="H30" s="8" t="s">
        <v>887</v>
      </c>
    </row>
    <row r="31" customFormat="false" ht="15" hidden="false" customHeight="true" outlineLevel="0" collapsed="false">
      <c r="A31" s="8" t="s">
        <v>240</v>
      </c>
      <c r="B31" s="8" t="s">
        <v>241</v>
      </c>
      <c r="C31" s="11" t="n">
        <v>60000</v>
      </c>
      <c r="D31" s="11" t="n">
        <v>60000</v>
      </c>
      <c r="E31" s="11" t="n">
        <v>60000</v>
      </c>
      <c r="F31" s="11"/>
      <c r="G31" s="11" t="n">
        <f aca="false">SUM(C31:F31)</f>
        <v>180000</v>
      </c>
      <c r="H31" s="8" t="s">
        <v>888</v>
      </c>
    </row>
    <row r="32" customFormat="false" ht="15" hidden="false" customHeight="true" outlineLevel="0" collapsed="false">
      <c r="A32" s="8" t="s">
        <v>889</v>
      </c>
      <c r="B32" s="8" t="s">
        <v>246</v>
      </c>
      <c r="C32" s="11" t="n">
        <v>50000</v>
      </c>
      <c r="D32" s="11" t="n">
        <v>50000</v>
      </c>
      <c r="E32" s="11" t="n">
        <v>50000</v>
      </c>
      <c r="F32" s="11" t="n">
        <v>25000</v>
      </c>
      <c r="G32" s="11" t="n">
        <f aca="false">SUM(C32:F32)</f>
        <v>175000</v>
      </c>
      <c r="H32" s="8" t="s">
        <v>890</v>
      </c>
    </row>
    <row r="33" customFormat="false" ht="15" hidden="false" customHeight="true" outlineLevel="0" collapsed="false">
      <c r="A33" s="8" t="s">
        <v>891</v>
      </c>
      <c r="B33" s="8" t="s">
        <v>256</v>
      </c>
      <c r="C33" s="11" t="n">
        <v>50000</v>
      </c>
      <c r="D33" s="11" t="n">
        <v>90000</v>
      </c>
      <c r="E33" s="11" t="n">
        <v>10000</v>
      </c>
      <c r="F33" s="11"/>
      <c r="G33" s="11" t="n">
        <f aca="false">SUM(C33:F33)</f>
        <v>150000</v>
      </c>
      <c r="H33" s="8" t="s">
        <v>892</v>
      </c>
    </row>
    <row r="34" customFormat="false" ht="15" hidden="false" customHeight="true" outlineLevel="0" collapsed="false">
      <c r="A34" s="8" t="s">
        <v>893</v>
      </c>
      <c r="B34" s="8" t="s">
        <v>198</v>
      </c>
      <c r="C34" s="11" t="n">
        <v>49000</v>
      </c>
      <c r="D34" s="11" t="n">
        <v>49000</v>
      </c>
      <c r="E34" s="11" t="n">
        <v>44000</v>
      </c>
      <c r="F34" s="11"/>
      <c r="G34" s="11" t="n">
        <f aca="false">SUM(C34:F34)</f>
        <v>142000</v>
      </c>
      <c r="H34" s="8" t="s">
        <v>894</v>
      </c>
    </row>
    <row r="35" customFormat="false" ht="15" hidden="false" customHeight="true" outlineLevel="0" collapsed="false">
      <c r="A35" s="8" t="s">
        <v>290</v>
      </c>
      <c r="B35" s="8" t="s">
        <v>291</v>
      </c>
      <c r="C35" s="11" t="n">
        <v>30000</v>
      </c>
      <c r="D35" s="11" t="n">
        <v>55000</v>
      </c>
      <c r="E35" s="11" t="n">
        <v>55000</v>
      </c>
      <c r="F35" s="11"/>
      <c r="G35" s="11" t="n">
        <f aca="false">SUM(C35:F35)</f>
        <v>140000</v>
      </c>
      <c r="H35" s="8" t="s">
        <v>895</v>
      </c>
    </row>
    <row r="36" customFormat="false" ht="15" hidden="false" customHeight="true" outlineLevel="0" collapsed="false">
      <c r="A36" s="8" t="s">
        <v>300</v>
      </c>
      <c r="B36" s="8" t="s">
        <v>301</v>
      </c>
      <c r="C36" s="11" t="n">
        <v>30000</v>
      </c>
      <c r="D36" s="11" t="n">
        <v>30000</v>
      </c>
      <c r="E36" s="11" t="n">
        <v>28000</v>
      </c>
      <c r="F36" s="11" t="n">
        <v>50000</v>
      </c>
      <c r="G36" s="11" t="n">
        <f aca="false">SUM(C36:F36)</f>
        <v>138000</v>
      </c>
      <c r="H36" s="8" t="s">
        <v>896</v>
      </c>
    </row>
    <row r="37" customFormat="false" ht="15" hidden="false" customHeight="true" outlineLevel="0" collapsed="false">
      <c r="A37" s="8" t="s">
        <v>897</v>
      </c>
      <c r="B37" s="8" t="s">
        <v>212</v>
      </c>
      <c r="C37" s="11" t="n">
        <v>85000</v>
      </c>
      <c r="D37" s="11" t="n">
        <v>35000</v>
      </c>
      <c r="E37" s="11" t="n">
        <v>15000</v>
      </c>
      <c r="F37" s="11"/>
      <c r="G37" s="11" t="n">
        <f aca="false">SUM(C37:F37)</f>
        <v>135000</v>
      </c>
      <c r="H37" s="8" t="s">
        <v>887</v>
      </c>
    </row>
    <row r="38" customFormat="false" ht="15" hidden="false" customHeight="true" outlineLevel="0" collapsed="false">
      <c r="A38" s="8" t="s">
        <v>898</v>
      </c>
      <c r="B38" s="8" t="s">
        <v>251</v>
      </c>
      <c r="C38" s="11"/>
      <c r="D38" s="11" t="n">
        <v>65000</v>
      </c>
      <c r="E38" s="11" t="n">
        <v>65000</v>
      </c>
      <c r="F38" s="11"/>
      <c r="G38" s="11" t="n">
        <f aca="false">SUM(C38:F38)</f>
        <v>130000</v>
      </c>
      <c r="H38" s="8" t="s">
        <v>899</v>
      </c>
    </row>
    <row r="39" customFormat="false" ht="15" hidden="false" customHeight="true" outlineLevel="0" collapsed="false">
      <c r="A39" s="8" t="s">
        <v>317</v>
      </c>
      <c r="B39" s="8" t="s">
        <v>318</v>
      </c>
      <c r="C39" s="11" t="n">
        <v>25000</v>
      </c>
      <c r="D39" s="11" t="n">
        <v>25000</v>
      </c>
      <c r="E39" s="11" t="n">
        <v>75000</v>
      </c>
      <c r="F39" s="11"/>
      <c r="G39" s="11" t="n">
        <f aca="false">SUM(C39:F39)</f>
        <v>125000</v>
      </c>
      <c r="H39" s="8" t="s">
        <v>900</v>
      </c>
    </row>
    <row r="40" customFormat="false" ht="15" hidden="false" customHeight="true" outlineLevel="0" collapsed="false">
      <c r="A40" s="8" t="s">
        <v>235</v>
      </c>
      <c r="B40" s="8" t="s">
        <v>236</v>
      </c>
      <c r="C40" s="11" t="n">
        <v>60000</v>
      </c>
      <c r="D40" s="11" t="n">
        <v>30000</v>
      </c>
      <c r="E40" s="11" t="n">
        <v>30000</v>
      </c>
      <c r="F40" s="11"/>
      <c r="G40" s="11" t="n">
        <f aca="false">SUM(C40:F40)</f>
        <v>120000</v>
      </c>
      <c r="H40" s="8" t="s">
        <v>901</v>
      </c>
    </row>
    <row r="41" customFormat="false" ht="15" hidden="false" customHeight="true" outlineLevel="0" collapsed="false">
      <c r="A41" s="8" t="s">
        <v>902</v>
      </c>
      <c r="B41" s="8" t="s">
        <v>266</v>
      </c>
      <c r="C41" s="11" t="n">
        <v>40000</v>
      </c>
      <c r="D41" s="11" t="n">
        <v>40000</v>
      </c>
      <c r="E41" s="11" t="n">
        <v>40000</v>
      </c>
      <c r="F41" s="11"/>
      <c r="G41" s="11" t="n">
        <f aca="false">SUM(C41:F41)</f>
        <v>120000</v>
      </c>
      <c r="H41" s="8" t="s">
        <v>903</v>
      </c>
    </row>
    <row r="42" customFormat="false" ht="15" hidden="false" customHeight="true" outlineLevel="0" collapsed="false">
      <c r="A42" s="8" t="s">
        <v>260</v>
      </c>
      <c r="B42" s="8" t="s">
        <v>261</v>
      </c>
      <c r="C42" s="11" t="n">
        <v>40000</v>
      </c>
      <c r="D42" s="11" t="n">
        <v>40000</v>
      </c>
      <c r="E42" s="11" t="n">
        <v>30000</v>
      </c>
      <c r="F42" s="11"/>
      <c r="G42" s="11" t="n">
        <f aca="false">SUM(C42:F42)</f>
        <v>110000</v>
      </c>
      <c r="H42" s="8" t="s">
        <v>895</v>
      </c>
    </row>
    <row r="43" customFormat="false" ht="15" hidden="false" customHeight="true" outlineLevel="0" collapsed="false">
      <c r="A43" s="8" t="s">
        <v>904</v>
      </c>
      <c r="B43" s="8" t="s">
        <v>269</v>
      </c>
      <c r="C43" s="11" t="n">
        <v>35000</v>
      </c>
      <c r="D43" s="11" t="n">
        <v>35000</v>
      </c>
      <c r="E43" s="11" t="n">
        <v>35000</v>
      </c>
      <c r="F43" s="11"/>
      <c r="G43" s="11" t="n">
        <f aca="false">SUM(C43:F43)</f>
        <v>105000</v>
      </c>
      <c r="H43" s="8" t="s">
        <v>905</v>
      </c>
    </row>
    <row r="44" customFormat="false" ht="15" hidden="false" customHeight="true" outlineLevel="0" collapsed="false">
      <c r="A44" s="8" t="s">
        <v>906</v>
      </c>
      <c r="B44" s="8" t="s">
        <v>278</v>
      </c>
      <c r="C44" s="11" t="n">
        <v>30000</v>
      </c>
      <c r="D44" s="11" t="n">
        <v>30000</v>
      </c>
      <c r="E44" s="11" t="n">
        <v>30000</v>
      </c>
      <c r="F44" s="11"/>
      <c r="G44" s="11" t="n">
        <f aca="false">SUM(C44:F44)</f>
        <v>90000</v>
      </c>
      <c r="H44" s="8" t="s">
        <v>901</v>
      </c>
    </row>
    <row r="45" customFormat="false" ht="15" hidden="false" customHeight="true" outlineLevel="0" collapsed="false">
      <c r="A45" s="8" t="s">
        <v>281</v>
      </c>
      <c r="B45" s="8" t="s">
        <v>282</v>
      </c>
      <c r="C45" s="11" t="n">
        <v>30000</v>
      </c>
      <c r="D45" s="11" t="n">
        <v>30000</v>
      </c>
      <c r="E45" s="11" t="n">
        <v>30000</v>
      </c>
      <c r="F45" s="11"/>
      <c r="G45" s="11" t="n">
        <f aca="false">SUM(C45:F45)</f>
        <v>90000</v>
      </c>
      <c r="H45" s="8" t="s">
        <v>895</v>
      </c>
    </row>
    <row r="46" customFormat="false" ht="15" hidden="false" customHeight="true" outlineLevel="0" collapsed="false">
      <c r="A46" s="8" t="s">
        <v>285</v>
      </c>
      <c r="B46" s="8" t="s">
        <v>286</v>
      </c>
      <c r="C46" s="11" t="n">
        <v>30000</v>
      </c>
      <c r="D46" s="11" t="n">
        <v>30000</v>
      </c>
      <c r="E46" s="11" t="n">
        <v>30000</v>
      </c>
      <c r="F46" s="11"/>
      <c r="G46" s="11" t="n">
        <f aca="false">SUM(C46:F46)</f>
        <v>90000</v>
      </c>
      <c r="H46" s="8" t="s">
        <v>907</v>
      </c>
    </row>
    <row r="47" customFormat="false" ht="15" hidden="false" customHeight="true" outlineLevel="0" collapsed="false">
      <c r="A47" s="8" t="s">
        <v>293</v>
      </c>
      <c r="B47" s="8" t="s">
        <v>294</v>
      </c>
      <c r="C47" s="11" t="n">
        <v>30000</v>
      </c>
      <c r="D47" s="11" t="n">
        <v>30000</v>
      </c>
      <c r="E47" s="11" t="n">
        <v>30000</v>
      </c>
      <c r="F47" s="11"/>
      <c r="G47" s="11" t="n">
        <f aca="false">SUM(C47:F47)</f>
        <v>90000</v>
      </c>
      <c r="H47" s="8" t="s">
        <v>895</v>
      </c>
    </row>
    <row r="48" customFormat="false" ht="15" hidden="false" customHeight="true" outlineLevel="0" collapsed="false">
      <c r="A48" s="8" t="s">
        <v>350</v>
      </c>
      <c r="B48" s="8" t="s">
        <v>351</v>
      </c>
      <c r="C48" s="11" t="n">
        <v>20000</v>
      </c>
      <c r="D48" s="11" t="n">
        <v>35000</v>
      </c>
      <c r="E48" s="11" t="n">
        <v>35000</v>
      </c>
      <c r="F48" s="11"/>
      <c r="G48" s="11" t="n">
        <f aca="false">SUM(C48:F48)</f>
        <v>90000</v>
      </c>
      <c r="H48" s="8" t="s">
        <v>908</v>
      </c>
    </row>
    <row r="49" customFormat="false" ht="15" hidden="false" customHeight="true" outlineLevel="0" collapsed="false">
      <c r="A49" s="8" t="s">
        <v>296</v>
      </c>
      <c r="B49" s="8" t="s">
        <v>297</v>
      </c>
      <c r="C49" s="11" t="n">
        <v>30000</v>
      </c>
      <c r="D49" s="11" t="n">
        <v>30000</v>
      </c>
      <c r="E49" s="11" t="n">
        <v>20000</v>
      </c>
      <c r="F49" s="11"/>
      <c r="G49" s="11" t="n">
        <f aca="false">SUM(C49:F49)</f>
        <v>80000</v>
      </c>
      <c r="H49" s="8" t="s">
        <v>909</v>
      </c>
    </row>
    <row r="50" customFormat="false" ht="15" hidden="false" customHeight="true" outlineLevel="0" collapsed="false">
      <c r="A50" s="8" t="s">
        <v>910</v>
      </c>
      <c r="B50" s="8" t="s">
        <v>369</v>
      </c>
      <c r="C50" s="11" t="n">
        <v>20000</v>
      </c>
      <c r="D50" s="11" t="n">
        <v>20000</v>
      </c>
      <c r="E50" s="11" t="n">
        <v>35000</v>
      </c>
      <c r="F50" s="11"/>
      <c r="G50" s="11" t="n">
        <f aca="false">SUM(C50:F50)</f>
        <v>75000</v>
      </c>
      <c r="H50" s="8" t="s">
        <v>911</v>
      </c>
    </row>
    <row r="51" customFormat="false" ht="15" hidden="false" customHeight="true" outlineLevel="0" collapsed="false">
      <c r="A51" s="8" t="s">
        <v>313</v>
      </c>
      <c r="B51" s="8" t="s">
        <v>314</v>
      </c>
      <c r="C51" s="11" t="n">
        <v>25000</v>
      </c>
      <c r="D51" s="11" t="n">
        <v>25000</v>
      </c>
      <c r="E51" s="11" t="n">
        <v>25000</v>
      </c>
      <c r="F51" s="11"/>
      <c r="G51" s="11" t="n">
        <f aca="false">SUM(C51:F51)</f>
        <v>75000</v>
      </c>
      <c r="H51" s="8" t="s">
        <v>911</v>
      </c>
    </row>
    <row r="52" customFormat="false" ht="15" hidden="false" customHeight="true" outlineLevel="0" collapsed="false">
      <c r="A52" s="8" t="s">
        <v>273</v>
      </c>
      <c r="B52" s="8" t="s">
        <v>274</v>
      </c>
      <c r="C52" s="11" t="n">
        <v>30000</v>
      </c>
      <c r="D52" s="11" t="n">
        <v>20000</v>
      </c>
      <c r="E52" s="11" t="n">
        <v>20000</v>
      </c>
      <c r="F52" s="11"/>
      <c r="G52" s="11" t="n">
        <f aca="false">SUM(C52:F52)</f>
        <v>70000</v>
      </c>
      <c r="H52" s="8" t="s">
        <v>912</v>
      </c>
    </row>
    <row r="53" customFormat="false" ht="15" hidden="false" customHeight="true" outlineLevel="0" collapsed="false">
      <c r="A53" s="8" t="s">
        <v>340</v>
      </c>
      <c r="B53" s="8" t="s">
        <v>341</v>
      </c>
      <c r="C53" s="11" t="n">
        <v>20000</v>
      </c>
      <c r="D53" s="11" t="n">
        <v>20000</v>
      </c>
      <c r="E53" s="11" t="n">
        <v>30000</v>
      </c>
      <c r="F53" s="11"/>
      <c r="G53" s="11" t="n">
        <f aca="false">SUM(C53:F53)</f>
        <v>70000</v>
      </c>
      <c r="H53" s="8" t="s">
        <v>909</v>
      </c>
    </row>
    <row r="54" customFormat="false" ht="15" hidden="false" customHeight="true" outlineLevel="0" collapsed="false">
      <c r="A54" s="8" t="s">
        <v>309</v>
      </c>
      <c r="B54" s="8" t="s">
        <v>310</v>
      </c>
      <c r="C54" s="11" t="n">
        <v>25000</v>
      </c>
      <c r="D54" s="11" t="n">
        <v>20000</v>
      </c>
      <c r="E54" s="11" t="n">
        <v>20000</v>
      </c>
      <c r="F54" s="11"/>
      <c r="G54" s="11" t="n">
        <f aca="false">SUM(C54:F54)</f>
        <v>65000</v>
      </c>
      <c r="H54" s="8" t="s">
        <v>913</v>
      </c>
    </row>
    <row r="55" customFormat="false" ht="15" hidden="false" customHeight="true" outlineLevel="0" collapsed="false">
      <c r="A55" s="8" t="s">
        <v>326</v>
      </c>
      <c r="B55" s="8" t="s">
        <v>327</v>
      </c>
      <c r="C55" s="11" t="n">
        <v>20000</v>
      </c>
      <c r="D55" s="11" t="n">
        <v>5000</v>
      </c>
      <c r="E55" s="11" t="n">
        <v>5000</v>
      </c>
      <c r="F55" s="11" t="n">
        <v>35000</v>
      </c>
      <c r="G55" s="11" t="n">
        <f aca="false">SUM(C55:F55)</f>
        <v>65000</v>
      </c>
      <c r="H55" s="8" t="s">
        <v>914</v>
      </c>
    </row>
    <row r="56" customFormat="false" ht="15" hidden="false" customHeight="true" outlineLevel="0" collapsed="false">
      <c r="A56" s="8" t="s">
        <v>332</v>
      </c>
      <c r="B56" s="8" t="s">
        <v>333</v>
      </c>
      <c r="C56" s="11" t="n">
        <v>20000</v>
      </c>
      <c r="D56" s="11" t="n">
        <v>20000</v>
      </c>
      <c r="E56" s="11" t="n">
        <v>20000</v>
      </c>
      <c r="F56" s="11"/>
      <c r="G56" s="11" t="n">
        <f aca="false">SUM(C56:F56)</f>
        <v>60000</v>
      </c>
      <c r="H56" s="8" t="s">
        <v>903</v>
      </c>
    </row>
    <row r="57" customFormat="false" ht="15" hidden="false" customHeight="true" outlineLevel="0" collapsed="false">
      <c r="A57" s="8" t="s">
        <v>336</v>
      </c>
      <c r="B57" s="8" t="s">
        <v>337</v>
      </c>
      <c r="C57" s="11" t="n">
        <v>20000</v>
      </c>
      <c r="D57" s="11" t="n">
        <v>20000</v>
      </c>
      <c r="E57" s="11" t="n">
        <v>20000</v>
      </c>
      <c r="F57" s="11"/>
      <c r="G57" s="11" t="n">
        <f aca="false">SUM(C57:F57)</f>
        <v>60000</v>
      </c>
      <c r="H57" s="8" t="s">
        <v>903</v>
      </c>
    </row>
    <row r="58" customFormat="false" ht="15" hidden="false" customHeight="true" outlineLevel="0" collapsed="false">
      <c r="A58" s="8" t="s">
        <v>343</v>
      </c>
      <c r="B58" s="8" t="s">
        <v>344</v>
      </c>
      <c r="C58" s="11" t="n">
        <v>20000</v>
      </c>
      <c r="D58" s="11" t="n">
        <v>20000</v>
      </c>
      <c r="E58" s="11" t="n">
        <v>20000</v>
      </c>
      <c r="F58" s="11"/>
      <c r="G58" s="11" t="n">
        <f aca="false">SUM(C58:F58)</f>
        <v>60000</v>
      </c>
      <c r="H58" s="8" t="s">
        <v>903</v>
      </c>
    </row>
    <row r="59" customFormat="false" ht="15" hidden="false" customHeight="true" outlineLevel="0" collapsed="false">
      <c r="A59" s="8" t="s">
        <v>346</v>
      </c>
      <c r="B59" s="8" t="s">
        <v>347</v>
      </c>
      <c r="C59" s="11" t="n">
        <v>20000</v>
      </c>
      <c r="D59" s="11" t="n">
        <v>20000</v>
      </c>
      <c r="E59" s="11" t="n">
        <v>20000</v>
      </c>
      <c r="F59" s="11"/>
      <c r="G59" s="11" t="n">
        <f aca="false">SUM(C59:F59)</f>
        <v>60000</v>
      </c>
      <c r="H59" s="8" t="s">
        <v>903</v>
      </c>
    </row>
    <row r="60" customFormat="false" ht="15" hidden="false" customHeight="true" outlineLevel="0" collapsed="false">
      <c r="A60" s="8" t="s">
        <v>353</v>
      </c>
      <c r="B60" s="8" t="s">
        <v>354</v>
      </c>
      <c r="C60" s="11" t="n">
        <v>20000</v>
      </c>
      <c r="D60" s="11" t="n">
        <v>20000</v>
      </c>
      <c r="E60" s="11" t="n">
        <v>20000</v>
      </c>
      <c r="F60" s="11"/>
      <c r="G60" s="11" t="n">
        <f aca="false">SUM(C60:F60)</f>
        <v>60000</v>
      </c>
      <c r="H60" s="8" t="s">
        <v>903</v>
      </c>
    </row>
    <row r="61" customFormat="false" ht="15" hidden="false" customHeight="true" outlineLevel="0" collapsed="false">
      <c r="A61" s="8" t="s">
        <v>915</v>
      </c>
      <c r="B61" s="8" t="s">
        <v>357</v>
      </c>
      <c r="C61" s="11" t="n">
        <v>20000</v>
      </c>
      <c r="D61" s="11" t="n">
        <v>20000</v>
      </c>
      <c r="E61" s="11" t="n">
        <v>20000</v>
      </c>
      <c r="F61" s="11"/>
      <c r="G61" s="11" t="n">
        <f aca="false">SUM(C61:F61)</f>
        <v>60000</v>
      </c>
      <c r="H61" s="8" t="s">
        <v>896</v>
      </c>
    </row>
    <row r="62" customFormat="false" ht="15" hidden="false" customHeight="true" outlineLevel="0" collapsed="false">
      <c r="A62" s="8" t="s">
        <v>360</v>
      </c>
      <c r="B62" s="8" t="s">
        <v>361</v>
      </c>
      <c r="C62" s="11" t="n">
        <v>20000</v>
      </c>
      <c r="D62" s="11" t="n">
        <v>20000</v>
      </c>
      <c r="E62" s="11" t="n">
        <v>20000</v>
      </c>
      <c r="F62" s="11"/>
      <c r="G62" s="11" t="n">
        <f aca="false">SUM(C62:F62)</f>
        <v>60000</v>
      </c>
      <c r="H62" s="8" t="s">
        <v>916</v>
      </c>
    </row>
    <row r="63" customFormat="false" ht="15" hidden="false" customHeight="true" outlineLevel="0" collapsed="false">
      <c r="A63" s="8" t="s">
        <v>364</v>
      </c>
      <c r="B63" s="8" t="s">
        <v>365</v>
      </c>
      <c r="C63" s="11" t="n">
        <v>20000</v>
      </c>
      <c r="D63" s="11" t="n">
        <v>20000</v>
      </c>
      <c r="E63" s="11" t="n">
        <v>20000</v>
      </c>
      <c r="F63" s="11"/>
      <c r="G63" s="11" t="n">
        <f aca="false">SUM(C63:F63)</f>
        <v>60000</v>
      </c>
      <c r="H63" s="8" t="s">
        <v>916</v>
      </c>
    </row>
    <row r="64" customFormat="false" ht="15" hidden="false" customHeight="true" outlineLevel="0" collapsed="false">
      <c r="A64" s="8" t="s">
        <v>372</v>
      </c>
      <c r="B64" s="8" t="s">
        <v>373</v>
      </c>
      <c r="C64" s="11" t="n">
        <v>20000</v>
      </c>
      <c r="D64" s="11" t="n">
        <v>20000</v>
      </c>
      <c r="E64" s="11" t="n">
        <v>20000</v>
      </c>
      <c r="F64" s="11"/>
      <c r="G64" s="11" t="n">
        <f aca="false">SUM(C64:F64)</f>
        <v>60000</v>
      </c>
      <c r="H64" s="8" t="s">
        <v>911</v>
      </c>
    </row>
    <row r="65" customFormat="false" ht="15" hidden="false" customHeight="true" outlineLevel="0" collapsed="false">
      <c r="A65" s="8" t="s">
        <v>917</v>
      </c>
      <c r="B65" s="8" t="s">
        <v>377</v>
      </c>
      <c r="C65" s="11" t="n">
        <v>20000</v>
      </c>
      <c r="D65" s="11" t="n">
        <v>20000</v>
      </c>
      <c r="E65" s="11" t="n">
        <v>20000</v>
      </c>
      <c r="F65" s="11"/>
      <c r="G65" s="11" t="n">
        <f aca="false">SUM(C65:F65)</f>
        <v>60000</v>
      </c>
      <c r="H65" s="8" t="s">
        <v>911</v>
      </c>
    </row>
    <row r="66" customFormat="false" ht="15" hidden="false" customHeight="true" outlineLevel="0" collapsed="false">
      <c r="A66" s="8" t="s">
        <v>408</v>
      </c>
      <c r="B66" s="8" t="s">
        <v>409</v>
      </c>
      <c r="C66" s="11" t="n">
        <v>15000</v>
      </c>
      <c r="D66" s="11" t="n">
        <v>15000</v>
      </c>
      <c r="E66" s="11" t="n">
        <v>30000</v>
      </c>
      <c r="F66" s="11"/>
      <c r="G66" s="11" t="n">
        <f aca="false">SUM(C66:F66)</f>
        <v>60000</v>
      </c>
      <c r="H66" s="8" t="s">
        <v>918</v>
      </c>
    </row>
    <row r="67" customFormat="false" ht="15" hidden="false" customHeight="true" outlineLevel="0" collapsed="false">
      <c r="A67" s="8" t="s">
        <v>473</v>
      </c>
      <c r="B67" s="8" t="s">
        <v>474</v>
      </c>
      <c r="C67" s="11" t="n">
        <v>10000</v>
      </c>
      <c r="D67" s="11" t="n">
        <v>30000</v>
      </c>
      <c r="E67" s="11" t="n">
        <v>20000</v>
      </c>
      <c r="F67" s="11"/>
      <c r="G67" s="11" t="n">
        <f aca="false">SUM(C67:F67)</f>
        <v>60000</v>
      </c>
      <c r="H67" s="8" t="s">
        <v>919</v>
      </c>
    </row>
    <row r="68" customFormat="false" ht="15" hidden="false" customHeight="true" outlineLevel="0" collapsed="false">
      <c r="A68" s="8" t="s">
        <v>477</v>
      </c>
      <c r="B68" s="8" t="s">
        <v>478</v>
      </c>
      <c r="C68" s="11" t="n">
        <v>10000</v>
      </c>
      <c r="D68" s="11" t="n">
        <v>20000</v>
      </c>
      <c r="E68" s="11" t="n">
        <v>25000</v>
      </c>
      <c r="F68" s="11"/>
      <c r="G68" s="11" t="n">
        <f aca="false">SUM(C68:F68)</f>
        <v>55000</v>
      </c>
      <c r="H68" s="8" t="s">
        <v>920</v>
      </c>
    </row>
    <row r="69" customFormat="false" ht="15" hidden="false" customHeight="true" outlineLevel="0" collapsed="false">
      <c r="A69" s="8" t="s">
        <v>921</v>
      </c>
      <c r="B69" s="8" t="s">
        <v>922</v>
      </c>
      <c r="C69" s="11"/>
      <c r="D69" s="11"/>
      <c r="E69" s="11" t="n">
        <v>55000</v>
      </c>
      <c r="F69" s="11"/>
      <c r="G69" s="11" t="n">
        <f aca="false">SUM(C69:F69)</f>
        <v>55000</v>
      </c>
      <c r="H69" s="8" t="s">
        <v>923</v>
      </c>
    </row>
    <row r="70" customFormat="false" ht="15" hidden="false" customHeight="true" outlineLevel="0" collapsed="false">
      <c r="A70" s="8" t="s">
        <v>924</v>
      </c>
      <c r="B70" s="8" t="s">
        <v>251</v>
      </c>
      <c r="C70" s="11" t="n">
        <v>50000</v>
      </c>
      <c r="D70" s="11"/>
      <c r="E70" s="11"/>
      <c r="F70" s="11"/>
      <c r="G70" s="11" t="n">
        <f aca="false">SUM(C70:F70)</f>
        <v>50000</v>
      </c>
      <c r="H70" s="8" t="s">
        <v>899</v>
      </c>
    </row>
    <row r="71" customFormat="false" ht="15" hidden="false" customHeight="true" outlineLevel="0" collapsed="false">
      <c r="A71" s="8" t="s">
        <v>321</v>
      </c>
      <c r="B71" s="8" t="s">
        <v>322</v>
      </c>
      <c r="C71" s="11" t="n">
        <v>20000</v>
      </c>
      <c r="D71" s="11" t="n">
        <v>20000</v>
      </c>
      <c r="E71" s="11" t="n">
        <v>10000</v>
      </c>
      <c r="F71" s="11"/>
      <c r="G71" s="11" t="n">
        <f aca="false">SUM(C71:F71)</f>
        <v>50000</v>
      </c>
      <c r="H71" s="8" t="s">
        <v>913</v>
      </c>
    </row>
    <row r="72" customFormat="false" ht="15" hidden="false" customHeight="true" outlineLevel="0" collapsed="false">
      <c r="A72" s="8" t="s">
        <v>648</v>
      </c>
      <c r="B72" s="8" t="s">
        <v>583</v>
      </c>
      <c r="C72" s="11"/>
      <c r="D72" s="11"/>
      <c r="E72" s="11"/>
      <c r="F72" s="11" t="n">
        <v>50000</v>
      </c>
      <c r="G72" s="11" t="n">
        <f aca="false">SUM(C72:F72)</f>
        <v>50000</v>
      </c>
      <c r="H72" s="8"/>
    </row>
    <row r="73" customFormat="false" ht="15" hidden="false" customHeight="true" outlineLevel="0" collapsed="false">
      <c r="A73" s="8" t="s">
        <v>925</v>
      </c>
      <c r="B73" s="8" t="s">
        <v>198</v>
      </c>
      <c r="C73" s="11" t="n">
        <v>16000</v>
      </c>
      <c r="D73" s="11" t="n">
        <v>16000</v>
      </c>
      <c r="E73" s="11" t="n">
        <v>16000</v>
      </c>
      <c r="F73" s="11"/>
      <c r="G73" s="11" t="n">
        <f aca="false">SUM(C73:F73)</f>
        <v>48000</v>
      </c>
      <c r="H73" s="8" t="s">
        <v>894</v>
      </c>
    </row>
    <row r="74" customFormat="false" ht="15" hidden="false" customHeight="true" outlineLevel="0" collapsed="false">
      <c r="A74" s="8" t="s">
        <v>400</v>
      </c>
      <c r="B74" s="8" t="s">
        <v>401</v>
      </c>
      <c r="C74" s="11" t="n">
        <v>15000</v>
      </c>
      <c r="D74" s="11" t="n">
        <v>15000</v>
      </c>
      <c r="E74" s="11" t="n">
        <v>15000</v>
      </c>
      <c r="F74" s="11"/>
      <c r="G74" s="11" t="n">
        <f aca="false">SUM(C74:F74)</f>
        <v>45000</v>
      </c>
      <c r="H74" s="8" t="s">
        <v>926</v>
      </c>
    </row>
    <row r="75" customFormat="false" ht="15" hidden="false" customHeight="true" outlineLevel="0" collapsed="false">
      <c r="A75" s="8" t="s">
        <v>388</v>
      </c>
      <c r="B75" s="8" t="s">
        <v>389</v>
      </c>
      <c r="C75" s="11" t="n">
        <v>20000</v>
      </c>
      <c r="D75" s="11" t="n">
        <v>20000</v>
      </c>
      <c r="E75" s="11" t="n">
        <v>5000</v>
      </c>
      <c r="F75" s="11"/>
      <c r="G75" s="11" t="n">
        <f aca="false">SUM(C75:F75)</f>
        <v>45000</v>
      </c>
      <c r="H75" s="8" t="s">
        <v>894</v>
      </c>
    </row>
    <row r="76" customFormat="false" ht="15" hidden="false" customHeight="true" outlineLevel="0" collapsed="false">
      <c r="A76" s="8" t="s">
        <v>927</v>
      </c>
      <c r="B76" s="8" t="s">
        <v>421</v>
      </c>
      <c r="C76" s="11" t="n">
        <v>15000</v>
      </c>
      <c r="D76" s="11" t="n">
        <v>15000</v>
      </c>
      <c r="E76" s="11" t="n">
        <v>15000</v>
      </c>
      <c r="F76" s="11"/>
      <c r="G76" s="11" t="n">
        <f aca="false">SUM(C76:F76)</f>
        <v>45000</v>
      </c>
      <c r="H76" s="8" t="s">
        <v>928</v>
      </c>
    </row>
    <row r="77" customFormat="false" ht="15" hidden="false" customHeight="true" outlineLevel="0" collapsed="false">
      <c r="A77" s="8" t="s">
        <v>929</v>
      </c>
      <c r="B77" s="8" t="s">
        <v>930</v>
      </c>
      <c r="C77" s="11"/>
      <c r="D77" s="11" t="n">
        <v>30000</v>
      </c>
      <c r="E77" s="11" t="n">
        <v>15000</v>
      </c>
      <c r="F77" s="11"/>
      <c r="G77" s="11" t="n">
        <f aca="false">SUM(C77:F77)</f>
        <v>45000</v>
      </c>
      <c r="H77" s="8" t="s">
        <v>918</v>
      </c>
    </row>
    <row r="78" customFormat="false" ht="15" hidden="false" customHeight="true" outlineLevel="0" collapsed="false">
      <c r="A78" s="8" t="s">
        <v>328</v>
      </c>
      <c r="B78" s="8" t="s">
        <v>329</v>
      </c>
      <c r="C78" s="11" t="n">
        <v>20000</v>
      </c>
      <c r="D78" s="11" t="n">
        <v>20000</v>
      </c>
      <c r="E78" s="11"/>
      <c r="F78" s="11"/>
      <c r="G78" s="11" t="n">
        <f aca="false">SUM(C78:F78)</f>
        <v>40000</v>
      </c>
      <c r="H78" s="8" t="s">
        <v>903</v>
      </c>
    </row>
    <row r="79" customFormat="false" ht="15" hidden="false" customHeight="true" outlineLevel="0" collapsed="false">
      <c r="A79" s="8" t="s">
        <v>931</v>
      </c>
      <c r="B79" s="8" t="s">
        <v>305</v>
      </c>
      <c r="C79" s="11" t="n">
        <v>30000</v>
      </c>
      <c r="D79" s="11"/>
      <c r="E79" s="11" t="n">
        <v>10000</v>
      </c>
      <c r="F79" s="11"/>
      <c r="G79" s="11" t="n">
        <f aca="false">SUM(C79:F79)</f>
        <v>40000</v>
      </c>
      <c r="H79" s="8" t="s">
        <v>932</v>
      </c>
    </row>
    <row r="80" customFormat="false" ht="15" hidden="false" customHeight="true" outlineLevel="0" collapsed="false">
      <c r="A80" s="8" t="s">
        <v>933</v>
      </c>
      <c r="B80" s="8" t="s">
        <v>508</v>
      </c>
      <c r="C80" s="11" t="n">
        <v>5000</v>
      </c>
      <c r="D80" s="11" t="n">
        <v>20000</v>
      </c>
      <c r="E80" s="11" t="n">
        <v>15000</v>
      </c>
      <c r="F80" s="11"/>
      <c r="G80" s="11" t="n">
        <f aca="false">SUM(C80:F80)</f>
        <v>40000</v>
      </c>
      <c r="H80" s="8" t="s">
        <v>914</v>
      </c>
    </row>
    <row r="81" customFormat="false" ht="15" hidden="false" customHeight="true" outlineLevel="0" collapsed="false">
      <c r="A81" s="8" t="s">
        <v>384</v>
      </c>
      <c r="B81" s="8" t="s">
        <v>385</v>
      </c>
      <c r="C81" s="11" t="n">
        <v>20000</v>
      </c>
      <c r="D81" s="11" t="n">
        <v>20000</v>
      </c>
      <c r="E81" s="11"/>
      <c r="F81" s="11"/>
      <c r="G81" s="11" t="n">
        <f aca="false">SUM(C81:F81)</f>
        <v>40000</v>
      </c>
      <c r="H81" s="8" t="s">
        <v>894</v>
      </c>
    </row>
    <row r="82" customFormat="false" ht="15" hidden="false" customHeight="true" outlineLevel="0" collapsed="false">
      <c r="A82" s="8" t="s">
        <v>151</v>
      </c>
      <c r="B82" s="8" t="s">
        <v>391</v>
      </c>
      <c r="C82" s="11" t="n">
        <v>20000</v>
      </c>
      <c r="D82" s="11" t="n">
        <v>20000</v>
      </c>
      <c r="E82" s="11"/>
      <c r="F82" s="11"/>
      <c r="G82" s="11" t="n">
        <f aca="false">SUM(C82:F82)</f>
        <v>40000</v>
      </c>
      <c r="H82" s="8" t="s">
        <v>934</v>
      </c>
    </row>
    <row r="83" customFormat="false" ht="15" hidden="false" customHeight="true" outlineLevel="0" collapsed="false">
      <c r="A83" s="8" t="s">
        <v>935</v>
      </c>
      <c r="B83" s="8" t="s">
        <v>936</v>
      </c>
      <c r="C83" s="11"/>
      <c r="D83" s="11" t="n">
        <v>20000</v>
      </c>
      <c r="E83" s="11" t="n">
        <v>20000</v>
      </c>
      <c r="F83" s="11"/>
      <c r="G83" s="11" t="n">
        <f aca="false">SUM(C83:F83)</f>
        <v>40000</v>
      </c>
      <c r="H83" s="8" t="s">
        <v>937</v>
      </c>
    </row>
    <row r="84" customFormat="false" ht="15" hidden="false" customHeight="true" outlineLevel="0" collapsed="false">
      <c r="A84" s="8" t="s">
        <v>171</v>
      </c>
      <c r="B84" s="8" t="s">
        <v>938</v>
      </c>
      <c r="C84" s="11"/>
      <c r="D84" s="11"/>
      <c r="E84" s="11" t="n">
        <v>40000</v>
      </c>
      <c r="F84" s="11"/>
      <c r="G84" s="11" t="n">
        <f aca="false">SUM(C84:F84)</f>
        <v>40000</v>
      </c>
      <c r="H84" s="8" t="s">
        <v>939</v>
      </c>
    </row>
    <row r="85" customFormat="false" ht="15" hidden="false" customHeight="true" outlineLevel="0" collapsed="false">
      <c r="A85" s="8" t="s">
        <v>395</v>
      </c>
      <c r="B85" s="8" t="s">
        <v>396</v>
      </c>
      <c r="C85" s="11" t="n">
        <v>15000</v>
      </c>
      <c r="D85" s="11" t="n">
        <v>10000</v>
      </c>
      <c r="E85" s="11" t="n">
        <v>10000</v>
      </c>
      <c r="F85" s="11"/>
      <c r="G85" s="11" t="n">
        <f aca="false">SUM(C85:F85)</f>
        <v>35000</v>
      </c>
      <c r="H85" s="8" t="s">
        <v>940</v>
      </c>
    </row>
    <row r="86" customFormat="false" ht="15" hidden="false" customHeight="true" outlineLevel="0" collapsed="false">
      <c r="A86" s="8" t="s">
        <v>462</v>
      </c>
      <c r="B86" s="8" t="s">
        <v>463</v>
      </c>
      <c r="C86" s="11" t="n">
        <v>10000</v>
      </c>
      <c r="D86" s="11" t="n">
        <v>15000</v>
      </c>
      <c r="E86" s="11" t="n">
        <v>10000</v>
      </c>
      <c r="F86" s="11"/>
      <c r="G86" s="11" t="n">
        <f aca="false">SUM(C86:F86)</f>
        <v>35000</v>
      </c>
      <c r="H86" s="8" t="s">
        <v>894</v>
      </c>
    </row>
    <row r="87" customFormat="false" ht="15" hidden="false" customHeight="true" outlineLevel="0" collapsed="false">
      <c r="A87" s="8" t="s">
        <v>424</v>
      </c>
      <c r="B87" s="8" t="s">
        <v>425</v>
      </c>
      <c r="C87" s="11" t="n">
        <v>10000</v>
      </c>
      <c r="D87" s="11" t="n">
        <v>10000</v>
      </c>
      <c r="E87" s="11" t="n">
        <v>10000</v>
      </c>
      <c r="F87" s="11"/>
      <c r="G87" s="11" t="n">
        <f aca="false">SUM(C87:F87)</f>
        <v>30000</v>
      </c>
      <c r="H87" s="8" t="s">
        <v>926</v>
      </c>
    </row>
    <row r="88" customFormat="false" ht="15" hidden="false" customHeight="true" outlineLevel="0" collapsed="false">
      <c r="A88" s="8" t="s">
        <v>427</v>
      </c>
      <c r="B88" s="8" t="s">
        <v>428</v>
      </c>
      <c r="C88" s="11" t="n">
        <v>10000</v>
      </c>
      <c r="D88" s="11" t="n">
        <v>10000</v>
      </c>
      <c r="E88" s="11" t="n">
        <v>10000</v>
      </c>
      <c r="F88" s="11"/>
      <c r="G88" s="11" t="n">
        <f aca="false">SUM(C88:F88)</f>
        <v>30000</v>
      </c>
      <c r="H88" s="8" t="s">
        <v>937</v>
      </c>
    </row>
    <row r="89" customFormat="false" ht="15" hidden="false" customHeight="true" outlineLevel="0" collapsed="false">
      <c r="A89" s="8" t="s">
        <v>431</v>
      </c>
      <c r="B89" s="8" t="s">
        <v>432</v>
      </c>
      <c r="C89" s="11" t="n">
        <v>10000</v>
      </c>
      <c r="D89" s="11" t="n">
        <v>10000</v>
      </c>
      <c r="E89" s="11" t="n">
        <v>10000</v>
      </c>
      <c r="F89" s="11"/>
      <c r="G89" s="11" t="n">
        <f aca="false">SUM(C89:F89)</f>
        <v>30000</v>
      </c>
      <c r="H89" s="8" t="s">
        <v>937</v>
      </c>
    </row>
    <row r="90" customFormat="false" ht="15" hidden="false" customHeight="true" outlineLevel="0" collapsed="false">
      <c r="A90" s="8" t="s">
        <v>941</v>
      </c>
      <c r="B90" s="8" t="s">
        <v>439</v>
      </c>
      <c r="C90" s="11" t="n">
        <v>10000</v>
      </c>
      <c r="D90" s="11" t="n">
        <v>10000</v>
      </c>
      <c r="E90" s="11" t="n">
        <v>10000</v>
      </c>
      <c r="F90" s="11"/>
      <c r="G90" s="11" t="n">
        <f aca="false">SUM(C90:F90)</f>
        <v>30000</v>
      </c>
      <c r="H90" s="8" t="s">
        <v>900</v>
      </c>
    </row>
    <row r="91" customFormat="false" ht="15" hidden="false" customHeight="true" outlineLevel="0" collapsed="false">
      <c r="A91" s="8" t="s">
        <v>142</v>
      </c>
      <c r="B91" s="8" t="s">
        <v>441</v>
      </c>
      <c r="C91" s="11" t="n">
        <v>10000</v>
      </c>
      <c r="D91" s="11" t="n">
        <v>10000</v>
      </c>
      <c r="E91" s="11" t="n">
        <v>10000</v>
      </c>
      <c r="F91" s="11"/>
      <c r="G91" s="11" t="n">
        <f aca="false">SUM(C91:F91)</f>
        <v>30000</v>
      </c>
      <c r="H91" s="8" t="s">
        <v>911</v>
      </c>
    </row>
    <row r="92" customFormat="false" ht="15" hidden="false" customHeight="true" outlineLevel="0" collapsed="false">
      <c r="A92" s="8" t="s">
        <v>452</v>
      </c>
      <c r="B92" s="8" t="s">
        <v>453</v>
      </c>
      <c r="C92" s="11" t="n">
        <v>10000</v>
      </c>
      <c r="D92" s="11" t="n">
        <v>10000</v>
      </c>
      <c r="E92" s="11" t="n">
        <v>10000</v>
      </c>
      <c r="F92" s="11"/>
      <c r="G92" s="11" t="n">
        <f aca="false">SUM(C92:F92)</f>
        <v>30000</v>
      </c>
      <c r="H92" s="8" t="s">
        <v>894</v>
      </c>
    </row>
    <row r="93" customFormat="false" ht="15" hidden="false" customHeight="true" outlineLevel="0" collapsed="false">
      <c r="A93" s="8" t="s">
        <v>380</v>
      </c>
      <c r="B93" s="8" t="s">
        <v>381</v>
      </c>
      <c r="C93" s="11" t="n">
        <v>20000</v>
      </c>
      <c r="D93" s="11" t="n">
        <v>5000</v>
      </c>
      <c r="E93" s="11" t="n">
        <v>5000</v>
      </c>
      <c r="F93" s="11"/>
      <c r="G93" s="11" t="n">
        <f aca="false">SUM(C93:F93)</f>
        <v>30000</v>
      </c>
      <c r="H93" s="8" t="s">
        <v>894</v>
      </c>
    </row>
    <row r="94" customFormat="false" ht="15" hidden="false" customHeight="true" outlineLevel="0" collapsed="false">
      <c r="A94" s="8" t="s">
        <v>466</v>
      </c>
      <c r="B94" s="8" t="s">
        <v>467</v>
      </c>
      <c r="C94" s="11" t="n">
        <v>10000</v>
      </c>
      <c r="D94" s="11" t="n">
        <v>10000</v>
      </c>
      <c r="E94" s="11" t="n">
        <v>10000</v>
      </c>
      <c r="F94" s="11"/>
      <c r="G94" s="11" t="n">
        <f aca="false">SUM(C94:F94)</f>
        <v>30000</v>
      </c>
      <c r="H94" s="8" t="s">
        <v>882</v>
      </c>
    </row>
    <row r="95" customFormat="false" ht="15" hidden="false" customHeight="true" outlineLevel="0" collapsed="false">
      <c r="A95" s="8" t="s">
        <v>470</v>
      </c>
      <c r="B95" s="8" t="s">
        <v>471</v>
      </c>
      <c r="C95" s="11" t="n">
        <v>10000</v>
      </c>
      <c r="D95" s="11" t="n">
        <v>10000</v>
      </c>
      <c r="E95" s="11" t="n">
        <v>10000</v>
      </c>
      <c r="F95" s="11"/>
      <c r="G95" s="11" t="n">
        <f aca="false">SUM(C95:F95)</f>
        <v>30000</v>
      </c>
      <c r="H95" s="8" t="s">
        <v>882</v>
      </c>
    </row>
    <row r="96" customFormat="false" ht="15" hidden="false" customHeight="true" outlineLevel="0" collapsed="false">
      <c r="A96" s="8" t="s">
        <v>197</v>
      </c>
      <c r="B96" s="8" t="s">
        <v>198</v>
      </c>
      <c r="C96" s="11" t="n">
        <v>10000</v>
      </c>
      <c r="D96" s="11" t="n">
        <v>10000</v>
      </c>
      <c r="E96" s="11" t="n">
        <v>10000</v>
      </c>
      <c r="F96" s="11"/>
      <c r="G96" s="11" t="n">
        <f aca="false">SUM(C96:F96)</f>
        <v>30000</v>
      </c>
      <c r="H96" s="8" t="s">
        <v>942</v>
      </c>
    </row>
    <row r="97" customFormat="false" ht="15" hidden="false" customHeight="true" outlineLevel="0" collapsed="false">
      <c r="A97" s="8" t="s">
        <v>481</v>
      </c>
      <c r="B97" s="8" t="s">
        <v>482</v>
      </c>
      <c r="C97" s="11" t="n">
        <v>10000</v>
      </c>
      <c r="D97" s="11" t="n">
        <v>10000</v>
      </c>
      <c r="E97" s="11" t="n">
        <v>10000</v>
      </c>
      <c r="F97" s="11"/>
      <c r="G97" s="11" t="n">
        <f aca="false">SUM(C97:F97)</f>
        <v>30000</v>
      </c>
      <c r="H97" s="8" t="s">
        <v>928</v>
      </c>
    </row>
    <row r="98" customFormat="false" ht="15" hidden="false" customHeight="true" outlineLevel="0" collapsed="false">
      <c r="A98" s="8" t="s">
        <v>943</v>
      </c>
      <c r="B98" s="8" t="s">
        <v>944</v>
      </c>
      <c r="C98" s="11"/>
      <c r="D98" s="11" t="n">
        <v>15000</v>
      </c>
      <c r="E98" s="11" t="n">
        <v>15000</v>
      </c>
      <c r="F98" s="11"/>
      <c r="G98" s="11" t="n">
        <f aca="false">SUM(C98:F98)</f>
        <v>30000</v>
      </c>
      <c r="H98" s="8" t="s">
        <v>945</v>
      </c>
    </row>
    <row r="99" customFormat="false" ht="15" hidden="false" customHeight="true" outlineLevel="0" collapsed="false">
      <c r="A99" s="8" t="s">
        <v>946</v>
      </c>
      <c r="B99" s="8" t="s">
        <v>947</v>
      </c>
      <c r="C99" s="11"/>
      <c r="D99" s="11" t="n">
        <v>15000</v>
      </c>
      <c r="E99" s="11" t="n">
        <v>15000</v>
      </c>
      <c r="F99" s="11"/>
      <c r="G99" s="11" t="n">
        <f aca="false">SUM(C99:F99)</f>
        <v>30000</v>
      </c>
      <c r="H99" s="8" t="s">
        <v>948</v>
      </c>
    </row>
    <row r="100" customFormat="false" ht="15" hidden="false" customHeight="true" outlineLevel="0" collapsed="false">
      <c r="A100" s="8" t="s">
        <v>448</v>
      </c>
      <c r="B100" s="8" t="s">
        <v>449</v>
      </c>
      <c r="C100" s="11" t="n">
        <v>10000</v>
      </c>
      <c r="D100" s="11" t="n">
        <v>10500</v>
      </c>
      <c r="E100" s="11" t="n">
        <v>5000</v>
      </c>
      <c r="F100" s="11"/>
      <c r="G100" s="11" t="n">
        <f aca="false">SUM(C100:F100)</f>
        <v>25500</v>
      </c>
      <c r="H100" s="8" t="s">
        <v>894</v>
      </c>
    </row>
    <row r="101" customFormat="false" ht="15" hidden="false" customHeight="true" outlineLevel="0" collapsed="false">
      <c r="A101" s="8" t="s">
        <v>404</v>
      </c>
      <c r="B101" s="8" t="s">
        <v>405</v>
      </c>
      <c r="C101" s="11" t="n">
        <v>15000</v>
      </c>
      <c r="D101" s="11" t="n">
        <v>5000</v>
      </c>
      <c r="E101" s="11" t="n">
        <v>5000</v>
      </c>
      <c r="F101" s="11"/>
      <c r="G101" s="11" t="n">
        <f aca="false">SUM(C101:F101)</f>
        <v>25000</v>
      </c>
      <c r="H101" s="8" t="s">
        <v>949</v>
      </c>
    </row>
    <row r="102" customFormat="false" ht="15" hidden="false" customHeight="true" outlineLevel="0" collapsed="false">
      <c r="A102" s="8" t="s">
        <v>415</v>
      </c>
      <c r="B102" s="8" t="s">
        <v>416</v>
      </c>
      <c r="C102" s="11" t="n">
        <v>15000</v>
      </c>
      <c r="D102" s="11" t="n">
        <v>5000</v>
      </c>
      <c r="E102" s="11" t="n">
        <v>5000</v>
      </c>
      <c r="F102" s="11"/>
      <c r="G102" s="11" t="n">
        <f aca="false">SUM(C102:F102)</f>
        <v>25000</v>
      </c>
      <c r="H102" s="8" t="s">
        <v>928</v>
      </c>
    </row>
    <row r="103" customFormat="false" ht="15" hidden="false" customHeight="true" outlineLevel="0" collapsed="false">
      <c r="A103" s="8" t="s">
        <v>950</v>
      </c>
      <c r="B103" s="8" t="s">
        <v>951</v>
      </c>
      <c r="C103" s="11"/>
      <c r="D103" s="11"/>
      <c r="E103" s="11" t="n">
        <v>25000</v>
      </c>
      <c r="F103" s="11"/>
      <c r="G103" s="11" t="n">
        <f aca="false">SUM(C103:F103)</f>
        <v>25000</v>
      </c>
      <c r="H103" s="8" t="s">
        <v>919</v>
      </c>
    </row>
    <row r="104" customFormat="false" ht="15" hidden="false" customHeight="true" outlineLevel="0" collapsed="false">
      <c r="A104" s="8" t="s">
        <v>161</v>
      </c>
      <c r="B104" s="8" t="s">
        <v>952</v>
      </c>
      <c r="C104" s="11"/>
      <c r="D104" s="11"/>
      <c r="E104" s="11" t="n">
        <v>25000</v>
      </c>
      <c r="F104" s="11"/>
      <c r="G104" s="11" t="n">
        <f aca="false">SUM(C104:F104)</f>
        <v>25000</v>
      </c>
      <c r="H104" s="8" t="s">
        <v>919</v>
      </c>
    </row>
    <row r="105" customFormat="false" ht="15" hidden="false" customHeight="true" outlineLevel="0" collapsed="false">
      <c r="A105" s="8" t="s">
        <v>592</v>
      </c>
      <c r="B105" s="8" t="s">
        <v>583</v>
      </c>
      <c r="C105" s="11"/>
      <c r="D105" s="11"/>
      <c r="E105" s="11"/>
      <c r="F105" s="11" t="n">
        <v>25000</v>
      </c>
      <c r="G105" s="11" t="n">
        <f aca="false">SUM(C105:F105)</f>
        <v>25000</v>
      </c>
      <c r="H105" s="8"/>
    </row>
    <row r="106" customFormat="false" ht="15" hidden="false" customHeight="true" outlineLevel="0" collapsed="false">
      <c r="A106" s="8" t="s">
        <v>953</v>
      </c>
      <c r="B106" s="8" t="s">
        <v>495</v>
      </c>
      <c r="C106" s="11" t="n">
        <v>5000</v>
      </c>
      <c r="D106" s="11" t="n">
        <v>5000</v>
      </c>
      <c r="E106" s="11" t="n">
        <v>10000</v>
      </c>
      <c r="F106" s="11"/>
      <c r="G106" s="11" t="n">
        <f aca="false">SUM(C106:F106)</f>
        <v>20000</v>
      </c>
      <c r="H106" s="8" t="s">
        <v>954</v>
      </c>
    </row>
    <row r="107" customFormat="false" ht="15" hidden="false" customHeight="true" outlineLevel="0" collapsed="false">
      <c r="A107" s="8" t="s">
        <v>444</v>
      </c>
      <c r="B107" s="8" t="s">
        <v>445</v>
      </c>
      <c r="C107" s="11" t="n">
        <v>10000</v>
      </c>
      <c r="D107" s="11" t="n">
        <v>10000</v>
      </c>
      <c r="E107" s="11"/>
      <c r="F107" s="11"/>
      <c r="G107" s="11" t="n">
        <f aca="false">SUM(C107:F107)</f>
        <v>20000</v>
      </c>
      <c r="H107" s="8" t="s">
        <v>894</v>
      </c>
    </row>
    <row r="108" customFormat="false" ht="15" hidden="false" customHeight="true" outlineLevel="0" collapsed="false">
      <c r="A108" s="8" t="s">
        <v>456</v>
      </c>
      <c r="B108" s="8" t="s">
        <v>457</v>
      </c>
      <c r="C108" s="11" t="n">
        <v>10000</v>
      </c>
      <c r="D108" s="11" t="n">
        <v>10000</v>
      </c>
      <c r="E108" s="11"/>
      <c r="F108" s="11"/>
      <c r="G108" s="11" t="n">
        <f aca="false">SUM(C108:F108)</f>
        <v>20000</v>
      </c>
      <c r="H108" s="8" t="s">
        <v>894</v>
      </c>
    </row>
    <row r="109" customFormat="false" ht="15" hidden="false" customHeight="true" outlineLevel="0" collapsed="false">
      <c r="A109" s="8" t="s">
        <v>955</v>
      </c>
      <c r="B109" s="8" t="s">
        <v>956</v>
      </c>
      <c r="C109" s="11"/>
      <c r="D109" s="11"/>
      <c r="E109" s="11" t="n">
        <v>20000</v>
      </c>
      <c r="F109" s="11"/>
      <c r="G109" s="11" t="n">
        <f aca="false">SUM(C109:F109)</f>
        <v>20000</v>
      </c>
      <c r="H109" s="8" t="s">
        <v>957</v>
      </c>
    </row>
    <row r="110" customFormat="false" ht="15" hidden="false" customHeight="true" outlineLevel="0" collapsed="false">
      <c r="A110" s="8" t="s">
        <v>958</v>
      </c>
      <c r="B110" s="8" t="s">
        <v>959</v>
      </c>
      <c r="C110" s="11"/>
      <c r="D110" s="11" t="n">
        <v>10000</v>
      </c>
      <c r="E110" s="11" t="n">
        <v>10000</v>
      </c>
      <c r="F110" s="11"/>
      <c r="G110" s="11" t="n">
        <f aca="false">SUM(C110:F110)</f>
        <v>20000</v>
      </c>
      <c r="H110" s="8" t="s">
        <v>957</v>
      </c>
    </row>
    <row r="111" customFormat="false" ht="15" hidden="false" customHeight="true" outlineLevel="0" collapsed="false">
      <c r="A111" s="8" t="s">
        <v>960</v>
      </c>
      <c r="B111" s="8" t="s">
        <v>961</v>
      </c>
      <c r="C111" s="11"/>
      <c r="D111" s="11" t="n">
        <v>10000</v>
      </c>
      <c r="E111" s="11" t="n">
        <v>10000</v>
      </c>
      <c r="F111" s="11"/>
      <c r="G111" s="11" t="n">
        <f aca="false">SUM(C111:F111)</f>
        <v>20000</v>
      </c>
      <c r="H111" s="8" t="s">
        <v>934</v>
      </c>
    </row>
    <row r="112" customFormat="false" ht="15" hidden="false" customHeight="true" outlineLevel="0" collapsed="false">
      <c r="A112" s="8" t="s">
        <v>962</v>
      </c>
      <c r="B112" s="8" t="s">
        <v>963</v>
      </c>
      <c r="C112" s="11"/>
      <c r="D112" s="11" t="n">
        <v>10000</v>
      </c>
      <c r="E112" s="11" t="n">
        <v>10000</v>
      </c>
      <c r="F112" s="11"/>
      <c r="G112" s="11" t="n">
        <f aca="false">SUM(C112:F112)</f>
        <v>20000</v>
      </c>
      <c r="H112" s="8" t="s">
        <v>928</v>
      </c>
    </row>
    <row r="113" customFormat="false" ht="15" hidden="false" customHeight="true" outlineLevel="0" collapsed="false">
      <c r="A113" s="8" t="s">
        <v>964</v>
      </c>
      <c r="B113" s="8" t="s">
        <v>965</v>
      </c>
      <c r="C113" s="11"/>
      <c r="D113" s="11"/>
      <c r="E113" s="11" t="n">
        <v>20000</v>
      </c>
      <c r="F113" s="11"/>
      <c r="G113" s="11" t="n">
        <f aca="false">SUM(C113:F113)</f>
        <v>20000</v>
      </c>
      <c r="H113" s="8" t="s">
        <v>894</v>
      </c>
    </row>
    <row r="114" customFormat="false" ht="15" hidden="false" customHeight="true" outlineLevel="0" collapsed="false">
      <c r="A114" s="8" t="s">
        <v>966</v>
      </c>
      <c r="B114" s="8" t="s">
        <v>500</v>
      </c>
      <c r="C114" s="11" t="n">
        <v>5000</v>
      </c>
      <c r="D114" s="11" t="n">
        <v>5000</v>
      </c>
      <c r="E114" s="11" t="n">
        <v>5000</v>
      </c>
      <c r="F114" s="11"/>
      <c r="G114" s="11" t="n">
        <f aca="false">SUM(C114:F114)</f>
        <v>15000</v>
      </c>
      <c r="H114" s="8" t="s">
        <v>911</v>
      </c>
    </row>
    <row r="115" customFormat="false" ht="15" hidden="false" customHeight="true" outlineLevel="0" collapsed="false">
      <c r="A115" s="8" t="s">
        <v>503</v>
      </c>
      <c r="B115" s="8" t="s">
        <v>504</v>
      </c>
      <c r="C115" s="11" t="n">
        <v>5000</v>
      </c>
      <c r="D115" s="11" t="n">
        <v>5000</v>
      </c>
      <c r="E115" s="11" t="n">
        <v>5000</v>
      </c>
      <c r="F115" s="11"/>
      <c r="G115" s="11" t="n">
        <f aca="false">SUM(C115:F115)</f>
        <v>15000</v>
      </c>
      <c r="H115" s="8" t="s">
        <v>894</v>
      </c>
    </row>
    <row r="116" customFormat="false" ht="15" hidden="false" customHeight="true" outlineLevel="0" collapsed="false">
      <c r="A116" s="8" t="s">
        <v>967</v>
      </c>
      <c r="B116" s="8" t="s">
        <v>512</v>
      </c>
      <c r="C116" s="11" t="n">
        <v>5000</v>
      </c>
      <c r="D116" s="11" t="n">
        <v>5000</v>
      </c>
      <c r="E116" s="11" t="n">
        <v>5000</v>
      </c>
      <c r="F116" s="11"/>
      <c r="G116" s="11" t="n">
        <f aca="false">SUM(C116:F116)</f>
        <v>15000</v>
      </c>
      <c r="H116" s="8" t="s">
        <v>894</v>
      </c>
    </row>
    <row r="117" customFormat="false" ht="15" hidden="false" customHeight="true" outlineLevel="0" collapsed="false">
      <c r="A117" s="8" t="s">
        <v>515</v>
      </c>
      <c r="B117" s="8" t="s">
        <v>516</v>
      </c>
      <c r="C117" s="11" t="n">
        <v>5000</v>
      </c>
      <c r="D117" s="11" t="n">
        <v>5000</v>
      </c>
      <c r="E117" s="11" t="n">
        <v>5000</v>
      </c>
      <c r="F117" s="11"/>
      <c r="G117" s="11" t="n">
        <f aca="false">SUM(C117:F117)</f>
        <v>15000</v>
      </c>
      <c r="H117" s="8" t="s">
        <v>894</v>
      </c>
    </row>
    <row r="118" customFormat="false" ht="15" hidden="false" customHeight="true" outlineLevel="0" collapsed="false">
      <c r="A118" s="8" t="s">
        <v>523</v>
      </c>
      <c r="B118" s="8" t="s">
        <v>524</v>
      </c>
      <c r="C118" s="11" t="n">
        <v>5000</v>
      </c>
      <c r="D118" s="11" t="n">
        <v>5000</v>
      </c>
      <c r="E118" s="11" t="n">
        <v>5000</v>
      </c>
      <c r="F118" s="11"/>
      <c r="G118" s="11" t="n">
        <f aca="false">SUM(C118:F118)</f>
        <v>15000</v>
      </c>
      <c r="H118" s="8" t="s">
        <v>894</v>
      </c>
    </row>
    <row r="119" customFormat="false" ht="15" hidden="false" customHeight="true" outlineLevel="0" collapsed="false">
      <c r="A119" s="8" t="s">
        <v>528</v>
      </c>
      <c r="B119" s="8" t="s">
        <v>529</v>
      </c>
      <c r="C119" s="11" t="n">
        <v>5000</v>
      </c>
      <c r="D119" s="11" t="n">
        <v>5000</v>
      </c>
      <c r="E119" s="11" t="n">
        <v>5000</v>
      </c>
      <c r="F119" s="11"/>
      <c r="G119" s="11" t="n">
        <f aca="false">SUM(C119:F119)</f>
        <v>15000</v>
      </c>
      <c r="H119" s="8" t="s">
        <v>894</v>
      </c>
    </row>
    <row r="120" customFormat="false" ht="15" hidden="false" customHeight="true" outlineLevel="0" collapsed="false">
      <c r="A120" s="8" t="s">
        <v>531</v>
      </c>
      <c r="B120" s="8" t="s">
        <v>532</v>
      </c>
      <c r="C120" s="11" t="n">
        <v>5000</v>
      </c>
      <c r="D120" s="11" t="n">
        <v>5000</v>
      </c>
      <c r="E120" s="11" t="n">
        <v>5000</v>
      </c>
      <c r="F120" s="11"/>
      <c r="G120" s="11" t="n">
        <f aca="false">SUM(C120:F120)</f>
        <v>15000</v>
      </c>
      <c r="H120" s="8" t="s">
        <v>894</v>
      </c>
    </row>
    <row r="121" customFormat="false" ht="15" hidden="false" customHeight="true" outlineLevel="0" collapsed="false">
      <c r="A121" s="8" t="s">
        <v>968</v>
      </c>
      <c r="B121" s="8" t="s">
        <v>541</v>
      </c>
      <c r="C121" s="11" t="n">
        <v>5000</v>
      </c>
      <c r="D121" s="11" t="n">
        <v>5000</v>
      </c>
      <c r="E121" s="11" t="n">
        <v>5000</v>
      </c>
      <c r="F121" s="11"/>
      <c r="G121" s="11" t="n">
        <f aca="false">SUM(C121:F121)</f>
        <v>15000</v>
      </c>
      <c r="H121" s="8" t="s">
        <v>928</v>
      </c>
    </row>
    <row r="122" customFormat="false" ht="15" hidden="false" customHeight="true" outlineLevel="0" collapsed="false">
      <c r="A122" s="8" t="s">
        <v>969</v>
      </c>
      <c r="B122" s="8" t="s">
        <v>413</v>
      </c>
      <c r="C122" s="11" t="n">
        <v>15000</v>
      </c>
      <c r="D122" s="11"/>
      <c r="E122" s="11"/>
      <c r="F122" s="11"/>
      <c r="G122" s="11" t="n">
        <f aca="false">SUM(C122:F122)</f>
        <v>15000</v>
      </c>
      <c r="H122" s="8" t="s">
        <v>928</v>
      </c>
    </row>
    <row r="123" customFormat="false" ht="15" hidden="false" customHeight="true" outlineLevel="0" collapsed="false">
      <c r="A123" s="8" t="s">
        <v>549</v>
      </c>
      <c r="B123" s="8" t="s">
        <v>550</v>
      </c>
      <c r="C123" s="11" t="n">
        <v>5000</v>
      </c>
      <c r="D123" s="11" t="n">
        <v>5000</v>
      </c>
      <c r="E123" s="11" t="n">
        <v>5000</v>
      </c>
      <c r="F123" s="11"/>
      <c r="G123" s="11" t="n">
        <f aca="false">SUM(C123:F123)</f>
        <v>15000</v>
      </c>
      <c r="H123" s="8" t="s">
        <v>928</v>
      </c>
    </row>
    <row r="124" customFormat="false" ht="15" hidden="false" customHeight="true" outlineLevel="0" collapsed="false">
      <c r="A124" s="8" t="s">
        <v>552</v>
      </c>
      <c r="B124" s="8" t="s">
        <v>553</v>
      </c>
      <c r="C124" s="11" t="n">
        <v>5000</v>
      </c>
      <c r="D124" s="11" t="n">
        <v>5000</v>
      </c>
      <c r="E124" s="11" t="n">
        <v>5000</v>
      </c>
      <c r="F124" s="11"/>
      <c r="G124" s="11" t="n">
        <f aca="false">SUM(C124:F124)</f>
        <v>15000</v>
      </c>
      <c r="H124" s="8" t="s">
        <v>928</v>
      </c>
    </row>
    <row r="125" customFormat="false" ht="15" hidden="false" customHeight="true" outlineLevel="0" collapsed="false">
      <c r="A125" s="8" t="s">
        <v>560</v>
      </c>
      <c r="B125" s="8" t="s">
        <v>561</v>
      </c>
      <c r="C125" s="11" t="n">
        <v>5000</v>
      </c>
      <c r="D125" s="11" t="n">
        <v>5000</v>
      </c>
      <c r="E125" s="11" t="n">
        <v>5000</v>
      </c>
      <c r="F125" s="11"/>
      <c r="G125" s="11" t="n">
        <f aca="false">SUM(C125:F125)</f>
        <v>15000</v>
      </c>
      <c r="H125" s="8" t="s">
        <v>928</v>
      </c>
    </row>
    <row r="126" customFormat="false" ht="15" hidden="false" customHeight="true" outlineLevel="0" collapsed="false">
      <c r="A126" s="8" t="s">
        <v>563</v>
      </c>
      <c r="B126" s="8" t="s">
        <v>564</v>
      </c>
      <c r="C126" s="11" t="n">
        <v>5000</v>
      </c>
      <c r="D126" s="11" t="n">
        <v>5000</v>
      </c>
      <c r="E126" s="11" t="n">
        <v>5000</v>
      </c>
      <c r="F126" s="11"/>
      <c r="G126" s="11" t="n">
        <f aca="false">SUM(C126:F126)</f>
        <v>15000</v>
      </c>
      <c r="H126" s="8" t="s">
        <v>928</v>
      </c>
    </row>
    <row r="127" customFormat="false" ht="15" hidden="false" customHeight="true" outlineLevel="0" collapsed="false">
      <c r="A127" s="8" t="s">
        <v>970</v>
      </c>
      <c r="B127" s="8" t="s">
        <v>567</v>
      </c>
      <c r="C127" s="11" t="n">
        <v>5000</v>
      </c>
      <c r="D127" s="11" t="n">
        <v>5000</v>
      </c>
      <c r="E127" s="11" t="n">
        <v>5000</v>
      </c>
      <c r="F127" s="11"/>
      <c r="G127" s="11" t="n">
        <f aca="false">SUM(C127:F127)</f>
        <v>15000</v>
      </c>
      <c r="H127" s="8" t="s">
        <v>928</v>
      </c>
    </row>
    <row r="128" customFormat="false" ht="15" hidden="false" customHeight="true" outlineLevel="0" collapsed="false">
      <c r="A128" s="8" t="s">
        <v>971</v>
      </c>
      <c r="B128" s="8" t="s">
        <v>972</v>
      </c>
      <c r="C128" s="11"/>
      <c r="D128" s="11" t="n">
        <v>15000</v>
      </c>
      <c r="E128" s="11"/>
      <c r="F128" s="11"/>
      <c r="G128" s="11" t="n">
        <f aca="false">SUM(C128:F128)</f>
        <v>15000</v>
      </c>
      <c r="H128" s="8" t="s">
        <v>894</v>
      </c>
    </row>
    <row r="129" customFormat="false" ht="15" hidden="false" customHeight="true" outlineLevel="0" collapsed="false">
      <c r="A129" s="8" t="s">
        <v>973</v>
      </c>
      <c r="B129" s="8" t="s">
        <v>198</v>
      </c>
      <c r="C129" s="11"/>
      <c r="D129" s="11" t="n">
        <v>5000</v>
      </c>
      <c r="E129" s="11" t="n">
        <v>10000</v>
      </c>
      <c r="F129" s="11"/>
      <c r="G129" s="11" t="n">
        <f aca="false">SUM(C129:F129)</f>
        <v>15000</v>
      </c>
      <c r="H129" s="8" t="s">
        <v>894</v>
      </c>
    </row>
    <row r="130" customFormat="false" ht="15" hidden="false" customHeight="true" outlineLevel="0" collapsed="false">
      <c r="A130" s="8" t="s">
        <v>974</v>
      </c>
      <c r="B130" s="8" t="s">
        <v>198</v>
      </c>
      <c r="C130" s="11" t="n">
        <v>14000</v>
      </c>
      <c r="D130" s="11"/>
      <c r="E130" s="11"/>
      <c r="F130" s="11"/>
      <c r="G130" s="11" t="n">
        <f aca="false">SUM(C130:F130)</f>
        <v>14000</v>
      </c>
      <c r="H130" s="8" t="s">
        <v>894</v>
      </c>
    </row>
    <row r="131" customFormat="false" ht="15" hidden="false" customHeight="true" outlineLevel="0" collapsed="false">
      <c r="A131" s="8" t="s">
        <v>435</v>
      </c>
      <c r="B131" s="8" t="s">
        <v>436</v>
      </c>
      <c r="C131" s="11" t="n">
        <v>10000</v>
      </c>
      <c r="D131" s="11"/>
      <c r="E131" s="11"/>
      <c r="F131" s="11"/>
      <c r="G131" s="11" t="n">
        <f aca="false">SUM(C131:F131)</f>
        <v>10000</v>
      </c>
      <c r="H131" s="8" t="s">
        <v>937</v>
      </c>
    </row>
    <row r="132" customFormat="false" ht="15" hidden="false" customHeight="true" outlineLevel="0" collapsed="false">
      <c r="A132" s="8" t="s">
        <v>485</v>
      </c>
      <c r="B132" s="8" t="s">
        <v>486</v>
      </c>
      <c r="C132" s="11" t="n">
        <v>10000</v>
      </c>
      <c r="D132" s="11"/>
      <c r="E132" s="11"/>
      <c r="F132" s="11"/>
      <c r="G132" s="11" t="n">
        <f aca="false">SUM(C132:F132)</f>
        <v>10000</v>
      </c>
      <c r="H132" s="8" t="s">
        <v>928</v>
      </c>
    </row>
    <row r="133" customFormat="false" ht="15" hidden="false" customHeight="true" outlineLevel="0" collapsed="false">
      <c r="A133" s="8" t="s">
        <v>975</v>
      </c>
      <c r="B133" s="8" t="s">
        <v>976</v>
      </c>
      <c r="C133" s="11"/>
      <c r="D133" s="11" t="n">
        <v>5000</v>
      </c>
      <c r="E133" s="11" t="n">
        <v>5000</v>
      </c>
      <c r="F133" s="11"/>
      <c r="G133" s="11" t="n">
        <f aca="false">SUM(C133:F133)</f>
        <v>10000</v>
      </c>
      <c r="H133" s="8" t="s">
        <v>894</v>
      </c>
    </row>
    <row r="134" customFormat="false" ht="15" hidden="false" customHeight="true" outlineLevel="0" collapsed="false">
      <c r="A134" s="8" t="s">
        <v>977</v>
      </c>
      <c r="B134" s="8" t="s">
        <v>978</v>
      </c>
      <c r="C134" s="11"/>
      <c r="D134" s="11" t="n">
        <v>5000</v>
      </c>
      <c r="E134" s="11" t="n">
        <v>5000</v>
      </c>
      <c r="F134" s="11"/>
      <c r="G134" s="11" t="n">
        <f aca="false">SUM(C134:F134)</f>
        <v>10000</v>
      </c>
      <c r="H134" s="8" t="s">
        <v>894</v>
      </c>
    </row>
    <row r="135" customFormat="false" ht="15" hidden="false" customHeight="true" outlineLevel="0" collapsed="false">
      <c r="A135" s="8" t="s">
        <v>979</v>
      </c>
      <c r="B135" s="8" t="s">
        <v>980</v>
      </c>
      <c r="C135" s="11"/>
      <c r="D135" s="11" t="n">
        <v>5000</v>
      </c>
      <c r="E135" s="11" t="n">
        <v>5000</v>
      </c>
      <c r="F135" s="11"/>
      <c r="G135" s="11" t="n">
        <f aca="false">SUM(C135:F135)</f>
        <v>10000</v>
      </c>
      <c r="H135" s="8" t="s">
        <v>894</v>
      </c>
    </row>
    <row r="136" customFormat="false" ht="15" hidden="false" customHeight="true" outlineLevel="0" collapsed="false">
      <c r="A136" s="8" t="s">
        <v>981</v>
      </c>
      <c r="B136" s="8" t="s">
        <v>982</v>
      </c>
      <c r="C136" s="11"/>
      <c r="D136" s="11"/>
      <c r="E136" s="11" t="n">
        <v>10000</v>
      </c>
      <c r="F136" s="11"/>
      <c r="G136" s="11" t="n">
        <f aca="false">SUM(C136:F136)</f>
        <v>10000</v>
      </c>
      <c r="H136" s="8" t="s">
        <v>919</v>
      </c>
    </row>
    <row r="137" customFormat="false" ht="15" hidden="false" customHeight="true" outlineLevel="0" collapsed="false">
      <c r="A137" s="8" t="s">
        <v>983</v>
      </c>
      <c r="B137" s="8" t="s">
        <v>984</v>
      </c>
      <c r="C137" s="11"/>
      <c r="D137" s="11" t="n">
        <v>10000</v>
      </c>
      <c r="E137" s="11"/>
      <c r="F137" s="11"/>
      <c r="G137" s="11" t="n">
        <f aca="false">SUM(C137:F137)</f>
        <v>10000</v>
      </c>
      <c r="H137" s="8" t="s">
        <v>928</v>
      </c>
    </row>
    <row r="138" customFormat="false" ht="15" hidden="false" customHeight="true" outlineLevel="0" collapsed="false">
      <c r="A138" s="8" t="s">
        <v>985</v>
      </c>
      <c r="B138" s="8" t="s">
        <v>986</v>
      </c>
      <c r="C138" s="11"/>
      <c r="D138" s="11" t="n">
        <v>5000</v>
      </c>
      <c r="E138" s="11" t="n">
        <v>5000</v>
      </c>
      <c r="F138" s="11"/>
      <c r="G138" s="11" t="n">
        <f aca="false">SUM(C138:F138)</f>
        <v>10000</v>
      </c>
      <c r="H138" s="8" t="s">
        <v>928</v>
      </c>
    </row>
    <row r="139" customFormat="false" ht="15" hidden="false" customHeight="true" outlineLevel="0" collapsed="false">
      <c r="A139" s="8" t="s">
        <v>987</v>
      </c>
      <c r="B139" s="8" t="s">
        <v>988</v>
      </c>
      <c r="C139" s="11"/>
      <c r="D139" s="11" t="n">
        <v>5000</v>
      </c>
      <c r="E139" s="11" t="n">
        <v>5000</v>
      </c>
      <c r="F139" s="11"/>
      <c r="G139" s="11" t="n">
        <f aca="false">SUM(C139:F139)</f>
        <v>10000</v>
      </c>
      <c r="H139" s="8" t="s">
        <v>928</v>
      </c>
    </row>
    <row r="140" customFormat="false" ht="15" hidden="false" customHeight="true" outlineLevel="0" collapsed="false">
      <c r="A140" s="8" t="s">
        <v>989</v>
      </c>
      <c r="B140" s="8" t="s">
        <v>990</v>
      </c>
      <c r="C140" s="11"/>
      <c r="D140" s="11" t="n">
        <v>10000</v>
      </c>
      <c r="E140" s="11"/>
      <c r="F140" s="11"/>
      <c r="G140" s="11" t="n">
        <f aca="false">SUM(C140:F140)</f>
        <v>10000</v>
      </c>
      <c r="H140" s="8" t="s">
        <v>928</v>
      </c>
    </row>
    <row r="141" customFormat="false" ht="15" hidden="false" customHeight="true" outlineLevel="0" collapsed="false">
      <c r="A141" s="8" t="s">
        <v>991</v>
      </c>
      <c r="B141" s="8" t="s">
        <v>992</v>
      </c>
      <c r="C141" s="11"/>
      <c r="D141" s="11"/>
      <c r="E141" s="11" t="n">
        <v>10000</v>
      </c>
      <c r="F141" s="11"/>
      <c r="G141" s="11" t="n">
        <f aca="false">SUM(C141:F141)</f>
        <v>10000</v>
      </c>
      <c r="H141" s="8" t="s">
        <v>881</v>
      </c>
    </row>
    <row r="142" customFormat="false" ht="15" hidden="false" customHeight="true" outlineLevel="0" collapsed="false">
      <c r="A142" s="8" t="s">
        <v>993</v>
      </c>
      <c r="B142" s="8" t="s">
        <v>994</v>
      </c>
      <c r="C142" s="11"/>
      <c r="D142" s="11"/>
      <c r="E142" s="11" t="n">
        <v>10000</v>
      </c>
      <c r="F142" s="11"/>
      <c r="G142" s="11" t="n">
        <f aca="false">SUM(C142:F142)</f>
        <v>10000</v>
      </c>
      <c r="H142" s="8" t="s">
        <v>937</v>
      </c>
    </row>
    <row r="143" customFormat="false" ht="15" hidden="false" customHeight="true" outlineLevel="0" collapsed="false">
      <c r="A143" s="8" t="s">
        <v>995</v>
      </c>
      <c r="B143" s="8" t="s">
        <v>996</v>
      </c>
      <c r="C143" s="11"/>
      <c r="D143" s="11"/>
      <c r="E143" s="11" t="n">
        <v>10000</v>
      </c>
      <c r="F143" s="11"/>
      <c r="G143" s="11" t="n">
        <f aca="false">SUM(C143:F143)</f>
        <v>10000</v>
      </c>
      <c r="H143" s="8" t="s">
        <v>928</v>
      </c>
    </row>
    <row r="144" customFormat="false" ht="15" hidden="false" customHeight="true" outlineLevel="0" collapsed="false">
      <c r="A144" s="8" t="s">
        <v>997</v>
      </c>
      <c r="B144" s="8" t="s">
        <v>998</v>
      </c>
      <c r="C144" s="11"/>
      <c r="D144" s="11"/>
      <c r="E144" s="11" t="n">
        <v>7500</v>
      </c>
      <c r="F144" s="11"/>
      <c r="G144" s="11" t="n">
        <f aca="false">SUM(C144:F144)</f>
        <v>7500</v>
      </c>
      <c r="H144" s="8" t="s">
        <v>894</v>
      </c>
    </row>
    <row r="145" customFormat="false" ht="15" hidden="false" customHeight="true" outlineLevel="0" collapsed="false">
      <c r="A145" s="8" t="s">
        <v>999</v>
      </c>
      <c r="B145" s="8" t="s">
        <v>1000</v>
      </c>
      <c r="C145" s="11"/>
      <c r="D145" s="11"/>
      <c r="E145" s="11" t="n">
        <v>7000</v>
      </c>
      <c r="F145" s="11"/>
      <c r="G145" s="11" t="n">
        <f aca="false">SUM(C145:F145)</f>
        <v>7000</v>
      </c>
      <c r="H145" s="8" t="s">
        <v>894</v>
      </c>
    </row>
    <row r="146" customFormat="false" ht="15" hidden="false" customHeight="true" outlineLevel="0" collapsed="false">
      <c r="A146" s="8" t="s">
        <v>489</v>
      </c>
      <c r="B146" s="8" t="s">
        <v>490</v>
      </c>
      <c r="C146" s="11" t="n">
        <v>5000</v>
      </c>
      <c r="D146" s="11"/>
      <c r="E146" s="11"/>
      <c r="F146" s="11"/>
      <c r="G146" s="11" t="n">
        <f aca="false">SUM(C146:F146)</f>
        <v>5000</v>
      </c>
      <c r="H146" s="8" t="s">
        <v>945</v>
      </c>
    </row>
    <row r="147" customFormat="false" ht="15" hidden="false" customHeight="true" outlineLevel="0" collapsed="false">
      <c r="A147" s="8" t="s">
        <v>1001</v>
      </c>
      <c r="B147" s="8" t="s">
        <v>198</v>
      </c>
      <c r="C147" s="11" t="n">
        <v>5000</v>
      </c>
      <c r="D147" s="11"/>
      <c r="E147" s="11"/>
      <c r="F147" s="11"/>
      <c r="G147" s="11" t="n">
        <f aca="false">SUM(C147:F147)</f>
        <v>5000</v>
      </c>
      <c r="H147" s="8" t="s">
        <v>894</v>
      </c>
    </row>
    <row r="148" customFormat="false" ht="15" hidden="false" customHeight="true" outlineLevel="0" collapsed="false">
      <c r="A148" s="8" t="s">
        <v>518</v>
      </c>
      <c r="B148" s="8" t="s">
        <v>519</v>
      </c>
      <c r="C148" s="11" t="n">
        <v>5000</v>
      </c>
      <c r="D148" s="11"/>
      <c r="E148" s="11"/>
      <c r="F148" s="11"/>
      <c r="G148" s="11" t="n">
        <f aca="false">SUM(C148:F148)</f>
        <v>5000</v>
      </c>
      <c r="H148" s="8" t="s">
        <v>894</v>
      </c>
    </row>
    <row r="149" customFormat="false" ht="15" hidden="false" customHeight="true" outlineLevel="0" collapsed="false">
      <c r="A149" s="8" t="s">
        <v>535</v>
      </c>
      <c r="B149" s="8" t="s">
        <v>536</v>
      </c>
      <c r="C149" s="11" t="n">
        <v>5000</v>
      </c>
      <c r="D149" s="11"/>
      <c r="E149" s="11"/>
      <c r="F149" s="11"/>
      <c r="G149" s="11" t="n">
        <f aca="false">SUM(C149:F149)</f>
        <v>5000</v>
      </c>
      <c r="H149" s="8" t="s">
        <v>894</v>
      </c>
    </row>
    <row r="150" customFormat="false" ht="15" hidden="false" customHeight="true" outlineLevel="0" collapsed="false">
      <c r="A150" s="8" t="s">
        <v>545</v>
      </c>
      <c r="B150" s="8" t="s">
        <v>546</v>
      </c>
      <c r="C150" s="11" t="n">
        <v>5000</v>
      </c>
      <c r="D150" s="11"/>
      <c r="E150" s="11"/>
      <c r="F150" s="11"/>
      <c r="G150" s="11" t="n">
        <f aca="false">SUM(C150:F150)</f>
        <v>5000</v>
      </c>
      <c r="H150" s="8" t="s">
        <v>928</v>
      </c>
    </row>
    <row r="151" customFormat="false" ht="15" hidden="false" customHeight="true" outlineLevel="0" collapsed="false">
      <c r="A151" s="8" t="s">
        <v>1002</v>
      </c>
      <c r="B151" s="8" t="s">
        <v>557</v>
      </c>
      <c r="C151" s="11" t="n">
        <v>5000</v>
      </c>
      <c r="D151" s="11"/>
      <c r="E151" s="11"/>
      <c r="F151" s="11"/>
      <c r="G151" s="11" t="n">
        <f aca="false">SUM(C151:F151)</f>
        <v>5000</v>
      </c>
      <c r="H151" s="8" t="s">
        <v>928</v>
      </c>
    </row>
    <row r="152" customFormat="false" ht="15" hidden="false" customHeight="true" outlineLevel="0" collapsed="false">
      <c r="A152" s="8" t="s">
        <v>1003</v>
      </c>
      <c r="B152" s="8" t="s">
        <v>1004</v>
      </c>
      <c r="C152" s="11"/>
      <c r="D152" s="11"/>
      <c r="E152" s="11" t="n">
        <v>5000</v>
      </c>
      <c r="F152" s="11"/>
      <c r="G152" s="11" t="n">
        <f aca="false">SUM(C152:F152)</f>
        <v>5000</v>
      </c>
      <c r="H152" s="8" t="s">
        <v>894</v>
      </c>
    </row>
    <row r="153" customFormat="false" ht="15" hidden="false" customHeight="true" outlineLevel="0" collapsed="false">
      <c r="A153" s="8" t="s">
        <v>1005</v>
      </c>
      <c r="B153" s="8" t="s">
        <v>1006</v>
      </c>
      <c r="C153" s="11"/>
      <c r="D153" s="11"/>
      <c r="E153" s="11" t="n">
        <v>5000</v>
      </c>
      <c r="F153" s="11"/>
      <c r="G153" s="11" t="n">
        <f aca="false">SUM(C153:F153)</f>
        <v>5000</v>
      </c>
      <c r="H153" s="8" t="s">
        <v>894</v>
      </c>
    </row>
    <row r="154" customFormat="false" ht="15" hidden="false" customHeight="true" outlineLevel="0" collapsed="false">
      <c r="A154" s="8" t="s">
        <v>1007</v>
      </c>
      <c r="B154" s="8" t="s">
        <v>1008</v>
      </c>
      <c r="C154" s="11"/>
      <c r="D154" s="11" t="n">
        <v>5000</v>
      </c>
      <c r="E154" s="11"/>
      <c r="F154" s="11"/>
      <c r="G154" s="11" t="n">
        <f aca="false">SUM(C154:F154)</f>
        <v>5000</v>
      </c>
      <c r="H154" s="8" t="s">
        <v>894</v>
      </c>
    </row>
    <row r="155" customFormat="false" ht="15" hidden="false" customHeight="true" outlineLevel="0" collapsed="false">
      <c r="A155" s="8" t="s">
        <v>1009</v>
      </c>
      <c r="B155" s="8" t="s">
        <v>1010</v>
      </c>
      <c r="C155" s="11"/>
      <c r="D155" s="11"/>
      <c r="E155" s="11" t="n">
        <v>5000</v>
      </c>
      <c r="F155" s="11"/>
      <c r="G155" s="11" t="n">
        <f aca="false">SUM(C155:F155)</f>
        <v>5000</v>
      </c>
      <c r="H155" s="8" t="s">
        <v>928</v>
      </c>
    </row>
    <row r="156" customFormat="false" ht="15" hidden="false" customHeight="true" outlineLevel="0" collapsed="false">
      <c r="A156" s="8" t="s">
        <v>1011</v>
      </c>
      <c r="B156" s="8" t="s">
        <v>1012</v>
      </c>
      <c r="C156" s="11"/>
      <c r="D156" s="11"/>
      <c r="E156" s="11" t="n">
        <v>5000</v>
      </c>
      <c r="F156" s="11"/>
      <c r="G156" s="11" t="n">
        <f aca="false">SUM(C156:F156)</f>
        <v>5000</v>
      </c>
      <c r="H156" s="8" t="s">
        <v>894</v>
      </c>
    </row>
    <row r="157" customFormat="false" ht="15" hidden="false" customHeight="true" outlineLevel="0" collapsed="false">
      <c r="A157" s="8" t="s">
        <v>1013</v>
      </c>
      <c r="B157" s="8" t="s">
        <v>1014</v>
      </c>
      <c r="C157" s="11"/>
      <c r="D157" s="11"/>
      <c r="E157" s="11" t="n">
        <v>5000</v>
      </c>
      <c r="F157" s="11"/>
      <c r="G157" s="11" t="n">
        <f aca="false">SUM(C157:F157)</f>
        <v>5000</v>
      </c>
      <c r="H157" s="8" t="s">
        <v>894</v>
      </c>
    </row>
    <row r="158" customFormat="false" ht="15" hidden="false" customHeight="true" outlineLevel="0" collapsed="false">
      <c r="A158" s="8" t="s">
        <v>1015</v>
      </c>
      <c r="B158" s="8" t="s">
        <v>1016</v>
      </c>
      <c r="C158" s="11"/>
      <c r="D158" s="11"/>
      <c r="E158" s="11" t="n">
        <v>5000</v>
      </c>
      <c r="F158" s="11"/>
      <c r="G158" s="11" t="n">
        <f aca="false">SUM(C158:F158)</f>
        <v>5000</v>
      </c>
      <c r="H158" s="8" t="s">
        <v>928</v>
      </c>
    </row>
    <row r="159" customFormat="false" ht="15" hidden="false" customHeight="true" outlineLevel="0" collapsed="false">
      <c r="A159" s="8" t="s">
        <v>1017</v>
      </c>
      <c r="B159" s="8" t="s">
        <v>1018</v>
      </c>
      <c r="C159" s="11"/>
      <c r="D159" s="11"/>
      <c r="E159" s="11"/>
      <c r="F159" s="11"/>
      <c r="G159" s="11" t="n">
        <f aca="false">SUM(C159:F159)</f>
        <v>0</v>
      </c>
      <c r="H159" s="8" t="s">
        <v>911</v>
      </c>
    </row>
    <row r="160" customFormat="false" ht="15" hidden="false" customHeight="true" outlineLevel="0" collapsed="false">
      <c r="A160" s="8" t="s">
        <v>1019</v>
      </c>
      <c r="B160" s="8" t="s">
        <v>1020</v>
      </c>
      <c r="C160" s="11"/>
      <c r="D160" s="11"/>
      <c r="E160" s="11"/>
      <c r="F160" s="11"/>
      <c r="G160" s="11" t="n">
        <f aca="false">SUM(C160:F160)</f>
        <v>0</v>
      </c>
      <c r="H160" s="8" t="s">
        <v>894</v>
      </c>
    </row>
    <row r="161" customFormat="false" ht="15" hidden="false" customHeight="true" outlineLevel="0" collapsed="false">
      <c r="A161" s="8" t="s">
        <v>1021</v>
      </c>
      <c r="B161" s="8" t="s">
        <v>198</v>
      </c>
      <c r="C161" s="11"/>
      <c r="D161" s="11"/>
      <c r="E161" s="11"/>
      <c r="F161" s="11"/>
      <c r="G161" s="11" t="n">
        <f aca="false">SUM(C161:F161)</f>
        <v>0</v>
      </c>
      <c r="H161" s="8" t="s">
        <v>894</v>
      </c>
    </row>
    <row r="162" customFormat="false" ht="15" hidden="false" customHeight="true" outlineLevel="0" collapsed="false">
      <c r="A162" s="8" t="s">
        <v>1022</v>
      </c>
      <c r="B162" s="8" t="s">
        <v>198</v>
      </c>
      <c r="C162" s="11"/>
      <c r="D162" s="11"/>
      <c r="E162" s="11"/>
      <c r="F162" s="11"/>
      <c r="G162" s="11" t="n">
        <f aca="false">SUM(C162:F162)</f>
        <v>0</v>
      </c>
      <c r="H162" s="8" t="s">
        <v>894</v>
      </c>
    </row>
    <row r="163" customFormat="false" ht="15" hidden="false" customHeight="true" outlineLevel="0" collapsed="false">
      <c r="A163" s="8" t="s">
        <v>1023</v>
      </c>
      <c r="B163" s="8" t="s">
        <v>198</v>
      </c>
      <c r="C163" s="11"/>
      <c r="D163" s="11"/>
      <c r="E163" s="11"/>
      <c r="F163" s="11"/>
      <c r="G163" s="11" t="n">
        <f aca="false">SUM(C163:F163)</f>
        <v>0</v>
      </c>
      <c r="H163" s="8" t="s">
        <v>894</v>
      </c>
    </row>
    <row r="164" customFormat="false" ht="15" hidden="false" customHeight="true" outlineLevel="0" collapsed="false">
      <c r="A164" s="8" t="s">
        <v>1024</v>
      </c>
      <c r="B164" s="8" t="s">
        <v>1025</v>
      </c>
      <c r="C164" s="11"/>
      <c r="D164" s="11"/>
      <c r="E164" s="11"/>
      <c r="F164" s="11"/>
      <c r="G164" s="11" t="n">
        <f aca="false">SUM(C164:F164)</f>
        <v>0</v>
      </c>
      <c r="H164" s="8" t="s">
        <v>894</v>
      </c>
    </row>
    <row r="165" customFormat="false" ht="15" hidden="false" customHeight="true" outlineLevel="0" collapsed="false">
      <c r="A165" s="8" t="s">
        <v>1026</v>
      </c>
      <c r="B165" s="8" t="s">
        <v>1027</v>
      </c>
      <c r="C165" s="11"/>
      <c r="D165" s="11"/>
      <c r="E165" s="11"/>
      <c r="F165" s="11"/>
      <c r="G165" s="11" t="n">
        <f aca="false">SUM(C165:F165)</f>
        <v>0</v>
      </c>
      <c r="H165" s="8" t="s">
        <v>882</v>
      </c>
    </row>
    <row r="166" customFormat="false" ht="15" hidden="false" customHeight="true" outlineLevel="0" collapsed="false">
      <c r="A166" s="8" t="s">
        <v>745</v>
      </c>
      <c r="B166" s="8" t="s">
        <v>1028</v>
      </c>
      <c r="C166" s="11"/>
      <c r="D166" s="11"/>
      <c r="E166" s="11"/>
      <c r="F166" s="11"/>
      <c r="G166" s="11" t="n">
        <f aca="false">SUM(C166:F166)</f>
        <v>0</v>
      </c>
      <c r="H166" s="8" t="s">
        <v>894</v>
      </c>
    </row>
    <row r="167" customFormat="false" ht="15" hidden="false" customHeight="true" outlineLevel="0" collapsed="false">
      <c r="A167" s="8" t="s">
        <v>183</v>
      </c>
      <c r="B167" s="8" t="s">
        <v>1029</v>
      </c>
      <c r="C167" s="11"/>
      <c r="D167" s="11"/>
      <c r="E167" s="11"/>
      <c r="F167" s="11"/>
      <c r="G167" s="11" t="n">
        <f aca="false">SUM(C167:F167)</f>
        <v>0</v>
      </c>
      <c r="H167" s="8" t="s">
        <v>894</v>
      </c>
    </row>
    <row r="168" customFormat="false" ht="15" hidden="false" customHeight="true" outlineLevel="0" collapsed="false">
      <c r="A168" s="8" t="s">
        <v>1030</v>
      </c>
      <c r="B168" s="8" t="s">
        <v>1031</v>
      </c>
      <c r="C168" s="11"/>
      <c r="D168" s="11"/>
      <c r="E168" s="11"/>
      <c r="F168" s="11"/>
      <c r="G168" s="11" t="n">
        <f aca="false">SUM(C168:F168)</f>
        <v>0</v>
      </c>
      <c r="H168" s="8" t="s">
        <v>894</v>
      </c>
    </row>
    <row r="169" customFormat="false" ht="15" hidden="false" customHeight="true" outlineLevel="0" collapsed="false">
      <c r="A169" s="8" t="s">
        <v>1032</v>
      </c>
      <c r="B169" s="8" t="s">
        <v>1033</v>
      </c>
      <c r="C169" s="11"/>
      <c r="D169" s="11"/>
      <c r="E169" s="11"/>
      <c r="F169" s="11"/>
      <c r="G169" s="11" t="n">
        <f aca="false">SUM(C169:F169)</f>
        <v>0</v>
      </c>
      <c r="H169" s="8" t="s">
        <v>894</v>
      </c>
    </row>
    <row r="170" customFormat="false" ht="15" hidden="false" customHeight="true" outlineLevel="0" collapsed="false">
      <c r="A170" s="8" t="s">
        <v>1034</v>
      </c>
      <c r="B170" s="8" t="s">
        <v>1035</v>
      </c>
      <c r="C170" s="11"/>
      <c r="D170" s="11"/>
      <c r="E170" s="11"/>
      <c r="F170" s="11"/>
      <c r="G170" s="11" t="n">
        <f aca="false">SUM(C170:F170)</f>
        <v>0</v>
      </c>
      <c r="H170" s="8" t="s">
        <v>894</v>
      </c>
    </row>
    <row r="171" customFormat="false" ht="15" hidden="false" customHeight="true" outlineLevel="0" collapsed="false">
      <c r="A171" s="8" t="s">
        <v>1036</v>
      </c>
      <c r="B171" s="8" t="s">
        <v>1037</v>
      </c>
      <c r="C171" s="11"/>
      <c r="D171" s="11"/>
      <c r="E171" s="11"/>
      <c r="F171" s="11"/>
      <c r="G171" s="11" t="n">
        <f aca="false">SUM(C171:F171)</f>
        <v>0</v>
      </c>
      <c r="H171" s="8" t="s">
        <v>894</v>
      </c>
    </row>
    <row r="172" customFormat="false" ht="15" hidden="false" customHeight="true" outlineLevel="0" collapsed="false">
      <c r="A172" s="8" t="s">
        <v>1038</v>
      </c>
      <c r="B172" s="8" t="s">
        <v>1039</v>
      </c>
      <c r="C172" s="11"/>
      <c r="D172" s="11"/>
      <c r="E172" s="11"/>
      <c r="F172" s="11"/>
      <c r="G172" s="11" t="n">
        <f aca="false">SUM(C172:F172)</f>
        <v>0</v>
      </c>
      <c r="H172" s="8" t="s">
        <v>928</v>
      </c>
    </row>
    <row r="173" customFormat="false" ht="15" hidden="false" customHeight="true" outlineLevel="0" collapsed="false">
      <c r="A173" s="12" t="s">
        <v>1040</v>
      </c>
      <c r="C173" s="13" t="n">
        <f aca="false">SUM(C25:C172)</f>
        <v>2250000</v>
      </c>
      <c r="D173" s="13" t="n">
        <f aca="false">SUM(D25:D172)</f>
        <v>2295000</v>
      </c>
      <c r="E173" s="13" t="n">
        <f aca="false">SUM(E25:E172)</f>
        <v>2365000</v>
      </c>
      <c r="F173" s="13" t="n">
        <f aca="false">SUM(F25:F172)</f>
        <v>825000</v>
      </c>
      <c r="G173" s="13" t="n">
        <f aca="false">SUM(G25:G172)</f>
        <v>7735000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58"/>
    <col collapsed="false" customWidth="true" hidden="false" outlineLevel="0" max="3" min="3" style="1" width="22"/>
    <col collapsed="false" customWidth="true" hidden="false" outlineLevel="0" max="4" min="4" style="1" width="13"/>
    <col collapsed="false" customWidth="true" hidden="false" outlineLevel="0" max="5" min="5" style="1" width="38"/>
    <col collapsed="false" customWidth="true" hidden="false" outlineLevel="0" max="6" min="6" style="1" width="46"/>
  </cols>
  <sheetData>
    <row r="1" customFormat="false" ht="15" hidden="false" customHeight="true" outlineLevel="0" collapsed="false">
      <c r="A1" s="7" t="s">
        <v>1041</v>
      </c>
    </row>
    <row r="2" customFormat="false" ht="15" hidden="false" customHeight="true" outlineLevel="0" collapsed="false">
      <c r="A2" s="8" t="s">
        <v>1042</v>
      </c>
    </row>
    <row r="4" customFormat="false" ht="15" hidden="false" customHeight="true" outlineLevel="0" collapsed="false">
      <c r="A4" s="10" t="s">
        <v>131</v>
      </c>
      <c r="B4" s="10" t="s">
        <v>130</v>
      </c>
      <c r="C4" s="10" t="s">
        <v>190</v>
      </c>
      <c r="D4" s="10" t="s">
        <v>72</v>
      </c>
      <c r="E4" s="10" t="s">
        <v>1043</v>
      </c>
      <c r="F4" s="10" t="s">
        <v>1044</v>
      </c>
    </row>
    <row r="5" customFormat="false" ht="15" hidden="false" customHeight="true" outlineLevel="0" collapsed="false">
      <c r="A5" s="17" t="s">
        <v>741</v>
      </c>
      <c r="B5" s="17" t="s">
        <v>745</v>
      </c>
      <c r="C5" s="41" t="s">
        <v>1045</v>
      </c>
      <c r="D5" s="18" t="n">
        <v>25000</v>
      </c>
      <c r="E5" s="19" t="s">
        <v>746</v>
      </c>
      <c r="F5" s="17" t="s">
        <v>1046</v>
      </c>
    </row>
    <row r="6" customFormat="false" ht="15" hidden="false" customHeight="true" outlineLevel="0" collapsed="false">
      <c r="A6" s="8" t="s">
        <v>741</v>
      </c>
      <c r="B6" s="8" t="s">
        <v>748</v>
      </c>
      <c r="C6" s="8" t="s">
        <v>1047</v>
      </c>
      <c r="D6" s="11" t="n">
        <v>25000</v>
      </c>
      <c r="E6" s="15" t="s">
        <v>749</v>
      </c>
      <c r="F6" s="8" t="s">
        <v>1048</v>
      </c>
    </row>
    <row r="7" customFormat="false" ht="15" hidden="false" customHeight="true" outlineLevel="0" collapsed="false">
      <c r="A7" s="8" t="s">
        <v>153</v>
      </c>
      <c r="B7" s="8" t="s">
        <v>158</v>
      </c>
      <c r="C7" s="8" t="s">
        <v>1049</v>
      </c>
      <c r="D7" s="11" t="n">
        <v>100000</v>
      </c>
      <c r="E7" s="15" t="s">
        <v>750</v>
      </c>
      <c r="F7" s="8" t="s">
        <v>1050</v>
      </c>
    </row>
    <row r="8" customFormat="false" ht="15" hidden="false" customHeight="true" outlineLevel="0" collapsed="false">
      <c r="A8" s="8" t="s">
        <v>177</v>
      </c>
      <c r="B8" s="8" t="s">
        <v>158</v>
      </c>
      <c r="C8" s="8" t="s">
        <v>1049</v>
      </c>
      <c r="D8" s="11" t="n">
        <v>50000</v>
      </c>
      <c r="E8" s="8" t="s">
        <v>751</v>
      </c>
      <c r="F8" s="8" t="s">
        <v>1051</v>
      </c>
    </row>
    <row r="9" customFormat="false" ht="15" hidden="false" customHeight="true" outlineLevel="0" collapsed="false">
      <c r="A9" s="8" t="s">
        <v>170</v>
      </c>
      <c r="B9" s="8" t="s">
        <v>158</v>
      </c>
      <c r="C9" s="8" t="s">
        <v>1049</v>
      </c>
      <c r="D9" s="11" t="n">
        <v>74000</v>
      </c>
      <c r="E9" s="8" t="s">
        <v>753</v>
      </c>
      <c r="F9" s="8" t="s">
        <v>1051</v>
      </c>
    </row>
    <row r="10" customFormat="false" ht="15" hidden="false" customHeight="true" outlineLevel="0" collapsed="false">
      <c r="A10" s="17" t="s">
        <v>165</v>
      </c>
      <c r="B10" s="17" t="s">
        <v>151</v>
      </c>
      <c r="C10" s="41" t="s">
        <v>1045</v>
      </c>
      <c r="D10" s="18" t="n">
        <v>93834</v>
      </c>
      <c r="E10" s="17" t="s">
        <v>754</v>
      </c>
      <c r="F10" s="17" t="s">
        <v>1050</v>
      </c>
    </row>
    <row r="11" customFormat="false" ht="15" hidden="false" customHeight="true" outlineLevel="0" collapsed="false">
      <c r="A11" s="17" t="s">
        <v>152</v>
      </c>
      <c r="B11" s="17" t="s">
        <v>151</v>
      </c>
      <c r="C11" s="41" t="s">
        <v>1045</v>
      </c>
      <c r="D11" s="18" t="n">
        <v>233523</v>
      </c>
      <c r="E11" s="19" t="s">
        <v>755</v>
      </c>
      <c r="F11" s="17" t="s">
        <v>1050</v>
      </c>
    </row>
    <row r="12" customFormat="false" ht="15" hidden="false" customHeight="true" outlineLevel="0" collapsed="false">
      <c r="A12" s="17" t="s">
        <v>167</v>
      </c>
      <c r="B12" s="17" t="s">
        <v>151</v>
      </c>
      <c r="C12" s="41" t="s">
        <v>1045</v>
      </c>
      <c r="D12" s="18" t="n">
        <v>82000</v>
      </c>
      <c r="E12" s="19" t="s">
        <v>756</v>
      </c>
      <c r="F12" s="17" t="s">
        <v>1050</v>
      </c>
    </row>
    <row r="13" customFormat="false" ht="15" hidden="false" customHeight="true" outlineLevel="0" collapsed="false">
      <c r="A13" s="17" t="s">
        <v>178</v>
      </c>
      <c r="B13" s="17" t="s">
        <v>151</v>
      </c>
      <c r="C13" s="41" t="s">
        <v>1045</v>
      </c>
      <c r="D13" s="18" t="n">
        <v>50000</v>
      </c>
      <c r="E13" s="19" t="s">
        <v>757</v>
      </c>
      <c r="F13" s="17" t="s">
        <v>1050</v>
      </c>
    </row>
    <row r="14" customFormat="false" ht="15" hidden="false" customHeight="true" outlineLevel="0" collapsed="false">
      <c r="A14" s="8" t="s">
        <v>759</v>
      </c>
      <c r="B14" s="8" t="s">
        <v>758</v>
      </c>
      <c r="C14" s="8" t="s">
        <v>1052</v>
      </c>
      <c r="D14" s="11" t="n">
        <v>500000</v>
      </c>
      <c r="E14" s="8" t="s">
        <v>760</v>
      </c>
      <c r="F14" s="8" t="s">
        <v>1053</v>
      </c>
    </row>
    <row r="15" customFormat="false" ht="15" hidden="false" customHeight="true" outlineLevel="0" collapsed="false">
      <c r="A15" s="8" t="s">
        <v>663</v>
      </c>
      <c r="B15" s="8" t="s">
        <v>380</v>
      </c>
      <c r="C15" s="8" t="s">
        <v>381</v>
      </c>
      <c r="D15" s="11" t="n">
        <v>107372</v>
      </c>
      <c r="E15" s="15" t="s">
        <v>761</v>
      </c>
      <c r="F15" s="8" t="s">
        <v>1050</v>
      </c>
    </row>
    <row r="16" customFormat="false" ht="15" hidden="false" customHeight="true" outlineLevel="0" collapsed="false">
      <c r="A16" s="8" t="s">
        <v>670</v>
      </c>
      <c r="B16" s="8" t="s">
        <v>427</v>
      </c>
      <c r="C16" s="8" t="s">
        <v>428</v>
      </c>
      <c r="D16" s="11" t="n">
        <v>70000</v>
      </c>
      <c r="E16" s="15" t="s">
        <v>762</v>
      </c>
      <c r="F16" s="8" t="s">
        <v>1050</v>
      </c>
    </row>
    <row r="17" customFormat="false" ht="15" hidden="false" customHeight="true" outlineLevel="0" collapsed="false">
      <c r="A17" s="8" t="s">
        <v>1054</v>
      </c>
      <c r="B17" s="8" t="s">
        <v>427</v>
      </c>
      <c r="C17" s="8" t="s">
        <v>428</v>
      </c>
      <c r="D17" s="11" t="n">
        <v>37500</v>
      </c>
      <c r="E17" s="8" t="s">
        <v>764</v>
      </c>
      <c r="F17" s="8" t="s">
        <v>1050</v>
      </c>
    </row>
    <row r="18" customFormat="false" ht="15" hidden="false" customHeight="true" outlineLevel="0" collapsed="false">
      <c r="A18" s="8" t="s">
        <v>1055</v>
      </c>
      <c r="B18" s="8" t="s">
        <v>1056</v>
      </c>
      <c r="C18" s="8" t="s">
        <v>278</v>
      </c>
      <c r="D18" s="11" t="n">
        <v>8333</v>
      </c>
      <c r="E18" s="15" t="s">
        <v>725</v>
      </c>
      <c r="F18" s="8" t="s">
        <v>1050</v>
      </c>
    </row>
    <row r="19" customFormat="false" ht="15" hidden="false" customHeight="true" outlineLevel="0" collapsed="false">
      <c r="A19" s="8" t="s">
        <v>1055</v>
      </c>
      <c r="B19" s="8" t="s">
        <v>1057</v>
      </c>
      <c r="C19" s="8" t="s">
        <v>278</v>
      </c>
      <c r="D19" s="11" t="n">
        <v>8333</v>
      </c>
      <c r="E19" s="15" t="s">
        <v>725</v>
      </c>
      <c r="F19" s="8" t="s">
        <v>1050</v>
      </c>
    </row>
    <row r="20" customFormat="false" ht="15" hidden="false" customHeight="true" outlineLevel="0" collapsed="false">
      <c r="A20" s="8" t="s">
        <v>1055</v>
      </c>
      <c r="B20" s="8" t="s">
        <v>1058</v>
      </c>
      <c r="C20" s="8" t="s">
        <v>278</v>
      </c>
      <c r="D20" s="11" t="n">
        <v>8333</v>
      </c>
      <c r="E20" s="15" t="s">
        <v>725</v>
      </c>
      <c r="F20" s="8" t="s">
        <v>1050</v>
      </c>
    </row>
    <row r="21" customFormat="false" ht="15" hidden="false" customHeight="true" outlineLevel="0" collapsed="false">
      <c r="A21" s="8" t="s">
        <v>1055</v>
      </c>
      <c r="B21" s="8" t="s">
        <v>1059</v>
      </c>
      <c r="C21" s="8" t="s">
        <v>278</v>
      </c>
      <c r="D21" s="11" t="n">
        <v>8333</v>
      </c>
      <c r="E21" s="15" t="s">
        <v>725</v>
      </c>
      <c r="F21" s="8" t="s">
        <v>1050</v>
      </c>
    </row>
    <row r="22" customFormat="false" ht="15" hidden="false" customHeight="true" outlineLevel="0" collapsed="false">
      <c r="A22" s="8" t="s">
        <v>1055</v>
      </c>
      <c r="B22" s="8" t="s">
        <v>1060</v>
      </c>
      <c r="C22" s="8" t="s">
        <v>278</v>
      </c>
      <c r="D22" s="11" t="n">
        <v>8333</v>
      </c>
      <c r="E22" s="15" t="s">
        <v>725</v>
      </c>
      <c r="F22" s="8" t="s">
        <v>1050</v>
      </c>
    </row>
    <row r="23" customFormat="false" ht="15" hidden="false" customHeight="true" outlineLevel="0" collapsed="false">
      <c r="A23" s="8" t="s">
        <v>1061</v>
      </c>
      <c r="B23" s="8" t="s">
        <v>225</v>
      </c>
      <c r="C23" s="8" t="s">
        <v>226</v>
      </c>
      <c r="D23" s="11" t="n">
        <v>10000</v>
      </c>
      <c r="E23" s="8" t="s">
        <v>767</v>
      </c>
      <c r="F23" s="8" t="s">
        <v>1050</v>
      </c>
    </row>
    <row r="24" customFormat="false" ht="15" hidden="false" customHeight="true" outlineLevel="0" collapsed="false">
      <c r="A24" s="8" t="s">
        <v>1061</v>
      </c>
      <c r="B24" s="8" t="s">
        <v>225</v>
      </c>
      <c r="C24" s="8" t="s">
        <v>226</v>
      </c>
      <c r="D24" s="11" t="n">
        <v>25000</v>
      </c>
      <c r="E24" s="8" t="s">
        <v>767</v>
      </c>
      <c r="F24" s="8" t="s">
        <v>1050</v>
      </c>
    </row>
    <row r="25" customFormat="false" ht="15" hidden="false" customHeight="true" outlineLevel="0" collapsed="false">
      <c r="A25" s="8" t="s">
        <v>147</v>
      </c>
      <c r="B25" s="8" t="s">
        <v>290</v>
      </c>
      <c r="C25" s="8" t="s">
        <v>291</v>
      </c>
      <c r="D25" s="11" t="n">
        <v>50000</v>
      </c>
      <c r="E25" s="15" t="s">
        <v>768</v>
      </c>
      <c r="F25" s="8" t="s">
        <v>1050</v>
      </c>
    </row>
    <row r="26" customFormat="false" ht="15" hidden="false" customHeight="true" outlineLevel="0" collapsed="false">
      <c r="A26" s="8" t="s">
        <v>769</v>
      </c>
      <c r="B26" s="8" t="s">
        <v>290</v>
      </c>
      <c r="C26" s="8" t="s">
        <v>291</v>
      </c>
      <c r="D26" s="11" t="n">
        <v>25000</v>
      </c>
      <c r="E26" s="8" t="s">
        <v>770</v>
      </c>
      <c r="F26" s="8" t="s">
        <v>1050</v>
      </c>
    </row>
    <row r="27" customFormat="false" ht="15" hidden="false" customHeight="true" outlineLevel="0" collapsed="false">
      <c r="A27" s="8" t="s">
        <v>769</v>
      </c>
      <c r="B27" s="8" t="s">
        <v>563</v>
      </c>
      <c r="C27" s="8" t="s">
        <v>564</v>
      </c>
      <c r="D27" s="11" t="n">
        <v>25000</v>
      </c>
      <c r="E27" s="8" t="s">
        <v>770</v>
      </c>
      <c r="F27" s="8" t="s">
        <v>1050</v>
      </c>
    </row>
    <row r="28" customFormat="false" ht="15" hidden="false" customHeight="true" outlineLevel="0" collapsed="false">
      <c r="A28" s="8" t="s">
        <v>772</v>
      </c>
      <c r="B28" s="8" t="s">
        <v>771</v>
      </c>
      <c r="C28" s="8" t="s">
        <v>512</v>
      </c>
      <c r="D28" s="11" t="n">
        <v>35000</v>
      </c>
      <c r="E28" s="8" t="s">
        <v>773</v>
      </c>
      <c r="F28" s="8" t="s">
        <v>1050</v>
      </c>
    </row>
    <row r="29" customFormat="false" ht="15" hidden="false" customHeight="true" outlineLevel="0" collapsed="false">
      <c r="A29" s="17" t="s">
        <v>772</v>
      </c>
      <c r="B29" s="17" t="s">
        <v>774</v>
      </c>
      <c r="C29" s="41" t="s">
        <v>1045</v>
      </c>
      <c r="D29" s="18" t="n">
        <v>18213</v>
      </c>
      <c r="E29" s="17" t="s">
        <v>773</v>
      </c>
      <c r="F29" s="17" t="s">
        <v>1050</v>
      </c>
    </row>
    <row r="30" customFormat="false" ht="15" hidden="false" customHeight="true" outlineLevel="0" collapsed="false">
      <c r="A30" s="17" t="s">
        <v>181</v>
      </c>
      <c r="B30" s="17" t="s">
        <v>180</v>
      </c>
      <c r="C30" s="41" t="s">
        <v>1045</v>
      </c>
      <c r="D30" s="18" t="n">
        <v>25000</v>
      </c>
      <c r="E30" s="19" t="s">
        <v>776</v>
      </c>
      <c r="F30" s="17" t="s">
        <v>1050</v>
      </c>
    </row>
    <row r="31" customFormat="false" ht="15" hidden="false" customHeight="true" outlineLevel="0" collapsed="false">
      <c r="B31" s="12" t="s">
        <v>1062</v>
      </c>
      <c r="D31" s="13" t="n">
        <f aca="false">SUM(D5:D30)</f>
        <v>1703107</v>
      </c>
    </row>
    <row r="33" customFormat="false" ht="15" hidden="false" customHeight="true" outlineLevel="0" collapsed="false">
      <c r="A33" s="12" t="s">
        <v>1063</v>
      </c>
    </row>
    <row r="34" customFormat="false" ht="15" hidden="false" customHeight="true" outlineLevel="0" collapsed="false">
      <c r="A34" s="8" t="s">
        <v>1064</v>
      </c>
    </row>
    <row r="35" customFormat="false" ht="15" hidden="false" customHeight="true" outlineLevel="0" collapsed="false">
      <c r="A35" s="8" t="s">
        <v>1065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15"/>
    <col collapsed="false" customWidth="true" hidden="false" outlineLevel="0" max="5" min="4" style="1" width="14"/>
    <col collapsed="false" customWidth="true" hidden="false" outlineLevel="0" max="7" min="6" style="1" width="13"/>
    <col collapsed="false" customWidth="true" hidden="false" outlineLevel="0" max="8" min="8" style="1" width="20"/>
    <col collapsed="false" customWidth="true" hidden="false" outlineLevel="0" max="9" min="9" style="1" width="8"/>
    <col collapsed="false" customWidth="true" hidden="false" outlineLevel="0" max="10" min="10" style="1" width="12"/>
    <col collapsed="false" customWidth="true" hidden="false" outlineLevel="0" max="11" min="11" style="1" width="30"/>
  </cols>
  <sheetData>
    <row r="1" customFormat="false" ht="15" hidden="false" customHeight="true" outlineLevel="0" collapsed="false">
      <c r="A1" s="7" t="s">
        <v>1066</v>
      </c>
    </row>
    <row r="2" customFormat="false" ht="15" hidden="false" customHeight="true" outlineLevel="0" collapsed="false">
      <c r="A2" s="8" t="s">
        <v>1067</v>
      </c>
    </row>
    <row r="4" customFormat="false" ht="15" hidden="false" customHeight="true" outlineLevel="0" collapsed="false">
      <c r="A4" s="10" t="s">
        <v>190</v>
      </c>
      <c r="B4" s="10" t="s">
        <v>1068</v>
      </c>
      <c r="C4" s="10" t="s">
        <v>1069</v>
      </c>
      <c r="D4" s="10" t="s">
        <v>1070</v>
      </c>
      <c r="E4" s="10" t="s">
        <v>1071</v>
      </c>
      <c r="F4" s="10" t="s">
        <v>1072</v>
      </c>
      <c r="G4" s="10" t="s">
        <v>1073</v>
      </c>
      <c r="H4" s="10" t="s">
        <v>1074</v>
      </c>
      <c r="I4" s="10" t="s">
        <v>1075</v>
      </c>
      <c r="J4" s="10" t="s">
        <v>1076</v>
      </c>
      <c r="K4" s="10" t="s">
        <v>1077</v>
      </c>
    </row>
    <row r="5" customFormat="false" ht="15" hidden="false" customHeight="true" outlineLevel="0" collapsed="false">
      <c r="A5" s="8" t="s">
        <v>246</v>
      </c>
      <c r="B5" s="8" t="s">
        <v>657</v>
      </c>
      <c r="C5" s="11" t="n">
        <v>225000</v>
      </c>
      <c r="D5" s="11" t="n">
        <v>7000</v>
      </c>
      <c r="E5" s="11"/>
      <c r="F5" s="11" t="n">
        <v>65000</v>
      </c>
      <c r="G5" s="11" t="n">
        <v>1048104</v>
      </c>
      <c r="H5" s="11" t="n">
        <f aca="false">SUM(C5:G5)</f>
        <v>1345104</v>
      </c>
      <c r="I5" s="8" t="n">
        <v>28</v>
      </c>
      <c r="J5" s="8" t="n">
        <v>19</v>
      </c>
      <c r="K5" s="8" t="s">
        <v>1078</v>
      </c>
    </row>
    <row r="6" customFormat="false" ht="15" hidden="false" customHeight="true" outlineLevel="0" collapsed="false">
      <c r="A6" s="8" t="s">
        <v>1079</v>
      </c>
      <c r="B6" s="8" t="s">
        <v>679</v>
      </c>
      <c r="C6" s="11"/>
      <c r="D6" s="11"/>
      <c r="E6" s="11"/>
      <c r="F6" s="11"/>
      <c r="G6" s="11" t="n">
        <v>1221666</v>
      </c>
      <c r="H6" s="11" t="n">
        <f aca="false">SUM(C6:G6)</f>
        <v>1221666</v>
      </c>
      <c r="I6" s="8" t="n">
        <v>7</v>
      </c>
      <c r="J6" s="8" t="n">
        <v>3</v>
      </c>
      <c r="K6" s="8"/>
    </row>
    <row r="7" customFormat="false" ht="15" hidden="false" customHeight="true" outlineLevel="0" collapsed="false">
      <c r="A7" s="8" t="s">
        <v>441</v>
      </c>
      <c r="B7" s="8" t="s">
        <v>142</v>
      </c>
      <c r="C7" s="11" t="n">
        <v>43000</v>
      </c>
      <c r="D7" s="11"/>
      <c r="E7" s="11"/>
      <c r="F7" s="11" t="n">
        <v>80000</v>
      </c>
      <c r="G7" s="11" t="n">
        <v>994375</v>
      </c>
      <c r="H7" s="11" t="n">
        <f aca="false">SUM(C7:G7)</f>
        <v>1117375</v>
      </c>
      <c r="I7" s="8" t="n">
        <v>10</v>
      </c>
      <c r="J7" s="8" t="n">
        <v>5</v>
      </c>
      <c r="K7" s="8" t="s">
        <v>1080</v>
      </c>
    </row>
    <row r="8" customFormat="false" ht="15" hidden="false" customHeight="true" outlineLevel="0" collapsed="false">
      <c r="A8" s="8" t="s">
        <v>1081</v>
      </c>
      <c r="B8" s="8" t="s">
        <v>149</v>
      </c>
      <c r="C8" s="11" t="n">
        <v>10000</v>
      </c>
      <c r="D8" s="11"/>
      <c r="E8" s="11"/>
      <c r="F8" s="11" t="n">
        <v>350000</v>
      </c>
      <c r="G8" s="11" t="n">
        <v>591797</v>
      </c>
      <c r="H8" s="11" t="n">
        <f aca="false">SUM(C8:G8)</f>
        <v>951797</v>
      </c>
      <c r="I8" s="8" t="n">
        <v>8</v>
      </c>
      <c r="J8" s="8" t="n">
        <v>4</v>
      </c>
      <c r="K8" s="8" t="s">
        <v>1082</v>
      </c>
    </row>
    <row r="9" customFormat="false" ht="15" hidden="false" customHeight="true" outlineLevel="0" collapsed="false">
      <c r="A9" s="8" t="s">
        <v>369</v>
      </c>
      <c r="B9" s="8" t="s">
        <v>145</v>
      </c>
      <c r="C9" s="11" t="n">
        <v>65000</v>
      </c>
      <c r="D9" s="11"/>
      <c r="E9" s="11"/>
      <c r="F9" s="11"/>
      <c r="G9" s="11" t="n">
        <v>799553</v>
      </c>
      <c r="H9" s="11" t="n">
        <f aca="false">SUM(C9:G9)</f>
        <v>864553</v>
      </c>
      <c r="I9" s="8" t="n">
        <v>5</v>
      </c>
      <c r="J9" s="8" t="n">
        <v>3</v>
      </c>
      <c r="K9" s="8" t="s">
        <v>1083</v>
      </c>
    </row>
    <row r="10" customFormat="false" ht="15" hidden="false" customHeight="true" outlineLevel="0" collapsed="false">
      <c r="A10" s="8" t="s">
        <v>198</v>
      </c>
      <c r="B10" s="8" t="s">
        <v>893</v>
      </c>
      <c r="C10" s="11" t="n">
        <v>598500</v>
      </c>
      <c r="D10" s="11"/>
      <c r="E10" s="11"/>
      <c r="F10" s="11" t="n">
        <v>150000</v>
      </c>
      <c r="G10" s="11"/>
      <c r="H10" s="11" t="n">
        <f aca="false">SUM(C10:G10)</f>
        <v>748500</v>
      </c>
      <c r="I10" s="8" t="n">
        <v>91</v>
      </c>
      <c r="J10" s="8" t="n">
        <v>90</v>
      </c>
      <c r="K10" s="8" t="s">
        <v>1080</v>
      </c>
    </row>
    <row r="11" customFormat="false" ht="15" hidden="false" customHeight="true" outlineLevel="0" collapsed="false">
      <c r="A11" s="8" t="s">
        <v>222</v>
      </c>
      <c r="B11" s="8" t="s">
        <v>168</v>
      </c>
      <c r="C11" s="11" t="n">
        <v>90000</v>
      </c>
      <c r="D11" s="11"/>
      <c r="E11" s="11"/>
      <c r="F11" s="11" t="n">
        <v>500000</v>
      </c>
      <c r="G11" s="11" t="n">
        <v>80000</v>
      </c>
      <c r="H11" s="11" t="n">
        <f aca="false">SUM(C11:G11)</f>
        <v>670000</v>
      </c>
      <c r="I11" s="8" t="n">
        <v>4</v>
      </c>
      <c r="J11" s="8" t="n">
        <v>3</v>
      </c>
      <c r="K11" s="8" t="s">
        <v>1083</v>
      </c>
    </row>
    <row r="12" customFormat="false" ht="15" hidden="false" customHeight="true" outlineLevel="0" collapsed="false">
      <c r="A12" s="8" t="s">
        <v>212</v>
      </c>
      <c r="B12" s="8" t="s">
        <v>1084</v>
      </c>
      <c r="C12" s="11" t="n">
        <v>290000</v>
      </c>
      <c r="D12" s="11"/>
      <c r="E12" s="11"/>
      <c r="F12" s="11" t="n">
        <v>340000</v>
      </c>
      <c r="G12" s="11"/>
      <c r="H12" s="11" t="n">
        <f aca="false">SUM(C12:G12)</f>
        <v>630000</v>
      </c>
      <c r="I12" s="8" t="n">
        <v>17</v>
      </c>
      <c r="J12" s="8" t="n">
        <v>13</v>
      </c>
      <c r="K12" s="8" t="s">
        <v>1085</v>
      </c>
    </row>
    <row r="13" customFormat="false" ht="15" hidden="false" customHeight="true" outlineLevel="0" collapsed="false">
      <c r="A13" s="8" t="s">
        <v>205</v>
      </c>
      <c r="B13" s="8" t="s">
        <v>617</v>
      </c>
      <c r="C13" s="11" t="n">
        <v>130000</v>
      </c>
      <c r="D13" s="11"/>
      <c r="E13" s="11"/>
      <c r="F13" s="11" t="n">
        <v>100000</v>
      </c>
      <c r="G13" s="11" t="n">
        <v>392765</v>
      </c>
      <c r="H13" s="11" t="n">
        <f aca="false">SUM(C13:G13)</f>
        <v>622765</v>
      </c>
      <c r="I13" s="8" t="n">
        <v>12</v>
      </c>
      <c r="J13" s="8" t="n">
        <v>8</v>
      </c>
      <c r="K13" s="8" t="s">
        <v>1086</v>
      </c>
    </row>
    <row r="14" customFormat="false" ht="15" hidden="false" customHeight="true" outlineLevel="0" collapsed="false">
      <c r="A14" s="8" t="s">
        <v>389</v>
      </c>
      <c r="B14" s="8" t="s">
        <v>388</v>
      </c>
      <c r="C14" s="11" t="n">
        <v>125000</v>
      </c>
      <c r="D14" s="11"/>
      <c r="E14" s="11"/>
      <c r="F14" s="11" t="n">
        <v>417880</v>
      </c>
      <c r="G14" s="11"/>
      <c r="H14" s="11" t="n">
        <f aca="false">SUM(C14:G14)</f>
        <v>542880</v>
      </c>
      <c r="I14" s="8" t="n">
        <v>9</v>
      </c>
      <c r="J14" s="8" t="n">
        <v>8</v>
      </c>
      <c r="K14" s="8" t="s">
        <v>1087</v>
      </c>
    </row>
    <row r="15" customFormat="false" ht="15" hidden="false" customHeight="true" outlineLevel="0" collapsed="false">
      <c r="A15" s="8" t="s">
        <v>453</v>
      </c>
      <c r="B15" s="8" t="s">
        <v>452</v>
      </c>
      <c r="C15" s="11" t="n">
        <v>10000</v>
      </c>
      <c r="D15" s="11"/>
      <c r="E15" s="11"/>
      <c r="F15" s="11"/>
      <c r="G15" s="11" t="n">
        <v>500000</v>
      </c>
      <c r="H15" s="11" t="n">
        <f aca="false">SUM(C15:G15)</f>
        <v>510000</v>
      </c>
      <c r="I15" s="8" t="n">
        <v>2</v>
      </c>
      <c r="J15" s="8" t="n">
        <v>2</v>
      </c>
      <c r="K15" s="8" t="s">
        <v>1088</v>
      </c>
    </row>
    <row r="16" customFormat="false" ht="15" hidden="false" customHeight="true" outlineLevel="0" collapsed="false">
      <c r="A16" s="8" t="s">
        <v>251</v>
      </c>
      <c r="B16" s="8" t="s">
        <v>1089</v>
      </c>
      <c r="C16" s="11" t="n">
        <v>100000</v>
      </c>
      <c r="D16" s="11"/>
      <c r="E16" s="11"/>
      <c r="F16" s="11"/>
      <c r="G16" s="11" t="n">
        <v>335000</v>
      </c>
      <c r="H16" s="11" t="n">
        <f aca="false">SUM(C16:G16)</f>
        <v>435000</v>
      </c>
      <c r="I16" s="8" t="n">
        <v>7</v>
      </c>
      <c r="J16" s="8" t="n">
        <v>7</v>
      </c>
      <c r="K16" s="8" t="s">
        <v>1090</v>
      </c>
    </row>
    <row r="17" customFormat="false" ht="15" hidden="false" customHeight="true" outlineLevel="0" collapsed="false">
      <c r="A17" s="8" t="s">
        <v>291</v>
      </c>
      <c r="B17" s="8" t="s">
        <v>290</v>
      </c>
      <c r="C17" s="11" t="n">
        <v>240000</v>
      </c>
      <c r="D17" s="11"/>
      <c r="E17" s="11"/>
      <c r="F17" s="11"/>
      <c r="G17" s="11" t="n">
        <v>155000</v>
      </c>
      <c r="H17" s="11" t="n">
        <f aca="false">SUM(C17:G17)</f>
        <v>395000</v>
      </c>
      <c r="I17" s="8" t="n">
        <v>17</v>
      </c>
      <c r="J17" s="8" t="n">
        <v>14</v>
      </c>
      <c r="K17" s="8" t="s">
        <v>1091</v>
      </c>
    </row>
    <row r="18" customFormat="false" ht="15" hidden="false" customHeight="true" outlineLevel="0" collapsed="false">
      <c r="A18" s="8" t="s">
        <v>351</v>
      </c>
      <c r="B18" s="8" t="s">
        <v>350</v>
      </c>
      <c r="C18" s="11" t="n">
        <v>297500</v>
      </c>
      <c r="D18" s="11"/>
      <c r="E18" s="11"/>
      <c r="F18" s="11"/>
      <c r="G18" s="11" t="n">
        <v>42000</v>
      </c>
      <c r="H18" s="11" t="n">
        <f aca="false">SUM(C18:G18)</f>
        <v>339500</v>
      </c>
      <c r="I18" s="8" t="n">
        <v>19</v>
      </c>
      <c r="J18" s="8" t="n">
        <v>18</v>
      </c>
      <c r="K18" s="8" t="s">
        <v>1090</v>
      </c>
    </row>
    <row r="19" customFormat="false" ht="15" hidden="false" customHeight="true" outlineLevel="0" collapsed="false">
      <c r="A19" s="8" t="s">
        <v>1092</v>
      </c>
      <c r="B19" s="8" t="s">
        <v>1093</v>
      </c>
      <c r="C19" s="11" t="n">
        <v>305000</v>
      </c>
      <c r="D19" s="11"/>
      <c r="E19" s="11"/>
      <c r="F19" s="11"/>
      <c r="G19" s="11"/>
      <c r="H19" s="11" t="n">
        <f aca="false">SUM(C19:G19)</f>
        <v>305000</v>
      </c>
      <c r="I19" s="8" t="n">
        <v>2</v>
      </c>
      <c r="J19" s="8" t="n">
        <v>2</v>
      </c>
      <c r="K19" s="8" t="s">
        <v>1094</v>
      </c>
    </row>
    <row r="20" customFormat="false" ht="15" hidden="false" customHeight="true" outlineLevel="0" collapsed="false">
      <c r="A20" s="8" t="s">
        <v>278</v>
      </c>
      <c r="B20" s="8" t="s">
        <v>1095</v>
      </c>
      <c r="C20" s="11" t="n">
        <v>195000</v>
      </c>
      <c r="D20" s="11"/>
      <c r="E20" s="11"/>
      <c r="F20" s="11"/>
      <c r="G20" s="11" t="n">
        <v>41665</v>
      </c>
      <c r="H20" s="11" t="n">
        <f aca="false">SUM(C20:G20)</f>
        <v>236665</v>
      </c>
      <c r="I20" s="8" t="n">
        <v>14</v>
      </c>
      <c r="J20" s="8" t="n">
        <v>14</v>
      </c>
      <c r="K20" s="8" t="s">
        <v>1091</v>
      </c>
    </row>
    <row r="21" customFormat="false" ht="15" hidden="false" customHeight="true" outlineLevel="0" collapsed="false">
      <c r="A21" s="8" t="s">
        <v>1049</v>
      </c>
      <c r="B21" s="8" t="s">
        <v>158</v>
      </c>
      <c r="C21" s="11" t="n">
        <v>5000</v>
      </c>
      <c r="D21" s="11"/>
      <c r="E21" s="11"/>
      <c r="F21" s="11"/>
      <c r="G21" s="11" t="n">
        <v>224000</v>
      </c>
      <c r="H21" s="11" t="n">
        <f aca="false">SUM(C21:G21)</f>
        <v>229000</v>
      </c>
      <c r="I21" s="8" t="n">
        <v>4</v>
      </c>
      <c r="J21" s="8" t="n">
        <v>2</v>
      </c>
      <c r="K21" s="8" t="s">
        <v>1096</v>
      </c>
    </row>
    <row r="22" customFormat="false" ht="15" hidden="false" customHeight="true" outlineLevel="0" collapsed="false">
      <c r="A22" s="8" t="s">
        <v>381</v>
      </c>
      <c r="B22" s="8" t="s">
        <v>380</v>
      </c>
      <c r="C22" s="11" t="n">
        <v>55000</v>
      </c>
      <c r="D22" s="11"/>
      <c r="E22" s="11" t="n">
        <v>10000</v>
      </c>
      <c r="F22" s="11" t="n">
        <v>50000</v>
      </c>
      <c r="G22" s="11" t="n">
        <v>107372</v>
      </c>
      <c r="H22" s="11" t="n">
        <f aca="false">SUM(C22:G22)</f>
        <v>222372</v>
      </c>
      <c r="I22" s="8" t="n">
        <v>8</v>
      </c>
      <c r="J22" s="8" t="n">
        <v>4</v>
      </c>
      <c r="K22" s="8" t="s">
        <v>1097</v>
      </c>
    </row>
    <row r="23" customFormat="false" ht="15" hidden="false" customHeight="true" outlineLevel="0" collapsed="false">
      <c r="A23" s="8" t="s">
        <v>947</v>
      </c>
      <c r="B23" s="8" t="s">
        <v>163</v>
      </c>
      <c r="C23" s="11"/>
      <c r="D23" s="11"/>
      <c r="E23" s="11"/>
      <c r="F23" s="11"/>
      <c r="G23" s="11" t="n">
        <v>213507</v>
      </c>
      <c r="H23" s="11" t="n">
        <f aca="false">SUM(C23:G23)</f>
        <v>213507</v>
      </c>
      <c r="I23" s="8" t="n">
        <v>3</v>
      </c>
      <c r="J23" s="8" t="n">
        <v>3</v>
      </c>
      <c r="K23" s="8"/>
    </row>
    <row r="24" customFormat="false" ht="15" hidden="false" customHeight="true" outlineLevel="0" collapsed="false">
      <c r="A24" s="8" t="s">
        <v>405</v>
      </c>
      <c r="B24" s="8" t="s">
        <v>404</v>
      </c>
      <c r="C24" s="11" t="n">
        <v>50500</v>
      </c>
      <c r="D24" s="11"/>
      <c r="E24" s="11" t="n">
        <v>15000</v>
      </c>
      <c r="F24" s="11" t="n">
        <v>25000</v>
      </c>
      <c r="G24" s="11" t="n">
        <v>109012</v>
      </c>
      <c r="H24" s="11" t="n">
        <f aca="false">SUM(C24:G24)</f>
        <v>199512</v>
      </c>
      <c r="I24" s="8" t="n">
        <v>9</v>
      </c>
      <c r="J24" s="8" t="n">
        <v>7</v>
      </c>
      <c r="K24" s="8" t="s">
        <v>1098</v>
      </c>
    </row>
    <row r="25" customFormat="false" ht="15" hidden="false" customHeight="true" outlineLevel="0" collapsed="false">
      <c r="A25" s="8" t="s">
        <v>1099</v>
      </c>
      <c r="B25" s="8" t="s">
        <v>1100</v>
      </c>
      <c r="C25" s="11" t="n">
        <v>125000</v>
      </c>
      <c r="D25" s="11"/>
      <c r="E25" s="11"/>
      <c r="F25" s="11" t="n">
        <v>50000</v>
      </c>
      <c r="G25" s="11"/>
      <c r="H25" s="11" t="n">
        <f aca="false">SUM(C25:G25)</f>
        <v>175000</v>
      </c>
      <c r="I25" s="8" t="n">
        <v>8</v>
      </c>
      <c r="J25" s="8" t="n">
        <v>8</v>
      </c>
      <c r="K25" s="8" t="s">
        <v>1101</v>
      </c>
    </row>
    <row r="26" customFormat="false" ht="15" hidden="false" customHeight="true" outlineLevel="0" collapsed="false">
      <c r="A26" s="8" t="s">
        <v>231</v>
      </c>
      <c r="B26" s="8" t="s">
        <v>230</v>
      </c>
      <c r="C26" s="11" t="n">
        <v>61000</v>
      </c>
      <c r="D26" s="11"/>
      <c r="E26" s="11"/>
      <c r="F26" s="11" t="n">
        <v>110000</v>
      </c>
      <c r="G26" s="11"/>
      <c r="H26" s="11" t="n">
        <f aca="false">SUM(C26:G26)</f>
        <v>171000</v>
      </c>
      <c r="I26" s="8" t="n">
        <v>4</v>
      </c>
      <c r="J26" s="8" t="n">
        <v>4</v>
      </c>
      <c r="K26" s="8" t="s">
        <v>595</v>
      </c>
    </row>
    <row r="27" customFormat="false" ht="15" hidden="false" customHeight="true" outlineLevel="0" collapsed="false">
      <c r="A27" s="8" t="s">
        <v>396</v>
      </c>
      <c r="B27" s="8" t="s">
        <v>395</v>
      </c>
      <c r="C27" s="11" t="n">
        <v>170000</v>
      </c>
      <c r="D27" s="11"/>
      <c r="E27" s="11"/>
      <c r="F27" s="11"/>
      <c r="G27" s="11"/>
      <c r="H27" s="11" t="n">
        <f aca="false">SUM(C27:G27)</f>
        <v>170000</v>
      </c>
      <c r="I27" s="8" t="n">
        <v>8</v>
      </c>
      <c r="J27" s="8" t="n">
        <v>8</v>
      </c>
      <c r="K27" s="8" t="s">
        <v>1090</v>
      </c>
    </row>
    <row r="28" customFormat="false" ht="15" hidden="false" customHeight="true" outlineLevel="0" collapsed="false">
      <c r="A28" s="8" t="s">
        <v>216</v>
      </c>
      <c r="B28" s="8" t="s">
        <v>215</v>
      </c>
      <c r="C28" s="11" t="n">
        <v>155000</v>
      </c>
      <c r="D28" s="11"/>
      <c r="E28" s="11"/>
      <c r="F28" s="11"/>
      <c r="G28" s="11"/>
      <c r="H28" s="11" t="n">
        <f aca="false">SUM(C28:G28)</f>
        <v>155000</v>
      </c>
      <c r="I28" s="8" t="n">
        <v>8</v>
      </c>
      <c r="J28" s="8" t="n">
        <v>7</v>
      </c>
      <c r="K28" s="8" t="s">
        <v>1090</v>
      </c>
    </row>
    <row r="29" customFormat="false" ht="15" hidden="false" customHeight="true" outlineLevel="0" collapsed="false">
      <c r="A29" s="8" t="s">
        <v>236</v>
      </c>
      <c r="B29" s="8" t="s">
        <v>235</v>
      </c>
      <c r="C29" s="11" t="n">
        <v>150000</v>
      </c>
      <c r="D29" s="11"/>
      <c r="E29" s="11"/>
      <c r="F29" s="11"/>
      <c r="G29" s="11"/>
      <c r="H29" s="11" t="n">
        <f aca="false">SUM(C29:G29)</f>
        <v>150000</v>
      </c>
      <c r="I29" s="8" t="n">
        <v>9</v>
      </c>
      <c r="J29" s="8" t="n">
        <v>8</v>
      </c>
      <c r="K29" s="8" t="s">
        <v>1090</v>
      </c>
    </row>
    <row r="30" customFormat="false" ht="15" hidden="false" customHeight="true" outlineLevel="0" collapsed="false">
      <c r="A30" s="8" t="s">
        <v>226</v>
      </c>
      <c r="B30" s="8" t="s">
        <v>225</v>
      </c>
      <c r="C30" s="11" t="n">
        <v>85000</v>
      </c>
      <c r="D30" s="11"/>
      <c r="E30" s="11"/>
      <c r="F30" s="11" t="n">
        <v>30000</v>
      </c>
      <c r="G30" s="11" t="n">
        <v>35000</v>
      </c>
      <c r="H30" s="11" t="n">
        <f aca="false">SUM(C30:G30)</f>
        <v>150000</v>
      </c>
      <c r="I30" s="8" t="n">
        <v>9</v>
      </c>
      <c r="J30" s="8" t="n">
        <v>7</v>
      </c>
      <c r="K30" s="8" t="s">
        <v>1102</v>
      </c>
    </row>
    <row r="31" customFormat="false" ht="15" hidden="false" customHeight="true" outlineLevel="0" collapsed="false">
      <c r="A31" s="8" t="s">
        <v>1103</v>
      </c>
      <c r="B31" s="8" t="s">
        <v>1104</v>
      </c>
      <c r="C31" s="11" t="n">
        <v>100000</v>
      </c>
      <c r="D31" s="11"/>
      <c r="E31" s="11"/>
      <c r="F31" s="11" t="n">
        <v>50000</v>
      </c>
      <c r="G31" s="11"/>
      <c r="H31" s="11" t="n">
        <f aca="false">SUM(C31:G31)</f>
        <v>150000</v>
      </c>
      <c r="I31" s="8" t="n">
        <v>6</v>
      </c>
      <c r="J31" s="8" t="n">
        <v>2</v>
      </c>
      <c r="K31" s="8" t="s">
        <v>1105</v>
      </c>
    </row>
    <row r="32" customFormat="false" ht="15" hidden="false" customHeight="true" outlineLevel="0" collapsed="false">
      <c r="A32" s="8" t="s">
        <v>301</v>
      </c>
      <c r="B32" s="8" t="s">
        <v>300</v>
      </c>
      <c r="C32" s="11" t="n">
        <v>30000</v>
      </c>
      <c r="D32" s="11"/>
      <c r="E32" s="11"/>
      <c r="F32" s="11" t="n">
        <v>50000</v>
      </c>
      <c r="G32" s="11" t="n">
        <v>70000</v>
      </c>
      <c r="H32" s="11" t="n">
        <f aca="false">SUM(C32:G32)</f>
        <v>150000</v>
      </c>
      <c r="I32" s="8" t="n">
        <v>3</v>
      </c>
      <c r="J32" s="8" t="n">
        <v>3</v>
      </c>
      <c r="K32" s="8" t="s">
        <v>595</v>
      </c>
    </row>
    <row r="33" customFormat="false" ht="15" hidden="false" customHeight="true" outlineLevel="0" collapsed="false">
      <c r="A33" s="8" t="s">
        <v>952</v>
      </c>
      <c r="B33" s="8" t="s">
        <v>161</v>
      </c>
      <c r="C33" s="11"/>
      <c r="D33" s="11"/>
      <c r="E33" s="11"/>
      <c r="F33" s="11" t="n">
        <v>50000</v>
      </c>
      <c r="G33" s="11" t="n">
        <v>100000</v>
      </c>
      <c r="H33" s="11" t="n">
        <f aca="false">SUM(C33:G33)</f>
        <v>150000</v>
      </c>
      <c r="I33" s="8" t="n">
        <v>2</v>
      </c>
      <c r="J33" s="8" t="n">
        <v>2</v>
      </c>
      <c r="K33" s="8" t="s">
        <v>583</v>
      </c>
    </row>
    <row r="34" customFormat="false" ht="15" hidden="false" customHeight="true" outlineLevel="0" collapsed="false">
      <c r="A34" s="8" t="s">
        <v>310</v>
      </c>
      <c r="B34" s="8" t="s">
        <v>1106</v>
      </c>
      <c r="C34" s="11" t="n">
        <v>105500</v>
      </c>
      <c r="D34" s="11"/>
      <c r="E34" s="11"/>
      <c r="F34" s="11" t="n">
        <v>35000</v>
      </c>
      <c r="G34" s="11"/>
      <c r="H34" s="11" t="n">
        <f aca="false">SUM(C34:G34)</f>
        <v>140500</v>
      </c>
      <c r="I34" s="8" t="n">
        <v>8</v>
      </c>
      <c r="J34" s="8" t="n">
        <v>8</v>
      </c>
      <c r="K34" s="8" t="s">
        <v>1090</v>
      </c>
    </row>
    <row r="35" customFormat="false" ht="15" hidden="false" customHeight="true" outlineLevel="0" collapsed="false">
      <c r="A35" s="8" t="s">
        <v>282</v>
      </c>
      <c r="B35" s="8" t="s">
        <v>281</v>
      </c>
      <c r="C35" s="11" t="n">
        <v>65000</v>
      </c>
      <c r="D35" s="11"/>
      <c r="E35" s="11"/>
      <c r="F35" s="11" t="n">
        <v>75000</v>
      </c>
      <c r="G35" s="11"/>
      <c r="H35" s="11" t="n">
        <f aca="false">SUM(C35:G35)</f>
        <v>140000</v>
      </c>
      <c r="I35" s="8" t="n">
        <v>6</v>
      </c>
      <c r="J35" s="8" t="n">
        <v>5</v>
      </c>
      <c r="K35" s="8" t="s">
        <v>1107</v>
      </c>
    </row>
    <row r="36" customFormat="false" ht="15" hidden="false" customHeight="true" outlineLevel="0" collapsed="false">
      <c r="A36" s="8" t="s">
        <v>327</v>
      </c>
      <c r="B36" s="8" t="s">
        <v>326</v>
      </c>
      <c r="C36" s="11" t="n">
        <v>70500</v>
      </c>
      <c r="D36" s="11"/>
      <c r="E36" s="11" t="n">
        <v>9000</v>
      </c>
      <c r="F36" s="11" t="n">
        <v>35000</v>
      </c>
      <c r="G36" s="11" t="n">
        <v>25000</v>
      </c>
      <c r="H36" s="11" t="n">
        <f aca="false">SUM(C36:G36)</f>
        <v>139500</v>
      </c>
      <c r="I36" s="8" t="n">
        <v>9</v>
      </c>
      <c r="J36" s="8" t="n">
        <v>7</v>
      </c>
      <c r="K36" s="8" t="s">
        <v>1107</v>
      </c>
    </row>
    <row r="37" customFormat="false" ht="15" hidden="false" customHeight="true" outlineLevel="0" collapsed="false">
      <c r="A37" s="8" t="s">
        <v>428</v>
      </c>
      <c r="B37" s="8" t="s">
        <v>427</v>
      </c>
      <c r="C37" s="11" t="n">
        <v>25000</v>
      </c>
      <c r="D37" s="11"/>
      <c r="E37" s="11"/>
      <c r="F37" s="11"/>
      <c r="G37" s="11" t="n">
        <v>107500</v>
      </c>
      <c r="H37" s="11" t="n">
        <f aca="false">SUM(C37:G37)</f>
        <v>132500</v>
      </c>
      <c r="I37" s="8" t="n">
        <v>5</v>
      </c>
      <c r="J37" s="8" t="n">
        <v>3</v>
      </c>
      <c r="K37" s="8" t="s">
        <v>1091</v>
      </c>
    </row>
    <row r="38" customFormat="false" ht="15" hidden="false" customHeight="true" outlineLevel="0" collapsed="false">
      <c r="A38" s="8" t="s">
        <v>1108</v>
      </c>
      <c r="B38" s="8" t="s">
        <v>1109</v>
      </c>
      <c r="C38" s="11"/>
      <c r="D38" s="11"/>
      <c r="E38" s="11"/>
      <c r="F38" s="11"/>
      <c r="G38" s="11" t="n">
        <v>125000</v>
      </c>
      <c r="H38" s="11" t="n">
        <f aca="false">SUM(C38:G38)</f>
        <v>125000</v>
      </c>
      <c r="I38" s="8" t="n">
        <v>2</v>
      </c>
      <c r="J38" s="8" t="n">
        <v>1</v>
      </c>
      <c r="K38" s="8"/>
    </row>
    <row r="39" customFormat="false" ht="15" hidden="false" customHeight="true" outlineLevel="0" collapsed="false">
      <c r="A39" s="8" t="s">
        <v>269</v>
      </c>
      <c r="B39" s="8" t="s">
        <v>718</v>
      </c>
      <c r="C39" s="11" t="n">
        <v>35000</v>
      </c>
      <c r="D39" s="11"/>
      <c r="E39" s="11" t="n">
        <v>13000</v>
      </c>
      <c r="F39" s="11"/>
      <c r="G39" s="11" t="n">
        <v>73070</v>
      </c>
      <c r="H39" s="11" t="n">
        <f aca="false">SUM(C39:G39)</f>
        <v>121070</v>
      </c>
      <c r="I39" s="8" t="n">
        <v>5</v>
      </c>
      <c r="J39" s="8" t="n">
        <v>4</v>
      </c>
      <c r="K39" s="8" t="s">
        <v>1110</v>
      </c>
    </row>
    <row r="40" customFormat="false" ht="15" hidden="false" customHeight="true" outlineLevel="0" collapsed="false">
      <c r="A40" s="8" t="s">
        <v>377</v>
      </c>
      <c r="B40" s="8" t="s">
        <v>1111</v>
      </c>
      <c r="C40" s="11" t="n">
        <v>112500</v>
      </c>
      <c r="D40" s="11"/>
      <c r="E40" s="11"/>
      <c r="F40" s="11"/>
      <c r="G40" s="11"/>
      <c r="H40" s="11" t="n">
        <f aca="false">SUM(C40:G40)</f>
        <v>112500</v>
      </c>
      <c r="I40" s="8" t="n">
        <v>5</v>
      </c>
      <c r="J40" s="8" t="n">
        <v>5</v>
      </c>
      <c r="K40" s="8" t="s">
        <v>1090</v>
      </c>
    </row>
    <row r="41" customFormat="false" ht="15" hidden="false" customHeight="true" outlineLevel="0" collapsed="false">
      <c r="A41" s="8" t="s">
        <v>344</v>
      </c>
      <c r="B41" s="8" t="s">
        <v>343</v>
      </c>
      <c r="C41" s="11" t="n">
        <v>91000</v>
      </c>
      <c r="D41" s="11"/>
      <c r="E41" s="11"/>
      <c r="F41" s="11" t="n">
        <v>20000</v>
      </c>
      <c r="G41" s="11"/>
      <c r="H41" s="11" t="n">
        <f aca="false">SUM(C41:G41)</f>
        <v>111000</v>
      </c>
      <c r="I41" s="8" t="n">
        <v>7</v>
      </c>
      <c r="J41" s="8" t="n">
        <v>6</v>
      </c>
      <c r="K41" s="8" t="s">
        <v>1080</v>
      </c>
    </row>
    <row r="42" customFormat="false" ht="15" hidden="false" customHeight="true" outlineLevel="0" collapsed="false">
      <c r="A42" s="8" t="s">
        <v>1112</v>
      </c>
      <c r="B42" s="8" t="s">
        <v>1113</v>
      </c>
      <c r="C42" s="11"/>
      <c r="D42" s="11"/>
      <c r="E42" s="11"/>
      <c r="F42" s="11" t="n">
        <v>50000</v>
      </c>
      <c r="G42" s="11" t="n">
        <v>50000</v>
      </c>
      <c r="H42" s="11" t="n">
        <f aca="false">SUM(C42:G42)</f>
        <v>100000</v>
      </c>
      <c r="I42" s="8" t="n">
        <v>2</v>
      </c>
      <c r="J42" s="8" t="n">
        <v>2</v>
      </c>
      <c r="K42" s="8" t="s">
        <v>595</v>
      </c>
    </row>
    <row r="43" customFormat="false" ht="15" hidden="false" customHeight="true" outlineLevel="0" collapsed="false">
      <c r="A43" s="8" t="s">
        <v>318</v>
      </c>
      <c r="B43" s="8" t="s">
        <v>1114</v>
      </c>
      <c r="C43" s="11" t="n">
        <v>35000</v>
      </c>
      <c r="D43" s="11"/>
      <c r="E43" s="11" t="n">
        <v>5000</v>
      </c>
      <c r="F43" s="11"/>
      <c r="G43" s="11" t="n">
        <v>52935</v>
      </c>
      <c r="H43" s="11" t="n">
        <f aca="false">SUM(C43:G43)</f>
        <v>92935</v>
      </c>
      <c r="I43" s="8" t="n">
        <v>5</v>
      </c>
      <c r="J43" s="8" t="n">
        <v>3</v>
      </c>
      <c r="K43" s="8" t="s">
        <v>1115</v>
      </c>
    </row>
    <row r="44" customFormat="false" ht="15" hidden="false" customHeight="true" outlineLevel="0" collapsed="false">
      <c r="A44" s="8" t="s">
        <v>1116</v>
      </c>
      <c r="B44" s="8" t="s">
        <v>586</v>
      </c>
      <c r="C44" s="11" t="n">
        <v>30000</v>
      </c>
      <c r="D44" s="11"/>
      <c r="E44" s="11" t="n">
        <v>20000</v>
      </c>
      <c r="F44" s="11" t="n">
        <v>40000</v>
      </c>
      <c r="G44" s="11"/>
      <c r="H44" s="11" t="n">
        <f aca="false">SUM(C44:G44)</f>
        <v>90000</v>
      </c>
      <c r="I44" s="8" t="n">
        <v>4</v>
      </c>
      <c r="J44" s="8" t="n">
        <v>3</v>
      </c>
      <c r="K44" s="8" t="s">
        <v>1117</v>
      </c>
    </row>
    <row r="45" customFormat="false" ht="15" hidden="false" customHeight="true" outlineLevel="0" collapsed="false">
      <c r="A45" s="8" t="s">
        <v>1118</v>
      </c>
      <c r="B45" s="8" t="s">
        <v>1119</v>
      </c>
      <c r="C45" s="11" t="n">
        <v>87500</v>
      </c>
      <c r="D45" s="11"/>
      <c r="E45" s="11"/>
      <c r="F45" s="11"/>
      <c r="G45" s="11"/>
      <c r="H45" s="11" t="n">
        <f aca="false">SUM(C45:G45)</f>
        <v>87500</v>
      </c>
      <c r="I45" s="8" t="n">
        <v>3</v>
      </c>
      <c r="J45" s="8" t="n">
        <v>3</v>
      </c>
      <c r="K45" s="8" t="s">
        <v>1094</v>
      </c>
    </row>
    <row r="46" customFormat="false" ht="15" hidden="false" customHeight="true" outlineLevel="0" collapsed="false">
      <c r="A46" s="8" t="s">
        <v>1120</v>
      </c>
      <c r="B46" s="8" t="s">
        <v>1121</v>
      </c>
      <c r="C46" s="11"/>
      <c r="D46" s="11" t="n">
        <v>85000</v>
      </c>
      <c r="E46" s="11"/>
      <c r="F46" s="11"/>
      <c r="G46" s="11"/>
      <c r="H46" s="11" t="n">
        <f aca="false">SUM(C46:G46)</f>
        <v>85000</v>
      </c>
      <c r="I46" s="8" t="n">
        <v>5</v>
      </c>
      <c r="J46" s="8" t="n">
        <v>4</v>
      </c>
      <c r="K46" s="8" t="s">
        <v>1122</v>
      </c>
    </row>
    <row r="47" customFormat="false" ht="15" hidden="false" customHeight="true" outlineLevel="0" collapsed="false">
      <c r="A47" s="8" t="s">
        <v>314</v>
      </c>
      <c r="B47" s="8" t="s">
        <v>313</v>
      </c>
      <c r="C47" s="11" t="n">
        <v>80000</v>
      </c>
      <c r="D47" s="11"/>
      <c r="E47" s="11"/>
      <c r="F47" s="11"/>
      <c r="G47" s="11"/>
      <c r="H47" s="11" t="n">
        <f aca="false">SUM(C47:G47)</f>
        <v>80000</v>
      </c>
      <c r="I47" s="8" t="n">
        <v>3</v>
      </c>
      <c r="J47" s="8" t="n">
        <v>3</v>
      </c>
      <c r="K47" s="8" t="s">
        <v>1090</v>
      </c>
    </row>
    <row r="48" customFormat="false" ht="15" hidden="false" customHeight="true" outlineLevel="0" collapsed="false">
      <c r="A48" s="8" t="s">
        <v>1123</v>
      </c>
      <c r="B48" s="8" t="s">
        <v>1124</v>
      </c>
      <c r="C48" s="11" t="n">
        <v>25000</v>
      </c>
      <c r="D48" s="11"/>
      <c r="E48" s="11"/>
      <c r="F48" s="11" t="n">
        <v>45000</v>
      </c>
      <c r="G48" s="11"/>
      <c r="H48" s="11" t="n">
        <f aca="false">SUM(C48:G48)</f>
        <v>70000</v>
      </c>
      <c r="I48" s="8" t="n">
        <v>2</v>
      </c>
      <c r="J48" s="8" t="n">
        <v>2</v>
      </c>
      <c r="K48" s="8" t="s">
        <v>1125</v>
      </c>
    </row>
    <row r="49" customFormat="false" ht="15" hidden="false" customHeight="true" outlineLevel="0" collapsed="false">
      <c r="A49" s="8" t="s">
        <v>266</v>
      </c>
      <c r="B49" s="8" t="s">
        <v>1126</v>
      </c>
      <c r="C49" s="11" t="n">
        <v>65000</v>
      </c>
      <c r="D49" s="11"/>
      <c r="E49" s="11"/>
      <c r="F49" s="11"/>
      <c r="G49" s="11"/>
      <c r="H49" s="11" t="n">
        <f aca="false">SUM(C49:G49)</f>
        <v>65000</v>
      </c>
      <c r="I49" s="8" t="n">
        <v>4</v>
      </c>
      <c r="J49" s="8" t="n">
        <v>4</v>
      </c>
      <c r="K49" s="8" t="s">
        <v>1090</v>
      </c>
    </row>
    <row r="50" customFormat="false" ht="15" hidden="false" customHeight="true" outlineLevel="0" collapsed="false">
      <c r="A50" s="8" t="s">
        <v>938</v>
      </c>
      <c r="B50" s="8" t="s">
        <v>171</v>
      </c>
      <c r="C50" s="11"/>
      <c r="D50" s="11"/>
      <c r="E50" s="11"/>
      <c r="F50" s="11"/>
      <c r="G50" s="11" t="n">
        <v>64576</v>
      </c>
      <c r="H50" s="11" t="n">
        <f aca="false">SUM(C50:G50)</f>
        <v>64576</v>
      </c>
      <c r="I50" s="8" t="n">
        <v>1</v>
      </c>
      <c r="J50" s="8" t="n">
        <v>1</v>
      </c>
      <c r="K50" s="8"/>
    </row>
    <row r="51" customFormat="false" ht="15" hidden="false" customHeight="true" outlineLevel="0" collapsed="false">
      <c r="A51" s="8" t="s">
        <v>357</v>
      </c>
      <c r="B51" s="8" t="s">
        <v>1127</v>
      </c>
      <c r="C51" s="11" t="n">
        <v>42500</v>
      </c>
      <c r="D51" s="11"/>
      <c r="E51" s="11" t="n">
        <v>20000</v>
      </c>
      <c r="F51" s="11"/>
      <c r="G51" s="11"/>
      <c r="H51" s="11" t="n">
        <f aca="false">SUM(C51:G51)</f>
        <v>62500</v>
      </c>
      <c r="I51" s="8" t="n">
        <v>6</v>
      </c>
      <c r="J51" s="8" t="n">
        <v>3</v>
      </c>
      <c r="K51" s="8" t="s">
        <v>1107</v>
      </c>
    </row>
    <row r="52" customFormat="false" ht="15" hidden="false" customHeight="true" outlineLevel="0" collapsed="false">
      <c r="A52" s="8" t="s">
        <v>1128</v>
      </c>
      <c r="B52" s="8" t="s">
        <v>1129</v>
      </c>
      <c r="C52" s="11" t="n">
        <v>60000</v>
      </c>
      <c r="D52" s="11"/>
      <c r="E52" s="11"/>
      <c r="F52" s="11"/>
      <c r="G52" s="11"/>
      <c r="H52" s="11" t="n">
        <f aca="false">SUM(C52:G52)</f>
        <v>60000</v>
      </c>
      <c r="I52" s="8" t="n">
        <v>3</v>
      </c>
      <c r="J52" s="8" t="n">
        <v>3</v>
      </c>
      <c r="K52" s="8" t="s">
        <v>588</v>
      </c>
    </row>
    <row r="53" customFormat="false" ht="15" hidden="false" customHeight="true" outlineLevel="0" collapsed="false">
      <c r="A53" s="8" t="s">
        <v>333</v>
      </c>
      <c r="B53" s="8" t="s">
        <v>1130</v>
      </c>
      <c r="C53" s="11" t="n">
        <v>60000</v>
      </c>
      <c r="D53" s="11"/>
      <c r="E53" s="11"/>
      <c r="F53" s="11"/>
      <c r="G53" s="11"/>
      <c r="H53" s="11" t="n">
        <f aca="false">SUM(C53:G53)</f>
        <v>60000</v>
      </c>
      <c r="I53" s="8" t="n">
        <v>3</v>
      </c>
      <c r="J53" s="8" t="n">
        <v>3</v>
      </c>
      <c r="K53" s="8" t="s">
        <v>1131</v>
      </c>
    </row>
    <row r="54" customFormat="false" ht="15" hidden="false" customHeight="true" outlineLevel="0" collapsed="false">
      <c r="A54" s="8" t="s">
        <v>241</v>
      </c>
      <c r="B54" s="8" t="s">
        <v>240</v>
      </c>
      <c r="C54" s="11" t="n">
        <v>60000</v>
      </c>
      <c r="D54" s="11"/>
      <c r="E54" s="11"/>
      <c r="F54" s="11"/>
      <c r="G54" s="11"/>
      <c r="H54" s="11" t="n">
        <f aca="false">SUM(C54:G54)</f>
        <v>60000</v>
      </c>
      <c r="I54" s="8" t="n">
        <v>2</v>
      </c>
      <c r="J54" s="8" t="n">
        <v>2</v>
      </c>
      <c r="K54" s="8" t="s">
        <v>595</v>
      </c>
    </row>
    <row r="55" customFormat="false" ht="15" hidden="false" customHeight="true" outlineLevel="0" collapsed="false">
      <c r="A55" s="8" t="s">
        <v>261</v>
      </c>
      <c r="B55" s="8" t="s">
        <v>260</v>
      </c>
      <c r="C55" s="11" t="n">
        <v>55000</v>
      </c>
      <c r="D55" s="11"/>
      <c r="E55" s="11"/>
      <c r="F55" s="11"/>
      <c r="G55" s="11"/>
      <c r="H55" s="11" t="n">
        <f aca="false">SUM(C55:G55)</f>
        <v>55000</v>
      </c>
      <c r="I55" s="8" t="n">
        <v>4</v>
      </c>
      <c r="J55" s="8" t="n">
        <v>4</v>
      </c>
      <c r="K55" s="8" t="s">
        <v>1131</v>
      </c>
    </row>
    <row r="56" customFormat="false" ht="15" hidden="false" customHeight="true" outlineLevel="0" collapsed="false">
      <c r="A56" s="8" t="s">
        <v>467</v>
      </c>
      <c r="B56" s="8" t="s">
        <v>1132</v>
      </c>
      <c r="C56" s="11" t="n">
        <v>50000</v>
      </c>
      <c r="D56" s="11"/>
      <c r="E56" s="11"/>
      <c r="F56" s="11"/>
      <c r="G56" s="11"/>
      <c r="H56" s="11" t="n">
        <f aca="false">SUM(C56:G56)</f>
        <v>50000</v>
      </c>
      <c r="I56" s="8" t="n">
        <v>3</v>
      </c>
      <c r="J56" s="8" t="n">
        <v>3</v>
      </c>
      <c r="K56" s="8" t="s">
        <v>1090</v>
      </c>
    </row>
    <row r="57" customFormat="false" ht="15" hidden="false" customHeight="true" outlineLevel="0" collapsed="false">
      <c r="A57" s="8" t="s">
        <v>256</v>
      </c>
      <c r="B57" s="8" t="s">
        <v>1133</v>
      </c>
      <c r="C57" s="11" t="n">
        <v>50000</v>
      </c>
      <c r="D57" s="11"/>
      <c r="E57" s="11"/>
      <c r="F57" s="11"/>
      <c r="G57" s="11"/>
      <c r="H57" s="11" t="n">
        <f aca="false">SUM(C57:G57)</f>
        <v>50000</v>
      </c>
      <c r="I57" s="8" t="n">
        <v>2</v>
      </c>
      <c r="J57" s="8" t="n">
        <v>2</v>
      </c>
      <c r="K57" s="8" t="s">
        <v>595</v>
      </c>
    </row>
    <row r="58" customFormat="false" ht="15" hidden="false" customHeight="true" outlineLevel="0" collapsed="false">
      <c r="A58" s="8" t="s">
        <v>1134</v>
      </c>
      <c r="B58" s="8" t="s">
        <v>1135</v>
      </c>
      <c r="C58" s="11"/>
      <c r="D58" s="11"/>
      <c r="E58" s="11"/>
      <c r="F58" s="11" t="n">
        <v>50000</v>
      </c>
      <c r="G58" s="11"/>
      <c r="H58" s="11" t="n">
        <f aca="false">SUM(C58:G58)</f>
        <v>50000</v>
      </c>
      <c r="I58" s="8" t="n">
        <v>1</v>
      </c>
      <c r="J58" s="8" t="n">
        <v>1</v>
      </c>
      <c r="K58" s="8" t="s">
        <v>583</v>
      </c>
    </row>
    <row r="59" customFormat="false" ht="15" hidden="false" customHeight="true" outlineLevel="0" collapsed="false">
      <c r="A59" s="8" t="s">
        <v>1047</v>
      </c>
      <c r="B59" s="8" t="s">
        <v>592</v>
      </c>
      <c r="C59" s="11"/>
      <c r="D59" s="11"/>
      <c r="E59" s="11"/>
      <c r="F59" s="11" t="n">
        <v>25000</v>
      </c>
      <c r="G59" s="11" t="n">
        <v>25000</v>
      </c>
      <c r="H59" s="11" t="n">
        <f aca="false">SUM(C59:G59)</f>
        <v>50000</v>
      </c>
      <c r="I59" s="8" t="n">
        <v>2</v>
      </c>
      <c r="J59" s="8" t="n">
        <v>2</v>
      </c>
      <c r="K59" s="8" t="s">
        <v>1088</v>
      </c>
    </row>
    <row r="60" customFormat="false" ht="15" hidden="false" customHeight="true" outlineLevel="0" collapsed="false">
      <c r="A60" s="8" t="s">
        <v>1136</v>
      </c>
      <c r="B60" s="8" t="s">
        <v>1137</v>
      </c>
      <c r="C60" s="11"/>
      <c r="D60" s="11"/>
      <c r="E60" s="11"/>
      <c r="F60" s="11"/>
      <c r="G60" s="11" t="n">
        <v>50000</v>
      </c>
      <c r="H60" s="11" t="n">
        <f aca="false">SUM(C60:G60)</f>
        <v>50000</v>
      </c>
      <c r="I60" s="8" t="n">
        <v>1</v>
      </c>
      <c r="J60" s="8" t="n">
        <v>1</v>
      </c>
      <c r="K60" s="8"/>
    </row>
    <row r="61" customFormat="false" ht="15" hidden="false" customHeight="true" outlineLevel="0" collapsed="false">
      <c r="A61" s="8" t="s">
        <v>294</v>
      </c>
      <c r="B61" s="8" t="s">
        <v>293</v>
      </c>
      <c r="C61" s="11" t="n">
        <v>45000</v>
      </c>
      <c r="D61" s="11"/>
      <c r="E61" s="11"/>
      <c r="F61" s="11"/>
      <c r="G61" s="11"/>
      <c r="H61" s="11" t="n">
        <f aca="false">SUM(C61:G61)</f>
        <v>45000</v>
      </c>
      <c r="I61" s="8" t="n">
        <v>4</v>
      </c>
      <c r="J61" s="8" t="n">
        <v>3</v>
      </c>
      <c r="K61" s="8" t="s">
        <v>1083</v>
      </c>
    </row>
    <row r="62" customFormat="false" ht="15" hidden="false" customHeight="true" outlineLevel="0" collapsed="false">
      <c r="A62" s="8" t="s">
        <v>347</v>
      </c>
      <c r="B62" s="8" t="s">
        <v>1138</v>
      </c>
      <c r="C62" s="11" t="n">
        <v>42000</v>
      </c>
      <c r="D62" s="11"/>
      <c r="E62" s="11"/>
      <c r="F62" s="11"/>
      <c r="G62" s="11"/>
      <c r="H62" s="11" t="n">
        <f aca="false">SUM(C62:G62)</f>
        <v>42000</v>
      </c>
      <c r="I62" s="8" t="n">
        <v>3</v>
      </c>
      <c r="J62" s="8" t="n">
        <v>3</v>
      </c>
      <c r="K62" s="8" t="s">
        <v>1090</v>
      </c>
    </row>
    <row r="63" customFormat="false" ht="15" hidden="false" customHeight="true" outlineLevel="0" collapsed="false">
      <c r="A63" s="8" t="s">
        <v>1031</v>
      </c>
      <c r="B63" s="8" t="s">
        <v>1030</v>
      </c>
      <c r="C63" s="11" t="n">
        <v>40000</v>
      </c>
      <c r="D63" s="11"/>
      <c r="E63" s="11"/>
      <c r="F63" s="11"/>
      <c r="G63" s="11"/>
      <c r="H63" s="11" t="n">
        <f aca="false">SUM(C63:G63)</f>
        <v>40000</v>
      </c>
      <c r="I63" s="8" t="n">
        <v>1</v>
      </c>
      <c r="J63" s="8" t="n">
        <v>1</v>
      </c>
      <c r="K63" s="8" t="s">
        <v>602</v>
      </c>
    </row>
    <row r="64" customFormat="false" ht="15" hidden="false" customHeight="true" outlineLevel="0" collapsed="false">
      <c r="A64" s="8" t="s">
        <v>297</v>
      </c>
      <c r="B64" s="8" t="s">
        <v>296</v>
      </c>
      <c r="C64" s="11" t="n">
        <v>40000</v>
      </c>
      <c r="D64" s="11"/>
      <c r="E64" s="11"/>
      <c r="F64" s="11"/>
      <c r="G64" s="11"/>
      <c r="H64" s="11" t="n">
        <f aca="false">SUM(C64:G64)</f>
        <v>40000</v>
      </c>
      <c r="I64" s="8" t="n">
        <v>3</v>
      </c>
      <c r="J64" s="8" t="n">
        <v>3</v>
      </c>
      <c r="K64" s="8" t="s">
        <v>1131</v>
      </c>
    </row>
    <row r="65" customFormat="false" ht="15" hidden="false" customHeight="true" outlineLevel="0" collapsed="false">
      <c r="A65" s="8" t="s">
        <v>361</v>
      </c>
      <c r="B65" s="8" t="s">
        <v>360</v>
      </c>
      <c r="C65" s="11" t="n">
        <v>40000</v>
      </c>
      <c r="D65" s="11"/>
      <c r="E65" s="11"/>
      <c r="F65" s="11"/>
      <c r="G65" s="11"/>
      <c r="H65" s="11" t="n">
        <f aca="false">SUM(C65:G65)</f>
        <v>40000</v>
      </c>
      <c r="I65" s="8" t="n">
        <v>2</v>
      </c>
      <c r="J65" s="8" t="n">
        <v>2</v>
      </c>
      <c r="K65" s="8" t="s">
        <v>1131</v>
      </c>
    </row>
    <row r="66" customFormat="false" ht="15" hidden="false" customHeight="true" outlineLevel="0" collapsed="false">
      <c r="A66" s="8" t="s">
        <v>512</v>
      </c>
      <c r="B66" s="8" t="s">
        <v>771</v>
      </c>
      <c r="C66" s="11" t="n">
        <v>5000</v>
      </c>
      <c r="D66" s="11"/>
      <c r="E66" s="11"/>
      <c r="F66" s="11"/>
      <c r="G66" s="11" t="n">
        <v>35000</v>
      </c>
      <c r="H66" s="11" t="n">
        <f aca="false">SUM(C66:G66)</f>
        <v>40000</v>
      </c>
      <c r="I66" s="8" t="n">
        <v>2</v>
      </c>
      <c r="J66" s="8" t="n">
        <v>2</v>
      </c>
      <c r="K66" s="8" t="s">
        <v>1088</v>
      </c>
    </row>
    <row r="67" customFormat="false" ht="15" hidden="false" customHeight="true" outlineLevel="0" collapsed="false">
      <c r="A67" s="8" t="s">
        <v>486</v>
      </c>
      <c r="B67" s="8" t="s">
        <v>485</v>
      </c>
      <c r="C67" s="11" t="n">
        <v>40000</v>
      </c>
      <c r="D67" s="11"/>
      <c r="E67" s="11"/>
      <c r="F67" s="11"/>
      <c r="G67" s="11"/>
      <c r="H67" s="11" t="n">
        <f aca="false">SUM(C67:G67)</f>
        <v>40000</v>
      </c>
      <c r="I67" s="8" t="n">
        <v>4</v>
      </c>
      <c r="J67" s="8" t="n">
        <v>3</v>
      </c>
      <c r="K67" s="8" t="s">
        <v>1090</v>
      </c>
    </row>
    <row r="68" customFormat="false" ht="15" hidden="false" customHeight="true" outlineLevel="0" collapsed="false">
      <c r="A68" s="8" t="s">
        <v>1139</v>
      </c>
      <c r="B68" s="8" t="s">
        <v>625</v>
      </c>
      <c r="C68" s="11" t="n">
        <v>13500</v>
      </c>
      <c r="D68" s="11"/>
      <c r="E68" s="11"/>
      <c r="F68" s="11" t="n">
        <v>25000</v>
      </c>
      <c r="G68" s="11"/>
      <c r="H68" s="11" t="n">
        <f aca="false">SUM(C68:G68)</f>
        <v>38500</v>
      </c>
      <c r="I68" s="8" t="n">
        <v>3</v>
      </c>
      <c r="J68" s="8" t="n">
        <v>1</v>
      </c>
      <c r="K68" s="8" t="s">
        <v>602</v>
      </c>
    </row>
    <row r="69" customFormat="false" ht="15" hidden="false" customHeight="true" outlineLevel="0" collapsed="false">
      <c r="A69" s="8" t="s">
        <v>1140</v>
      </c>
      <c r="B69" s="8" t="s">
        <v>1141</v>
      </c>
      <c r="C69" s="11" t="n">
        <v>37000</v>
      </c>
      <c r="D69" s="11"/>
      <c r="E69" s="11"/>
      <c r="F69" s="11"/>
      <c r="G69" s="11"/>
      <c r="H69" s="11" t="n">
        <f aca="false">SUM(C69:G69)</f>
        <v>37000</v>
      </c>
      <c r="I69" s="8" t="n">
        <v>2</v>
      </c>
      <c r="J69" s="8" t="n">
        <v>2</v>
      </c>
      <c r="K69" s="8" t="s">
        <v>602</v>
      </c>
    </row>
    <row r="70" customFormat="false" ht="15" hidden="false" customHeight="true" outlineLevel="0" collapsed="false">
      <c r="A70" s="8" t="s">
        <v>972</v>
      </c>
      <c r="B70" s="8" t="s">
        <v>1142</v>
      </c>
      <c r="C70" s="11" t="n">
        <v>35000</v>
      </c>
      <c r="D70" s="11"/>
      <c r="E70" s="11"/>
      <c r="F70" s="11"/>
      <c r="G70" s="11"/>
      <c r="H70" s="11" t="n">
        <f aca="false">SUM(C70:G70)</f>
        <v>35000</v>
      </c>
      <c r="I70" s="8" t="n">
        <v>2</v>
      </c>
      <c r="J70" s="8" t="n">
        <v>2</v>
      </c>
      <c r="K70" s="8" t="s">
        <v>1094</v>
      </c>
    </row>
    <row r="71" customFormat="false" ht="15" hidden="false" customHeight="true" outlineLevel="0" collapsed="false">
      <c r="A71" s="8" t="s">
        <v>1143</v>
      </c>
      <c r="B71" s="8" t="s">
        <v>1144</v>
      </c>
      <c r="C71" s="11" t="n">
        <v>34000</v>
      </c>
      <c r="D71" s="11"/>
      <c r="E71" s="11"/>
      <c r="F71" s="11"/>
      <c r="G71" s="11"/>
      <c r="H71" s="11" t="n">
        <f aca="false">SUM(C71:G71)</f>
        <v>34000</v>
      </c>
      <c r="I71" s="8" t="n">
        <v>3</v>
      </c>
      <c r="J71" s="8" t="n">
        <v>2</v>
      </c>
      <c r="K71" s="8" t="s">
        <v>602</v>
      </c>
    </row>
    <row r="72" customFormat="false" ht="15" hidden="false" customHeight="true" outlineLevel="0" collapsed="false">
      <c r="A72" s="8" t="s">
        <v>1145</v>
      </c>
      <c r="B72" s="8" t="s">
        <v>1146</v>
      </c>
      <c r="C72" s="11" t="n">
        <v>32500</v>
      </c>
      <c r="D72" s="11"/>
      <c r="E72" s="11"/>
      <c r="F72" s="11"/>
      <c r="G72" s="11"/>
      <c r="H72" s="11" t="n">
        <f aca="false">SUM(C72:G72)</f>
        <v>32500</v>
      </c>
      <c r="I72" s="8" t="n">
        <v>2</v>
      </c>
      <c r="J72" s="8" t="n">
        <v>2</v>
      </c>
      <c r="K72" s="8" t="s">
        <v>1094</v>
      </c>
    </row>
    <row r="73" customFormat="false" ht="15" hidden="false" customHeight="true" outlineLevel="0" collapsed="false">
      <c r="A73" s="8" t="s">
        <v>274</v>
      </c>
      <c r="B73" s="8" t="s">
        <v>1147</v>
      </c>
      <c r="C73" s="11" t="n">
        <v>30000</v>
      </c>
      <c r="D73" s="11"/>
      <c r="E73" s="11"/>
      <c r="F73" s="11"/>
      <c r="G73" s="11"/>
      <c r="H73" s="11" t="n">
        <f aca="false">SUM(C73:G73)</f>
        <v>30000</v>
      </c>
      <c r="I73" s="8" t="n">
        <v>2</v>
      </c>
      <c r="J73" s="8" t="n">
        <v>2</v>
      </c>
      <c r="K73" s="8" t="s">
        <v>595</v>
      </c>
    </row>
    <row r="74" customFormat="false" ht="15" hidden="false" customHeight="true" outlineLevel="0" collapsed="false">
      <c r="A74" s="8" t="s">
        <v>1148</v>
      </c>
      <c r="B74" s="8" t="s">
        <v>1149</v>
      </c>
      <c r="C74" s="11" t="n">
        <v>30000</v>
      </c>
      <c r="D74" s="11"/>
      <c r="E74" s="11"/>
      <c r="F74" s="11"/>
      <c r="G74" s="11"/>
      <c r="H74" s="11" t="n">
        <f aca="false">SUM(C74:G74)</f>
        <v>30000</v>
      </c>
      <c r="I74" s="8" t="n">
        <v>2</v>
      </c>
      <c r="J74" s="8" t="n">
        <v>2</v>
      </c>
      <c r="K74" s="8" t="s">
        <v>602</v>
      </c>
    </row>
    <row r="75" customFormat="false" ht="15" hidden="false" customHeight="true" outlineLevel="0" collapsed="false">
      <c r="A75" s="8" t="s">
        <v>286</v>
      </c>
      <c r="B75" s="8" t="s">
        <v>285</v>
      </c>
      <c r="C75" s="11" t="n">
        <v>30000</v>
      </c>
      <c r="D75" s="11"/>
      <c r="E75" s="11"/>
      <c r="F75" s="11"/>
      <c r="G75" s="11"/>
      <c r="H75" s="11" t="n">
        <f aca="false">SUM(C75:G75)</f>
        <v>30000</v>
      </c>
      <c r="I75" s="8" t="n">
        <v>2</v>
      </c>
      <c r="J75" s="8" t="n">
        <v>2</v>
      </c>
      <c r="K75" s="8" t="s">
        <v>595</v>
      </c>
    </row>
    <row r="76" customFormat="false" ht="15" hidden="false" customHeight="true" outlineLevel="0" collapsed="false">
      <c r="A76" s="8" t="s">
        <v>305</v>
      </c>
      <c r="B76" s="8" t="s">
        <v>1150</v>
      </c>
      <c r="C76" s="11" t="n">
        <v>30000</v>
      </c>
      <c r="D76" s="11"/>
      <c r="E76" s="11"/>
      <c r="F76" s="11"/>
      <c r="G76" s="11"/>
      <c r="H76" s="11" t="n">
        <f aca="false">SUM(C76:G76)</f>
        <v>30000</v>
      </c>
      <c r="I76" s="8" t="n">
        <v>1</v>
      </c>
      <c r="J76" s="8" t="n">
        <v>1</v>
      </c>
      <c r="K76" s="8" t="s">
        <v>595</v>
      </c>
    </row>
    <row r="77" customFormat="false" ht="15" hidden="false" customHeight="true" outlineLevel="0" collapsed="false">
      <c r="A77" s="8" t="s">
        <v>413</v>
      </c>
      <c r="B77" s="8" t="s">
        <v>1151</v>
      </c>
      <c r="C77" s="11" t="n">
        <v>30000</v>
      </c>
      <c r="D77" s="11"/>
      <c r="E77" s="11"/>
      <c r="F77" s="11"/>
      <c r="G77" s="11"/>
      <c r="H77" s="11" t="n">
        <f aca="false">SUM(C77:G77)</f>
        <v>30000</v>
      </c>
      <c r="I77" s="8" t="n">
        <v>4</v>
      </c>
      <c r="J77" s="8" t="n">
        <v>2</v>
      </c>
      <c r="K77" s="8" t="s">
        <v>1090</v>
      </c>
    </row>
    <row r="78" customFormat="false" ht="15" hidden="false" customHeight="true" outlineLevel="0" collapsed="false">
      <c r="A78" s="8" t="s">
        <v>1152</v>
      </c>
      <c r="B78" s="8" t="s">
        <v>1153</v>
      </c>
      <c r="C78" s="11" t="n">
        <v>30000</v>
      </c>
      <c r="D78" s="11"/>
      <c r="E78" s="11"/>
      <c r="F78" s="11"/>
      <c r="G78" s="11"/>
      <c r="H78" s="11" t="n">
        <f aca="false">SUM(C78:G78)</f>
        <v>30000</v>
      </c>
      <c r="I78" s="8" t="n">
        <v>1</v>
      </c>
      <c r="J78" s="8" t="n">
        <v>1</v>
      </c>
      <c r="K78" s="8" t="s">
        <v>588</v>
      </c>
    </row>
    <row r="79" customFormat="false" ht="15" hidden="false" customHeight="true" outlineLevel="0" collapsed="false">
      <c r="A79" s="8" t="s">
        <v>1154</v>
      </c>
      <c r="B79" s="8" t="s">
        <v>1155</v>
      </c>
      <c r="C79" s="11" t="n">
        <v>30000</v>
      </c>
      <c r="D79" s="11"/>
      <c r="E79" s="11"/>
      <c r="F79" s="11"/>
      <c r="G79" s="11"/>
      <c r="H79" s="11" t="n">
        <f aca="false">SUM(C79:G79)</f>
        <v>30000</v>
      </c>
      <c r="I79" s="8" t="n">
        <v>1</v>
      </c>
      <c r="J79" s="8" t="n">
        <v>1</v>
      </c>
      <c r="K79" s="8" t="s">
        <v>602</v>
      </c>
    </row>
    <row r="80" customFormat="false" ht="15" hidden="false" customHeight="true" outlineLevel="0" collapsed="false">
      <c r="A80" s="8" t="s">
        <v>541</v>
      </c>
      <c r="B80" s="8" t="s">
        <v>1156</v>
      </c>
      <c r="C80" s="11" t="n">
        <v>30000</v>
      </c>
      <c r="D80" s="11"/>
      <c r="E80" s="11"/>
      <c r="F80" s="11"/>
      <c r="G80" s="11"/>
      <c r="H80" s="11" t="n">
        <f aca="false">SUM(C80:G80)</f>
        <v>30000</v>
      </c>
      <c r="I80" s="8" t="n">
        <v>3</v>
      </c>
      <c r="J80" s="8" t="n">
        <v>3</v>
      </c>
      <c r="K80" s="8" t="s">
        <v>1090</v>
      </c>
    </row>
    <row r="81" customFormat="false" ht="15" hidden="false" customHeight="true" outlineLevel="0" collapsed="false">
      <c r="A81" s="8" t="s">
        <v>564</v>
      </c>
      <c r="B81" s="8" t="s">
        <v>563</v>
      </c>
      <c r="C81" s="11" t="n">
        <v>5000</v>
      </c>
      <c r="D81" s="11"/>
      <c r="E81" s="11"/>
      <c r="F81" s="11"/>
      <c r="G81" s="11" t="n">
        <v>25000</v>
      </c>
      <c r="H81" s="11" t="n">
        <f aca="false">SUM(C81:G81)</f>
        <v>30000</v>
      </c>
      <c r="I81" s="8" t="n">
        <v>2</v>
      </c>
      <c r="J81" s="8" t="n">
        <v>2</v>
      </c>
      <c r="K81" s="8" t="s">
        <v>1088</v>
      </c>
    </row>
    <row r="82" customFormat="false" ht="15" hidden="false" customHeight="true" outlineLevel="0" collapsed="false">
      <c r="A82" s="8" t="s">
        <v>436</v>
      </c>
      <c r="B82" s="8" t="s">
        <v>435</v>
      </c>
      <c r="C82" s="11" t="n">
        <v>25000</v>
      </c>
      <c r="D82" s="11"/>
      <c r="E82" s="11"/>
      <c r="F82" s="11"/>
      <c r="G82" s="11"/>
      <c r="H82" s="11" t="n">
        <f aca="false">SUM(C82:G82)</f>
        <v>25000</v>
      </c>
      <c r="I82" s="8" t="n">
        <v>3</v>
      </c>
      <c r="J82" s="8" t="n">
        <v>3</v>
      </c>
      <c r="K82" s="8" t="s">
        <v>1131</v>
      </c>
    </row>
    <row r="83" customFormat="false" ht="15" hidden="false" customHeight="true" outlineLevel="0" collapsed="false">
      <c r="A83" s="8" t="s">
        <v>1157</v>
      </c>
      <c r="B83" s="8" t="s">
        <v>1158</v>
      </c>
      <c r="C83" s="11" t="n">
        <v>25000</v>
      </c>
      <c r="D83" s="11"/>
      <c r="E83" s="11"/>
      <c r="F83" s="11"/>
      <c r="G83" s="11"/>
      <c r="H83" s="11" t="n">
        <f aca="false">SUM(C83:G83)</f>
        <v>25000</v>
      </c>
      <c r="I83" s="8" t="n">
        <v>2</v>
      </c>
      <c r="J83" s="8" t="n">
        <v>1</v>
      </c>
      <c r="K83" s="8" t="s">
        <v>602</v>
      </c>
    </row>
    <row r="84" customFormat="false" ht="15" hidden="false" customHeight="true" outlineLevel="0" collapsed="false">
      <c r="A84" s="8" t="s">
        <v>508</v>
      </c>
      <c r="B84" s="8" t="s">
        <v>933</v>
      </c>
      <c r="C84" s="11" t="n">
        <v>25000</v>
      </c>
      <c r="D84" s="11"/>
      <c r="E84" s="11"/>
      <c r="F84" s="11"/>
      <c r="G84" s="11"/>
      <c r="H84" s="11" t="n">
        <f aca="false">SUM(C84:G84)</f>
        <v>25000</v>
      </c>
      <c r="I84" s="8" t="n">
        <v>3</v>
      </c>
      <c r="J84" s="8" t="n">
        <v>2</v>
      </c>
      <c r="K84" s="8" t="s">
        <v>1090</v>
      </c>
    </row>
    <row r="85" customFormat="false" ht="15" hidden="false" customHeight="true" outlineLevel="0" collapsed="false">
      <c r="A85" s="8" t="s">
        <v>567</v>
      </c>
      <c r="B85" s="8" t="s">
        <v>1159</v>
      </c>
      <c r="C85" s="11" t="n">
        <v>25000</v>
      </c>
      <c r="D85" s="11"/>
      <c r="E85" s="11"/>
      <c r="F85" s="11"/>
      <c r="G85" s="11"/>
      <c r="H85" s="11" t="n">
        <f aca="false">SUM(C85:G85)</f>
        <v>25000</v>
      </c>
      <c r="I85" s="8" t="n">
        <v>3</v>
      </c>
      <c r="J85" s="8" t="n">
        <v>3</v>
      </c>
      <c r="K85" s="8" t="s">
        <v>1090</v>
      </c>
    </row>
    <row r="86" customFormat="false" ht="15" hidden="false" customHeight="true" outlineLevel="0" collapsed="false">
      <c r="A86" s="8" t="s">
        <v>516</v>
      </c>
      <c r="B86" s="8" t="s">
        <v>515</v>
      </c>
      <c r="C86" s="11" t="n">
        <v>25000</v>
      </c>
      <c r="D86" s="11"/>
      <c r="E86" s="11"/>
      <c r="F86" s="11"/>
      <c r="G86" s="11"/>
      <c r="H86" s="11" t="n">
        <f aca="false">SUM(C86:G86)</f>
        <v>25000</v>
      </c>
      <c r="I86" s="8" t="n">
        <v>3</v>
      </c>
      <c r="J86" s="8" t="n">
        <v>2</v>
      </c>
      <c r="K86" s="8" t="s">
        <v>1083</v>
      </c>
    </row>
    <row r="87" customFormat="false" ht="15" hidden="false" customHeight="true" outlineLevel="0" collapsed="false">
      <c r="A87" s="8" t="s">
        <v>1160</v>
      </c>
      <c r="B87" s="8" t="s">
        <v>1161</v>
      </c>
      <c r="C87" s="11" t="n">
        <v>25000</v>
      </c>
      <c r="D87" s="11"/>
      <c r="E87" s="11"/>
      <c r="F87" s="11"/>
      <c r="G87" s="11"/>
      <c r="H87" s="11" t="n">
        <f aca="false">SUM(C87:G87)</f>
        <v>25000</v>
      </c>
      <c r="I87" s="8" t="n">
        <v>2</v>
      </c>
      <c r="J87" s="8" t="n">
        <v>2</v>
      </c>
      <c r="K87" s="8" t="s">
        <v>1094</v>
      </c>
    </row>
    <row r="88" customFormat="false" ht="15" hidden="false" customHeight="true" outlineLevel="0" collapsed="false">
      <c r="A88" s="8" t="s">
        <v>474</v>
      </c>
      <c r="B88" s="8" t="s">
        <v>1162</v>
      </c>
      <c r="C88" s="11" t="n">
        <v>25000</v>
      </c>
      <c r="D88" s="11"/>
      <c r="E88" s="11"/>
      <c r="F88" s="11"/>
      <c r="G88" s="11"/>
      <c r="H88" s="11" t="n">
        <f aca="false">SUM(C88:G88)</f>
        <v>25000</v>
      </c>
      <c r="I88" s="8" t="n">
        <v>2</v>
      </c>
      <c r="J88" s="8" t="n">
        <v>2</v>
      </c>
      <c r="K88" s="8" t="s">
        <v>1083</v>
      </c>
    </row>
    <row r="89" customFormat="false" ht="15" hidden="false" customHeight="true" outlineLevel="0" collapsed="false">
      <c r="A89" s="8" t="s">
        <v>529</v>
      </c>
      <c r="B89" s="8" t="s">
        <v>528</v>
      </c>
      <c r="C89" s="11" t="n">
        <v>21000</v>
      </c>
      <c r="D89" s="11"/>
      <c r="E89" s="11"/>
      <c r="F89" s="11"/>
      <c r="G89" s="11"/>
      <c r="H89" s="11" t="n">
        <f aca="false">SUM(C89:G89)</f>
        <v>21000</v>
      </c>
      <c r="I89" s="8" t="n">
        <v>3</v>
      </c>
      <c r="J89" s="8" t="n">
        <v>1</v>
      </c>
      <c r="K89" s="8" t="s">
        <v>1090</v>
      </c>
    </row>
    <row r="90" customFormat="false" ht="15" hidden="false" customHeight="true" outlineLevel="0" collapsed="false">
      <c r="A90" s="8" t="s">
        <v>425</v>
      </c>
      <c r="B90" s="8" t="s">
        <v>1163</v>
      </c>
      <c r="C90" s="11" t="n">
        <v>20000</v>
      </c>
      <c r="D90" s="11"/>
      <c r="E90" s="11"/>
      <c r="F90" s="11"/>
      <c r="G90" s="11"/>
      <c r="H90" s="11" t="n">
        <f aca="false">SUM(C90:G90)</f>
        <v>20000</v>
      </c>
      <c r="I90" s="8" t="n">
        <v>2</v>
      </c>
      <c r="J90" s="8" t="n">
        <v>2</v>
      </c>
      <c r="K90" s="8" t="s">
        <v>1131</v>
      </c>
    </row>
    <row r="91" customFormat="false" ht="15" hidden="false" customHeight="true" outlineLevel="0" collapsed="false">
      <c r="A91" s="8" t="s">
        <v>1164</v>
      </c>
      <c r="B91" s="8" t="s">
        <v>1165</v>
      </c>
      <c r="C91" s="11" t="n">
        <v>20000</v>
      </c>
      <c r="D91" s="11"/>
      <c r="E91" s="11"/>
      <c r="F91" s="11"/>
      <c r="G91" s="11"/>
      <c r="H91" s="11" t="n">
        <f aca="false">SUM(C91:G91)</f>
        <v>20000</v>
      </c>
      <c r="I91" s="8" t="n">
        <v>2</v>
      </c>
      <c r="J91" s="8" t="n">
        <v>2</v>
      </c>
      <c r="K91" s="8" t="s">
        <v>588</v>
      </c>
    </row>
    <row r="92" customFormat="false" ht="15" hidden="false" customHeight="true" outlineLevel="0" collapsed="false">
      <c r="A92" s="8" t="s">
        <v>322</v>
      </c>
      <c r="B92" s="8" t="s">
        <v>1166</v>
      </c>
      <c r="C92" s="11" t="n">
        <v>20000</v>
      </c>
      <c r="D92" s="11"/>
      <c r="E92" s="11"/>
      <c r="F92" s="11"/>
      <c r="G92" s="11"/>
      <c r="H92" s="11" t="n">
        <f aca="false">SUM(C92:G92)</f>
        <v>20000</v>
      </c>
      <c r="I92" s="8" t="n">
        <v>2</v>
      </c>
      <c r="J92" s="8" t="n">
        <v>2</v>
      </c>
      <c r="K92" s="8" t="s">
        <v>595</v>
      </c>
    </row>
    <row r="93" customFormat="false" ht="15" hidden="false" customHeight="true" outlineLevel="0" collapsed="false">
      <c r="A93" s="8" t="s">
        <v>478</v>
      </c>
      <c r="B93" s="8" t="s">
        <v>1167</v>
      </c>
      <c r="C93" s="11" t="n">
        <v>20000</v>
      </c>
      <c r="D93" s="11"/>
      <c r="E93" s="11"/>
      <c r="F93" s="11"/>
      <c r="G93" s="11"/>
      <c r="H93" s="11" t="n">
        <f aca="false">SUM(C93:G93)</f>
        <v>20000</v>
      </c>
      <c r="I93" s="8" t="n">
        <v>2</v>
      </c>
      <c r="J93" s="8" t="n">
        <v>2</v>
      </c>
      <c r="K93" s="8" t="s">
        <v>1083</v>
      </c>
    </row>
    <row r="94" customFormat="false" ht="15" hidden="false" customHeight="true" outlineLevel="0" collapsed="false">
      <c r="A94" s="8" t="s">
        <v>329</v>
      </c>
      <c r="B94" s="8" t="s">
        <v>328</v>
      </c>
      <c r="C94" s="11" t="n">
        <v>20000</v>
      </c>
      <c r="D94" s="11"/>
      <c r="E94" s="11"/>
      <c r="F94" s="11"/>
      <c r="G94" s="11"/>
      <c r="H94" s="11" t="n">
        <f aca="false">SUM(C94:G94)</f>
        <v>20000</v>
      </c>
      <c r="I94" s="8" t="n">
        <v>1</v>
      </c>
      <c r="J94" s="8" t="n">
        <v>1</v>
      </c>
      <c r="K94" s="8" t="s">
        <v>595</v>
      </c>
    </row>
    <row r="95" customFormat="false" ht="15" hidden="false" customHeight="true" outlineLevel="0" collapsed="false">
      <c r="A95" s="8" t="s">
        <v>1168</v>
      </c>
      <c r="B95" s="8" t="s">
        <v>1169</v>
      </c>
      <c r="C95" s="11" t="n">
        <v>20000</v>
      </c>
      <c r="D95" s="11"/>
      <c r="E95" s="11"/>
      <c r="F95" s="11"/>
      <c r="G95" s="11"/>
      <c r="H95" s="11" t="n">
        <f aca="false">SUM(C95:G95)</f>
        <v>20000</v>
      </c>
      <c r="I95" s="8" t="n">
        <v>1</v>
      </c>
      <c r="J95" s="8" t="n">
        <v>1</v>
      </c>
      <c r="K95" s="8" t="s">
        <v>602</v>
      </c>
    </row>
    <row r="96" customFormat="false" ht="15" hidden="false" customHeight="true" outlineLevel="0" collapsed="false">
      <c r="A96" s="8" t="s">
        <v>337</v>
      </c>
      <c r="B96" s="8" t="s">
        <v>336</v>
      </c>
      <c r="C96" s="11" t="n">
        <v>20000</v>
      </c>
      <c r="D96" s="11"/>
      <c r="E96" s="11"/>
      <c r="F96" s="11"/>
      <c r="G96" s="11"/>
      <c r="H96" s="11" t="n">
        <f aca="false">SUM(C96:G96)</f>
        <v>20000</v>
      </c>
      <c r="I96" s="8" t="n">
        <v>1</v>
      </c>
      <c r="J96" s="8" t="n">
        <v>1</v>
      </c>
      <c r="K96" s="8" t="s">
        <v>595</v>
      </c>
    </row>
    <row r="97" customFormat="false" ht="15" hidden="false" customHeight="true" outlineLevel="0" collapsed="false">
      <c r="A97" s="8" t="s">
        <v>341</v>
      </c>
      <c r="B97" s="8" t="s">
        <v>340</v>
      </c>
      <c r="C97" s="11" t="n">
        <v>20000</v>
      </c>
      <c r="D97" s="11"/>
      <c r="E97" s="11"/>
      <c r="F97" s="11"/>
      <c r="G97" s="11"/>
      <c r="H97" s="11" t="n">
        <f aca="false">SUM(C97:G97)</f>
        <v>20000</v>
      </c>
      <c r="I97" s="8" t="n">
        <v>1</v>
      </c>
      <c r="J97" s="8" t="n">
        <v>1</v>
      </c>
      <c r="K97" s="8" t="s">
        <v>595</v>
      </c>
    </row>
    <row r="98" customFormat="false" ht="15" hidden="false" customHeight="true" outlineLevel="0" collapsed="false">
      <c r="A98" s="8" t="s">
        <v>354</v>
      </c>
      <c r="B98" s="8" t="s">
        <v>353</v>
      </c>
      <c r="C98" s="11" t="n">
        <v>20000</v>
      </c>
      <c r="D98" s="11"/>
      <c r="E98" s="11"/>
      <c r="F98" s="11"/>
      <c r="G98" s="11"/>
      <c r="H98" s="11" t="n">
        <f aca="false">SUM(C98:G98)</f>
        <v>20000</v>
      </c>
      <c r="I98" s="8" t="n">
        <v>1</v>
      </c>
      <c r="J98" s="8" t="n">
        <v>1</v>
      </c>
      <c r="K98" s="8" t="s">
        <v>595</v>
      </c>
    </row>
    <row r="99" customFormat="false" ht="15" hidden="false" customHeight="true" outlineLevel="0" collapsed="false">
      <c r="A99" s="8" t="s">
        <v>1170</v>
      </c>
      <c r="B99" s="8" t="s">
        <v>1171</v>
      </c>
      <c r="C99" s="11" t="n">
        <v>20000</v>
      </c>
      <c r="D99" s="11"/>
      <c r="E99" s="11"/>
      <c r="F99" s="11"/>
      <c r="G99" s="11"/>
      <c r="H99" s="11" t="n">
        <f aca="false">SUM(C99:G99)</f>
        <v>20000</v>
      </c>
      <c r="I99" s="8" t="n">
        <v>1</v>
      </c>
      <c r="J99" s="8" t="n">
        <v>1</v>
      </c>
      <c r="K99" s="8" t="s">
        <v>602</v>
      </c>
    </row>
    <row r="100" customFormat="false" ht="15" hidden="false" customHeight="true" outlineLevel="0" collapsed="false">
      <c r="A100" s="8" t="s">
        <v>365</v>
      </c>
      <c r="B100" s="8" t="s">
        <v>1172</v>
      </c>
      <c r="C100" s="11" t="n">
        <v>20000</v>
      </c>
      <c r="D100" s="11"/>
      <c r="E100" s="11"/>
      <c r="F100" s="11"/>
      <c r="G100" s="11"/>
      <c r="H100" s="11" t="n">
        <f aca="false">SUM(C100:G100)</f>
        <v>20000</v>
      </c>
      <c r="I100" s="8" t="n">
        <v>1</v>
      </c>
      <c r="J100" s="8" t="n">
        <v>1</v>
      </c>
      <c r="K100" s="8" t="s">
        <v>595</v>
      </c>
    </row>
    <row r="101" customFormat="false" ht="15" hidden="false" customHeight="true" outlineLevel="0" collapsed="false">
      <c r="A101" s="8" t="s">
        <v>373</v>
      </c>
      <c r="B101" s="8" t="s">
        <v>372</v>
      </c>
      <c r="C101" s="11" t="n">
        <v>20000</v>
      </c>
      <c r="D101" s="11"/>
      <c r="E101" s="11"/>
      <c r="F101" s="11"/>
      <c r="G101" s="11"/>
      <c r="H101" s="11" t="n">
        <f aca="false">SUM(C101:G101)</f>
        <v>20000</v>
      </c>
      <c r="I101" s="8" t="n">
        <v>1</v>
      </c>
      <c r="J101" s="8" t="n">
        <v>1</v>
      </c>
      <c r="K101" s="8" t="s">
        <v>595</v>
      </c>
    </row>
    <row r="102" customFormat="false" ht="15" hidden="false" customHeight="true" outlineLevel="0" collapsed="false">
      <c r="A102" s="8" t="s">
        <v>385</v>
      </c>
      <c r="B102" s="8" t="s">
        <v>384</v>
      </c>
      <c r="C102" s="11" t="n">
        <v>20000</v>
      </c>
      <c r="D102" s="11"/>
      <c r="E102" s="11"/>
      <c r="F102" s="11"/>
      <c r="G102" s="11"/>
      <c r="H102" s="11" t="n">
        <f aca="false">SUM(C102:G102)</f>
        <v>20000</v>
      </c>
      <c r="I102" s="8" t="n">
        <v>1</v>
      </c>
      <c r="J102" s="8" t="n">
        <v>1</v>
      </c>
      <c r="K102" s="8" t="s">
        <v>595</v>
      </c>
    </row>
    <row r="103" customFormat="false" ht="15" hidden="false" customHeight="true" outlineLevel="0" collapsed="false">
      <c r="A103" s="8" t="s">
        <v>988</v>
      </c>
      <c r="B103" s="8" t="s">
        <v>987</v>
      </c>
      <c r="C103" s="11" t="n">
        <v>20000</v>
      </c>
      <c r="D103" s="11"/>
      <c r="E103" s="11"/>
      <c r="F103" s="11"/>
      <c r="G103" s="11"/>
      <c r="H103" s="11" t="n">
        <f aca="false">SUM(C103:G103)</f>
        <v>20000</v>
      </c>
      <c r="I103" s="8" t="n">
        <v>2</v>
      </c>
      <c r="J103" s="8" t="n">
        <v>1</v>
      </c>
      <c r="K103" s="8" t="s">
        <v>602</v>
      </c>
    </row>
    <row r="104" customFormat="false" ht="15" hidden="false" customHeight="true" outlineLevel="0" collapsed="false">
      <c r="A104" s="8" t="s">
        <v>391</v>
      </c>
      <c r="B104" s="8" t="s">
        <v>1173</v>
      </c>
      <c r="C104" s="11" t="n">
        <v>20000</v>
      </c>
      <c r="D104" s="11"/>
      <c r="E104" s="11"/>
      <c r="F104" s="11"/>
      <c r="G104" s="11"/>
      <c r="H104" s="11" t="n">
        <f aca="false">SUM(C104:G104)</f>
        <v>20000</v>
      </c>
      <c r="I104" s="8" t="n">
        <v>1</v>
      </c>
      <c r="J104" s="8" t="n">
        <v>1</v>
      </c>
      <c r="K104" s="8" t="s">
        <v>595</v>
      </c>
    </row>
    <row r="105" customFormat="false" ht="15" hidden="false" customHeight="true" outlineLevel="0" collapsed="false">
      <c r="A105" s="8" t="s">
        <v>994</v>
      </c>
      <c r="B105" s="8" t="s">
        <v>1174</v>
      </c>
      <c r="C105" s="11" t="n">
        <v>18000</v>
      </c>
      <c r="D105" s="11"/>
      <c r="E105" s="11"/>
      <c r="F105" s="11"/>
      <c r="G105" s="11"/>
      <c r="H105" s="11" t="n">
        <f aca="false">SUM(C105:G105)</f>
        <v>18000</v>
      </c>
      <c r="I105" s="8" t="n">
        <v>1</v>
      </c>
      <c r="J105" s="8" t="n">
        <v>1</v>
      </c>
      <c r="K105" s="8" t="s">
        <v>602</v>
      </c>
    </row>
    <row r="106" customFormat="false" ht="15" hidden="false" customHeight="true" outlineLevel="0" collapsed="false">
      <c r="A106" s="8" t="s">
        <v>401</v>
      </c>
      <c r="B106" s="8" t="s">
        <v>1175</v>
      </c>
      <c r="C106" s="11" t="n">
        <v>15000</v>
      </c>
      <c r="D106" s="11"/>
      <c r="E106" s="11"/>
      <c r="F106" s="11"/>
      <c r="G106" s="11"/>
      <c r="H106" s="11" t="n">
        <f aca="false">SUM(C106:G106)</f>
        <v>15000</v>
      </c>
      <c r="I106" s="8" t="n">
        <v>1</v>
      </c>
      <c r="J106" s="8" t="n">
        <v>1</v>
      </c>
      <c r="K106" s="8" t="s">
        <v>595</v>
      </c>
    </row>
    <row r="107" customFormat="false" ht="15" hidden="false" customHeight="true" outlineLevel="0" collapsed="false">
      <c r="A107" s="8" t="s">
        <v>1176</v>
      </c>
      <c r="B107" s="8" t="s">
        <v>1177</v>
      </c>
      <c r="C107" s="11" t="n">
        <v>15000</v>
      </c>
      <c r="D107" s="11"/>
      <c r="E107" s="11"/>
      <c r="F107" s="11"/>
      <c r="G107" s="11"/>
      <c r="H107" s="11" t="n">
        <f aca="false">SUM(C107:G107)</f>
        <v>15000</v>
      </c>
      <c r="I107" s="8" t="n">
        <v>2</v>
      </c>
      <c r="J107" s="8" t="n">
        <v>2</v>
      </c>
      <c r="K107" s="8" t="s">
        <v>588</v>
      </c>
    </row>
    <row r="108" customFormat="false" ht="15" hidden="false" customHeight="true" outlineLevel="0" collapsed="false">
      <c r="A108" s="8" t="s">
        <v>1178</v>
      </c>
      <c r="B108" s="8" t="s">
        <v>1179</v>
      </c>
      <c r="C108" s="11" t="n">
        <v>15000</v>
      </c>
      <c r="D108" s="11"/>
      <c r="E108" s="11"/>
      <c r="F108" s="11"/>
      <c r="G108" s="11"/>
      <c r="H108" s="11" t="n">
        <f aca="false">SUM(C108:G108)</f>
        <v>15000</v>
      </c>
      <c r="I108" s="8" t="n">
        <v>1</v>
      </c>
      <c r="J108" s="8" t="n">
        <v>1</v>
      </c>
      <c r="K108" s="8" t="s">
        <v>602</v>
      </c>
    </row>
    <row r="109" customFormat="false" ht="15" hidden="false" customHeight="true" outlineLevel="0" collapsed="false">
      <c r="A109" s="8" t="s">
        <v>409</v>
      </c>
      <c r="B109" s="8" t="s">
        <v>408</v>
      </c>
      <c r="C109" s="11" t="n">
        <v>15000</v>
      </c>
      <c r="D109" s="11"/>
      <c r="E109" s="11"/>
      <c r="F109" s="11"/>
      <c r="G109" s="11"/>
      <c r="H109" s="11" t="n">
        <f aca="false">SUM(C109:G109)</f>
        <v>15000</v>
      </c>
      <c r="I109" s="8" t="n">
        <v>1</v>
      </c>
      <c r="J109" s="8" t="n">
        <v>1</v>
      </c>
      <c r="K109" s="8" t="s">
        <v>595</v>
      </c>
    </row>
    <row r="110" customFormat="false" ht="15" hidden="false" customHeight="true" outlineLevel="0" collapsed="false">
      <c r="A110" s="8" t="s">
        <v>1180</v>
      </c>
      <c r="B110" s="8" t="s">
        <v>1181</v>
      </c>
      <c r="C110" s="11" t="n">
        <v>15000</v>
      </c>
      <c r="D110" s="11"/>
      <c r="E110" s="11"/>
      <c r="F110" s="11"/>
      <c r="G110" s="11"/>
      <c r="H110" s="11" t="n">
        <f aca="false">SUM(C110:G110)</f>
        <v>15000</v>
      </c>
      <c r="I110" s="8" t="n">
        <v>1</v>
      </c>
      <c r="J110" s="8" t="n">
        <v>1</v>
      </c>
      <c r="K110" s="8" t="s">
        <v>588</v>
      </c>
    </row>
    <row r="111" customFormat="false" ht="15" hidden="false" customHeight="true" outlineLevel="0" collapsed="false">
      <c r="A111" s="8" t="s">
        <v>421</v>
      </c>
      <c r="B111" s="8" t="s">
        <v>927</v>
      </c>
      <c r="C111" s="11" t="n">
        <v>15000</v>
      </c>
      <c r="D111" s="11"/>
      <c r="E111" s="11"/>
      <c r="F111" s="11"/>
      <c r="G111" s="11"/>
      <c r="H111" s="11" t="n">
        <f aca="false">SUM(C111:G111)</f>
        <v>15000</v>
      </c>
      <c r="I111" s="8" t="n">
        <v>1</v>
      </c>
      <c r="J111" s="8" t="n">
        <v>1</v>
      </c>
      <c r="K111" s="8" t="s">
        <v>595</v>
      </c>
    </row>
    <row r="112" customFormat="false" ht="15" hidden="false" customHeight="true" outlineLevel="0" collapsed="false">
      <c r="A112" s="8" t="s">
        <v>1182</v>
      </c>
      <c r="B112" s="8" t="s">
        <v>1183</v>
      </c>
      <c r="C112" s="11" t="n">
        <v>15000</v>
      </c>
      <c r="D112" s="11"/>
      <c r="E112" s="11"/>
      <c r="F112" s="11"/>
      <c r="G112" s="11"/>
      <c r="H112" s="11" t="n">
        <f aca="false">SUM(C112:G112)</f>
        <v>15000</v>
      </c>
      <c r="I112" s="8" t="n">
        <v>2</v>
      </c>
      <c r="J112" s="8" t="n">
        <v>1</v>
      </c>
      <c r="K112" s="8" t="s">
        <v>1094</v>
      </c>
    </row>
    <row r="113" customFormat="false" ht="15" hidden="false" customHeight="true" outlineLevel="0" collapsed="false">
      <c r="A113" s="8" t="s">
        <v>416</v>
      </c>
      <c r="B113" s="8" t="s">
        <v>415</v>
      </c>
      <c r="C113" s="11" t="n">
        <v>15000</v>
      </c>
      <c r="D113" s="11"/>
      <c r="E113" s="11"/>
      <c r="F113" s="11"/>
      <c r="G113" s="11"/>
      <c r="H113" s="11" t="n">
        <f aca="false">SUM(C113:G113)</f>
        <v>15000</v>
      </c>
      <c r="I113" s="8" t="n">
        <v>2</v>
      </c>
      <c r="J113" s="8" t="n">
        <v>2</v>
      </c>
      <c r="K113" s="8" t="s">
        <v>595</v>
      </c>
    </row>
    <row r="114" customFormat="false" ht="15" hidden="false" customHeight="true" outlineLevel="0" collapsed="false">
      <c r="A114" s="8" t="s">
        <v>1184</v>
      </c>
      <c r="B114" s="8" t="s">
        <v>1185</v>
      </c>
      <c r="C114" s="11"/>
      <c r="D114" s="11"/>
      <c r="E114" s="11" t="n">
        <v>15000</v>
      </c>
      <c r="F114" s="11"/>
      <c r="G114" s="11"/>
      <c r="H114" s="11" t="n">
        <f aca="false">SUM(C114:G114)</f>
        <v>15000</v>
      </c>
      <c r="I114" s="8" t="n">
        <v>1</v>
      </c>
      <c r="J114" s="8" t="n">
        <v>1</v>
      </c>
      <c r="K114" s="8" t="s">
        <v>1186</v>
      </c>
    </row>
    <row r="115" customFormat="false" ht="15" hidden="false" customHeight="true" outlineLevel="0" collapsed="false">
      <c r="A115" s="8" t="s">
        <v>1187</v>
      </c>
      <c r="B115" s="8" t="s">
        <v>1188</v>
      </c>
      <c r="C115" s="11" t="n">
        <v>10000</v>
      </c>
      <c r="D115" s="11"/>
      <c r="E115" s="11" t="n">
        <v>3000</v>
      </c>
      <c r="F115" s="11"/>
      <c r="G115" s="11"/>
      <c r="H115" s="11" t="n">
        <f aca="false">SUM(C115:G115)</f>
        <v>13000</v>
      </c>
      <c r="I115" s="8" t="n">
        <v>3</v>
      </c>
      <c r="J115" s="8" t="n">
        <v>2</v>
      </c>
      <c r="K115" s="8" t="s">
        <v>1189</v>
      </c>
    </row>
    <row r="116" customFormat="false" ht="15" hidden="false" customHeight="true" outlineLevel="0" collapsed="false">
      <c r="A116" s="8" t="s">
        <v>1190</v>
      </c>
      <c r="B116" s="8" t="s">
        <v>1191</v>
      </c>
      <c r="C116" s="11" t="n">
        <v>12500</v>
      </c>
      <c r="D116" s="11"/>
      <c r="E116" s="11"/>
      <c r="F116" s="11"/>
      <c r="G116" s="11"/>
      <c r="H116" s="11" t="n">
        <f aca="false">SUM(C116:G116)</f>
        <v>12500</v>
      </c>
      <c r="I116" s="8" t="n">
        <v>2</v>
      </c>
      <c r="J116" s="8" t="n">
        <v>2</v>
      </c>
      <c r="K116" s="8" t="s">
        <v>1094</v>
      </c>
    </row>
    <row r="117" customFormat="false" ht="15" hidden="false" customHeight="true" outlineLevel="0" collapsed="false">
      <c r="A117" s="8" t="s">
        <v>1192</v>
      </c>
      <c r="B117" s="8" t="s">
        <v>1193</v>
      </c>
      <c r="C117" s="11" t="n">
        <v>11500</v>
      </c>
      <c r="D117" s="11"/>
      <c r="E117" s="11"/>
      <c r="F117" s="11"/>
      <c r="G117" s="11"/>
      <c r="H117" s="11" t="n">
        <f aca="false">SUM(C117:G117)</f>
        <v>11500</v>
      </c>
      <c r="I117" s="8" t="n">
        <v>1</v>
      </c>
      <c r="J117" s="8" t="n">
        <v>1</v>
      </c>
      <c r="K117" s="8" t="s">
        <v>588</v>
      </c>
    </row>
    <row r="118" customFormat="false" ht="15" hidden="false" customHeight="true" outlineLevel="0" collapsed="false">
      <c r="A118" s="8" t="s">
        <v>1194</v>
      </c>
      <c r="B118" s="8" t="s">
        <v>1195</v>
      </c>
      <c r="C118" s="11" t="n">
        <v>10000</v>
      </c>
      <c r="D118" s="11"/>
      <c r="E118" s="11"/>
      <c r="F118" s="11"/>
      <c r="G118" s="11"/>
      <c r="H118" s="11" t="n">
        <f aca="false">SUM(C118:G118)</f>
        <v>10000</v>
      </c>
      <c r="I118" s="8" t="n">
        <v>1</v>
      </c>
      <c r="J118" s="8" t="n">
        <v>1</v>
      </c>
      <c r="K118" s="8" t="s">
        <v>602</v>
      </c>
    </row>
    <row r="119" customFormat="false" ht="15" hidden="false" customHeight="true" outlineLevel="0" collapsed="false">
      <c r="A119" s="8" t="s">
        <v>1196</v>
      </c>
      <c r="B119" s="8" t="s">
        <v>1197</v>
      </c>
      <c r="C119" s="11" t="n">
        <v>10000</v>
      </c>
      <c r="D119" s="11"/>
      <c r="E119" s="11"/>
      <c r="F119" s="11"/>
      <c r="G119" s="11"/>
      <c r="H119" s="11" t="n">
        <f aca="false">SUM(C119:G119)</f>
        <v>10000</v>
      </c>
      <c r="I119" s="8" t="n">
        <v>2</v>
      </c>
      <c r="J119" s="8" t="n">
        <v>2</v>
      </c>
      <c r="K119" s="8" t="s">
        <v>588</v>
      </c>
    </row>
    <row r="120" customFormat="false" ht="15" hidden="false" customHeight="true" outlineLevel="0" collapsed="false">
      <c r="A120" s="8" t="s">
        <v>1198</v>
      </c>
      <c r="B120" s="8" t="s">
        <v>1199</v>
      </c>
      <c r="C120" s="11" t="n">
        <v>10000</v>
      </c>
      <c r="D120" s="11"/>
      <c r="E120" s="11"/>
      <c r="F120" s="11"/>
      <c r="G120" s="11"/>
      <c r="H120" s="11" t="n">
        <f aca="false">SUM(C120:G120)</f>
        <v>10000</v>
      </c>
      <c r="I120" s="8" t="n">
        <v>1</v>
      </c>
      <c r="J120" s="8" t="n">
        <v>1</v>
      </c>
      <c r="K120" s="8" t="s">
        <v>588</v>
      </c>
    </row>
    <row r="121" customFormat="false" ht="15" hidden="false" customHeight="true" outlineLevel="0" collapsed="false">
      <c r="A121" s="8" t="s">
        <v>432</v>
      </c>
      <c r="B121" s="8" t="s">
        <v>431</v>
      </c>
      <c r="C121" s="11" t="n">
        <v>10000</v>
      </c>
      <c r="D121" s="11"/>
      <c r="E121" s="11"/>
      <c r="F121" s="11"/>
      <c r="G121" s="11"/>
      <c r="H121" s="11" t="n">
        <f aca="false">SUM(C121:G121)</f>
        <v>10000</v>
      </c>
      <c r="I121" s="8" t="n">
        <v>1</v>
      </c>
      <c r="J121" s="8" t="n">
        <v>1</v>
      </c>
      <c r="K121" s="8" t="s">
        <v>595</v>
      </c>
    </row>
    <row r="122" customFormat="false" ht="15" hidden="false" customHeight="true" outlineLevel="0" collapsed="false">
      <c r="A122" s="8" t="s">
        <v>1200</v>
      </c>
      <c r="B122" s="8" t="s">
        <v>1201</v>
      </c>
      <c r="C122" s="11" t="n">
        <v>10000</v>
      </c>
      <c r="D122" s="11"/>
      <c r="E122" s="11"/>
      <c r="F122" s="11"/>
      <c r="G122" s="11"/>
      <c r="H122" s="11" t="n">
        <f aca="false">SUM(C122:G122)</f>
        <v>10000</v>
      </c>
      <c r="I122" s="8" t="n">
        <v>1</v>
      </c>
      <c r="J122" s="8" t="n">
        <v>1</v>
      </c>
      <c r="K122" s="8" t="s">
        <v>602</v>
      </c>
    </row>
    <row r="123" customFormat="false" ht="15" hidden="false" customHeight="true" outlineLevel="0" collapsed="false">
      <c r="A123" s="8" t="s">
        <v>439</v>
      </c>
      <c r="B123" s="8" t="s">
        <v>1202</v>
      </c>
      <c r="C123" s="11" t="n">
        <v>10000</v>
      </c>
      <c r="D123" s="11"/>
      <c r="E123" s="11"/>
      <c r="F123" s="11"/>
      <c r="G123" s="11"/>
      <c r="H123" s="11" t="n">
        <f aca="false">SUM(C123:G123)</f>
        <v>10000</v>
      </c>
      <c r="I123" s="8" t="n">
        <v>1</v>
      </c>
      <c r="J123" s="8" t="n">
        <v>1</v>
      </c>
      <c r="K123" s="8" t="s">
        <v>595</v>
      </c>
    </row>
    <row r="124" customFormat="false" ht="15" hidden="false" customHeight="true" outlineLevel="0" collapsed="false">
      <c r="A124" s="8" t="s">
        <v>1203</v>
      </c>
      <c r="B124" s="8" t="s">
        <v>1204</v>
      </c>
      <c r="C124" s="11" t="n">
        <v>10000</v>
      </c>
      <c r="D124" s="11"/>
      <c r="E124" s="11"/>
      <c r="F124" s="11"/>
      <c r="G124" s="11"/>
      <c r="H124" s="11" t="n">
        <f aca="false">SUM(C124:G124)</f>
        <v>10000</v>
      </c>
      <c r="I124" s="8" t="n">
        <v>1</v>
      </c>
      <c r="J124" s="8" t="n">
        <v>1</v>
      </c>
      <c r="K124" s="8" t="s">
        <v>588</v>
      </c>
    </row>
    <row r="125" customFormat="false" ht="15" hidden="false" customHeight="true" outlineLevel="0" collapsed="false">
      <c r="A125" s="8" t="s">
        <v>445</v>
      </c>
      <c r="B125" s="8" t="s">
        <v>444</v>
      </c>
      <c r="C125" s="11" t="n">
        <v>10000</v>
      </c>
      <c r="D125" s="11"/>
      <c r="E125" s="11"/>
      <c r="F125" s="11"/>
      <c r="G125" s="11"/>
      <c r="H125" s="11" t="n">
        <f aca="false">SUM(C125:G125)</f>
        <v>10000</v>
      </c>
      <c r="I125" s="8" t="n">
        <v>1</v>
      </c>
      <c r="J125" s="8" t="n">
        <v>1</v>
      </c>
      <c r="K125" s="8" t="s">
        <v>595</v>
      </c>
    </row>
    <row r="126" customFormat="false" ht="15" hidden="false" customHeight="true" outlineLevel="0" collapsed="false">
      <c r="A126" s="8" t="s">
        <v>449</v>
      </c>
      <c r="B126" s="8" t="s">
        <v>448</v>
      </c>
      <c r="C126" s="11" t="n">
        <v>10000</v>
      </c>
      <c r="D126" s="11"/>
      <c r="E126" s="11"/>
      <c r="F126" s="11"/>
      <c r="G126" s="11"/>
      <c r="H126" s="11" t="n">
        <f aca="false">SUM(C126:G126)</f>
        <v>10000</v>
      </c>
      <c r="I126" s="8" t="n">
        <v>1</v>
      </c>
      <c r="J126" s="8" t="n">
        <v>1</v>
      </c>
      <c r="K126" s="8" t="s">
        <v>595</v>
      </c>
    </row>
    <row r="127" customFormat="false" ht="15" hidden="false" customHeight="true" outlineLevel="0" collapsed="false">
      <c r="A127" s="8" t="s">
        <v>1205</v>
      </c>
      <c r="B127" s="8" t="s">
        <v>1206</v>
      </c>
      <c r="C127" s="11" t="n">
        <v>10000</v>
      </c>
      <c r="D127" s="11"/>
      <c r="E127" s="11"/>
      <c r="F127" s="11"/>
      <c r="G127" s="11"/>
      <c r="H127" s="11" t="n">
        <f aca="false">SUM(C127:G127)</f>
        <v>10000</v>
      </c>
      <c r="I127" s="8" t="n">
        <v>1</v>
      </c>
      <c r="J127" s="8" t="n">
        <v>1</v>
      </c>
      <c r="K127" s="8" t="s">
        <v>602</v>
      </c>
    </row>
    <row r="128" customFormat="false" ht="15" hidden="false" customHeight="true" outlineLevel="0" collapsed="false">
      <c r="A128" s="8" t="s">
        <v>457</v>
      </c>
      <c r="B128" s="8" t="s">
        <v>456</v>
      </c>
      <c r="C128" s="11" t="n">
        <v>10000</v>
      </c>
      <c r="D128" s="11"/>
      <c r="E128" s="11"/>
      <c r="F128" s="11"/>
      <c r="G128" s="11"/>
      <c r="H128" s="11" t="n">
        <f aca="false">SUM(C128:G128)</f>
        <v>10000</v>
      </c>
      <c r="I128" s="8" t="n">
        <v>1</v>
      </c>
      <c r="J128" s="8" t="n">
        <v>1</v>
      </c>
      <c r="K128" s="8" t="s">
        <v>595</v>
      </c>
    </row>
    <row r="129" customFormat="false" ht="15" hidden="false" customHeight="true" outlineLevel="0" collapsed="false">
      <c r="A129" s="8" t="s">
        <v>1207</v>
      </c>
      <c r="B129" s="8" t="s">
        <v>1208</v>
      </c>
      <c r="C129" s="11" t="n">
        <v>10000</v>
      </c>
      <c r="D129" s="11"/>
      <c r="E129" s="11"/>
      <c r="F129" s="11"/>
      <c r="G129" s="11"/>
      <c r="H129" s="11" t="n">
        <f aca="false">SUM(C129:G129)</f>
        <v>10000</v>
      </c>
      <c r="I129" s="8" t="n">
        <v>1</v>
      </c>
      <c r="J129" s="8" t="n">
        <v>1</v>
      </c>
      <c r="K129" s="8" t="s">
        <v>588</v>
      </c>
    </row>
    <row r="130" customFormat="false" ht="15" hidden="false" customHeight="true" outlineLevel="0" collapsed="false">
      <c r="A130" s="8" t="s">
        <v>463</v>
      </c>
      <c r="B130" s="8" t="s">
        <v>462</v>
      </c>
      <c r="C130" s="11" t="n">
        <v>10000</v>
      </c>
      <c r="D130" s="11"/>
      <c r="E130" s="11"/>
      <c r="F130" s="11"/>
      <c r="G130" s="11"/>
      <c r="H130" s="11" t="n">
        <f aca="false">SUM(C130:G130)</f>
        <v>10000</v>
      </c>
      <c r="I130" s="8" t="n">
        <v>1</v>
      </c>
      <c r="J130" s="8" t="n">
        <v>1</v>
      </c>
      <c r="K130" s="8" t="s">
        <v>595</v>
      </c>
    </row>
    <row r="131" customFormat="false" ht="15" hidden="false" customHeight="true" outlineLevel="0" collapsed="false">
      <c r="A131" s="8" t="s">
        <v>1209</v>
      </c>
      <c r="B131" s="8" t="s">
        <v>1210</v>
      </c>
      <c r="C131" s="11" t="n">
        <v>10000</v>
      </c>
      <c r="D131" s="11"/>
      <c r="E131" s="11"/>
      <c r="F131" s="11"/>
      <c r="G131" s="11"/>
      <c r="H131" s="11" t="n">
        <f aca="false">SUM(C131:G131)</f>
        <v>10000</v>
      </c>
      <c r="I131" s="8" t="n">
        <v>1</v>
      </c>
      <c r="J131" s="8" t="n">
        <v>1</v>
      </c>
      <c r="K131" s="8" t="s">
        <v>588</v>
      </c>
    </row>
    <row r="132" customFormat="false" ht="15" hidden="false" customHeight="true" outlineLevel="0" collapsed="false">
      <c r="A132" s="8" t="s">
        <v>1211</v>
      </c>
      <c r="B132" s="8" t="s">
        <v>1212</v>
      </c>
      <c r="C132" s="11" t="n">
        <v>10000</v>
      </c>
      <c r="D132" s="11"/>
      <c r="E132" s="11"/>
      <c r="F132" s="11"/>
      <c r="G132" s="11"/>
      <c r="H132" s="11" t="n">
        <f aca="false">SUM(C132:G132)</f>
        <v>10000</v>
      </c>
      <c r="I132" s="8" t="n">
        <v>2</v>
      </c>
      <c r="J132" s="8" t="n">
        <v>1</v>
      </c>
      <c r="K132" s="8" t="s">
        <v>1094</v>
      </c>
    </row>
    <row r="133" customFormat="false" ht="15" hidden="false" customHeight="true" outlineLevel="0" collapsed="false">
      <c r="A133" s="8" t="s">
        <v>1213</v>
      </c>
      <c r="B133" s="8" t="s">
        <v>1214</v>
      </c>
      <c r="C133" s="11" t="n">
        <v>10000</v>
      </c>
      <c r="D133" s="11"/>
      <c r="E133" s="11"/>
      <c r="F133" s="11"/>
      <c r="G133" s="11"/>
      <c r="H133" s="11" t="n">
        <f aca="false">SUM(C133:G133)</f>
        <v>10000</v>
      </c>
      <c r="I133" s="8" t="n">
        <v>2</v>
      </c>
      <c r="J133" s="8" t="n">
        <v>2</v>
      </c>
      <c r="K133" s="8" t="s">
        <v>1094</v>
      </c>
    </row>
    <row r="134" customFormat="false" ht="15" hidden="false" customHeight="true" outlineLevel="0" collapsed="false">
      <c r="A134" s="8" t="s">
        <v>471</v>
      </c>
      <c r="B134" s="8" t="s">
        <v>1215</v>
      </c>
      <c r="C134" s="11" t="n">
        <v>10000</v>
      </c>
      <c r="D134" s="11"/>
      <c r="E134" s="11"/>
      <c r="F134" s="11"/>
      <c r="G134" s="11"/>
      <c r="H134" s="11" t="n">
        <f aca="false">SUM(C134:G134)</f>
        <v>10000</v>
      </c>
      <c r="I134" s="8" t="n">
        <v>1</v>
      </c>
      <c r="J134" s="8" t="n">
        <v>1</v>
      </c>
      <c r="K134" s="8" t="s">
        <v>595</v>
      </c>
    </row>
    <row r="135" customFormat="false" ht="15" hidden="false" customHeight="true" outlineLevel="0" collapsed="false">
      <c r="A135" s="8" t="s">
        <v>978</v>
      </c>
      <c r="B135" s="8" t="s">
        <v>977</v>
      </c>
      <c r="C135" s="11" t="n">
        <v>10000</v>
      </c>
      <c r="D135" s="11"/>
      <c r="E135" s="11"/>
      <c r="F135" s="11"/>
      <c r="G135" s="11"/>
      <c r="H135" s="11" t="n">
        <f aca="false">SUM(C135:G135)</f>
        <v>10000</v>
      </c>
      <c r="I135" s="8" t="n">
        <v>1</v>
      </c>
      <c r="J135" s="8" t="n">
        <v>1</v>
      </c>
      <c r="K135" s="8" t="s">
        <v>588</v>
      </c>
    </row>
    <row r="136" customFormat="false" ht="15" hidden="false" customHeight="true" outlineLevel="0" collapsed="false">
      <c r="A136" s="8" t="s">
        <v>482</v>
      </c>
      <c r="B136" s="8" t="s">
        <v>481</v>
      </c>
      <c r="C136" s="11" t="n">
        <v>10000</v>
      </c>
      <c r="D136" s="11"/>
      <c r="E136" s="11"/>
      <c r="F136" s="11"/>
      <c r="G136" s="11"/>
      <c r="H136" s="11" t="n">
        <f aca="false">SUM(C136:G136)</f>
        <v>10000</v>
      </c>
      <c r="I136" s="8" t="n">
        <v>1</v>
      </c>
      <c r="J136" s="8" t="n">
        <v>1</v>
      </c>
      <c r="K136" s="8" t="s">
        <v>595</v>
      </c>
    </row>
    <row r="137" customFormat="false" ht="15" hidden="false" customHeight="true" outlineLevel="0" collapsed="false">
      <c r="A137" s="8" t="s">
        <v>550</v>
      </c>
      <c r="B137" s="8" t="s">
        <v>549</v>
      </c>
      <c r="C137" s="11" t="n">
        <v>10000</v>
      </c>
      <c r="D137" s="11"/>
      <c r="E137" s="11"/>
      <c r="F137" s="11"/>
      <c r="G137" s="11"/>
      <c r="H137" s="11" t="n">
        <f aca="false">SUM(C137:G137)</f>
        <v>10000</v>
      </c>
      <c r="I137" s="8" t="n">
        <v>2</v>
      </c>
      <c r="J137" s="8" t="n">
        <v>2</v>
      </c>
      <c r="K137" s="8" t="s">
        <v>1083</v>
      </c>
    </row>
    <row r="138" customFormat="false" ht="15" hidden="false" customHeight="true" outlineLevel="0" collapsed="false">
      <c r="A138" s="8" t="s">
        <v>1029</v>
      </c>
      <c r="B138" s="8" t="s">
        <v>183</v>
      </c>
      <c r="C138" s="11"/>
      <c r="D138" s="11"/>
      <c r="E138" s="11" t="n">
        <v>10000</v>
      </c>
      <c r="F138" s="11"/>
      <c r="G138" s="11"/>
      <c r="H138" s="11" t="n">
        <f aca="false">SUM(C138:G138)</f>
        <v>10000</v>
      </c>
      <c r="I138" s="8" t="n">
        <v>1</v>
      </c>
      <c r="J138" s="8" t="n">
        <v>1</v>
      </c>
      <c r="K138" s="8" t="s">
        <v>1186</v>
      </c>
    </row>
    <row r="139" customFormat="false" ht="15" hidden="false" customHeight="true" outlineLevel="0" collapsed="false">
      <c r="A139" s="8" t="s">
        <v>1216</v>
      </c>
      <c r="B139" s="8" t="s">
        <v>1217</v>
      </c>
      <c r="C139" s="11"/>
      <c r="D139" s="11"/>
      <c r="E139" s="11"/>
      <c r="F139" s="11"/>
      <c r="G139" s="11" t="n">
        <v>10000</v>
      </c>
      <c r="H139" s="11" t="n">
        <f aca="false">SUM(C139:G139)</f>
        <v>10000</v>
      </c>
      <c r="I139" s="8" t="n">
        <v>1</v>
      </c>
      <c r="J139" s="8" t="n">
        <v>1</v>
      </c>
      <c r="K139" s="8"/>
    </row>
    <row r="140" customFormat="false" ht="15" hidden="false" customHeight="true" outlineLevel="0" collapsed="false">
      <c r="A140" s="8" t="s">
        <v>1218</v>
      </c>
      <c r="B140" s="8" t="s">
        <v>1219</v>
      </c>
      <c r="C140" s="11" t="n">
        <v>8000</v>
      </c>
      <c r="D140" s="11"/>
      <c r="E140" s="11"/>
      <c r="F140" s="11"/>
      <c r="G140" s="11"/>
      <c r="H140" s="11" t="n">
        <f aca="false">SUM(C140:G140)</f>
        <v>8000</v>
      </c>
      <c r="I140" s="8" t="n">
        <v>1</v>
      </c>
      <c r="J140" s="8" t="n">
        <v>1</v>
      </c>
      <c r="K140" s="8" t="s">
        <v>588</v>
      </c>
    </row>
    <row r="141" customFormat="false" ht="15" hidden="false" customHeight="true" outlineLevel="0" collapsed="false">
      <c r="A141" s="8" t="s">
        <v>1220</v>
      </c>
      <c r="B141" s="8" t="s">
        <v>1221</v>
      </c>
      <c r="C141" s="11" t="n">
        <v>7500</v>
      </c>
      <c r="D141" s="11"/>
      <c r="E141" s="11"/>
      <c r="F141" s="11"/>
      <c r="G141" s="11"/>
      <c r="H141" s="11" t="n">
        <f aca="false">SUM(C141:G141)</f>
        <v>7500</v>
      </c>
      <c r="I141" s="8" t="n">
        <v>1</v>
      </c>
      <c r="J141" s="8" t="n">
        <v>1</v>
      </c>
      <c r="K141" s="8" t="s">
        <v>588</v>
      </c>
    </row>
    <row r="142" customFormat="false" ht="15" hidden="false" customHeight="true" outlineLevel="0" collapsed="false">
      <c r="A142" s="8" t="s">
        <v>1222</v>
      </c>
      <c r="B142" s="8" t="s">
        <v>1223</v>
      </c>
      <c r="C142" s="11" t="n">
        <v>5500</v>
      </c>
      <c r="D142" s="11"/>
      <c r="E142" s="11"/>
      <c r="F142" s="11"/>
      <c r="G142" s="11"/>
      <c r="H142" s="11" t="n">
        <f aca="false">SUM(C142:G142)</f>
        <v>5500</v>
      </c>
      <c r="I142" s="8" t="n">
        <v>1</v>
      </c>
      <c r="J142" s="8" t="n">
        <v>1</v>
      </c>
      <c r="K142" s="8" t="s">
        <v>588</v>
      </c>
    </row>
    <row r="143" customFormat="false" ht="15" hidden="false" customHeight="true" outlineLevel="0" collapsed="false">
      <c r="A143" s="8" t="s">
        <v>1224</v>
      </c>
      <c r="B143" s="8" t="s">
        <v>1225</v>
      </c>
      <c r="C143" s="11" t="n">
        <v>5000</v>
      </c>
      <c r="D143" s="11"/>
      <c r="E143" s="11"/>
      <c r="F143" s="11"/>
      <c r="G143" s="11"/>
      <c r="H143" s="11" t="n">
        <f aca="false">SUM(C143:G143)</f>
        <v>5000</v>
      </c>
      <c r="I143" s="8" t="n">
        <v>1</v>
      </c>
      <c r="J143" s="8" t="n">
        <v>1</v>
      </c>
      <c r="K143" s="8" t="s">
        <v>588</v>
      </c>
    </row>
    <row r="144" customFormat="false" ht="15" hidden="false" customHeight="true" outlineLevel="0" collapsed="false">
      <c r="A144" s="8" t="s">
        <v>1226</v>
      </c>
      <c r="B144" s="8" t="s">
        <v>1227</v>
      </c>
      <c r="C144" s="11" t="n">
        <v>5000</v>
      </c>
      <c r="D144" s="11"/>
      <c r="E144" s="11"/>
      <c r="F144" s="11"/>
      <c r="G144" s="11"/>
      <c r="H144" s="11" t="n">
        <f aca="false">SUM(C144:G144)</f>
        <v>5000</v>
      </c>
      <c r="I144" s="8" t="n">
        <v>1</v>
      </c>
      <c r="J144" s="8" t="n">
        <v>1</v>
      </c>
      <c r="K144" s="8" t="s">
        <v>602</v>
      </c>
    </row>
    <row r="145" customFormat="false" ht="15" hidden="false" customHeight="true" outlineLevel="0" collapsed="false">
      <c r="A145" s="8" t="s">
        <v>490</v>
      </c>
      <c r="B145" s="8" t="s">
        <v>489</v>
      </c>
      <c r="C145" s="11" t="n">
        <v>5000</v>
      </c>
      <c r="D145" s="11"/>
      <c r="E145" s="11"/>
      <c r="F145" s="11"/>
      <c r="G145" s="11"/>
      <c r="H145" s="11" t="n">
        <f aca="false">SUM(C145:G145)</f>
        <v>5000</v>
      </c>
      <c r="I145" s="8" t="n">
        <v>1</v>
      </c>
      <c r="J145" s="8" t="n">
        <v>1</v>
      </c>
      <c r="K145" s="8" t="s">
        <v>595</v>
      </c>
    </row>
    <row r="146" customFormat="false" ht="15" hidden="false" customHeight="true" outlineLevel="0" collapsed="false">
      <c r="A146" s="8" t="s">
        <v>495</v>
      </c>
      <c r="B146" s="8" t="s">
        <v>1228</v>
      </c>
      <c r="C146" s="11" t="n">
        <v>5000</v>
      </c>
      <c r="D146" s="11"/>
      <c r="E146" s="11"/>
      <c r="F146" s="11"/>
      <c r="G146" s="11"/>
      <c r="H146" s="11" t="n">
        <f aca="false">SUM(C146:G146)</f>
        <v>5000</v>
      </c>
      <c r="I146" s="8" t="n">
        <v>1</v>
      </c>
      <c r="J146" s="8" t="n">
        <v>1</v>
      </c>
      <c r="K146" s="8" t="s">
        <v>595</v>
      </c>
    </row>
    <row r="147" customFormat="false" ht="15" hidden="false" customHeight="true" outlineLevel="0" collapsed="false">
      <c r="A147" s="8" t="s">
        <v>500</v>
      </c>
      <c r="B147" s="8" t="s">
        <v>1229</v>
      </c>
      <c r="C147" s="11" t="n">
        <v>5000</v>
      </c>
      <c r="D147" s="11"/>
      <c r="E147" s="11"/>
      <c r="F147" s="11"/>
      <c r="G147" s="11"/>
      <c r="H147" s="11" t="n">
        <f aca="false">SUM(C147:G147)</f>
        <v>5000</v>
      </c>
      <c r="I147" s="8" t="n">
        <v>1</v>
      </c>
      <c r="J147" s="8" t="n">
        <v>1</v>
      </c>
      <c r="K147" s="8" t="s">
        <v>595</v>
      </c>
    </row>
    <row r="148" customFormat="false" ht="15" hidden="false" customHeight="true" outlineLevel="0" collapsed="false">
      <c r="A148" s="8" t="s">
        <v>1230</v>
      </c>
      <c r="B148" s="8" t="s">
        <v>1231</v>
      </c>
      <c r="C148" s="11" t="n">
        <v>5000</v>
      </c>
      <c r="D148" s="11"/>
      <c r="E148" s="11"/>
      <c r="F148" s="11"/>
      <c r="G148" s="11"/>
      <c r="H148" s="11" t="n">
        <f aca="false">SUM(C148:G148)</f>
        <v>5000</v>
      </c>
      <c r="I148" s="8" t="n">
        <v>1</v>
      </c>
      <c r="J148" s="8" t="n">
        <v>1</v>
      </c>
      <c r="K148" s="8" t="s">
        <v>602</v>
      </c>
    </row>
    <row r="149" customFormat="false" ht="15" hidden="false" customHeight="true" outlineLevel="0" collapsed="false">
      <c r="A149" s="8" t="s">
        <v>504</v>
      </c>
      <c r="B149" s="8" t="s">
        <v>503</v>
      </c>
      <c r="C149" s="11" t="n">
        <v>5000</v>
      </c>
      <c r="D149" s="11"/>
      <c r="E149" s="11"/>
      <c r="F149" s="11"/>
      <c r="G149" s="11"/>
      <c r="H149" s="11" t="n">
        <f aca="false">SUM(C149:G149)</f>
        <v>5000</v>
      </c>
      <c r="I149" s="8" t="n">
        <v>1</v>
      </c>
      <c r="J149" s="8" t="n">
        <v>1</v>
      </c>
      <c r="K149" s="8" t="s">
        <v>595</v>
      </c>
    </row>
    <row r="150" customFormat="false" ht="15" hidden="false" customHeight="true" outlineLevel="0" collapsed="false">
      <c r="A150" s="8" t="s">
        <v>1232</v>
      </c>
      <c r="B150" s="8" t="s">
        <v>1233</v>
      </c>
      <c r="C150" s="11" t="n">
        <v>5000</v>
      </c>
      <c r="D150" s="11"/>
      <c r="E150" s="11"/>
      <c r="F150" s="11"/>
      <c r="G150" s="11"/>
      <c r="H150" s="11" t="n">
        <f aca="false">SUM(C150:G150)</f>
        <v>5000</v>
      </c>
      <c r="I150" s="8" t="n">
        <v>1</v>
      </c>
      <c r="J150" s="8" t="n">
        <v>1</v>
      </c>
      <c r="K150" s="8" t="s">
        <v>602</v>
      </c>
    </row>
    <row r="151" customFormat="false" ht="15" hidden="false" customHeight="true" outlineLevel="0" collapsed="false">
      <c r="A151" s="8" t="s">
        <v>1234</v>
      </c>
      <c r="B151" s="8" t="s">
        <v>1235</v>
      </c>
      <c r="C151" s="11" t="n">
        <v>5000</v>
      </c>
      <c r="D151" s="11"/>
      <c r="E151" s="11"/>
      <c r="F151" s="11"/>
      <c r="G151" s="11"/>
      <c r="H151" s="11" t="n">
        <f aca="false">SUM(C151:G151)</f>
        <v>5000</v>
      </c>
      <c r="I151" s="8" t="n">
        <v>1</v>
      </c>
      <c r="J151" s="8" t="n">
        <v>1</v>
      </c>
      <c r="K151" s="8" t="s">
        <v>588</v>
      </c>
    </row>
    <row r="152" customFormat="false" ht="15" hidden="false" customHeight="true" outlineLevel="0" collapsed="false">
      <c r="A152" s="8" t="s">
        <v>1236</v>
      </c>
      <c r="B152" s="8" t="s">
        <v>1237</v>
      </c>
      <c r="C152" s="11" t="n">
        <v>5000</v>
      </c>
      <c r="D152" s="11"/>
      <c r="E152" s="11"/>
      <c r="F152" s="11"/>
      <c r="G152" s="11"/>
      <c r="H152" s="11" t="n">
        <f aca="false">SUM(C152:G152)</f>
        <v>5000</v>
      </c>
      <c r="I152" s="8" t="n">
        <v>1</v>
      </c>
      <c r="J152" s="8" t="n">
        <v>1</v>
      </c>
      <c r="K152" s="8" t="s">
        <v>602</v>
      </c>
    </row>
    <row r="153" customFormat="false" ht="15" hidden="false" customHeight="true" outlineLevel="0" collapsed="false">
      <c r="A153" s="8" t="s">
        <v>1238</v>
      </c>
      <c r="B153" s="8" t="s">
        <v>1239</v>
      </c>
      <c r="C153" s="11" t="n">
        <v>5000</v>
      </c>
      <c r="D153" s="11"/>
      <c r="E153" s="11"/>
      <c r="F153" s="11"/>
      <c r="G153" s="11"/>
      <c r="H153" s="11" t="n">
        <f aca="false">SUM(C153:G153)</f>
        <v>5000</v>
      </c>
      <c r="I153" s="8" t="n">
        <v>1</v>
      </c>
      <c r="J153" s="8" t="n">
        <v>1</v>
      </c>
      <c r="K153" s="8" t="s">
        <v>588</v>
      </c>
    </row>
    <row r="154" customFormat="false" ht="15" hidden="false" customHeight="true" outlineLevel="0" collapsed="false">
      <c r="A154" s="8" t="s">
        <v>1240</v>
      </c>
      <c r="B154" s="8" t="s">
        <v>1241</v>
      </c>
      <c r="C154" s="11" t="n">
        <v>5000</v>
      </c>
      <c r="D154" s="11"/>
      <c r="E154" s="11"/>
      <c r="F154" s="11"/>
      <c r="G154" s="11"/>
      <c r="H154" s="11" t="n">
        <f aca="false">SUM(C154:G154)</f>
        <v>5000</v>
      </c>
      <c r="I154" s="8" t="n">
        <v>1</v>
      </c>
      <c r="J154" s="8" t="n">
        <v>1</v>
      </c>
      <c r="K154" s="8" t="s">
        <v>602</v>
      </c>
    </row>
    <row r="155" customFormat="false" ht="15" hidden="false" customHeight="true" outlineLevel="0" collapsed="false">
      <c r="A155" s="8" t="s">
        <v>1242</v>
      </c>
      <c r="B155" s="8" t="s">
        <v>1243</v>
      </c>
      <c r="C155" s="11" t="n">
        <v>5000</v>
      </c>
      <c r="D155" s="11"/>
      <c r="E155" s="11"/>
      <c r="F155" s="11"/>
      <c r="G155" s="11"/>
      <c r="H155" s="11" t="n">
        <f aca="false">SUM(C155:G155)</f>
        <v>5000</v>
      </c>
      <c r="I155" s="8" t="n">
        <v>1</v>
      </c>
      <c r="J155" s="8" t="n">
        <v>1</v>
      </c>
      <c r="K155" s="8" t="s">
        <v>602</v>
      </c>
    </row>
    <row r="156" customFormat="false" ht="15" hidden="false" customHeight="true" outlineLevel="0" collapsed="false">
      <c r="A156" s="8" t="s">
        <v>1244</v>
      </c>
      <c r="B156" s="8" t="s">
        <v>1245</v>
      </c>
      <c r="C156" s="11" t="n">
        <v>5000</v>
      </c>
      <c r="D156" s="11"/>
      <c r="E156" s="11"/>
      <c r="F156" s="11"/>
      <c r="G156" s="11"/>
      <c r="H156" s="11" t="n">
        <f aca="false">SUM(C156:G156)</f>
        <v>5000</v>
      </c>
      <c r="I156" s="8" t="n">
        <v>1</v>
      </c>
      <c r="J156" s="8" t="n">
        <v>1</v>
      </c>
      <c r="K156" s="8" t="s">
        <v>602</v>
      </c>
    </row>
    <row r="157" customFormat="false" ht="15" hidden="false" customHeight="true" outlineLevel="0" collapsed="false">
      <c r="A157" s="8" t="s">
        <v>1246</v>
      </c>
      <c r="B157" s="8" t="s">
        <v>1247</v>
      </c>
      <c r="C157" s="11" t="n">
        <v>5000</v>
      </c>
      <c r="D157" s="11"/>
      <c r="E157" s="11"/>
      <c r="F157" s="11"/>
      <c r="G157" s="11"/>
      <c r="H157" s="11" t="n">
        <f aca="false">SUM(C157:G157)</f>
        <v>5000</v>
      </c>
      <c r="I157" s="8" t="n">
        <v>1</v>
      </c>
      <c r="J157" s="8" t="n">
        <v>1</v>
      </c>
      <c r="K157" s="8" t="s">
        <v>588</v>
      </c>
    </row>
    <row r="158" customFormat="false" ht="15" hidden="false" customHeight="true" outlineLevel="0" collapsed="false">
      <c r="A158" s="8" t="s">
        <v>519</v>
      </c>
      <c r="B158" s="8" t="s">
        <v>518</v>
      </c>
      <c r="C158" s="11" t="n">
        <v>5000</v>
      </c>
      <c r="D158" s="11"/>
      <c r="E158" s="11"/>
      <c r="F158" s="11"/>
      <c r="G158" s="11"/>
      <c r="H158" s="11" t="n">
        <f aca="false">SUM(C158:G158)</f>
        <v>5000</v>
      </c>
      <c r="I158" s="8" t="n">
        <v>1</v>
      </c>
      <c r="J158" s="8" t="n">
        <v>1</v>
      </c>
      <c r="K158" s="8" t="s">
        <v>595</v>
      </c>
    </row>
    <row r="159" customFormat="false" ht="15" hidden="false" customHeight="true" outlineLevel="0" collapsed="false">
      <c r="A159" s="8" t="s">
        <v>1248</v>
      </c>
      <c r="B159" s="8" t="s">
        <v>1249</v>
      </c>
      <c r="C159" s="11" t="n">
        <v>5000</v>
      </c>
      <c r="D159" s="11"/>
      <c r="E159" s="11"/>
      <c r="F159" s="11"/>
      <c r="G159" s="11"/>
      <c r="H159" s="11" t="n">
        <f aca="false">SUM(C159:G159)</f>
        <v>5000</v>
      </c>
      <c r="I159" s="8" t="n">
        <v>1</v>
      </c>
      <c r="J159" s="8" t="n">
        <v>1</v>
      </c>
      <c r="K159" s="8" t="s">
        <v>588</v>
      </c>
    </row>
    <row r="160" customFormat="false" ht="15" hidden="false" customHeight="true" outlineLevel="0" collapsed="false">
      <c r="A160" s="8" t="s">
        <v>524</v>
      </c>
      <c r="B160" s="8" t="s">
        <v>523</v>
      </c>
      <c r="C160" s="11" t="n">
        <v>5000</v>
      </c>
      <c r="D160" s="11"/>
      <c r="E160" s="11"/>
      <c r="F160" s="11"/>
      <c r="G160" s="11"/>
      <c r="H160" s="11" t="n">
        <f aca="false">SUM(C160:G160)</f>
        <v>5000</v>
      </c>
      <c r="I160" s="8" t="n">
        <v>1</v>
      </c>
      <c r="J160" s="8" t="n">
        <v>1</v>
      </c>
      <c r="K160" s="8" t="s">
        <v>595</v>
      </c>
    </row>
    <row r="161" customFormat="false" ht="15" hidden="false" customHeight="true" outlineLevel="0" collapsed="false">
      <c r="A161" s="8" t="s">
        <v>1250</v>
      </c>
      <c r="B161" s="8" t="s">
        <v>1251</v>
      </c>
      <c r="C161" s="11" t="n">
        <v>5000</v>
      </c>
      <c r="D161" s="11"/>
      <c r="E161" s="11"/>
      <c r="F161" s="11"/>
      <c r="G161" s="11"/>
      <c r="H161" s="11" t="n">
        <f aca="false">SUM(C161:G161)</f>
        <v>5000</v>
      </c>
      <c r="I161" s="8" t="n">
        <v>1</v>
      </c>
      <c r="J161" s="8" t="n">
        <v>1</v>
      </c>
      <c r="K161" s="8" t="s">
        <v>602</v>
      </c>
    </row>
    <row r="162" customFormat="false" ht="15" hidden="false" customHeight="true" outlineLevel="0" collapsed="false">
      <c r="A162" s="8" t="s">
        <v>1252</v>
      </c>
      <c r="B162" s="8" t="s">
        <v>1253</v>
      </c>
      <c r="C162" s="11" t="n">
        <v>5000</v>
      </c>
      <c r="D162" s="11"/>
      <c r="E162" s="11"/>
      <c r="F162" s="11"/>
      <c r="G162" s="11"/>
      <c r="H162" s="11" t="n">
        <f aca="false">SUM(C162:G162)</f>
        <v>5000</v>
      </c>
      <c r="I162" s="8" t="n">
        <v>1</v>
      </c>
      <c r="J162" s="8" t="n">
        <v>1</v>
      </c>
      <c r="K162" s="8" t="s">
        <v>602</v>
      </c>
    </row>
    <row r="163" customFormat="false" ht="15" hidden="false" customHeight="true" outlineLevel="0" collapsed="false">
      <c r="A163" s="8" t="s">
        <v>1254</v>
      </c>
      <c r="B163" s="8" t="s">
        <v>1255</v>
      </c>
      <c r="C163" s="11" t="n">
        <v>5000</v>
      </c>
      <c r="D163" s="11"/>
      <c r="E163" s="11"/>
      <c r="F163" s="11"/>
      <c r="G163" s="11"/>
      <c r="H163" s="11" t="n">
        <f aca="false">SUM(C163:G163)</f>
        <v>5000</v>
      </c>
      <c r="I163" s="8" t="n">
        <v>1</v>
      </c>
      <c r="J163" s="8" t="n">
        <v>1</v>
      </c>
      <c r="K163" s="8" t="s">
        <v>588</v>
      </c>
    </row>
    <row r="164" customFormat="false" ht="15" hidden="false" customHeight="true" outlineLevel="0" collapsed="false">
      <c r="A164" s="8" t="s">
        <v>1256</v>
      </c>
      <c r="B164" s="8" t="s">
        <v>1257</v>
      </c>
      <c r="C164" s="11" t="n">
        <v>5000</v>
      </c>
      <c r="D164" s="11"/>
      <c r="E164" s="11"/>
      <c r="F164" s="11"/>
      <c r="G164" s="11"/>
      <c r="H164" s="11" t="n">
        <f aca="false">SUM(C164:G164)</f>
        <v>5000</v>
      </c>
      <c r="I164" s="8" t="n">
        <v>1</v>
      </c>
      <c r="J164" s="8" t="n">
        <v>1</v>
      </c>
      <c r="K164" s="8" t="s">
        <v>602</v>
      </c>
    </row>
    <row r="165" customFormat="false" ht="15" hidden="false" customHeight="true" outlineLevel="0" collapsed="false">
      <c r="A165" s="8" t="s">
        <v>1258</v>
      </c>
      <c r="B165" s="8" t="s">
        <v>1259</v>
      </c>
      <c r="C165" s="11" t="n">
        <v>5000</v>
      </c>
      <c r="D165" s="11"/>
      <c r="E165" s="11"/>
      <c r="F165" s="11"/>
      <c r="G165" s="11"/>
      <c r="H165" s="11" t="n">
        <f aca="false">SUM(C165:G165)</f>
        <v>5000</v>
      </c>
      <c r="I165" s="8" t="n">
        <v>1</v>
      </c>
      <c r="J165" s="8" t="n">
        <v>1</v>
      </c>
      <c r="K165" s="8" t="s">
        <v>602</v>
      </c>
    </row>
    <row r="166" customFormat="false" ht="15" hidden="false" customHeight="true" outlineLevel="0" collapsed="false">
      <c r="A166" s="8" t="s">
        <v>1260</v>
      </c>
      <c r="B166" s="8" t="s">
        <v>1261</v>
      </c>
      <c r="C166" s="11" t="n">
        <v>5000</v>
      </c>
      <c r="D166" s="11"/>
      <c r="E166" s="11"/>
      <c r="F166" s="11"/>
      <c r="G166" s="11"/>
      <c r="H166" s="11" t="n">
        <f aca="false">SUM(C166:G166)</f>
        <v>5000</v>
      </c>
      <c r="I166" s="8" t="n">
        <v>1</v>
      </c>
      <c r="J166" s="8" t="n">
        <v>1</v>
      </c>
      <c r="K166" s="8" t="s">
        <v>588</v>
      </c>
    </row>
    <row r="167" customFormat="false" ht="15" hidden="false" customHeight="true" outlineLevel="0" collapsed="false">
      <c r="A167" s="8" t="s">
        <v>1262</v>
      </c>
      <c r="B167" s="8" t="s">
        <v>1263</v>
      </c>
      <c r="C167" s="11" t="n">
        <v>5000</v>
      </c>
      <c r="D167" s="11"/>
      <c r="E167" s="11"/>
      <c r="F167" s="11"/>
      <c r="G167" s="11"/>
      <c r="H167" s="11" t="n">
        <f aca="false">SUM(C167:G167)</f>
        <v>5000</v>
      </c>
      <c r="I167" s="8" t="n">
        <v>1</v>
      </c>
      <c r="J167" s="8" t="n">
        <v>1</v>
      </c>
      <c r="K167" s="8" t="s">
        <v>588</v>
      </c>
    </row>
    <row r="168" customFormat="false" ht="15" hidden="false" customHeight="true" outlineLevel="0" collapsed="false">
      <c r="A168" s="8" t="s">
        <v>532</v>
      </c>
      <c r="B168" s="8" t="s">
        <v>531</v>
      </c>
      <c r="C168" s="11" t="n">
        <v>5000</v>
      </c>
      <c r="D168" s="11"/>
      <c r="E168" s="11"/>
      <c r="F168" s="11"/>
      <c r="G168" s="11"/>
      <c r="H168" s="11" t="n">
        <f aca="false">SUM(C168:G168)</f>
        <v>5000</v>
      </c>
      <c r="I168" s="8" t="n">
        <v>1</v>
      </c>
      <c r="J168" s="8" t="n">
        <v>1</v>
      </c>
      <c r="K168" s="8" t="s">
        <v>595</v>
      </c>
    </row>
    <row r="169" customFormat="false" ht="15" hidden="false" customHeight="true" outlineLevel="0" collapsed="false">
      <c r="A169" s="8" t="s">
        <v>959</v>
      </c>
      <c r="B169" s="8" t="s">
        <v>1264</v>
      </c>
      <c r="C169" s="11" t="n">
        <v>5000</v>
      </c>
      <c r="D169" s="11"/>
      <c r="E169" s="11"/>
      <c r="F169" s="11"/>
      <c r="G169" s="11"/>
      <c r="H169" s="11" t="n">
        <f aca="false">SUM(C169:G169)</f>
        <v>5000</v>
      </c>
      <c r="I169" s="8" t="n">
        <v>1</v>
      </c>
      <c r="J169" s="8" t="n">
        <v>1</v>
      </c>
      <c r="K169" s="8" t="s">
        <v>588</v>
      </c>
    </row>
    <row r="170" customFormat="false" ht="15" hidden="false" customHeight="true" outlineLevel="0" collapsed="false">
      <c r="A170" s="8" t="s">
        <v>536</v>
      </c>
      <c r="B170" s="8" t="s">
        <v>535</v>
      </c>
      <c r="C170" s="11" t="n">
        <v>5000</v>
      </c>
      <c r="D170" s="11"/>
      <c r="E170" s="11"/>
      <c r="F170" s="11"/>
      <c r="G170" s="11"/>
      <c r="H170" s="11" t="n">
        <f aca="false">SUM(C170:G170)</f>
        <v>5000</v>
      </c>
      <c r="I170" s="8" t="n">
        <v>1</v>
      </c>
      <c r="J170" s="8" t="n">
        <v>1</v>
      </c>
      <c r="K170" s="8" t="s">
        <v>595</v>
      </c>
    </row>
    <row r="171" customFormat="false" ht="15" hidden="false" customHeight="true" outlineLevel="0" collapsed="false">
      <c r="A171" s="8" t="s">
        <v>1265</v>
      </c>
      <c r="B171" s="8" t="s">
        <v>1266</v>
      </c>
      <c r="C171" s="11" t="n">
        <v>5000</v>
      </c>
      <c r="D171" s="11"/>
      <c r="E171" s="11"/>
      <c r="F171" s="11"/>
      <c r="G171" s="11"/>
      <c r="H171" s="11" t="n">
        <f aca="false">SUM(C171:G171)</f>
        <v>5000</v>
      </c>
      <c r="I171" s="8" t="n">
        <v>1</v>
      </c>
      <c r="J171" s="8" t="n">
        <v>1</v>
      </c>
      <c r="K171" s="8" t="s">
        <v>602</v>
      </c>
    </row>
    <row r="172" customFormat="false" ht="15" hidden="false" customHeight="true" outlineLevel="0" collapsed="false">
      <c r="A172" s="8" t="s">
        <v>1267</v>
      </c>
      <c r="B172" s="8" t="s">
        <v>1268</v>
      </c>
      <c r="C172" s="11" t="n">
        <v>5000</v>
      </c>
      <c r="D172" s="11"/>
      <c r="E172" s="11"/>
      <c r="F172" s="11"/>
      <c r="G172" s="11"/>
      <c r="H172" s="11" t="n">
        <f aca="false">SUM(C172:G172)</f>
        <v>5000</v>
      </c>
      <c r="I172" s="8" t="n">
        <v>1</v>
      </c>
      <c r="J172" s="8" t="n">
        <v>1</v>
      </c>
      <c r="K172" s="8" t="s">
        <v>602</v>
      </c>
    </row>
    <row r="173" customFormat="false" ht="15" hidden="false" customHeight="true" outlineLevel="0" collapsed="false">
      <c r="A173" s="8" t="s">
        <v>1269</v>
      </c>
      <c r="B173" s="8" t="s">
        <v>1270</v>
      </c>
      <c r="C173" s="11" t="n">
        <v>5000</v>
      </c>
      <c r="D173" s="11"/>
      <c r="E173" s="11"/>
      <c r="F173" s="11"/>
      <c r="G173" s="11"/>
      <c r="H173" s="11" t="n">
        <f aca="false">SUM(C173:G173)</f>
        <v>5000</v>
      </c>
      <c r="I173" s="8" t="n">
        <v>1</v>
      </c>
      <c r="J173" s="8" t="n">
        <v>1</v>
      </c>
      <c r="K173" s="8" t="s">
        <v>602</v>
      </c>
    </row>
    <row r="174" customFormat="false" ht="15" hidden="false" customHeight="true" outlineLevel="0" collapsed="false">
      <c r="A174" s="8" t="s">
        <v>546</v>
      </c>
      <c r="B174" s="8" t="s">
        <v>545</v>
      </c>
      <c r="C174" s="11" t="n">
        <v>5000</v>
      </c>
      <c r="D174" s="11"/>
      <c r="E174" s="11"/>
      <c r="F174" s="11"/>
      <c r="G174" s="11"/>
      <c r="H174" s="11" t="n">
        <f aca="false">SUM(C174:G174)</f>
        <v>5000</v>
      </c>
      <c r="I174" s="8" t="n">
        <v>1</v>
      </c>
      <c r="J174" s="8" t="n">
        <v>1</v>
      </c>
      <c r="K174" s="8" t="s">
        <v>595</v>
      </c>
    </row>
    <row r="175" customFormat="false" ht="15" hidden="false" customHeight="true" outlineLevel="0" collapsed="false">
      <c r="A175" s="8" t="s">
        <v>1271</v>
      </c>
      <c r="B175" s="8" t="s">
        <v>1272</v>
      </c>
      <c r="C175" s="11" t="n">
        <v>5000</v>
      </c>
      <c r="D175" s="11"/>
      <c r="E175" s="11"/>
      <c r="F175" s="11"/>
      <c r="G175" s="11"/>
      <c r="H175" s="11" t="n">
        <f aca="false">SUM(C175:G175)</f>
        <v>5000</v>
      </c>
      <c r="I175" s="8" t="n">
        <v>1</v>
      </c>
      <c r="J175" s="8" t="n">
        <v>1</v>
      </c>
      <c r="K175" s="8" t="s">
        <v>602</v>
      </c>
    </row>
    <row r="176" customFormat="false" ht="15" hidden="false" customHeight="true" outlineLevel="0" collapsed="false">
      <c r="A176" s="8" t="s">
        <v>553</v>
      </c>
      <c r="B176" s="8" t="s">
        <v>552</v>
      </c>
      <c r="C176" s="11" t="n">
        <v>5000</v>
      </c>
      <c r="D176" s="11"/>
      <c r="E176" s="11"/>
      <c r="F176" s="11"/>
      <c r="G176" s="11"/>
      <c r="H176" s="11" t="n">
        <f aca="false">SUM(C176:G176)</f>
        <v>5000</v>
      </c>
      <c r="I176" s="8" t="n">
        <v>1</v>
      </c>
      <c r="J176" s="8" t="n">
        <v>1</v>
      </c>
      <c r="K176" s="8" t="s">
        <v>595</v>
      </c>
    </row>
    <row r="177" customFormat="false" ht="15" hidden="false" customHeight="true" outlineLevel="0" collapsed="false">
      <c r="A177" s="8" t="s">
        <v>557</v>
      </c>
      <c r="B177" s="8" t="s">
        <v>1273</v>
      </c>
      <c r="C177" s="11" t="n">
        <v>5000</v>
      </c>
      <c r="D177" s="11"/>
      <c r="E177" s="11"/>
      <c r="F177" s="11"/>
      <c r="G177" s="11"/>
      <c r="H177" s="11" t="n">
        <f aca="false">SUM(C177:G177)</f>
        <v>5000</v>
      </c>
      <c r="I177" s="8" t="n">
        <v>1</v>
      </c>
      <c r="J177" s="8" t="n">
        <v>1</v>
      </c>
      <c r="K177" s="8" t="s">
        <v>595</v>
      </c>
    </row>
    <row r="178" customFormat="false" ht="15" hidden="false" customHeight="true" outlineLevel="0" collapsed="false">
      <c r="A178" s="8" t="s">
        <v>561</v>
      </c>
      <c r="B178" s="8" t="s">
        <v>560</v>
      </c>
      <c r="C178" s="11" t="n">
        <v>5000</v>
      </c>
      <c r="D178" s="11"/>
      <c r="E178" s="11"/>
      <c r="F178" s="11"/>
      <c r="G178" s="11"/>
      <c r="H178" s="11" t="n">
        <f aca="false">SUM(C178:G178)</f>
        <v>5000</v>
      </c>
      <c r="I178" s="8" t="n">
        <v>1</v>
      </c>
      <c r="J178" s="8" t="n">
        <v>1</v>
      </c>
      <c r="K178" s="8" t="s">
        <v>595</v>
      </c>
    </row>
    <row r="179" customFormat="false" ht="15" hidden="false" customHeight="true" outlineLevel="0" collapsed="false">
      <c r="A179" s="8" t="s">
        <v>990</v>
      </c>
      <c r="B179" s="8" t="s">
        <v>989</v>
      </c>
      <c r="C179" s="11" t="n">
        <v>5000</v>
      </c>
      <c r="D179" s="11"/>
      <c r="E179" s="11"/>
      <c r="F179" s="11"/>
      <c r="G179" s="11"/>
      <c r="H179" s="11" t="n">
        <f aca="false">SUM(C179:G179)</f>
        <v>5000</v>
      </c>
      <c r="I179" s="8" t="n">
        <v>1</v>
      </c>
      <c r="J179" s="8" t="n">
        <v>1</v>
      </c>
      <c r="K179" s="8" t="s">
        <v>602</v>
      </c>
    </row>
    <row r="180" customFormat="false" ht="15" hidden="false" customHeight="true" outlineLevel="0" collapsed="false">
      <c r="B180" s="12" t="s">
        <v>1274</v>
      </c>
      <c r="C180" s="13" t="n">
        <f aca="false">SUM(C5:C179)</f>
        <v>6638000</v>
      </c>
      <c r="D180" s="13" t="n">
        <f aca="false">SUM(D5:D179)</f>
        <v>92000</v>
      </c>
      <c r="E180" s="13" t="n">
        <f aca="false">SUM(E5:E179)</f>
        <v>120000</v>
      </c>
      <c r="F180" s="13" t="n">
        <f aca="false">SUM(F5:F179)</f>
        <v>2817880</v>
      </c>
      <c r="G180" s="13" t="n">
        <f aca="false">SUM(G5:G179)</f>
        <v>7703897</v>
      </c>
      <c r="H180" s="13" t="n">
        <f aca="false">SUM(H5:H179)</f>
        <v>17371777</v>
      </c>
    </row>
    <row r="182" customFormat="false" ht="15" hidden="false" customHeight="true" outlineLevel="0" collapsed="false">
      <c r="A182" s="4" t="s">
        <v>1275</v>
      </c>
    </row>
    <row r="183" customFormat="false" ht="15" hidden="false" customHeight="true" outlineLevel="0" collapsed="false">
      <c r="A183" s="41" t="s">
        <v>1045</v>
      </c>
      <c r="B183" s="17" t="s">
        <v>745</v>
      </c>
      <c r="C183" s="18"/>
      <c r="D183" s="18"/>
      <c r="E183" s="18"/>
      <c r="F183" s="18"/>
      <c r="G183" s="18" t="n">
        <v>25000</v>
      </c>
      <c r="H183" s="18" t="n">
        <f aca="false">SUM(C183:G183)</f>
        <v>25000</v>
      </c>
      <c r="I183" s="17" t="n">
        <v>1</v>
      </c>
      <c r="J183" s="17" t="n">
        <v>1</v>
      </c>
      <c r="K183" s="17"/>
    </row>
    <row r="184" customFormat="false" ht="15" hidden="false" customHeight="true" outlineLevel="0" collapsed="false">
      <c r="A184" s="41" t="s">
        <v>1045</v>
      </c>
      <c r="B184" s="17" t="s">
        <v>151</v>
      </c>
      <c r="C184" s="18"/>
      <c r="D184" s="18"/>
      <c r="E184" s="18"/>
      <c r="F184" s="18"/>
      <c r="G184" s="18" t="n">
        <v>459357</v>
      </c>
      <c r="H184" s="18" t="n">
        <f aca="false">SUM(C184:G184)</f>
        <v>459357</v>
      </c>
      <c r="I184" s="17" t="n">
        <v>4</v>
      </c>
      <c r="J184" s="17" t="n">
        <v>1</v>
      </c>
      <c r="K184" s="17"/>
    </row>
    <row r="185" customFormat="false" ht="15" hidden="false" customHeight="true" outlineLevel="0" collapsed="false">
      <c r="A185" s="41" t="s">
        <v>1045</v>
      </c>
      <c r="B185" s="17" t="s">
        <v>774</v>
      </c>
      <c r="C185" s="18"/>
      <c r="D185" s="18"/>
      <c r="E185" s="18"/>
      <c r="F185" s="18"/>
      <c r="G185" s="18" t="n">
        <v>18213</v>
      </c>
      <c r="H185" s="18" t="n">
        <f aca="false">SUM(C185:G185)</f>
        <v>18213</v>
      </c>
      <c r="I185" s="17" t="n">
        <v>1</v>
      </c>
      <c r="J185" s="17" t="n">
        <v>1</v>
      </c>
      <c r="K185" s="17"/>
    </row>
    <row r="186" customFormat="false" ht="15" hidden="false" customHeight="true" outlineLevel="0" collapsed="false">
      <c r="A186" s="41" t="s">
        <v>1045</v>
      </c>
      <c r="B186" s="17" t="s">
        <v>180</v>
      </c>
      <c r="C186" s="18"/>
      <c r="D186" s="18"/>
      <c r="E186" s="18"/>
      <c r="F186" s="18"/>
      <c r="G186" s="18" t="n">
        <v>25000</v>
      </c>
      <c r="H186" s="18" t="n">
        <f aca="false">SUM(C186:G186)</f>
        <v>25000</v>
      </c>
      <c r="I186" s="17" t="n">
        <v>1</v>
      </c>
      <c r="J186" s="17" t="n">
        <v>1</v>
      </c>
      <c r="K186" s="17"/>
    </row>
    <row r="187" customFormat="false" ht="15" hidden="false" customHeight="true" outlineLevel="0" collapsed="false">
      <c r="B187" s="12" t="s">
        <v>1276</v>
      </c>
      <c r="H187" s="13" t="n">
        <f aca="false">SUM(H183:H186)</f>
        <v>527570</v>
      </c>
    </row>
    <row r="188" customFormat="false" ht="15" hidden="false" customHeight="true" outlineLevel="0" collapsed="false">
      <c r="B188" s="12" t="s">
        <v>1277</v>
      </c>
    </row>
    <row r="189" customFormat="false" ht="15" hidden="false" customHeight="true" outlineLevel="0" collapsed="false">
      <c r="B189" s="12" t="s">
        <v>1278</v>
      </c>
      <c r="H189" s="13" t="n">
        <f aca="false">H180+H187</f>
        <v>17899347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97.43"/>
    <col collapsed="false" customWidth="true" hidden="false" outlineLevel="0" max="2" min="2" style="1" width="16"/>
    <col collapsed="false" customWidth="true" hidden="false" outlineLevel="0" max="3" min="3" style="1" width="114"/>
    <col collapsed="false" customWidth="true" hidden="false" outlineLevel="0" max="26" min="4" style="1" width="8.71"/>
  </cols>
  <sheetData>
    <row r="1" customFormat="false" ht="15.75" hidden="false" customHeight="true" outlineLevel="0" collapsed="false">
      <c r="A1" s="42" t="s">
        <v>1279</v>
      </c>
    </row>
    <row r="2" customFormat="false" ht="15" hidden="false" customHeight="true" outlineLevel="0" collapsed="false">
      <c r="A2" s="43" t="s">
        <v>1280</v>
      </c>
    </row>
    <row r="3" customFormat="false" ht="15" hidden="false" customHeight="true" outlineLevel="0" collapsed="false"/>
    <row r="4" customFormat="false" ht="15" hidden="false" customHeight="true" outlineLevel="0" collapsed="false">
      <c r="A4" s="44" t="s">
        <v>22</v>
      </c>
      <c r="B4" s="45" t="s">
        <v>72</v>
      </c>
      <c r="C4" s="45" t="s">
        <v>25</v>
      </c>
    </row>
    <row r="5" customFormat="false" ht="15" hidden="false" customHeight="true" outlineLevel="0" collapsed="false">
      <c r="A5" s="46" t="s">
        <v>1281</v>
      </c>
      <c r="B5" s="47" t="n">
        <v>67964000</v>
      </c>
      <c r="C5" s="48" t="s">
        <v>1282</v>
      </c>
    </row>
    <row r="6" customFormat="false" ht="15" hidden="false" customHeight="true" outlineLevel="0" collapsed="false">
      <c r="A6" s="46" t="s">
        <v>1283</v>
      </c>
      <c r="B6" s="47" t="n">
        <v>3536000</v>
      </c>
      <c r="C6" s="48" t="s">
        <v>1284</v>
      </c>
    </row>
    <row r="7" customFormat="false" ht="15" hidden="false" customHeight="true" outlineLevel="0" collapsed="false">
      <c r="A7" s="49" t="s">
        <v>1285</v>
      </c>
      <c r="B7" s="50" t="n">
        <v>5850000</v>
      </c>
      <c r="C7" s="51" t="s">
        <v>1286</v>
      </c>
    </row>
    <row r="8" customFormat="false" ht="15" hidden="false" customHeight="true" outlineLevel="0" collapsed="false">
      <c r="A8" s="52" t="s">
        <v>1287</v>
      </c>
      <c r="B8" s="53" t="n">
        <f aca="false">B5+B6+B7</f>
        <v>77350000</v>
      </c>
      <c r="C8" s="48" t="s">
        <v>1288</v>
      </c>
    </row>
    <row r="9" customFormat="false" ht="15" hidden="false" customHeight="true" outlineLevel="0" collapsed="false">
      <c r="A9" s="46" t="s">
        <v>1289</v>
      </c>
      <c r="B9" s="47" t="n">
        <v>6638000</v>
      </c>
      <c r="C9" s="48" t="s">
        <v>1290</v>
      </c>
    </row>
    <row r="10" customFormat="false" ht="15" hidden="false" customHeight="true" outlineLevel="0" collapsed="false">
      <c r="A10" s="46" t="s">
        <v>1291</v>
      </c>
      <c r="B10" s="47" t="n">
        <v>120000</v>
      </c>
      <c r="C10" s="48" t="s">
        <v>1292</v>
      </c>
    </row>
    <row r="11" customFormat="false" ht="15" hidden="false" customHeight="true" outlineLevel="0" collapsed="false">
      <c r="A11" s="46" t="s">
        <v>1293</v>
      </c>
      <c r="B11" s="47" t="n">
        <v>2817880</v>
      </c>
      <c r="C11" s="48" t="s">
        <v>1294</v>
      </c>
    </row>
    <row r="12" customFormat="false" ht="15" hidden="false" customHeight="true" outlineLevel="0" collapsed="false">
      <c r="A12" s="46" t="s">
        <v>1295</v>
      </c>
      <c r="B12" s="47" t="n">
        <v>92000</v>
      </c>
      <c r="C12" s="48" t="s">
        <v>1296</v>
      </c>
    </row>
    <row r="13" customFormat="false" ht="15" hidden="false" customHeight="true" outlineLevel="0" collapsed="false">
      <c r="A13" s="46" t="s">
        <v>1297</v>
      </c>
      <c r="B13" s="47" t="n">
        <v>6553360</v>
      </c>
      <c r="C13" s="54" t="s">
        <v>1298</v>
      </c>
    </row>
    <row r="14" customFormat="false" ht="15" hidden="false" customHeight="true" outlineLevel="0" collapsed="false">
      <c r="A14" s="52" t="s">
        <v>1299</v>
      </c>
      <c r="B14" s="53" t="n">
        <f aca="false">SUM(B9:B13)</f>
        <v>16221240</v>
      </c>
      <c r="C14" s="48" t="s">
        <v>1300</v>
      </c>
    </row>
    <row r="15" customFormat="false" ht="15" hidden="false" customHeight="true" outlineLevel="0" collapsed="false">
      <c r="A15" s="46" t="s">
        <v>1301</v>
      </c>
      <c r="B15" s="47" t="n">
        <v>90000</v>
      </c>
      <c r="C15" s="48" t="s">
        <v>1302</v>
      </c>
    </row>
    <row r="16" customFormat="false" ht="15" hidden="false" customHeight="true" outlineLevel="0" collapsed="false">
      <c r="A16" s="52" t="s">
        <v>1303</v>
      </c>
      <c r="B16" s="53" t="n">
        <f aca="false">B8+B14+B15</f>
        <v>93661240</v>
      </c>
      <c r="C16" s="48" t="s">
        <v>1304</v>
      </c>
    </row>
    <row r="17" customFormat="false" ht="15" hidden="false" customHeight="true" outlineLevel="0" collapsed="false"/>
    <row r="18" customFormat="false" ht="15" hidden="false" customHeight="true" outlineLevel="0" collapsed="false">
      <c r="A18" s="55" t="s">
        <v>1305</v>
      </c>
    </row>
    <row r="19" customFormat="false" ht="15" hidden="false" customHeight="true" outlineLevel="0" collapsed="false">
      <c r="A19" s="46" t="s">
        <v>1306</v>
      </c>
      <c r="B19" s="47" t="n">
        <v>230000</v>
      </c>
      <c r="C19" s="48" t="s">
        <v>1307</v>
      </c>
    </row>
    <row r="20" customFormat="false" ht="15" hidden="false" customHeight="true" outlineLevel="0" collapsed="false"/>
    <row r="21" customFormat="false" ht="15" hidden="false" customHeight="true" outlineLevel="0" collapsed="false">
      <c r="A21" s="55" t="s">
        <v>1308</v>
      </c>
    </row>
    <row r="22" customFormat="false" ht="15" hidden="false" customHeight="true" outlineLevel="0" collapsed="false">
      <c r="A22" s="46" t="s">
        <v>1309</v>
      </c>
      <c r="B22" s="47" t="n">
        <v>74812000</v>
      </c>
      <c r="C22" s="48" t="s">
        <v>1310</v>
      </c>
    </row>
    <row r="23" customFormat="false" ht="15" hidden="false" customHeight="true" outlineLevel="0" collapsed="false">
      <c r="A23" s="46" t="s">
        <v>1311</v>
      </c>
      <c r="B23" s="47" t="n">
        <v>78348000</v>
      </c>
      <c r="C23" s="48" t="s">
        <v>1312</v>
      </c>
    </row>
    <row r="24" customFormat="false" ht="15" hidden="false" customHeight="true" outlineLevel="0" collapsed="false">
      <c r="A24" s="49" t="s">
        <v>1313</v>
      </c>
      <c r="B24" s="50" t="n">
        <v>84198000</v>
      </c>
      <c r="C24" s="51" t="s">
        <v>1314</v>
      </c>
    </row>
    <row r="25" customFormat="false" ht="15" hidden="false" customHeight="true" outlineLevel="0" collapsed="false">
      <c r="A25" s="46" t="s">
        <v>1315</v>
      </c>
      <c r="B25" s="47" t="n">
        <v>84018000</v>
      </c>
      <c r="C25" s="48" t="s">
        <v>1316</v>
      </c>
    </row>
    <row r="26" customFormat="false" ht="15" hidden="false" customHeight="true" outlineLevel="0" collapsed="false">
      <c r="A26" s="49" t="s">
        <v>1317</v>
      </c>
      <c r="B26" s="50" t="n">
        <v>89868000</v>
      </c>
      <c r="C26" s="51" t="s">
        <v>1318</v>
      </c>
    </row>
    <row r="27" customFormat="false" ht="15" hidden="false" customHeight="true" outlineLevel="0" collapsed="false">
      <c r="A27" s="52" t="s">
        <v>1319</v>
      </c>
      <c r="B27" s="53" t="n">
        <f aca="false">B8+B14+B15</f>
        <v>93661240</v>
      </c>
      <c r="C27" s="48" t="s">
        <v>1320</v>
      </c>
    </row>
    <row r="28" customFormat="false" ht="15.75" hidden="false" customHeight="true" outlineLevel="0" collapsed="false"/>
    <row r="29" customFormat="false" ht="15" hidden="false" customHeight="true" outlineLevel="0" collapsed="false">
      <c r="A29" s="56" t="s">
        <v>1321</v>
      </c>
    </row>
    <row r="30" customFormat="false" ht="15" hidden="false" customHeight="true" outlineLevel="0" collapsed="false">
      <c r="A30" s="57" t="s">
        <v>1322</v>
      </c>
      <c r="B30" s="58" t="n">
        <v>45000</v>
      </c>
      <c r="C30" s="59" t="s">
        <v>1323</v>
      </c>
    </row>
    <row r="31" customFormat="false" ht="15" hidden="false" customHeight="true" outlineLevel="0" collapsed="false">
      <c r="A31" s="60" t="s">
        <v>1324</v>
      </c>
      <c r="B31" s="61" t="n">
        <f aca="false">B16+B30</f>
        <v>93706240</v>
      </c>
      <c r="C31" s="59" t="s">
        <v>1325</v>
      </c>
    </row>
    <row r="32" customFormat="false" ht="15" hidden="false" customHeight="true" outlineLevel="0" collapsed="false">
      <c r="A32" s="54" t="s">
        <v>1326</v>
      </c>
    </row>
    <row r="33" customFormat="false" ht="15.75" hidden="false" customHeight="true" outlineLevel="0" collapsed="false"/>
    <row r="34" customFormat="false" ht="15.75" hidden="false" customHeight="true" outlineLevel="0" collapsed="false">
      <c r="A34" s="4" t="s">
        <v>1327</v>
      </c>
    </row>
    <row r="35" customFormat="false" ht="15.75" hidden="false" customHeight="true" outlineLevel="0" collapsed="false">
      <c r="A35" s="8" t="s">
        <v>1328</v>
      </c>
      <c r="B35" s="11" t="n">
        <v>77350000</v>
      </c>
      <c r="C35" s="8" t="s">
        <v>1329</v>
      </c>
    </row>
    <row r="36" customFormat="false" ht="15.75" hidden="false" customHeight="true" outlineLevel="0" collapsed="false">
      <c r="A36" s="8" t="s">
        <v>1330</v>
      </c>
      <c r="B36" s="11" t="n">
        <v>6773000</v>
      </c>
      <c r="C36" s="8" t="s">
        <v>1331</v>
      </c>
    </row>
    <row r="37" customFormat="false" ht="15.75" hidden="false" customHeight="true" outlineLevel="0" collapsed="false">
      <c r="A37" s="8" t="s">
        <v>1332</v>
      </c>
      <c r="B37" s="11" t="n">
        <v>2817880</v>
      </c>
      <c r="C37" s="8" t="s">
        <v>1333</v>
      </c>
    </row>
    <row r="38" customFormat="false" ht="15.75" hidden="false" customHeight="true" outlineLevel="0" collapsed="false">
      <c r="A38" s="8" t="s">
        <v>1334</v>
      </c>
      <c r="B38" s="11" t="n">
        <v>8341467</v>
      </c>
      <c r="C38" s="8" t="s">
        <v>1335</v>
      </c>
    </row>
    <row r="39" customFormat="false" ht="15.75" hidden="false" customHeight="true" outlineLevel="0" collapsed="false">
      <c r="A39" s="8" t="s">
        <v>1336</v>
      </c>
      <c r="B39" s="13" t="n">
        <f aca="false">SUM(B36:B38)</f>
        <v>17932347</v>
      </c>
      <c r="C39" s="8" t="s">
        <v>1337</v>
      </c>
    </row>
    <row r="40" customFormat="false" ht="15.75" hidden="false" customHeight="true" outlineLevel="0" collapsed="false">
      <c r="A40" s="8" t="s">
        <v>1338</v>
      </c>
      <c r="B40" s="13" t="n">
        <f aca="false">B35+B39</f>
        <v>95282347</v>
      </c>
      <c r="C40" s="8" t="s">
        <v>1339</v>
      </c>
    </row>
    <row r="41" customFormat="false" ht="15.75" hidden="false" customHeight="true" outlineLevel="0" collapsed="false">
      <c r="A41" s="8" t="s">
        <v>1340</v>
      </c>
      <c r="B41" s="11" t="n">
        <v>95332347</v>
      </c>
      <c r="C41" s="8" t="s">
        <v>1341</v>
      </c>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52"/>
    <col collapsed="false" customWidth="true" hidden="false" outlineLevel="0" max="3" min="3" style="1" width="46"/>
    <col collapsed="false" customWidth="true" hidden="false" outlineLevel="0" max="4" min="4" style="1" width="52"/>
    <col collapsed="false" customWidth="true" hidden="false" outlineLevel="0" max="26" min="5" style="1" width="8.71"/>
  </cols>
  <sheetData>
    <row r="1" customFormat="false" ht="15.75" hidden="false" customHeight="true" outlineLevel="0" collapsed="false">
      <c r="A1" s="42" t="s">
        <v>1342</v>
      </c>
    </row>
    <row r="2" customFormat="false" ht="15" hidden="false" customHeight="true" outlineLevel="0" collapsed="false">
      <c r="A2" s="43" t="s">
        <v>1343</v>
      </c>
    </row>
    <row r="3" customFormat="false" ht="15" hidden="false" customHeight="true" outlineLevel="0" collapsed="false"/>
    <row r="4" customFormat="false" ht="15" hidden="false" customHeight="true" outlineLevel="0" collapsed="false">
      <c r="A4" s="62" t="s">
        <v>1344</v>
      </c>
      <c r="B4" s="62" t="s">
        <v>1345</v>
      </c>
      <c r="C4" s="62" t="s">
        <v>1346</v>
      </c>
      <c r="D4" s="62" t="s">
        <v>1347</v>
      </c>
    </row>
    <row r="5" customFormat="false" ht="39.75" hidden="false" customHeight="true" outlineLevel="0" collapsed="false">
      <c r="A5" s="63" t="s">
        <v>1348</v>
      </c>
      <c r="B5" s="63" t="s">
        <v>1349</v>
      </c>
      <c r="C5" s="63" t="s">
        <v>1350</v>
      </c>
      <c r="D5" s="64" t="s">
        <v>1351</v>
      </c>
    </row>
    <row r="6" customFormat="false" ht="39.75" hidden="false" customHeight="true" outlineLevel="0" collapsed="false">
      <c r="A6" s="63" t="s">
        <v>1352</v>
      </c>
      <c r="B6" s="63" t="s">
        <v>1353</v>
      </c>
      <c r="C6" s="63" t="s">
        <v>1354</v>
      </c>
      <c r="D6" s="64" t="s">
        <v>1355</v>
      </c>
    </row>
    <row r="7" customFormat="false" ht="39.75" hidden="false" customHeight="true" outlineLevel="0" collapsed="false">
      <c r="A7" s="63" t="s">
        <v>1356</v>
      </c>
      <c r="B7" s="63" t="s">
        <v>1357</v>
      </c>
      <c r="C7" s="63" t="s">
        <v>1358</v>
      </c>
      <c r="D7" s="64" t="s">
        <v>1359</v>
      </c>
    </row>
    <row r="8" customFormat="false" ht="39.75" hidden="false" customHeight="true" outlineLevel="0" collapsed="false">
      <c r="A8" s="63" t="s">
        <v>1360</v>
      </c>
      <c r="B8" s="63" t="s">
        <v>1361</v>
      </c>
      <c r="C8" s="63" t="s">
        <v>1362</v>
      </c>
      <c r="D8" s="64" t="s">
        <v>1363</v>
      </c>
    </row>
    <row r="9" customFormat="false" ht="39.75" hidden="false" customHeight="true" outlineLevel="0" collapsed="false">
      <c r="A9" s="63" t="s">
        <v>1364</v>
      </c>
      <c r="B9" s="63" t="s">
        <v>1365</v>
      </c>
      <c r="C9" s="63" t="s">
        <v>1366</v>
      </c>
      <c r="D9" s="64" t="s">
        <v>1367</v>
      </c>
    </row>
    <row r="10" customFormat="false" ht="39.75" hidden="false" customHeight="true" outlineLevel="0" collapsed="false">
      <c r="A10" s="63" t="s">
        <v>1368</v>
      </c>
      <c r="B10" s="63" t="s">
        <v>1369</v>
      </c>
      <c r="C10" s="63" t="s">
        <v>1370</v>
      </c>
      <c r="D10" s="64" t="s">
        <v>1371</v>
      </c>
    </row>
    <row r="11" customFormat="false" ht="39.75" hidden="false" customHeight="true" outlineLevel="0" collapsed="false">
      <c r="A11" s="63" t="s">
        <v>1372</v>
      </c>
      <c r="B11" s="63" t="s">
        <v>1373</v>
      </c>
      <c r="C11" s="63" t="s">
        <v>1374</v>
      </c>
      <c r="D11" s="64" t="s">
        <v>1375</v>
      </c>
    </row>
    <row r="12" customFormat="false" ht="39.75" hidden="false" customHeight="true" outlineLevel="0" collapsed="false">
      <c r="A12" s="63" t="s">
        <v>1376</v>
      </c>
      <c r="B12" s="63" t="s">
        <v>1377</v>
      </c>
      <c r="C12" s="63" t="s">
        <v>1378</v>
      </c>
      <c r="D12" s="64" t="s">
        <v>1379</v>
      </c>
    </row>
    <row r="13" customFormat="false" ht="39.75" hidden="false" customHeight="true" outlineLevel="0" collapsed="false">
      <c r="A13" s="63" t="s">
        <v>1380</v>
      </c>
      <c r="B13" s="63" t="s">
        <v>1381</v>
      </c>
      <c r="C13" s="63" t="s">
        <v>1382</v>
      </c>
      <c r="D13" s="64" t="s">
        <v>1383</v>
      </c>
    </row>
    <row r="14" customFormat="false" ht="39.75" hidden="false" customHeight="true" outlineLevel="0" collapsed="false">
      <c r="A14" s="63" t="s">
        <v>1384</v>
      </c>
      <c r="B14" s="63" t="s">
        <v>1385</v>
      </c>
      <c r="C14" s="63" t="s">
        <v>1386</v>
      </c>
      <c r="D14" s="64" t="s">
        <v>1387</v>
      </c>
    </row>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57.43"/>
    <col collapsed="false" customWidth="true" hidden="false" outlineLevel="0" max="6" min="2" style="1" width="13"/>
    <col collapsed="false" customWidth="true" hidden="false" outlineLevel="0" max="7" min="7" style="1" width="14"/>
    <col collapsed="false" customWidth="true" hidden="false" outlineLevel="0" max="8" min="8" style="1" width="70"/>
    <col collapsed="false" customWidth="true" hidden="false" outlineLevel="0" max="26" min="9" style="1" width="8.71"/>
  </cols>
  <sheetData>
    <row r="1" customFormat="false" ht="15.75" hidden="false" customHeight="true" outlineLevel="0" collapsed="false">
      <c r="A1" s="42" t="s">
        <v>1388</v>
      </c>
    </row>
    <row r="2" customFormat="false" ht="15" hidden="false" customHeight="true" outlineLevel="0" collapsed="false">
      <c r="A2" s="43" t="s">
        <v>1389</v>
      </c>
    </row>
    <row r="4" customFormat="false" ht="15" hidden="false" customHeight="true" outlineLevel="0" collapsed="false">
      <c r="A4" s="62" t="s">
        <v>1390</v>
      </c>
      <c r="B4" s="65" t="s">
        <v>1391</v>
      </c>
      <c r="C4" s="65" t="s">
        <v>1392</v>
      </c>
      <c r="D4" s="65" t="s">
        <v>1393</v>
      </c>
      <c r="E4" s="65" t="s">
        <v>1394</v>
      </c>
      <c r="F4" s="65" t="s">
        <v>1395</v>
      </c>
      <c r="G4" s="65" t="s">
        <v>1396</v>
      </c>
      <c r="H4" s="65" t="s">
        <v>853</v>
      </c>
    </row>
    <row r="5" customFormat="false" ht="15" hidden="false" customHeight="true" outlineLevel="0" collapsed="false">
      <c r="A5" s="66" t="s">
        <v>1397</v>
      </c>
      <c r="B5" s="67" t="n">
        <v>2295000</v>
      </c>
      <c r="C5" s="67" t="n">
        <v>2295000</v>
      </c>
      <c r="D5" s="67" t="n">
        <v>2365000</v>
      </c>
      <c r="E5" s="67" t="n">
        <v>2295000</v>
      </c>
      <c r="F5" s="67" t="n">
        <v>2295000</v>
      </c>
      <c r="G5" s="67" t="n">
        <f aca="false">SUM(B5:F5)</f>
        <v>11545000</v>
      </c>
      <c r="H5" s="68" t="s">
        <v>1398</v>
      </c>
    </row>
    <row r="6" customFormat="false" ht="15" hidden="false" customHeight="true" outlineLevel="0" collapsed="false">
      <c r="A6" s="66" t="s">
        <v>1399</v>
      </c>
      <c r="B6" s="67" t="n">
        <v>2270000</v>
      </c>
      <c r="C6" s="67" t="n">
        <v>2270000</v>
      </c>
      <c r="D6" s="67" t="n">
        <v>2270000</v>
      </c>
      <c r="E6" s="67" t="n">
        <v>2270000</v>
      </c>
      <c r="F6" s="67" t="n">
        <v>2270000</v>
      </c>
      <c r="G6" s="67" t="n">
        <f aca="false">SUM(B6:F6)</f>
        <v>11350000</v>
      </c>
      <c r="H6" s="68" t="s">
        <v>1400</v>
      </c>
    </row>
    <row r="7" customFormat="false" ht="15" hidden="false" customHeight="true" outlineLevel="0" collapsed="false">
      <c r="A7" s="66" t="s">
        <v>1401</v>
      </c>
      <c r="B7" s="67" t="n">
        <v>2208000</v>
      </c>
      <c r="C7" s="67" t="n">
        <v>2208000</v>
      </c>
      <c r="D7" s="67" t="n">
        <v>2208000</v>
      </c>
      <c r="E7" s="67" t="n">
        <v>2208000</v>
      </c>
      <c r="F7" s="67" t="n">
        <v>2163000</v>
      </c>
      <c r="G7" s="67" t="n">
        <f aca="false">SUM(B7:F7)</f>
        <v>10995000</v>
      </c>
      <c r="H7" s="68" t="s">
        <v>1402</v>
      </c>
    </row>
    <row r="8" customFormat="false" ht="15" hidden="false" customHeight="true" outlineLevel="0" collapsed="false">
      <c r="A8" s="69" t="s">
        <v>1403</v>
      </c>
      <c r="B8" s="70" t="n">
        <f aca="false">SUM(B5:B7)</f>
        <v>6773000</v>
      </c>
      <c r="C8" s="70" t="n">
        <f aca="false">SUM(C5:C7)</f>
        <v>6773000</v>
      </c>
      <c r="D8" s="70" t="n">
        <f aca="false">SUM(D5:D7)</f>
        <v>6843000</v>
      </c>
      <c r="E8" s="70" t="n">
        <f aca="false">SUM(E5:E7)</f>
        <v>6773000</v>
      </c>
      <c r="F8" s="70" t="n">
        <f aca="false">SUM(F5:F7)</f>
        <v>6728000</v>
      </c>
      <c r="G8" s="70" t="n">
        <f aca="false">SUM(B8:F8)</f>
        <v>33890000</v>
      </c>
      <c r="H8" s="68" t="s">
        <v>1404</v>
      </c>
    </row>
    <row r="9" customFormat="false" ht="15" hidden="false" customHeight="true" outlineLevel="0" collapsed="false">
      <c r="A9" s="71" t="s">
        <v>1405</v>
      </c>
      <c r="B9" s="72" t="n">
        <v>12000</v>
      </c>
      <c r="C9" s="72" t="n">
        <v>120000</v>
      </c>
      <c r="D9" s="72" t="n">
        <v>120000</v>
      </c>
      <c r="E9" s="72" t="n">
        <v>120000</v>
      </c>
      <c r="F9" s="72" t="n">
        <v>120000</v>
      </c>
      <c r="G9" s="72" t="n">
        <f aca="false">SUM(B9:F9)</f>
        <v>492000</v>
      </c>
      <c r="H9" s="73" t="s">
        <v>1406</v>
      </c>
      <c r="I9" s="74"/>
      <c r="J9" s="74"/>
      <c r="K9" s="74"/>
      <c r="L9" s="74"/>
      <c r="M9" s="74"/>
      <c r="N9" s="74"/>
      <c r="O9" s="74"/>
      <c r="P9" s="74"/>
      <c r="Q9" s="74"/>
      <c r="R9" s="74"/>
      <c r="S9" s="74"/>
      <c r="T9" s="74"/>
      <c r="U9" s="74"/>
      <c r="V9" s="74"/>
      <c r="W9" s="74"/>
      <c r="X9" s="74"/>
      <c r="Y9" s="74"/>
      <c r="Z9" s="74"/>
    </row>
    <row r="10" customFormat="false" ht="15" hidden="false" customHeight="true" outlineLevel="0" collapsed="false">
      <c r="A10" s="66" t="s">
        <v>1407</v>
      </c>
      <c r="B10" s="67" t="n">
        <v>116261000</v>
      </c>
      <c r="C10" s="67" t="n">
        <v>116261000</v>
      </c>
      <c r="D10" s="67" t="n">
        <v>117276000</v>
      </c>
      <c r="E10" s="67" t="n">
        <v>118111000</v>
      </c>
      <c r="F10" s="67" t="n">
        <v>109853997</v>
      </c>
      <c r="G10" s="67" t="n">
        <f aca="false">SUM(B10:F10)</f>
        <v>577762997</v>
      </c>
      <c r="H10" s="68" t="s">
        <v>1408</v>
      </c>
    </row>
    <row r="11" customFormat="false" ht="15" hidden="false" customHeight="true" outlineLevel="0" collapsed="false">
      <c r="A11" s="69" t="s">
        <v>1409</v>
      </c>
      <c r="B11" s="75" t="n">
        <f aca="false">B8/B10</f>
        <v>0.0582568531149741</v>
      </c>
      <c r="C11" s="75" t="n">
        <f aca="false">C8/C10</f>
        <v>0.0582568531149741</v>
      </c>
      <c r="D11" s="75" t="n">
        <f aca="false">D8/D10</f>
        <v>0.0583495344315973</v>
      </c>
      <c r="E11" s="75" t="n">
        <f aca="false">E8/E10</f>
        <v>0.0573443625064558</v>
      </c>
      <c r="F11" s="75" t="n">
        <f aca="false">F8/F10</f>
        <v>0.0612449267549182</v>
      </c>
      <c r="G11" s="76"/>
      <c r="H11" s="68" t="s">
        <v>1410</v>
      </c>
    </row>
    <row r="13" customFormat="false" ht="63.75" hidden="false" customHeight="true" outlineLevel="0" collapsed="false">
      <c r="A13" s="77" t="s">
        <v>1411</v>
      </c>
    </row>
    <row r="17" customFormat="false" ht="15" hidden="false" customHeight="true" outlineLevel="0" collapsed="false">
      <c r="A17" s="1" t="s">
        <v>1412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50"/>
    <col collapsed="false" customWidth="true" hidden="false" outlineLevel="0" max="6" min="2" style="1" width="12"/>
    <col collapsed="false" customWidth="true" hidden="false" outlineLevel="0" max="7" min="7" style="1" width="13"/>
    <col collapsed="false" customWidth="true" hidden="false" outlineLevel="0" max="26" min="8" style="1" width="8.71"/>
  </cols>
  <sheetData>
    <row r="1" customFormat="false" ht="15.75" hidden="false" customHeight="true" outlineLevel="0" collapsed="false">
      <c r="A1" s="42" t="s">
        <v>1413</v>
      </c>
    </row>
    <row r="2" customFormat="false" ht="15" hidden="false" customHeight="true" outlineLevel="0" collapsed="false">
      <c r="A2" s="78" t="s">
        <v>1414</v>
      </c>
    </row>
    <row r="4" customFormat="false" ht="15" hidden="false" customHeight="true" outlineLevel="0" collapsed="false">
      <c r="A4" s="62" t="s">
        <v>140</v>
      </c>
      <c r="B4" s="65" t="s">
        <v>1391</v>
      </c>
      <c r="C4" s="65" t="s">
        <v>1392</v>
      </c>
      <c r="D4" s="65" t="s">
        <v>1393</v>
      </c>
      <c r="E4" s="65" t="s">
        <v>1394</v>
      </c>
      <c r="F4" s="65" t="s">
        <v>1395</v>
      </c>
      <c r="G4" s="65" t="s">
        <v>1396</v>
      </c>
    </row>
    <row r="5" customFormat="false" ht="15" hidden="false" customHeight="true" outlineLevel="0" collapsed="false">
      <c r="A5" s="79" t="s">
        <v>640</v>
      </c>
      <c r="B5" s="80" t="n">
        <v>205000</v>
      </c>
      <c r="C5" s="80" t="n">
        <v>200000</v>
      </c>
      <c r="D5" s="80" t="n">
        <v>200000</v>
      </c>
      <c r="E5" s="80" t="n">
        <v>150000</v>
      </c>
      <c r="F5" s="80" t="n">
        <v>180000</v>
      </c>
      <c r="G5" s="81" t="n">
        <f aca="false">SUM(B5:F5)</f>
        <v>935000</v>
      </c>
    </row>
    <row r="6" customFormat="false" ht="15" hidden="false" customHeight="true" outlineLevel="0" collapsed="false">
      <c r="A6" s="79" t="s">
        <v>215</v>
      </c>
      <c r="B6" s="80" t="n">
        <v>60000</v>
      </c>
      <c r="C6" s="80" t="n">
        <v>65000</v>
      </c>
      <c r="D6" s="80" t="n">
        <v>90000</v>
      </c>
      <c r="E6" s="80" t="n">
        <v>70000</v>
      </c>
      <c r="F6" s="80" t="n">
        <v>80000</v>
      </c>
      <c r="G6" s="81" t="n">
        <f aca="false">SUM(B6:F6)</f>
        <v>365000</v>
      </c>
    </row>
    <row r="7" customFormat="false" ht="15" hidden="false" customHeight="true" outlineLevel="0" collapsed="false">
      <c r="A7" s="79" t="s">
        <v>617</v>
      </c>
      <c r="B7" s="80" t="n">
        <v>45000</v>
      </c>
      <c r="C7" s="80" t="n">
        <v>70000</v>
      </c>
      <c r="D7" s="80" t="n">
        <v>50000</v>
      </c>
      <c r="E7" s="80" t="n">
        <v>75000</v>
      </c>
      <c r="F7" s="80" t="n">
        <v>120000</v>
      </c>
      <c r="G7" s="81" t="n">
        <f aca="false">SUM(B7:F7)</f>
        <v>360000</v>
      </c>
    </row>
    <row r="8" customFormat="false" ht="15" hidden="false" customHeight="true" outlineLevel="0" collapsed="false">
      <c r="A8" s="79" t="s">
        <v>672</v>
      </c>
      <c r="B8" s="80" t="n">
        <v>70000</v>
      </c>
      <c r="C8" s="80" t="n">
        <v>70000</v>
      </c>
      <c r="D8" s="80" t="n">
        <v>65000</v>
      </c>
      <c r="E8" s="80" t="n">
        <v>65000</v>
      </c>
      <c r="F8" s="80" t="n">
        <v>65000</v>
      </c>
      <c r="G8" s="81" t="n">
        <f aca="false">SUM(B8:F8)</f>
        <v>335000</v>
      </c>
    </row>
    <row r="9" customFormat="false" ht="15" hidden="false" customHeight="true" outlineLevel="0" collapsed="false">
      <c r="A9" s="79" t="s">
        <v>168</v>
      </c>
      <c r="B9" s="80" t="n">
        <v>5000</v>
      </c>
      <c r="C9" s="80" t="n">
        <v>80000</v>
      </c>
      <c r="D9" s="80" t="n">
        <v>80000</v>
      </c>
      <c r="E9" s="80" t="n">
        <v>80000</v>
      </c>
      <c r="F9" s="80" t="n">
        <v>80000</v>
      </c>
      <c r="G9" s="81" t="n">
        <f aca="false">SUM(B9:F9)</f>
        <v>325000</v>
      </c>
    </row>
    <row r="10" customFormat="false" ht="15" hidden="false" customHeight="true" outlineLevel="0" collapsed="false">
      <c r="A10" s="79" t="s">
        <v>225</v>
      </c>
      <c r="B10" s="80" t="n">
        <v>5000</v>
      </c>
      <c r="C10" s="80" t="n">
        <v>35000</v>
      </c>
      <c r="D10" s="80" t="n">
        <v>97500</v>
      </c>
      <c r="E10" s="80" t="n">
        <v>84500</v>
      </c>
      <c r="F10" s="80" t="n">
        <v>80000</v>
      </c>
      <c r="G10" s="81" t="n">
        <f aca="false">SUM(B10:F10)</f>
        <v>302000</v>
      </c>
    </row>
    <row r="11" customFormat="false" ht="15" hidden="false" customHeight="true" outlineLevel="0" collapsed="false">
      <c r="A11" s="79" t="s">
        <v>290</v>
      </c>
      <c r="B11" s="80" t="n">
        <v>60000</v>
      </c>
      <c r="C11" s="80" t="n">
        <v>60000</v>
      </c>
      <c r="D11" s="80" t="n">
        <v>55000</v>
      </c>
      <c r="E11" s="80" t="n">
        <v>55000</v>
      </c>
      <c r="F11" s="80" t="n">
        <v>45000</v>
      </c>
      <c r="G11" s="81" t="n">
        <f aca="false">SUM(B11:F11)</f>
        <v>275000</v>
      </c>
    </row>
    <row r="12" customFormat="false" ht="15" hidden="false" customHeight="true" outlineLevel="0" collapsed="false">
      <c r="A12" s="79" t="s">
        <v>230</v>
      </c>
      <c r="B12" s="80" t="n">
        <v>70000</v>
      </c>
      <c r="C12" s="80" t="n">
        <v>50000</v>
      </c>
      <c r="D12" s="80" t="n">
        <v>25000</v>
      </c>
      <c r="E12" s="80" t="n">
        <v>45000</v>
      </c>
      <c r="F12" s="80" t="n">
        <v>61000</v>
      </c>
      <c r="G12" s="81" t="n">
        <f aca="false">SUM(B12:F12)</f>
        <v>251000</v>
      </c>
    </row>
    <row r="13" customFormat="false" ht="15" hidden="false" customHeight="true" outlineLevel="0" collapsed="false">
      <c r="A13" s="79" t="s">
        <v>657</v>
      </c>
      <c r="B13" s="80" t="n">
        <v>50000</v>
      </c>
      <c r="C13" s="80" t="n">
        <v>50000</v>
      </c>
      <c r="D13" s="80" t="n">
        <v>50000</v>
      </c>
      <c r="E13" s="80" t="n">
        <v>50000</v>
      </c>
      <c r="F13" s="80" t="n">
        <v>50000</v>
      </c>
      <c r="G13" s="81" t="n">
        <f aca="false">SUM(B13:F13)</f>
        <v>250000</v>
      </c>
    </row>
    <row r="14" customFormat="false" ht="15" hidden="false" customHeight="true" outlineLevel="0" collapsed="false">
      <c r="A14" s="79" t="s">
        <v>893</v>
      </c>
      <c r="B14" s="80" t="n">
        <v>45500</v>
      </c>
      <c r="C14" s="80" t="n">
        <v>46500</v>
      </c>
      <c r="D14" s="80" t="n">
        <v>44000</v>
      </c>
      <c r="E14" s="80" t="n">
        <v>49000</v>
      </c>
      <c r="F14" s="80" t="n">
        <v>49000</v>
      </c>
      <c r="G14" s="81" t="n">
        <f aca="false">SUM(B14:F14)</f>
        <v>234000</v>
      </c>
    </row>
    <row r="15" customFormat="false" ht="15" hidden="false" customHeight="true" outlineLevel="0" collapsed="false">
      <c r="A15" s="79" t="s">
        <v>235</v>
      </c>
      <c r="B15" s="80" t="n">
        <v>55000</v>
      </c>
      <c r="C15" s="80" t="n">
        <v>55000</v>
      </c>
      <c r="D15" s="80" t="n">
        <v>30000</v>
      </c>
      <c r="E15" s="80" t="n">
        <v>30000</v>
      </c>
      <c r="F15" s="80" t="n">
        <v>60000</v>
      </c>
      <c r="G15" s="81" t="n">
        <f aca="false">SUM(B15:F15)</f>
        <v>230000</v>
      </c>
    </row>
    <row r="16" customFormat="false" ht="15" hidden="false" customHeight="true" outlineLevel="0" collapsed="false">
      <c r="A16" s="79" t="s">
        <v>317</v>
      </c>
      <c r="B16" s="80" t="n">
        <v>45000</v>
      </c>
      <c r="C16" s="80" t="n">
        <v>45000</v>
      </c>
      <c r="D16" s="80" t="n">
        <v>75000</v>
      </c>
      <c r="E16" s="80" t="n">
        <v>25000</v>
      </c>
      <c r="F16" s="80" t="n">
        <v>25000</v>
      </c>
      <c r="G16" s="81" t="n">
        <f aca="false">SUM(B16:F16)</f>
        <v>215000</v>
      </c>
    </row>
    <row r="18" customFormat="false" ht="39.75" hidden="false" customHeight="true" outlineLevel="0" collapsed="false">
      <c r="A18" s="77" t="s">
        <v>1415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6"/>
    <col collapsed="false" customWidth="true" hidden="false" outlineLevel="0" max="4" min="4" style="1" width="68"/>
    <col collapsed="false" customWidth="true" hidden="false" outlineLevel="0" max="5" min="5" style="1" width="12"/>
    <col collapsed="false" customWidth="true" hidden="false" outlineLevel="0" max="8" min="6" style="1" width="9"/>
    <col collapsed="false" customWidth="true" hidden="false" outlineLevel="0" max="9" min="9" style="1" width="30"/>
    <col collapsed="false" customWidth="true" hidden="false" outlineLevel="0" max="10" min="10" style="1" width="7"/>
    <col collapsed="false" customWidth="true" hidden="false" outlineLevel="0" max="26" min="11" style="1" width="8.71"/>
  </cols>
  <sheetData>
    <row r="1" customFormat="false" ht="15.75" hidden="false" customHeight="true" outlineLevel="0" collapsed="false">
      <c r="A1" s="42" t="s">
        <v>1416</v>
      </c>
    </row>
    <row r="2" customFormat="false" ht="15" hidden="false" customHeight="true" outlineLevel="0" collapsed="false">
      <c r="A2" s="43" t="s">
        <v>1417</v>
      </c>
    </row>
    <row r="3" customFormat="false" ht="15" hidden="false" customHeight="true" outlineLevel="0" collapsed="false"/>
    <row r="4" customFormat="false" ht="15" hidden="false" customHeight="true" outlineLevel="0" collapsed="false">
      <c r="A4" s="55" t="s">
        <v>1418</v>
      </c>
    </row>
    <row r="5" customFormat="false" ht="15" hidden="false" customHeight="true" outlineLevel="0" collapsed="false">
      <c r="A5" s="62" t="s">
        <v>1419</v>
      </c>
      <c r="B5" s="62" t="s">
        <v>1420</v>
      </c>
      <c r="C5" s="65" t="s">
        <v>1421</v>
      </c>
      <c r="D5" s="62" t="s">
        <v>1422</v>
      </c>
      <c r="E5" s="65" t="s">
        <v>1423</v>
      </c>
      <c r="F5" s="65" t="s">
        <v>1424</v>
      </c>
      <c r="G5" s="65" t="s">
        <v>1425</v>
      </c>
      <c r="H5" s="65" t="s">
        <v>1426</v>
      </c>
      <c r="I5" s="62" t="s">
        <v>1427</v>
      </c>
      <c r="J5" s="65" t="s">
        <v>1428</v>
      </c>
    </row>
    <row r="6" customFormat="false" ht="15" hidden="false" customHeight="true" outlineLevel="0" collapsed="false">
      <c r="A6" s="82" t="s">
        <v>1429</v>
      </c>
      <c r="B6" s="82" t="s">
        <v>1430</v>
      </c>
      <c r="C6" s="83" t="s">
        <v>1431</v>
      </c>
      <c r="D6" s="82" t="s">
        <v>1432</v>
      </c>
      <c r="E6" s="84" t="n">
        <v>75000</v>
      </c>
      <c r="F6" s="84" t="n">
        <v>0</v>
      </c>
      <c r="G6" s="84" t="n">
        <v>0</v>
      </c>
      <c r="H6" s="84" t="n">
        <v>0</v>
      </c>
      <c r="I6" s="82" t="s">
        <v>1433</v>
      </c>
      <c r="J6" s="85" t="n">
        <v>28</v>
      </c>
    </row>
    <row r="7" customFormat="false" ht="15" hidden="false" customHeight="true" outlineLevel="0" collapsed="false">
      <c r="A7" s="82" t="s">
        <v>1434</v>
      </c>
      <c r="B7" s="82" t="s">
        <v>1430</v>
      </c>
      <c r="C7" s="83" t="s">
        <v>1431</v>
      </c>
      <c r="D7" s="82" t="s">
        <v>1435</v>
      </c>
      <c r="E7" s="84" t="n">
        <v>75000</v>
      </c>
      <c r="F7" s="84" t="n">
        <v>0</v>
      </c>
      <c r="G7" s="84" t="n">
        <v>0</v>
      </c>
      <c r="H7" s="84" t="n">
        <v>0</v>
      </c>
      <c r="I7" s="82" t="s">
        <v>1433</v>
      </c>
      <c r="J7" s="85" t="n">
        <v>28</v>
      </c>
    </row>
    <row r="8" customFormat="false" ht="15" hidden="false" customHeight="true" outlineLevel="0" collapsed="false">
      <c r="A8" s="82" t="s">
        <v>1436</v>
      </c>
      <c r="B8" s="82" t="s">
        <v>1430</v>
      </c>
      <c r="C8" s="83" t="s">
        <v>1431</v>
      </c>
      <c r="D8" s="82" t="s">
        <v>1437</v>
      </c>
      <c r="E8" s="84" t="n">
        <v>100000</v>
      </c>
      <c r="F8" s="84" t="n">
        <v>0</v>
      </c>
      <c r="G8" s="84" t="n">
        <v>0</v>
      </c>
      <c r="H8" s="84" t="n">
        <v>0</v>
      </c>
      <c r="I8" s="82" t="s">
        <v>1433</v>
      </c>
      <c r="J8" s="85" t="n">
        <v>28</v>
      </c>
    </row>
    <row r="9" customFormat="false" ht="15" hidden="false" customHeight="true" outlineLevel="0" collapsed="false">
      <c r="A9" s="82" t="s">
        <v>1438</v>
      </c>
      <c r="B9" s="82" t="s">
        <v>1430</v>
      </c>
      <c r="C9" s="83" t="s">
        <v>1431</v>
      </c>
      <c r="D9" s="82" t="s">
        <v>1439</v>
      </c>
      <c r="E9" s="84" t="n">
        <v>75000</v>
      </c>
      <c r="F9" s="84" t="n">
        <v>0</v>
      </c>
      <c r="G9" s="84" t="n">
        <v>0</v>
      </c>
      <c r="H9" s="84" t="n">
        <v>0</v>
      </c>
      <c r="I9" s="82" t="s">
        <v>1433</v>
      </c>
      <c r="J9" s="85" t="n">
        <v>28</v>
      </c>
    </row>
    <row r="10" customFormat="false" ht="15" hidden="false" customHeight="true" outlineLevel="0" collapsed="false">
      <c r="A10" s="82" t="s">
        <v>1440</v>
      </c>
      <c r="B10" s="82" t="s">
        <v>1430</v>
      </c>
      <c r="C10" s="83" t="s">
        <v>1431</v>
      </c>
      <c r="D10" s="82" t="s">
        <v>1441</v>
      </c>
      <c r="E10" s="84" t="n">
        <v>75000</v>
      </c>
      <c r="F10" s="84" t="n">
        <v>0</v>
      </c>
      <c r="G10" s="84" t="n">
        <v>0</v>
      </c>
      <c r="H10" s="84" t="n">
        <v>0</v>
      </c>
      <c r="I10" s="82" t="s">
        <v>1433</v>
      </c>
      <c r="J10" s="85" t="n">
        <v>28</v>
      </c>
    </row>
    <row r="11" customFormat="false" ht="15" hidden="false" customHeight="true" outlineLevel="0" collapsed="false">
      <c r="A11" s="86" t="s">
        <v>1442</v>
      </c>
      <c r="B11" s="86" t="s">
        <v>1430</v>
      </c>
      <c r="C11" s="87" t="s">
        <v>1431</v>
      </c>
      <c r="D11" s="86" t="s">
        <v>1443</v>
      </c>
      <c r="E11" s="88" t="n">
        <v>230000</v>
      </c>
      <c r="F11" s="88" t="n">
        <v>0</v>
      </c>
      <c r="G11" s="88" t="n">
        <v>0</v>
      </c>
      <c r="H11" s="88" t="n">
        <v>0</v>
      </c>
      <c r="I11" s="86" t="s">
        <v>1433</v>
      </c>
      <c r="J11" s="89" t="n">
        <v>28</v>
      </c>
    </row>
    <row r="12" customFormat="false" ht="15" hidden="false" customHeight="true" outlineLevel="0" collapsed="false">
      <c r="A12" s="82" t="s">
        <v>1444</v>
      </c>
      <c r="B12" s="82" t="s">
        <v>1430</v>
      </c>
      <c r="C12" s="83" t="s">
        <v>1431</v>
      </c>
      <c r="D12" s="82" t="s">
        <v>1445</v>
      </c>
      <c r="E12" s="84" t="n">
        <v>75000</v>
      </c>
      <c r="F12" s="84" t="n">
        <v>0</v>
      </c>
      <c r="G12" s="84" t="n">
        <v>0</v>
      </c>
      <c r="H12" s="84" t="n">
        <v>0</v>
      </c>
      <c r="I12" s="82" t="s">
        <v>1433</v>
      </c>
      <c r="J12" s="85" t="n">
        <v>28</v>
      </c>
    </row>
    <row r="13" customFormat="false" ht="15" hidden="false" customHeight="true" outlineLevel="0" collapsed="false">
      <c r="A13" s="82" t="s">
        <v>1446</v>
      </c>
      <c r="B13" s="82" t="s">
        <v>1430</v>
      </c>
      <c r="C13" s="83" t="s">
        <v>1431</v>
      </c>
      <c r="D13" s="82" t="s">
        <v>1447</v>
      </c>
      <c r="E13" s="84" t="n">
        <v>75000</v>
      </c>
      <c r="F13" s="84" t="n">
        <v>0</v>
      </c>
      <c r="G13" s="84" t="n">
        <v>0</v>
      </c>
      <c r="H13" s="84" t="n">
        <v>0</v>
      </c>
      <c r="I13" s="82" t="s">
        <v>1433</v>
      </c>
      <c r="J13" s="85" t="n">
        <v>28</v>
      </c>
    </row>
    <row r="14" customFormat="false" ht="15" hidden="false" customHeight="true" outlineLevel="0" collapsed="false">
      <c r="A14" s="82" t="s">
        <v>1448</v>
      </c>
      <c r="B14" s="82" t="s">
        <v>1430</v>
      </c>
      <c r="C14" s="83" t="s">
        <v>1431</v>
      </c>
      <c r="D14" s="82" t="s">
        <v>1449</v>
      </c>
      <c r="E14" s="84" t="n">
        <v>75000</v>
      </c>
      <c r="F14" s="84" t="n">
        <v>0</v>
      </c>
      <c r="G14" s="84" t="n">
        <v>0</v>
      </c>
      <c r="H14" s="84" t="n">
        <v>0</v>
      </c>
      <c r="I14" s="82" t="s">
        <v>1433</v>
      </c>
      <c r="J14" s="85" t="n">
        <v>28</v>
      </c>
    </row>
    <row r="15" customFormat="false" ht="15" hidden="false" customHeight="true" outlineLevel="0" collapsed="false">
      <c r="A15" s="82" t="s">
        <v>1450</v>
      </c>
      <c r="B15" s="82" t="s">
        <v>1430</v>
      </c>
      <c r="C15" s="83" t="s">
        <v>1431</v>
      </c>
      <c r="D15" s="82" t="s">
        <v>1451</v>
      </c>
      <c r="E15" s="84" t="n">
        <v>100000</v>
      </c>
      <c r="F15" s="84" t="n">
        <v>0</v>
      </c>
      <c r="G15" s="84" t="n">
        <v>0</v>
      </c>
      <c r="H15" s="84" t="n">
        <v>0</v>
      </c>
      <c r="I15" s="82" t="s">
        <v>1433</v>
      </c>
      <c r="J15" s="85" t="n">
        <v>29</v>
      </c>
    </row>
    <row r="16" customFormat="false" ht="15" hidden="false" customHeight="true" outlineLevel="0" collapsed="false">
      <c r="A16" s="82" t="s">
        <v>1452</v>
      </c>
      <c r="B16" s="82" t="s">
        <v>1430</v>
      </c>
      <c r="C16" s="83" t="s">
        <v>1431</v>
      </c>
      <c r="D16" s="82" t="s">
        <v>1453</v>
      </c>
      <c r="E16" s="84" t="n">
        <v>75000</v>
      </c>
      <c r="F16" s="84" t="n">
        <v>0</v>
      </c>
      <c r="G16" s="84" t="n">
        <v>0</v>
      </c>
      <c r="H16" s="84" t="n">
        <v>0</v>
      </c>
      <c r="I16" s="82" t="s">
        <v>1433</v>
      </c>
      <c r="J16" s="85" t="n">
        <v>29</v>
      </c>
    </row>
    <row r="17" customFormat="false" ht="15" hidden="false" customHeight="true" outlineLevel="0" collapsed="false">
      <c r="A17" s="82" t="s">
        <v>1454</v>
      </c>
      <c r="B17" s="82" t="s">
        <v>1430</v>
      </c>
      <c r="C17" s="83" t="s">
        <v>1431</v>
      </c>
      <c r="D17" s="82" t="s">
        <v>1455</v>
      </c>
      <c r="E17" s="84" t="n">
        <v>500000</v>
      </c>
      <c r="F17" s="84" t="n">
        <v>0</v>
      </c>
      <c r="G17" s="84" t="n">
        <v>0</v>
      </c>
      <c r="H17" s="84" t="n">
        <v>0</v>
      </c>
      <c r="I17" s="82" t="s">
        <v>1433</v>
      </c>
      <c r="J17" s="85" t="n">
        <v>29</v>
      </c>
    </row>
    <row r="18" customFormat="false" ht="15" hidden="false" customHeight="true" outlineLevel="0" collapsed="false">
      <c r="A18" s="82" t="s">
        <v>1456</v>
      </c>
      <c r="B18" s="82" t="s">
        <v>1430</v>
      </c>
      <c r="C18" s="83" t="s">
        <v>1431</v>
      </c>
      <c r="D18" s="82" t="s">
        <v>1457</v>
      </c>
      <c r="E18" s="84" t="n">
        <v>75000</v>
      </c>
      <c r="F18" s="84" t="n">
        <v>0</v>
      </c>
      <c r="G18" s="84" t="n">
        <v>0</v>
      </c>
      <c r="H18" s="84" t="n">
        <v>0</v>
      </c>
      <c r="I18" s="82" t="s">
        <v>1433</v>
      </c>
      <c r="J18" s="85" t="n">
        <v>29</v>
      </c>
    </row>
    <row r="19" customFormat="false" ht="15" hidden="false" customHeight="true" outlineLevel="0" collapsed="false">
      <c r="A19" s="82" t="s">
        <v>1458</v>
      </c>
      <c r="B19" s="82" t="s">
        <v>1430</v>
      </c>
      <c r="C19" s="83" t="s">
        <v>1431</v>
      </c>
      <c r="D19" s="82" t="s">
        <v>1459</v>
      </c>
      <c r="E19" s="84" t="n">
        <v>75000</v>
      </c>
      <c r="F19" s="84" t="n">
        <v>0</v>
      </c>
      <c r="G19" s="84" t="n">
        <v>0</v>
      </c>
      <c r="H19" s="84" t="n">
        <v>0</v>
      </c>
      <c r="I19" s="82" t="s">
        <v>1433</v>
      </c>
      <c r="J19" s="85" t="n">
        <v>29</v>
      </c>
    </row>
    <row r="20" customFormat="false" ht="15" hidden="false" customHeight="true" outlineLevel="0" collapsed="false">
      <c r="A20" s="82" t="s">
        <v>1460</v>
      </c>
      <c r="B20" s="82" t="s">
        <v>1430</v>
      </c>
      <c r="C20" s="83" t="s">
        <v>1431</v>
      </c>
      <c r="D20" s="82" t="s">
        <v>1461</v>
      </c>
      <c r="E20" s="84" t="n">
        <v>75000</v>
      </c>
      <c r="F20" s="84" t="n">
        <v>0</v>
      </c>
      <c r="G20" s="84" t="n">
        <v>0</v>
      </c>
      <c r="H20" s="84" t="n">
        <v>0</v>
      </c>
      <c r="I20" s="82" t="s">
        <v>1433</v>
      </c>
      <c r="J20" s="85" t="n">
        <v>29</v>
      </c>
    </row>
    <row r="21" customFormat="false" ht="15" hidden="false" customHeight="true" outlineLevel="0" collapsed="false">
      <c r="A21" s="82" t="s">
        <v>1462</v>
      </c>
      <c r="B21" s="82" t="s">
        <v>1430</v>
      </c>
      <c r="C21" s="83" t="s">
        <v>1431</v>
      </c>
      <c r="D21" s="82" t="s">
        <v>1463</v>
      </c>
      <c r="E21" s="84" t="n">
        <v>75000</v>
      </c>
      <c r="F21" s="84" t="n">
        <v>0</v>
      </c>
      <c r="G21" s="84" t="n">
        <v>0</v>
      </c>
      <c r="H21" s="84" t="n">
        <v>0</v>
      </c>
      <c r="I21" s="82" t="s">
        <v>1433</v>
      </c>
      <c r="J21" s="85" t="n">
        <v>29</v>
      </c>
    </row>
    <row r="22" customFormat="false" ht="15" hidden="false" customHeight="true" outlineLevel="0" collapsed="false">
      <c r="A22" s="82" t="s">
        <v>1464</v>
      </c>
      <c r="B22" s="82" t="s">
        <v>1430</v>
      </c>
      <c r="C22" s="83" t="s">
        <v>1431</v>
      </c>
      <c r="D22" s="82" t="s">
        <v>1465</v>
      </c>
      <c r="E22" s="84" t="n">
        <v>75000</v>
      </c>
      <c r="F22" s="84" t="n">
        <v>0</v>
      </c>
      <c r="G22" s="84" t="n">
        <v>0</v>
      </c>
      <c r="H22" s="84" t="n">
        <v>0</v>
      </c>
      <c r="I22" s="82" t="s">
        <v>1433</v>
      </c>
      <c r="J22" s="85" t="n">
        <v>29</v>
      </c>
    </row>
    <row r="23" customFormat="false" ht="15" hidden="false" customHeight="true" outlineLevel="0" collapsed="false">
      <c r="A23" s="82" t="s">
        <v>1466</v>
      </c>
      <c r="B23" s="82" t="s">
        <v>1430</v>
      </c>
      <c r="C23" s="83" t="s">
        <v>1431</v>
      </c>
      <c r="D23" s="82" t="s">
        <v>1467</v>
      </c>
      <c r="E23" s="84" t="n">
        <v>75000</v>
      </c>
      <c r="F23" s="84" t="n">
        <v>0</v>
      </c>
      <c r="G23" s="84" t="n">
        <v>0</v>
      </c>
      <c r="H23" s="84" t="n">
        <v>0</v>
      </c>
      <c r="I23" s="82" t="s">
        <v>1433</v>
      </c>
      <c r="J23" s="85" t="n">
        <v>29</v>
      </c>
    </row>
    <row r="24" customFormat="false" ht="15" hidden="false" customHeight="true" outlineLevel="0" collapsed="false">
      <c r="A24" s="82" t="s">
        <v>1468</v>
      </c>
      <c r="B24" s="82" t="s">
        <v>1430</v>
      </c>
      <c r="C24" s="83" t="s">
        <v>1431</v>
      </c>
      <c r="D24" s="82" t="s">
        <v>1469</v>
      </c>
      <c r="E24" s="84" t="n">
        <v>75000</v>
      </c>
      <c r="F24" s="84" t="n">
        <v>0</v>
      </c>
      <c r="G24" s="84" t="n">
        <v>0</v>
      </c>
      <c r="H24" s="84" t="n">
        <v>0</v>
      </c>
      <c r="I24" s="82" t="s">
        <v>1433</v>
      </c>
      <c r="J24" s="85" t="n">
        <v>29</v>
      </c>
    </row>
    <row r="25" customFormat="false" ht="15" hidden="false" customHeight="true" outlineLevel="0" collapsed="false">
      <c r="A25" s="82" t="s">
        <v>1470</v>
      </c>
      <c r="B25" s="82" t="s">
        <v>1430</v>
      </c>
      <c r="C25" s="83" t="s">
        <v>1431</v>
      </c>
      <c r="D25" s="82" t="s">
        <v>1471</v>
      </c>
      <c r="E25" s="84" t="n">
        <v>218000</v>
      </c>
      <c r="F25" s="84" t="n">
        <v>0</v>
      </c>
      <c r="G25" s="84" t="n">
        <v>0</v>
      </c>
      <c r="H25" s="84" t="n">
        <v>0</v>
      </c>
      <c r="I25" s="82" t="s">
        <v>1433</v>
      </c>
      <c r="J25" s="85" t="n">
        <v>29</v>
      </c>
    </row>
    <row r="26" customFormat="false" ht="15" hidden="false" customHeight="true" outlineLevel="0" collapsed="false">
      <c r="A26" s="82" t="s">
        <v>1472</v>
      </c>
      <c r="B26" s="82" t="s">
        <v>1430</v>
      </c>
      <c r="C26" s="83" t="s">
        <v>1431</v>
      </c>
      <c r="D26" s="82" t="s">
        <v>1473</v>
      </c>
      <c r="E26" s="84" t="n">
        <v>150000</v>
      </c>
      <c r="F26" s="84" t="n">
        <v>0</v>
      </c>
      <c r="G26" s="84" t="n">
        <v>0</v>
      </c>
      <c r="H26" s="84" t="n">
        <v>0</v>
      </c>
      <c r="I26" s="82" t="s">
        <v>1433</v>
      </c>
      <c r="J26" s="85" t="n">
        <v>29</v>
      </c>
    </row>
    <row r="27" customFormat="false" ht="15" hidden="false" customHeight="true" outlineLevel="0" collapsed="false">
      <c r="A27" s="82" t="s">
        <v>1474</v>
      </c>
      <c r="B27" s="82" t="s">
        <v>1430</v>
      </c>
      <c r="C27" s="83" t="s">
        <v>1431</v>
      </c>
      <c r="D27" s="82" t="s">
        <v>1475</v>
      </c>
      <c r="E27" s="84" t="n">
        <v>75000</v>
      </c>
      <c r="F27" s="84" t="n">
        <v>0</v>
      </c>
      <c r="G27" s="84" t="n">
        <v>0</v>
      </c>
      <c r="H27" s="84" t="n">
        <v>0</v>
      </c>
      <c r="I27" s="82" t="s">
        <v>1476</v>
      </c>
      <c r="J27" s="85" t="n">
        <v>29</v>
      </c>
    </row>
    <row r="28" customFormat="false" ht="15" hidden="false" customHeight="true" outlineLevel="0" collapsed="false">
      <c r="A28" s="82" t="s">
        <v>1477</v>
      </c>
      <c r="B28" s="82" t="s">
        <v>1430</v>
      </c>
      <c r="C28" s="83" t="s">
        <v>1431</v>
      </c>
      <c r="D28" s="82" t="s">
        <v>1478</v>
      </c>
      <c r="E28" s="84" t="n">
        <v>200000</v>
      </c>
      <c r="F28" s="84" t="n">
        <v>0</v>
      </c>
      <c r="G28" s="84" t="n">
        <v>0</v>
      </c>
      <c r="H28" s="84" t="n">
        <v>0</v>
      </c>
      <c r="I28" s="82" t="s">
        <v>1476</v>
      </c>
      <c r="J28" s="85" t="n">
        <v>29</v>
      </c>
    </row>
    <row r="29" customFormat="false" ht="15" hidden="false" customHeight="true" outlineLevel="0" collapsed="false">
      <c r="A29" s="82" t="s">
        <v>1479</v>
      </c>
      <c r="B29" s="82" t="s">
        <v>1430</v>
      </c>
      <c r="C29" s="83" t="s">
        <v>1431</v>
      </c>
      <c r="D29" s="82" t="s">
        <v>1480</v>
      </c>
      <c r="E29" s="84" t="n">
        <v>150000</v>
      </c>
      <c r="F29" s="84" t="n">
        <v>0</v>
      </c>
      <c r="G29" s="84" t="n">
        <v>0</v>
      </c>
      <c r="H29" s="84" t="n">
        <v>0</v>
      </c>
      <c r="I29" s="82" t="s">
        <v>1476</v>
      </c>
      <c r="J29" s="85" t="n">
        <v>29</v>
      </c>
    </row>
    <row r="30" customFormat="false" ht="15" hidden="false" customHeight="true" outlineLevel="0" collapsed="false">
      <c r="A30" s="82" t="s">
        <v>1481</v>
      </c>
      <c r="B30" s="82" t="s">
        <v>1430</v>
      </c>
      <c r="C30" s="83" t="s">
        <v>1431</v>
      </c>
      <c r="D30" s="82" t="s">
        <v>1482</v>
      </c>
      <c r="E30" s="84" t="n">
        <v>250000</v>
      </c>
      <c r="F30" s="84" t="n">
        <v>0</v>
      </c>
      <c r="G30" s="84" t="n">
        <v>0</v>
      </c>
      <c r="H30" s="84" t="n">
        <v>0</v>
      </c>
      <c r="I30" s="82" t="s">
        <v>1476</v>
      </c>
      <c r="J30" s="85" t="n">
        <v>29</v>
      </c>
    </row>
    <row r="31" customFormat="false" ht="15" hidden="false" customHeight="true" outlineLevel="0" collapsed="false">
      <c r="A31" s="82" t="s">
        <v>1483</v>
      </c>
      <c r="B31" s="82" t="s">
        <v>1430</v>
      </c>
      <c r="C31" s="83" t="s">
        <v>1431</v>
      </c>
      <c r="D31" s="82" t="s">
        <v>1484</v>
      </c>
      <c r="E31" s="84" t="n">
        <v>250000</v>
      </c>
      <c r="F31" s="84" t="n">
        <v>0</v>
      </c>
      <c r="G31" s="84" t="n">
        <v>0</v>
      </c>
      <c r="H31" s="84" t="n">
        <v>0</v>
      </c>
      <c r="I31" s="82" t="s">
        <v>1476</v>
      </c>
      <c r="J31" s="85" t="n">
        <v>29</v>
      </c>
    </row>
    <row r="32" customFormat="false" ht="15" hidden="false" customHeight="true" outlineLevel="0" collapsed="false">
      <c r="A32" s="82" t="s">
        <v>1485</v>
      </c>
      <c r="B32" s="82" t="s">
        <v>1430</v>
      </c>
      <c r="C32" s="83" t="s">
        <v>1431</v>
      </c>
      <c r="D32" s="82" t="s">
        <v>1486</v>
      </c>
      <c r="E32" s="84" t="n">
        <v>100000</v>
      </c>
      <c r="F32" s="84" t="n">
        <v>0</v>
      </c>
      <c r="G32" s="84" t="n">
        <v>0</v>
      </c>
      <c r="H32" s="84" t="n">
        <v>0</v>
      </c>
      <c r="I32" s="82" t="s">
        <v>1476</v>
      </c>
      <c r="J32" s="85" t="n">
        <v>29</v>
      </c>
    </row>
    <row r="33" customFormat="false" ht="15" hidden="false" customHeight="true" outlineLevel="0" collapsed="false">
      <c r="A33" s="82" t="s">
        <v>1487</v>
      </c>
      <c r="B33" s="82" t="s">
        <v>1430</v>
      </c>
      <c r="C33" s="83" t="s">
        <v>1431</v>
      </c>
      <c r="D33" s="82" t="s">
        <v>1488</v>
      </c>
      <c r="E33" s="84" t="n">
        <v>360000</v>
      </c>
      <c r="F33" s="84" t="n">
        <v>0</v>
      </c>
      <c r="G33" s="84" t="n">
        <v>0</v>
      </c>
      <c r="H33" s="84" t="n">
        <v>0</v>
      </c>
      <c r="I33" s="82" t="s">
        <v>1476</v>
      </c>
      <c r="J33" s="85" t="n">
        <v>29</v>
      </c>
    </row>
    <row r="34" customFormat="false" ht="15" hidden="false" customHeight="true" outlineLevel="0" collapsed="false">
      <c r="A34" s="82" t="s">
        <v>1489</v>
      </c>
      <c r="B34" s="82" t="s">
        <v>1430</v>
      </c>
      <c r="C34" s="83" t="s">
        <v>1431</v>
      </c>
      <c r="D34" s="82" t="s">
        <v>1490</v>
      </c>
      <c r="E34" s="84" t="n">
        <v>200000</v>
      </c>
      <c r="F34" s="84" t="n">
        <v>0</v>
      </c>
      <c r="G34" s="84" t="n">
        <v>0</v>
      </c>
      <c r="H34" s="84" t="n">
        <v>0</v>
      </c>
      <c r="I34" s="82" t="s">
        <v>1476</v>
      </c>
      <c r="J34" s="85" t="n">
        <v>29</v>
      </c>
    </row>
    <row r="35" customFormat="false" ht="15" hidden="false" customHeight="true" outlineLevel="0" collapsed="false">
      <c r="A35" s="82" t="s">
        <v>1491</v>
      </c>
      <c r="B35" s="82" t="s">
        <v>1430</v>
      </c>
      <c r="C35" s="83" t="s">
        <v>1431</v>
      </c>
      <c r="D35" s="82" t="s">
        <v>1492</v>
      </c>
      <c r="E35" s="84" t="n">
        <v>80000</v>
      </c>
      <c r="F35" s="84" t="n">
        <v>0</v>
      </c>
      <c r="G35" s="84" t="n">
        <v>0</v>
      </c>
      <c r="H35" s="84" t="n">
        <v>0</v>
      </c>
      <c r="I35" s="82" t="s">
        <v>1476</v>
      </c>
      <c r="J35" s="85" t="n">
        <v>29</v>
      </c>
    </row>
    <row r="36" customFormat="false" ht="15" hidden="false" customHeight="true" outlineLevel="0" collapsed="false">
      <c r="A36" s="82" t="s">
        <v>1493</v>
      </c>
      <c r="B36" s="82" t="s">
        <v>1430</v>
      </c>
      <c r="C36" s="83" t="s">
        <v>1431</v>
      </c>
      <c r="D36" s="82" t="s">
        <v>1494</v>
      </c>
      <c r="E36" s="84" t="n">
        <v>75000</v>
      </c>
      <c r="F36" s="84" t="n">
        <v>0</v>
      </c>
      <c r="G36" s="84" t="n">
        <v>0</v>
      </c>
      <c r="H36" s="84" t="n">
        <v>0</v>
      </c>
      <c r="I36" s="82" t="s">
        <v>1476</v>
      </c>
      <c r="J36" s="85" t="n">
        <v>29</v>
      </c>
    </row>
    <row r="37" customFormat="false" ht="15" hidden="false" customHeight="true" outlineLevel="0" collapsed="false">
      <c r="A37" s="82" t="s">
        <v>1495</v>
      </c>
      <c r="B37" s="82" t="s">
        <v>1430</v>
      </c>
      <c r="C37" s="83" t="s">
        <v>1431</v>
      </c>
      <c r="D37" s="82" t="s">
        <v>1496</v>
      </c>
      <c r="E37" s="84" t="n">
        <v>300000</v>
      </c>
      <c r="F37" s="84" t="n">
        <v>0</v>
      </c>
      <c r="G37" s="84" t="n">
        <v>0</v>
      </c>
      <c r="H37" s="84" t="n">
        <v>0</v>
      </c>
      <c r="I37" s="82" t="s">
        <v>1476</v>
      </c>
      <c r="J37" s="85" t="n">
        <v>29</v>
      </c>
    </row>
    <row r="38" customFormat="false" ht="15" hidden="false" customHeight="true" outlineLevel="0" collapsed="false">
      <c r="A38" s="82" t="s">
        <v>1497</v>
      </c>
      <c r="B38" s="82" t="s">
        <v>1430</v>
      </c>
      <c r="C38" s="83" t="s">
        <v>1431</v>
      </c>
      <c r="D38" s="82" t="s">
        <v>1498</v>
      </c>
      <c r="E38" s="84" t="n">
        <v>500000</v>
      </c>
      <c r="F38" s="84" t="n">
        <v>0</v>
      </c>
      <c r="G38" s="84" t="n">
        <v>0</v>
      </c>
      <c r="H38" s="84" t="n">
        <v>0</v>
      </c>
      <c r="I38" s="82" t="s">
        <v>1476</v>
      </c>
      <c r="J38" s="85" t="n">
        <v>29</v>
      </c>
    </row>
    <row r="39" customFormat="false" ht="15" hidden="false" customHeight="true" outlineLevel="0" collapsed="false">
      <c r="A39" s="82" t="s">
        <v>1499</v>
      </c>
      <c r="B39" s="82" t="s">
        <v>1430</v>
      </c>
      <c r="C39" s="83" t="s">
        <v>1431</v>
      </c>
      <c r="D39" s="82" t="s">
        <v>1500</v>
      </c>
      <c r="E39" s="84" t="n">
        <v>200000</v>
      </c>
      <c r="F39" s="84" t="n">
        <v>0</v>
      </c>
      <c r="G39" s="84" t="n">
        <v>0</v>
      </c>
      <c r="H39" s="84" t="n">
        <v>0</v>
      </c>
      <c r="I39" s="82" t="s">
        <v>1476</v>
      </c>
      <c r="J39" s="85" t="n">
        <v>29</v>
      </c>
    </row>
    <row r="40" customFormat="false" ht="15" hidden="false" customHeight="true" outlineLevel="0" collapsed="false">
      <c r="A40" s="82" t="s">
        <v>1501</v>
      </c>
      <c r="B40" s="82" t="s">
        <v>1430</v>
      </c>
      <c r="C40" s="83" t="s">
        <v>1431</v>
      </c>
      <c r="D40" s="82" t="s">
        <v>1502</v>
      </c>
      <c r="E40" s="84" t="n">
        <v>218000</v>
      </c>
      <c r="F40" s="84" t="n">
        <v>0</v>
      </c>
      <c r="G40" s="84" t="n">
        <v>0</v>
      </c>
      <c r="H40" s="84" t="n">
        <v>0</v>
      </c>
      <c r="I40" s="82" t="s">
        <v>1476</v>
      </c>
      <c r="J40" s="85" t="n">
        <v>30</v>
      </c>
    </row>
    <row r="41" customFormat="false" ht="15" hidden="false" customHeight="true" outlineLevel="0" collapsed="false">
      <c r="A41" s="82" t="s">
        <v>1503</v>
      </c>
      <c r="B41" s="82" t="s">
        <v>1430</v>
      </c>
      <c r="C41" s="83" t="s">
        <v>1431</v>
      </c>
      <c r="D41" s="82" t="s">
        <v>1504</v>
      </c>
      <c r="E41" s="84" t="n">
        <v>425000</v>
      </c>
      <c r="F41" s="84" t="n">
        <v>0</v>
      </c>
      <c r="G41" s="84" t="n">
        <v>0</v>
      </c>
      <c r="H41" s="84" t="n">
        <v>0</v>
      </c>
      <c r="I41" s="82" t="s">
        <v>1476</v>
      </c>
      <c r="J41" s="85" t="n">
        <v>30</v>
      </c>
    </row>
    <row r="42" customFormat="false" ht="15" hidden="false" customHeight="true" outlineLevel="0" collapsed="false">
      <c r="A42" s="82" t="s">
        <v>1505</v>
      </c>
      <c r="B42" s="82" t="s">
        <v>1430</v>
      </c>
      <c r="C42" s="83" t="s">
        <v>1431</v>
      </c>
      <c r="D42" s="82" t="s">
        <v>1506</v>
      </c>
      <c r="E42" s="84" t="n">
        <v>75000</v>
      </c>
      <c r="F42" s="84" t="n">
        <v>0</v>
      </c>
      <c r="G42" s="84" t="n">
        <v>0</v>
      </c>
      <c r="H42" s="84" t="n">
        <v>0</v>
      </c>
      <c r="I42" s="82" t="s">
        <v>1476</v>
      </c>
      <c r="J42" s="85" t="n">
        <v>30</v>
      </c>
    </row>
    <row r="43" customFormat="false" ht="15" hidden="false" customHeight="true" outlineLevel="0" collapsed="false">
      <c r="A43" s="82" t="s">
        <v>1507</v>
      </c>
      <c r="B43" s="82" t="s">
        <v>1430</v>
      </c>
      <c r="C43" s="83" t="s">
        <v>1431</v>
      </c>
      <c r="D43" s="82" t="s">
        <v>1508</v>
      </c>
      <c r="E43" s="84" t="n">
        <v>75000</v>
      </c>
      <c r="F43" s="84" t="n">
        <v>0</v>
      </c>
      <c r="G43" s="84" t="n">
        <v>0</v>
      </c>
      <c r="H43" s="84" t="n">
        <v>0</v>
      </c>
      <c r="I43" s="82" t="s">
        <v>1476</v>
      </c>
      <c r="J43" s="85" t="n">
        <v>30</v>
      </c>
    </row>
    <row r="44" customFormat="false" ht="15" hidden="false" customHeight="true" outlineLevel="0" collapsed="false">
      <c r="A44" s="82" t="s">
        <v>1509</v>
      </c>
      <c r="B44" s="82" t="s">
        <v>1430</v>
      </c>
      <c r="C44" s="83" t="s">
        <v>1431</v>
      </c>
      <c r="D44" s="82" t="s">
        <v>1510</v>
      </c>
      <c r="E44" s="84" t="n">
        <v>270000</v>
      </c>
      <c r="F44" s="84" t="n">
        <v>0</v>
      </c>
      <c r="G44" s="84" t="n">
        <v>0</v>
      </c>
      <c r="H44" s="84" t="n">
        <v>0</v>
      </c>
      <c r="I44" s="82" t="s">
        <v>1476</v>
      </c>
      <c r="J44" s="85" t="n">
        <v>30</v>
      </c>
    </row>
    <row r="45" customFormat="false" ht="15" hidden="false" customHeight="true" outlineLevel="0" collapsed="false">
      <c r="A45" s="82" t="s">
        <v>1511</v>
      </c>
      <c r="B45" s="82" t="s">
        <v>1430</v>
      </c>
      <c r="C45" s="83" t="s">
        <v>1431</v>
      </c>
      <c r="D45" s="82" t="s">
        <v>1512</v>
      </c>
      <c r="E45" s="84" t="n">
        <v>200000</v>
      </c>
      <c r="F45" s="84" t="n">
        <v>0</v>
      </c>
      <c r="G45" s="84" t="n">
        <v>0</v>
      </c>
      <c r="H45" s="84" t="n">
        <v>0</v>
      </c>
      <c r="I45" s="82" t="s">
        <v>1476</v>
      </c>
      <c r="J45" s="85" t="n">
        <v>30</v>
      </c>
    </row>
    <row r="46" customFormat="false" ht="15" hidden="false" customHeight="true" outlineLevel="0" collapsed="false">
      <c r="A46" s="82" t="s">
        <v>1513</v>
      </c>
      <c r="B46" s="82" t="s">
        <v>1430</v>
      </c>
      <c r="C46" s="83" t="s">
        <v>1431</v>
      </c>
      <c r="D46" s="82" t="s">
        <v>1514</v>
      </c>
      <c r="E46" s="84" t="n">
        <v>75000</v>
      </c>
      <c r="F46" s="84" t="n">
        <v>0</v>
      </c>
      <c r="G46" s="84" t="n">
        <v>0</v>
      </c>
      <c r="H46" s="84" t="n">
        <v>0</v>
      </c>
      <c r="I46" s="82" t="s">
        <v>1476</v>
      </c>
      <c r="J46" s="85" t="n">
        <v>30</v>
      </c>
    </row>
    <row r="47" customFormat="false" ht="15" hidden="false" customHeight="true" outlineLevel="0" collapsed="false">
      <c r="A47" s="82" t="s">
        <v>1515</v>
      </c>
      <c r="B47" s="82" t="s">
        <v>1430</v>
      </c>
      <c r="C47" s="83" t="s">
        <v>1431</v>
      </c>
      <c r="D47" s="82" t="s">
        <v>1516</v>
      </c>
      <c r="E47" s="84" t="n">
        <v>75000</v>
      </c>
      <c r="F47" s="84" t="n">
        <v>0</v>
      </c>
      <c r="G47" s="84" t="n">
        <v>0</v>
      </c>
      <c r="H47" s="84" t="n">
        <v>0</v>
      </c>
      <c r="I47" s="82" t="s">
        <v>1476</v>
      </c>
      <c r="J47" s="85" t="n">
        <v>30</v>
      </c>
    </row>
    <row r="48" customFormat="false" ht="15" hidden="false" customHeight="true" outlineLevel="0" collapsed="false">
      <c r="A48" s="82" t="s">
        <v>1517</v>
      </c>
      <c r="B48" s="82" t="s">
        <v>1430</v>
      </c>
      <c r="C48" s="83" t="s">
        <v>1431</v>
      </c>
      <c r="D48" s="82" t="s">
        <v>1518</v>
      </c>
      <c r="E48" s="84" t="n">
        <v>250000</v>
      </c>
      <c r="F48" s="84" t="n">
        <v>0</v>
      </c>
      <c r="G48" s="84" t="n">
        <v>0</v>
      </c>
      <c r="H48" s="84" t="n">
        <v>0</v>
      </c>
      <c r="I48" s="82" t="s">
        <v>1476</v>
      </c>
      <c r="J48" s="85" t="n">
        <v>30</v>
      </c>
    </row>
    <row r="49" customFormat="false" ht="15" hidden="false" customHeight="true" outlineLevel="0" collapsed="false">
      <c r="A49" s="82" t="s">
        <v>1519</v>
      </c>
      <c r="B49" s="82" t="s">
        <v>1430</v>
      </c>
      <c r="C49" s="83" t="s">
        <v>1431</v>
      </c>
      <c r="D49" s="82" t="s">
        <v>1520</v>
      </c>
      <c r="E49" s="84" t="n">
        <v>75000</v>
      </c>
      <c r="F49" s="84" t="n">
        <v>0</v>
      </c>
      <c r="G49" s="84" t="n">
        <v>0</v>
      </c>
      <c r="H49" s="84" t="n">
        <v>0</v>
      </c>
      <c r="I49" s="82" t="s">
        <v>1476</v>
      </c>
      <c r="J49" s="85" t="n">
        <v>30</v>
      </c>
    </row>
    <row r="50" customFormat="false" ht="15" hidden="false" customHeight="true" outlineLevel="0" collapsed="false">
      <c r="A50" s="82" t="s">
        <v>1521</v>
      </c>
      <c r="B50" s="82" t="s">
        <v>1430</v>
      </c>
      <c r="C50" s="83" t="s">
        <v>1431</v>
      </c>
      <c r="D50" s="82" t="s">
        <v>1522</v>
      </c>
      <c r="E50" s="84" t="n">
        <v>75000</v>
      </c>
      <c r="F50" s="84" t="n">
        <v>0</v>
      </c>
      <c r="G50" s="84" t="n">
        <v>0</v>
      </c>
      <c r="H50" s="84" t="n">
        <v>0</v>
      </c>
      <c r="I50" s="82" t="s">
        <v>1476</v>
      </c>
      <c r="J50" s="85" t="n">
        <v>30</v>
      </c>
    </row>
    <row r="51" customFormat="false" ht="15" hidden="false" customHeight="true" outlineLevel="0" collapsed="false">
      <c r="A51" s="82" t="s">
        <v>1523</v>
      </c>
      <c r="B51" s="82" t="s">
        <v>1430</v>
      </c>
      <c r="C51" s="83" t="s">
        <v>1431</v>
      </c>
      <c r="D51" s="82" t="s">
        <v>1524</v>
      </c>
      <c r="E51" s="84" t="n">
        <v>75000</v>
      </c>
      <c r="F51" s="84" t="n">
        <v>0</v>
      </c>
      <c r="G51" s="84" t="n">
        <v>0</v>
      </c>
      <c r="H51" s="84" t="n">
        <v>0</v>
      </c>
      <c r="I51" s="82" t="s">
        <v>1476</v>
      </c>
      <c r="J51" s="85" t="n">
        <v>30</v>
      </c>
    </row>
    <row r="52" customFormat="false" ht="15" hidden="false" customHeight="true" outlineLevel="0" collapsed="false">
      <c r="A52" s="82" t="s">
        <v>1525</v>
      </c>
      <c r="B52" s="82" t="s">
        <v>1430</v>
      </c>
      <c r="C52" s="83" t="s">
        <v>1431</v>
      </c>
      <c r="D52" s="82" t="s">
        <v>1526</v>
      </c>
      <c r="E52" s="84" t="n">
        <v>75000</v>
      </c>
      <c r="F52" s="84" t="n">
        <v>0</v>
      </c>
      <c r="G52" s="84" t="n">
        <v>0</v>
      </c>
      <c r="H52" s="84" t="n">
        <v>0</v>
      </c>
      <c r="I52" s="82" t="s">
        <v>1476</v>
      </c>
      <c r="J52" s="85" t="n">
        <v>30</v>
      </c>
    </row>
    <row r="53" customFormat="false" ht="15" hidden="false" customHeight="true" outlineLevel="0" collapsed="false">
      <c r="D53" s="90" t="s">
        <v>1527</v>
      </c>
      <c r="E53" s="91" t="n">
        <f aca="false">SUM(E6:E52)</f>
        <v>7126000</v>
      </c>
    </row>
    <row r="54" customFormat="false" ht="15.75" hidden="false" customHeight="true" outlineLevel="0" collapsed="false"/>
    <row r="55" customFormat="false" ht="15" hidden="false" customHeight="true" outlineLevel="0" collapsed="false">
      <c r="A55" s="55" t="s">
        <v>1528</v>
      </c>
    </row>
    <row r="56" customFormat="false" ht="15" hidden="false" customHeight="true" outlineLevel="0" collapsed="false">
      <c r="A56" s="62" t="s">
        <v>1419</v>
      </c>
      <c r="B56" s="62" t="s">
        <v>1420</v>
      </c>
      <c r="C56" s="65" t="s">
        <v>1421</v>
      </c>
      <c r="D56" s="62" t="s">
        <v>1422</v>
      </c>
      <c r="E56" s="65" t="s">
        <v>1423</v>
      </c>
      <c r="F56" s="65" t="s">
        <v>1424</v>
      </c>
      <c r="G56" s="65" t="s">
        <v>1425</v>
      </c>
      <c r="H56" s="65" t="s">
        <v>1426</v>
      </c>
      <c r="I56" s="62" t="s">
        <v>1427</v>
      </c>
      <c r="J56" s="65" t="s">
        <v>1428</v>
      </c>
    </row>
    <row r="57" customFormat="false" ht="15" hidden="false" customHeight="true" outlineLevel="0" collapsed="false">
      <c r="A57" s="82" t="s">
        <v>832</v>
      </c>
      <c r="B57" s="82" t="s">
        <v>1430</v>
      </c>
      <c r="C57" s="83" t="s">
        <v>1431</v>
      </c>
      <c r="D57" s="82" t="s">
        <v>831</v>
      </c>
      <c r="E57" s="84" t="n">
        <v>75000</v>
      </c>
      <c r="F57" s="84" t="n">
        <v>0</v>
      </c>
      <c r="G57" s="84" t="n">
        <v>0</v>
      </c>
      <c r="H57" s="84" t="n">
        <v>0</v>
      </c>
      <c r="I57" s="82" t="s">
        <v>1529</v>
      </c>
      <c r="J57" s="85" t="n">
        <v>31</v>
      </c>
    </row>
    <row r="58" customFormat="false" ht="15" hidden="false" customHeight="true" outlineLevel="0" collapsed="false">
      <c r="A58" s="82" t="s">
        <v>838</v>
      </c>
      <c r="B58" s="82" t="s">
        <v>1430</v>
      </c>
      <c r="C58" s="83" t="s">
        <v>1431</v>
      </c>
      <c r="D58" s="82" t="s">
        <v>837</v>
      </c>
      <c r="E58" s="84" t="n">
        <v>70000</v>
      </c>
      <c r="F58" s="84" t="n">
        <v>0</v>
      </c>
      <c r="G58" s="84" t="n">
        <v>0</v>
      </c>
      <c r="H58" s="84" t="n">
        <v>0</v>
      </c>
      <c r="I58" s="82" t="s">
        <v>1529</v>
      </c>
      <c r="J58" s="85" t="n">
        <v>31</v>
      </c>
    </row>
    <row r="59" customFormat="false" ht="15" hidden="false" customHeight="true" outlineLevel="0" collapsed="false">
      <c r="A59" s="82" t="s">
        <v>835</v>
      </c>
      <c r="B59" s="82" t="s">
        <v>1430</v>
      </c>
      <c r="C59" s="83" t="s">
        <v>1431</v>
      </c>
      <c r="D59" s="82" t="s">
        <v>834</v>
      </c>
      <c r="E59" s="84" t="n">
        <v>75000</v>
      </c>
      <c r="F59" s="84" t="n">
        <v>0</v>
      </c>
      <c r="G59" s="84" t="n">
        <v>0</v>
      </c>
      <c r="H59" s="84" t="n">
        <v>0</v>
      </c>
      <c r="I59" s="82" t="s">
        <v>1529</v>
      </c>
      <c r="J59" s="85" t="n">
        <v>31</v>
      </c>
    </row>
    <row r="60" customFormat="false" ht="15" hidden="false" customHeight="true" outlineLevel="0" collapsed="false">
      <c r="A60" s="82" t="s">
        <v>810</v>
      </c>
      <c r="B60" s="82" t="s">
        <v>1430</v>
      </c>
      <c r="C60" s="83" t="s">
        <v>1431</v>
      </c>
      <c r="D60" s="82" t="s">
        <v>809</v>
      </c>
      <c r="E60" s="84" t="n">
        <v>250000</v>
      </c>
      <c r="F60" s="84" t="n">
        <v>0</v>
      </c>
      <c r="G60" s="84" t="n">
        <v>0</v>
      </c>
      <c r="H60" s="84" t="n">
        <v>0</v>
      </c>
      <c r="I60" s="82" t="s">
        <v>1529</v>
      </c>
      <c r="J60" s="85" t="n">
        <v>31</v>
      </c>
    </row>
    <row r="61" customFormat="false" ht="15" hidden="false" customHeight="true" outlineLevel="0" collapsed="false">
      <c r="A61" s="82" t="s">
        <v>824</v>
      </c>
      <c r="B61" s="82" t="s">
        <v>1430</v>
      </c>
      <c r="C61" s="83" t="s">
        <v>1431</v>
      </c>
      <c r="D61" s="82" t="s">
        <v>1530</v>
      </c>
      <c r="E61" s="84" t="n">
        <v>150000</v>
      </c>
      <c r="F61" s="84" t="n">
        <v>0</v>
      </c>
      <c r="G61" s="84" t="n">
        <v>0</v>
      </c>
      <c r="H61" s="84" t="n">
        <v>0</v>
      </c>
      <c r="I61" s="82" t="s">
        <v>1529</v>
      </c>
      <c r="J61" s="85" t="n">
        <v>31</v>
      </c>
    </row>
    <row r="62" customFormat="false" ht="15" hidden="false" customHeight="true" outlineLevel="0" collapsed="false">
      <c r="A62" s="82" t="s">
        <v>827</v>
      </c>
      <c r="B62" s="82" t="s">
        <v>1430</v>
      </c>
      <c r="C62" s="83" t="s">
        <v>1431</v>
      </c>
      <c r="D62" s="82" t="s">
        <v>1531</v>
      </c>
      <c r="E62" s="84" t="n">
        <v>150000</v>
      </c>
      <c r="F62" s="84" t="n">
        <v>0</v>
      </c>
      <c r="G62" s="84" t="n">
        <v>0</v>
      </c>
      <c r="H62" s="84" t="n">
        <v>0</v>
      </c>
      <c r="I62" s="82" t="s">
        <v>1529</v>
      </c>
      <c r="J62" s="85" t="n">
        <v>31</v>
      </c>
    </row>
    <row r="63" customFormat="false" ht="15" hidden="false" customHeight="true" outlineLevel="0" collapsed="false">
      <c r="D63" s="90" t="s">
        <v>1532</v>
      </c>
      <c r="E63" s="91" t="n">
        <f aca="false">SUM(E57:E62)</f>
        <v>770000</v>
      </c>
    </row>
    <row r="64" customFormat="false" ht="15.75" hidden="false" customHeight="true" outlineLevel="0" collapsed="false"/>
    <row r="65" customFormat="false" ht="15" hidden="false" customHeight="true" outlineLevel="0" collapsed="false">
      <c r="A65" s="55" t="s">
        <v>1533</v>
      </c>
    </row>
    <row r="66" customFormat="false" ht="15" hidden="false" customHeight="true" outlineLevel="0" collapsed="false">
      <c r="A66" s="62" t="s">
        <v>1419</v>
      </c>
      <c r="B66" s="62" t="s">
        <v>1420</v>
      </c>
      <c r="C66" s="65" t="s">
        <v>1421</v>
      </c>
      <c r="D66" s="62" t="s">
        <v>1422</v>
      </c>
      <c r="E66" s="65" t="s">
        <v>1423</v>
      </c>
      <c r="F66" s="65" t="s">
        <v>1424</v>
      </c>
      <c r="G66" s="65" t="s">
        <v>1425</v>
      </c>
      <c r="H66" s="65" t="s">
        <v>1426</v>
      </c>
      <c r="I66" s="62" t="s">
        <v>1427</v>
      </c>
      <c r="J66" s="65" t="s">
        <v>1428</v>
      </c>
    </row>
    <row r="67" customFormat="false" ht="15" hidden="false" customHeight="true" outlineLevel="0" collapsed="false">
      <c r="A67" s="82" t="s">
        <v>1534</v>
      </c>
      <c r="B67" s="82" t="s">
        <v>1430</v>
      </c>
      <c r="C67" s="83" t="s">
        <v>1431</v>
      </c>
      <c r="D67" s="82" t="s">
        <v>1535</v>
      </c>
      <c r="E67" s="84" t="n">
        <v>2000000</v>
      </c>
      <c r="F67" s="84" t="n">
        <v>0</v>
      </c>
      <c r="G67" s="84" t="n">
        <v>0</v>
      </c>
      <c r="H67" s="84" t="n">
        <v>0</v>
      </c>
      <c r="I67" s="82" t="s">
        <v>1536</v>
      </c>
      <c r="J67" s="85" t="n">
        <v>34</v>
      </c>
    </row>
    <row r="68" customFormat="false" ht="15" hidden="false" customHeight="true" outlineLevel="0" collapsed="false">
      <c r="A68" s="82" t="s">
        <v>1537</v>
      </c>
      <c r="B68" s="82" t="s">
        <v>1430</v>
      </c>
      <c r="C68" s="83" t="s">
        <v>1431</v>
      </c>
      <c r="D68" s="82" t="s">
        <v>1538</v>
      </c>
      <c r="E68" s="84" t="n">
        <v>1800000</v>
      </c>
      <c r="F68" s="84" t="n">
        <v>0</v>
      </c>
      <c r="G68" s="84" t="n">
        <v>0</v>
      </c>
      <c r="H68" s="84" t="n">
        <v>0</v>
      </c>
      <c r="I68" s="82" t="s">
        <v>1536</v>
      </c>
      <c r="J68" s="85" t="n">
        <v>34</v>
      </c>
    </row>
    <row r="69" customFormat="false" ht="15" hidden="false" customHeight="true" outlineLevel="0" collapsed="false">
      <c r="D69" s="90" t="s">
        <v>1539</v>
      </c>
      <c r="E69" s="91" t="n">
        <f aca="false">SUM(E67:E68)</f>
        <v>3800000</v>
      </c>
    </row>
    <row r="70" customFormat="false" ht="15.75" hidden="false" customHeight="true" outlineLevel="0" collapsed="false"/>
    <row r="71" customFormat="false" ht="15" hidden="false" customHeight="true" outlineLevel="0" collapsed="false">
      <c r="A71" s="55" t="s">
        <v>1540</v>
      </c>
    </row>
    <row r="72" customFormat="false" ht="15" hidden="false" customHeight="true" outlineLevel="0" collapsed="false">
      <c r="A72" s="62" t="s">
        <v>1419</v>
      </c>
      <c r="B72" s="62" t="s">
        <v>1420</v>
      </c>
      <c r="C72" s="65" t="s">
        <v>1421</v>
      </c>
      <c r="D72" s="62" t="s">
        <v>1422</v>
      </c>
      <c r="E72" s="65" t="s">
        <v>1423</v>
      </c>
      <c r="F72" s="65" t="s">
        <v>1424</v>
      </c>
      <c r="G72" s="65" t="s">
        <v>1425</v>
      </c>
      <c r="H72" s="65" t="s">
        <v>1426</v>
      </c>
      <c r="I72" s="62" t="s">
        <v>1427</v>
      </c>
      <c r="J72" s="65" t="s">
        <v>1428</v>
      </c>
    </row>
    <row r="73" customFormat="false" ht="15" hidden="false" customHeight="true" outlineLevel="0" collapsed="false">
      <c r="A73" s="82" t="s">
        <v>783</v>
      </c>
      <c r="B73" s="82" t="s">
        <v>1541</v>
      </c>
      <c r="C73" s="83" t="s">
        <v>1431</v>
      </c>
      <c r="D73" s="82" t="s">
        <v>782</v>
      </c>
      <c r="E73" s="84" t="n">
        <v>7000000</v>
      </c>
      <c r="F73" s="84" t="n">
        <v>0</v>
      </c>
      <c r="G73" s="84" t="n">
        <v>0</v>
      </c>
      <c r="H73" s="84" t="n">
        <v>0</v>
      </c>
      <c r="I73" s="82" t="s">
        <v>1542</v>
      </c>
      <c r="J73" s="85" t="n">
        <v>37</v>
      </c>
    </row>
    <row r="74" customFormat="false" ht="15" hidden="false" customHeight="true" outlineLevel="0" collapsed="false">
      <c r="D74" s="90" t="s">
        <v>1543</v>
      </c>
      <c r="E74" s="91" t="n">
        <f aca="false">SUM(E73)</f>
        <v>7000000</v>
      </c>
    </row>
    <row r="75" customFormat="false" ht="15.75" hidden="false" customHeight="true" outlineLevel="0" collapsed="false"/>
    <row r="76" customFormat="false" ht="15" hidden="false" customHeight="true" outlineLevel="0" collapsed="false">
      <c r="A76" s="55" t="s">
        <v>1544</v>
      </c>
    </row>
    <row r="77" customFormat="false" ht="15" hidden="false" customHeight="true" outlineLevel="0" collapsed="false">
      <c r="A77" s="62" t="s">
        <v>1419</v>
      </c>
      <c r="B77" s="62" t="s">
        <v>1420</v>
      </c>
      <c r="C77" s="65" t="s">
        <v>1421</v>
      </c>
      <c r="D77" s="62" t="s">
        <v>1422</v>
      </c>
      <c r="E77" s="65" t="s">
        <v>1423</v>
      </c>
      <c r="F77" s="65" t="s">
        <v>1424</v>
      </c>
      <c r="G77" s="65" t="s">
        <v>1425</v>
      </c>
      <c r="H77" s="65" t="s">
        <v>1426</v>
      </c>
      <c r="I77" s="62" t="s">
        <v>1427</v>
      </c>
      <c r="J77" s="65" t="s">
        <v>1428</v>
      </c>
    </row>
    <row r="78" customFormat="false" ht="15" hidden="false" customHeight="true" outlineLevel="0" collapsed="false">
      <c r="A78" s="82" t="s">
        <v>786</v>
      </c>
      <c r="B78" s="82" t="s">
        <v>1541</v>
      </c>
      <c r="C78" s="83" t="s">
        <v>1431</v>
      </c>
      <c r="D78" s="82" t="s">
        <v>785</v>
      </c>
      <c r="E78" s="84" t="n">
        <v>2500000</v>
      </c>
      <c r="F78" s="84" t="n">
        <v>0</v>
      </c>
      <c r="G78" s="84" t="n">
        <v>0</v>
      </c>
      <c r="H78" s="84" t="n">
        <v>0</v>
      </c>
      <c r="I78" s="82" t="s">
        <v>1542</v>
      </c>
      <c r="J78" s="85" t="n">
        <v>37</v>
      </c>
    </row>
    <row r="79" customFormat="false" ht="15" hidden="false" customHeight="true" outlineLevel="0" collapsed="false">
      <c r="D79" s="90" t="s">
        <v>1545</v>
      </c>
      <c r="E79" s="91" t="n">
        <f aca="false">SUM(E78)</f>
        <v>2500000</v>
      </c>
    </row>
    <row r="80" customFormat="false" ht="15.75" hidden="false" customHeight="true" outlineLevel="0" collapsed="false"/>
    <row r="81" customFormat="false" ht="15" hidden="false" customHeight="true" outlineLevel="0" collapsed="false">
      <c r="A81" s="55" t="s">
        <v>1546</v>
      </c>
    </row>
    <row r="82" customFormat="false" ht="15" hidden="false" customHeight="true" outlineLevel="0" collapsed="false">
      <c r="A82" s="62" t="s">
        <v>1419</v>
      </c>
      <c r="B82" s="62" t="s">
        <v>1420</v>
      </c>
      <c r="C82" s="65" t="s">
        <v>1421</v>
      </c>
      <c r="D82" s="62" t="s">
        <v>1422</v>
      </c>
      <c r="E82" s="65" t="s">
        <v>1423</v>
      </c>
      <c r="F82" s="65" t="s">
        <v>1424</v>
      </c>
      <c r="G82" s="65" t="s">
        <v>1425</v>
      </c>
      <c r="H82" s="65" t="s">
        <v>1426</v>
      </c>
      <c r="I82" s="62" t="s">
        <v>1427</v>
      </c>
      <c r="J82" s="65" t="s">
        <v>1428</v>
      </c>
    </row>
    <row r="83" customFormat="false" ht="15" hidden="false" customHeight="true" outlineLevel="0" collapsed="false">
      <c r="A83" s="82" t="s">
        <v>1547</v>
      </c>
      <c r="B83" s="82" t="s">
        <v>1548</v>
      </c>
      <c r="C83" s="83" t="s">
        <v>1431</v>
      </c>
      <c r="D83" s="82" t="s">
        <v>1549</v>
      </c>
      <c r="E83" s="84" t="n">
        <v>55000</v>
      </c>
      <c r="F83" s="84" t="n">
        <v>0</v>
      </c>
      <c r="G83" s="84" t="n">
        <v>0</v>
      </c>
      <c r="H83" s="84" t="n">
        <v>0</v>
      </c>
      <c r="I83" s="82" t="s">
        <v>1476</v>
      </c>
      <c r="J83" s="85" t="n">
        <v>38</v>
      </c>
    </row>
    <row r="84" customFormat="false" ht="15" hidden="false" customHeight="true" outlineLevel="0" collapsed="false">
      <c r="A84" s="82" t="s">
        <v>1550</v>
      </c>
      <c r="B84" s="82" t="s">
        <v>1548</v>
      </c>
      <c r="C84" s="83" t="s">
        <v>1431</v>
      </c>
      <c r="D84" s="82" t="s">
        <v>1551</v>
      </c>
      <c r="E84" s="84" t="n">
        <v>418000</v>
      </c>
      <c r="F84" s="84" t="n">
        <v>0</v>
      </c>
      <c r="G84" s="84" t="n">
        <v>0</v>
      </c>
      <c r="H84" s="84" t="n">
        <v>0</v>
      </c>
      <c r="I84" s="82" t="s">
        <v>1552</v>
      </c>
      <c r="J84" s="85" t="n">
        <v>38</v>
      </c>
    </row>
    <row r="85" customFormat="false" ht="15" hidden="false" customHeight="true" outlineLevel="0" collapsed="false">
      <c r="D85" s="90" t="s">
        <v>1553</v>
      </c>
      <c r="E85" s="91" t="n">
        <f aca="false">SUM(E83:E84)</f>
        <v>473000</v>
      </c>
    </row>
    <row r="86" customFormat="false" ht="15.75" hidden="false" customHeight="true" outlineLevel="0" collapsed="false"/>
    <row r="87" customFormat="false" ht="15" hidden="false" customHeight="true" outlineLevel="0" collapsed="false">
      <c r="A87" s="55" t="s">
        <v>1554</v>
      </c>
    </row>
    <row r="88" customFormat="false" ht="15" hidden="false" customHeight="true" outlineLevel="0" collapsed="false">
      <c r="A88" s="62" t="s">
        <v>1419</v>
      </c>
      <c r="B88" s="62" t="s">
        <v>1420</v>
      </c>
      <c r="C88" s="65" t="s">
        <v>1421</v>
      </c>
      <c r="D88" s="62" t="s">
        <v>1422</v>
      </c>
      <c r="E88" s="65" t="s">
        <v>1423</v>
      </c>
      <c r="F88" s="65" t="s">
        <v>1424</v>
      </c>
      <c r="G88" s="65" t="s">
        <v>1425</v>
      </c>
      <c r="H88" s="65" t="s">
        <v>1426</v>
      </c>
      <c r="I88" s="62" t="s">
        <v>1427</v>
      </c>
      <c r="J88" s="65" t="s">
        <v>1428</v>
      </c>
    </row>
    <row r="89" customFormat="false" ht="15" hidden="false" customHeight="true" outlineLevel="0" collapsed="false">
      <c r="A89" s="82" t="s">
        <v>1555</v>
      </c>
      <c r="B89" s="82" t="s">
        <v>1556</v>
      </c>
      <c r="C89" s="83" t="s">
        <v>1431</v>
      </c>
      <c r="D89" s="82" t="s">
        <v>1557</v>
      </c>
      <c r="E89" s="84" t="n">
        <v>250000</v>
      </c>
      <c r="F89" s="84" t="n">
        <v>0</v>
      </c>
      <c r="G89" s="84" t="n">
        <v>0</v>
      </c>
      <c r="H89" s="84" t="n">
        <v>0</v>
      </c>
      <c r="I89" s="82" t="s">
        <v>1433</v>
      </c>
      <c r="J89" s="85" t="n">
        <v>56</v>
      </c>
    </row>
    <row r="90" customFormat="false" ht="15" hidden="false" customHeight="true" outlineLevel="0" collapsed="false">
      <c r="A90" s="82" t="s">
        <v>1558</v>
      </c>
      <c r="B90" s="82" t="s">
        <v>1559</v>
      </c>
      <c r="C90" s="83" t="s">
        <v>1431</v>
      </c>
      <c r="D90" s="82" t="s">
        <v>1560</v>
      </c>
      <c r="E90" s="84" t="n">
        <v>2000000</v>
      </c>
      <c r="F90" s="84" t="n">
        <v>0</v>
      </c>
      <c r="G90" s="84" t="n">
        <v>0</v>
      </c>
      <c r="H90" s="84" t="n">
        <v>0</v>
      </c>
      <c r="I90" s="82" t="s">
        <v>1561</v>
      </c>
      <c r="J90" s="85" t="n">
        <v>39</v>
      </c>
    </row>
    <row r="91" customFormat="false" ht="15" hidden="false" customHeight="true" outlineLevel="0" collapsed="false">
      <c r="A91" s="82" t="s">
        <v>1562</v>
      </c>
      <c r="B91" s="82" t="s">
        <v>1563</v>
      </c>
      <c r="C91" s="83" t="s">
        <v>1431</v>
      </c>
      <c r="D91" s="82" t="s">
        <v>1564</v>
      </c>
      <c r="E91" s="84" t="n">
        <v>365000</v>
      </c>
      <c r="F91" s="84" t="n">
        <v>0</v>
      </c>
      <c r="G91" s="84" t="n">
        <v>0</v>
      </c>
      <c r="H91" s="84" t="n">
        <v>0</v>
      </c>
      <c r="I91" s="82" t="s">
        <v>1433</v>
      </c>
      <c r="J91" s="85" t="n">
        <v>59</v>
      </c>
    </row>
    <row r="92" customFormat="false" ht="15" hidden="false" customHeight="true" outlineLevel="0" collapsed="false">
      <c r="D92" s="90" t="s">
        <v>1565</v>
      </c>
      <c r="E92" s="91" t="n">
        <f aca="false">SUM(E89:E91)</f>
        <v>2615000</v>
      </c>
    </row>
    <row r="93" customFormat="false" ht="15.75" hidden="false" customHeight="true" outlineLevel="0" collapsed="false"/>
    <row r="94" customFormat="false" ht="15" hidden="false" customHeight="true" outlineLevel="0" collapsed="false">
      <c r="A94" s="55" t="s">
        <v>1566</v>
      </c>
    </row>
    <row r="95" customFormat="false" ht="15" hidden="false" customHeight="true" outlineLevel="0" collapsed="false">
      <c r="A95" s="62" t="s">
        <v>1419</v>
      </c>
      <c r="B95" s="62" t="s">
        <v>1420</v>
      </c>
      <c r="C95" s="65" t="s">
        <v>1421</v>
      </c>
      <c r="D95" s="62" t="s">
        <v>1422</v>
      </c>
      <c r="E95" s="65" t="s">
        <v>1423</v>
      </c>
      <c r="F95" s="65" t="s">
        <v>1424</v>
      </c>
      <c r="G95" s="65" t="s">
        <v>1425</v>
      </c>
      <c r="H95" s="65" t="s">
        <v>1426</v>
      </c>
      <c r="I95" s="62" t="s">
        <v>1427</v>
      </c>
      <c r="J95" s="65" t="s">
        <v>1428</v>
      </c>
    </row>
    <row r="96" customFormat="false" ht="15" hidden="false" customHeight="true" outlineLevel="0" collapsed="false">
      <c r="A96" s="82" t="s">
        <v>789</v>
      </c>
      <c r="B96" s="82" t="s">
        <v>1567</v>
      </c>
      <c r="C96" s="83" t="s">
        <v>1431</v>
      </c>
      <c r="D96" s="82" t="s">
        <v>788</v>
      </c>
      <c r="E96" s="84" t="n">
        <v>2000000</v>
      </c>
      <c r="F96" s="84" t="n">
        <v>0</v>
      </c>
      <c r="G96" s="84" t="n">
        <v>0</v>
      </c>
      <c r="H96" s="84" t="n">
        <v>0</v>
      </c>
      <c r="I96" s="82" t="s">
        <v>1542</v>
      </c>
      <c r="J96" s="85" t="n">
        <v>42</v>
      </c>
    </row>
    <row r="97" customFormat="false" ht="15" hidden="false" customHeight="true" outlineLevel="0" collapsed="false">
      <c r="D97" s="90" t="s">
        <v>1568</v>
      </c>
      <c r="E97" s="91" t="n">
        <f aca="false">SUM(E96)</f>
        <v>2000000</v>
      </c>
    </row>
    <row r="98" customFormat="false" ht="15.75" hidden="false" customHeight="true" outlineLevel="0" collapsed="false"/>
    <row r="99" customFormat="false" ht="15" hidden="false" customHeight="true" outlineLevel="0" collapsed="false">
      <c r="A99" s="55" t="s">
        <v>1569</v>
      </c>
    </row>
    <row r="100" customFormat="false" ht="15" hidden="false" customHeight="true" outlineLevel="0" collapsed="false">
      <c r="A100" s="62" t="s">
        <v>1419</v>
      </c>
      <c r="B100" s="62" t="s">
        <v>1420</v>
      </c>
      <c r="C100" s="65" t="s">
        <v>1421</v>
      </c>
      <c r="D100" s="62" t="s">
        <v>1422</v>
      </c>
      <c r="E100" s="65" t="s">
        <v>1423</v>
      </c>
      <c r="F100" s="65" t="s">
        <v>1424</v>
      </c>
      <c r="G100" s="65" t="s">
        <v>1425</v>
      </c>
      <c r="H100" s="65" t="s">
        <v>1426</v>
      </c>
      <c r="I100" s="62" t="s">
        <v>1427</v>
      </c>
      <c r="J100" s="65" t="s">
        <v>1428</v>
      </c>
    </row>
    <row r="101" customFormat="false" ht="15" hidden="false" customHeight="true" outlineLevel="0" collapsed="false">
      <c r="A101" s="82" t="s">
        <v>808</v>
      </c>
      <c r="B101" s="82" t="s">
        <v>1570</v>
      </c>
      <c r="C101" s="83" t="s">
        <v>1431</v>
      </c>
      <c r="D101" s="82" t="s">
        <v>807</v>
      </c>
      <c r="E101" s="84" t="n">
        <v>340000</v>
      </c>
      <c r="F101" s="84" t="n">
        <v>0</v>
      </c>
      <c r="G101" s="84" t="n">
        <v>0</v>
      </c>
      <c r="H101" s="84" t="n">
        <v>0</v>
      </c>
      <c r="I101" s="82" t="s">
        <v>1529</v>
      </c>
      <c r="J101" s="85" t="n">
        <v>43</v>
      </c>
    </row>
    <row r="102" customFormat="false" ht="15" hidden="false" customHeight="true" outlineLevel="0" collapsed="false">
      <c r="D102" s="90" t="s">
        <v>1571</v>
      </c>
      <c r="E102" s="91" t="n">
        <f aca="false">SUM(E101)</f>
        <v>340000</v>
      </c>
    </row>
    <row r="103" customFormat="false" ht="15.75" hidden="false" customHeight="true" outlineLevel="0" collapsed="false"/>
    <row r="104" customFormat="false" ht="15" hidden="false" customHeight="true" outlineLevel="0" collapsed="false">
      <c r="A104" s="55" t="s">
        <v>1572</v>
      </c>
    </row>
    <row r="105" customFormat="false" ht="15" hidden="false" customHeight="true" outlineLevel="0" collapsed="false">
      <c r="A105" s="62" t="s">
        <v>1419</v>
      </c>
      <c r="B105" s="62" t="s">
        <v>1420</v>
      </c>
      <c r="C105" s="65" t="s">
        <v>1421</v>
      </c>
      <c r="D105" s="62" t="s">
        <v>1422</v>
      </c>
      <c r="E105" s="65" t="s">
        <v>1423</v>
      </c>
      <c r="F105" s="65" t="s">
        <v>1424</v>
      </c>
      <c r="G105" s="65" t="s">
        <v>1425</v>
      </c>
      <c r="H105" s="65" t="s">
        <v>1426</v>
      </c>
      <c r="I105" s="62" t="s">
        <v>1427</v>
      </c>
      <c r="J105" s="65" t="s">
        <v>1428</v>
      </c>
    </row>
    <row r="106" customFormat="false" ht="15" hidden="false" customHeight="true" outlineLevel="0" collapsed="false">
      <c r="A106" s="82" t="s">
        <v>792</v>
      </c>
      <c r="B106" s="82" t="s">
        <v>1573</v>
      </c>
      <c r="C106" s="83" t="s">
        <v>1431</v>
      </c>
      <c r="D106" s="82" t="s">
        <v>791</v>
      </c>
      <c r="E106" s="84" t="n">
        <v>1250000</v>
      </c>
      <c r="F106" s="84" t="n">
        <v>0</v>
      </c>
      <c r="G106" s="84" t="n">
        <v>0</v>
      </c>
      <c r="H106" s="84" t="n">
        <v>0</v>
      </c>
      <c r="I106" s="82" t="s">
        <v>1542</v>
      </c>
      <c r="J106" s="85" t="n">
        <v>43</v>
      </c>
    </row>
    <row r="107" customFormat="false" ht="15" hidden="false" customHeight="true" outlineLevel="0" collapsed="false">
      <c r="D107" s="90" t="s">
        <v>1574</v>
      </c>
      <c r="E107" s="91" t="n">
        <f aca="false">SUM(E106)</f>
        <v>1250000</v>
      </c>
    </row>
    <row r="108" customFormat="false" ht="15.75" hidden="false" customHeight="true" outlineLevel="0" collapsed="false"/>
    <row r="109" customFormat="false" ht="15" hidden="false" customHeight="true" outlineLevel="0" collapsed="false">
      <c r="A109" s="55" t="s">
        <v>1575</v>
      </c>
    </row>
    <row r="110" customFormat="false" ht="15" hidden="false" customHeight="true" outlineLevel="0" collapsed="false">
      <c r="A110" s="62" t="s">
        <v>1419</v>
      </c>
      <c r="B110" s="62" t="s">
        <v>1420</v>
      </c>
      <c r="C110" s="65" t="s">
        <v>1421</v>
      </c>
      <c r="D110" s="62" t="s">
        <v>1422</v>
      </c>
      <c r="E110" s="65" t="s">
        <v>1423</v>
      </c>
      <c r="F110" s="65" t="s">
        <v>1424</v>
      </c>
      <c r="G110" s="65" t="s">
        <v>1425</v>
      </c>
      <c r="H110" s="65" t="s">
        <v>1426</v>
      </c>
      <c r="I110" s="62" t="s">
        <v>1427</v>
      </c>
      <c r="J110" s="65" t="s">
        <v>1428</v>
      </c>
    </row>
    <row r="111" customFormat="false" ht="15" hidden="false" customHeight="true" outlineLevel="0" collapsed="false">
      <c r="A111" s="82" t="s">
        <v>1576</v>
      </c>
      <c r="B111" s="82" t="s">
        <v>1573</v>
      </c>
      <c r="C111" s="83" t="s">
        <v>1431</v>
      </c>
      <c r="D111" s="82" t="s">
        <v>1577</v>
      </c>
      <c r="E111" s="84" t="n">
        <v>4000000</v>
      </c>
      <c r="F111" s="84" t="n">
        <v>0</v>
      </c>
      <c r="G111" s="84" t="n">
        <v>0</v>
      </c>
      <c r="H111" s="84" t="n">
        <v>0</v>
      </c>
      <c r="I111" s="82" t="s">
        <v>1578</v>
      </c>
      <c r="J111" s="85" t="n">
        <v>43</v>
      </c>
    </row>
    <row r="112" customFormat="false" ht="15" hidden="false" customHeight="true" outlineLevel="0" collapsed="false">
      <c r="D112" s="90" t="s">
        <v>1579</v>
      </c>
      <c r="E112" s="91" t="n">
        <f aca="false">SUM(E111)</f>
        <v>4000000</v>
      </c>
    </row>
    <row r="113" customFormat="false" ht="15.75" hidden="false" customHeight="true" outlineLevel="0" collapsed="false"/>
    <row r="114" customFormat="false" ht="15" hidden="false" customHeight="true" outlineLevel="0" collapsed="false">
      <c r="A114" s="55" t="s">
        <v>1580</v>
      </c>
    </row>
    <row r="115" customFormat="false" ht="15" hidden="false" customHeight="true" outlineLevel="0" collapsed="false">
      <c r="A115" s="62" t="s">
        <v>1419</v>
      </c>
      <c r="B115" s="62" t="s">
        <v>1420</v>
      </c>
      <c r="C115" s="65" t="s">
        <v>1421</v>
      </c>
      <c r="D115" s="62" t="s">
        <v>1422</v>
      </c>
      <c r="E115" s="65" t="s">
        <v>1423</v>
      </c>
      <c r="F115" s="65" t="s">
        <v>1424</v>
      </c>
      <c r="G115" s="65" t="s">
        <v>1425</v>
      </c>
      <c r="H115" s="65" t="s">
        <v>1426</v>
      </c>
      <c r="I115" s="62" t="s">
        <v>1427</v>
      </c>
      <c r="J115" s="65" t="s">
        <v>1428</v>
      </c>
    </row>
    <row r="116" customFormat="false" ht="15" hidden="false" customHeight="true" outlineLevel="0" collapsed="false">
      <c r="A116" s="82" t="s">
        <v>1581</v>
      </c>
      <c r="B116" s="82" t="s">
        <v>1582</v>
      </c>
      <c r="C116" s="83" t="s">
        <v>1431</v>
      </c>
      <c r="D116" s="82" t="s">
        <v>1583</v>
      </c>
      <c r="E116" s="84" t="n">
        <v>500000</v>
      </c>
      <c r="F116" s="84" t="n">
        <v>0</v>
      </c>
      <c r="G116" s="84" t="n">
        <v>0</v>
      </c>
      <c r="H116" s="84" t="n">
        <v>0</v>
      </c>
      <c r="I116" s="82" t="s">
        <v>1578</v>
      </c>
      <c r="J116" s="85" t="n">
        <v>45</v>
      </c>
    </row>
    <row r="117" customFormat="false" ht="15" hidden="false" customHeight="true" outlineLevel="0" collapsed="false">
      <c r="D117" s="90" t="s">
        <v>1584</v>
      </c>
      <c r="E117" s="91" t="n">
        <f aca="false">SUM(E116)</f>
        <v>500000</v>
      </c>
    </row>
    <row r="118" customFormat="false" ht="15.75" hidden="false" customHeight="true" outlineLevel="0" collapsed="false"/>
    <row r="119" customFormat="false" ht="15" hidden="false" customHeight="true" outlineLevel="0" collapsed="false">
      <c r="A119" s="55" t="s">
        <v>1585</v>
      </c>
    </row>
    <row r="120" customFormat="false" ht="15" hidden="false" customHeight="true" outlineLevel="0" collapsed="false">
      <c r="A120" s="62" t="s">
        <v>1419</v>
      </c>
      <c r="B120" s="62" t="s">
        <v>1420</v>
      </c>
      <c r="C120" s="65" t="s">
        <v>1421</v>
      </c>
      <c r="D120" s="62" t="s">
        <v>1422</v>
      </c>
      <c r="E120" s="65" t="s">
        <v>1423</v>
      </c>
      <c r="F120" s="65" t="s">
        <v>1424</v>
      </c>
      <c r="G120" s="65" t="s">
        <v>1425</v>
      </c>
      <c r="H120" s="65" t="s">
        <v>1426</v>
      </c>
      <c r="I120" s="62" t="s">
        <v>1427</v>
      </c>
      <c r="J120" s="65" t="s">
        <v>1428</v>
      </c>
    </row>
    <row r="121" customFormat="false" ht="15" hidden="false" customHeight="true" outlineLevel="0" collapsed="false">
      <c r="A121" s="82" t="s">
        <v>796</v>
      </c>
      <c r="B121" s="82" t="s">
        <v>1586</v>
      </c>
      <c r="C121" s="83" t="s">
        <v>1431</v>
      </c>
      <c r="D121" s="82" t="s">
        <v>795</v>
      </c>
      <c r="E121" s="84" t="n">
        <v>500000</v>
      </c>
      <c r="F121" s="84" t="n">
        <v>0</v>
      </c>
      <c r="G121" s="84" t="n">
        <v>0</v>
      </c>
      <c r="H121" s="84" t="n">
        <v>0</v>
      </c>
      <c r="I121" s="82" t="s">
        <v>1529</v>
      </c>
      <c r="J121" s="85" t="n">
        <v>48</v>
      </c>
    </row>
    <row r="122" customFormat="false" ht="15" hidden="false" customHeight="true" outlineLevel="0" collapsed="false">
      <c r="A122" s="82" t="s">
        <v>799</v>
      </c>
      <c r="B122" s="82" t="s">
        <v>1586</v>
      </c>
      <c r="C122" s="83" t="s">
        <v>1431</v>
      </c>
      <c r="D122" s="82" t="s">
        <v>798</v>
      </c>
      <c r="E122" s="84" t="n">
        <v>500000</v>
      </c>
      <c r="F122" s="84" t="n">
        <v>0</v>
      </c>
      <c r="G122" s="84" t="n">
        <v>0</v>
      </c>
      <c r="H122" s="84" t="n">
        <v>0</v>
      </c>
      <c r="I122" s="82" t="s">
        <v>1529</v>
      </c>
      <c r="J122" s="85" t="n">
        <v>48</v>
      </c>
    </row>
    <row r="123" customFormat="false" ht="15" hidden="false" customHeight="true" outlineLevel="0" collapsed="false">
      <c r="A123" s="82" t="s">
        <v>813</v>
      </c>
      <c r="B123" s="82" t="s">
        <v>1586</v>
      </c>
      <c r="C123" s="83" t="s">
        <v>1431</v>
      </c>
      <c r="D123" s="82" t="s">
        <v>812</v>
      </c>
      <c r="E123" s="84" t="n">
        <v>250000</v>
      </c>
      <c r="F123" s="84" t="n">
        <v>0</v>
      </c>
      <c r="G123" s="84" t="n">
        <v>0</v>
      </c>
      <c r="H123" s="84" t="n">
        <v>0</v>
      </c>
      <c r="I123" s="82" t="s">
        <v>1529</v>
      </c>
      <c r="J123" s="85" t="n">
        <v>48</v>
      </c>
    </row>
    <row r="124" customFormat="false" ht="15" hidden="false" customHeight="true" outlineLevel="0" collapsed="false">
      <c r="D124" s="90" t="s">
        <v>1587</v>
      </c>
      <c r="E124" s="91" t="n">
        <f aca="false">SUM(E121:E123)</f>
        <v>1250000</v>
      </c>
    </row>
    <row r="125" customFormat="false" ht="15.75" hidden="false" customHeight="true" outlineLevel="0" collapsed="false"/>
    <row r="126" customFormat="false" ht="15" hidden="false" customHeight="true" outlineLevel="0" collapsed="false">
      <c r="A126" s="55" t="s">
        <v>1588</v>
      </c>
    </row>
    <row r="127" customFormat="false" ht="15" hidden="false" customHeight="true" outlineLevel="0" collapsed="false">
      <c r="A127" s="62" t="s">
        <v>1419</v>
      </c>
      <c r="B127" s="62" t="s">
        <v>1420</v>
      </c>
      <c r="C127" s="65" t="s">
        <v>1421</v>
      </c>
      <c r="D127" s="62" t="s">
        <v>1422</v>
      </c>
      <c r="E127" s="65" t="s">
        <v>1423</v>
      </c>
      <c r="F127" s="65" t="s">
        <v>1424</v>
      </c>
      <c r="G127" s="65" t="s">
        <v>1425</v>
      </c>
      <c r="H127" s="65" t="s">
        <v>1426</v>
      </c>
      <c r="I127" s="62" t="s">
        <v>1427</v>
      </c>
      <c r="J127" s="65" t="s">
        <v>1428</v>
      </c>
    </row>
    <row r="128" customFormat="false" ht="15" hidden="false" customHeight="true" outlineLevel="0" collapsed="false">
      <c r="A128" s="82" t="s">
        <v>1589</v>
      </c>
      <c r="B128" s="82" t="s">
        <v>1590</v>
      </c>
      <c r="C128" s="83" t="s">
        <v>1431</v>
      </c>
      <c r="D128" s="82" t="s">
        <v>1591</v>
      </c>
      <c r="E128" s="84" t="n">
        <v>242000</v>
      </c>
      <c r="F128" s="84" t="n">
        <v>0</v>
      </c>
      <c r="G128" s="84" t="n">
        <v>0</v>
      </c>
      <c r="H128" s="84" t="n">
        <v>0</v>
      </c>
      <c r="I128" s="82" t="s">
        <v>1476</v>
      </c>
      <c r="J128" s="85" t="n">
        <v>49</v>
      </c>
    </row>
    <row r="129" customFormat="false" ht="15" hidden="false" customHeight="true" outlineLevel="0" collapsed="false">
      <c r="A129" s="82" t="s">
        <v>816</v>
      </c>
      <c r="B129" s="82" t="s">
        <v>1590</v>
      </c>
      <c r="C129" s="83" t="s">
        <v>1431</v>
      </c>
      <c r="D129" s="82" t="s">
        <v>815</v>
      </c>
      <c r="E129" s="84" t="n">
        <v>250000</v>
      </c>
      <c r="F129" s="84" t="n">
        <v>0</v>
      </c>
      <c r="G129" s="84" t="n">
        <v>0</v>
      </c>
      <c r="H129" s="84" t="n">
        <v>0</v>
      </c>
      <c r="I129" s="82" t="s">
        <v>1529</v>
      </c>
      <c r="J129" s="85" t="n">
        <v>49</v>
      </c>
    </row>
    <row r="130" customFormat="false" ht="15" hidden="false" customHeight="true" outlineLevel="0" collapsed="false">
      <c r="A130" s="82" t="s">
        <v>1592</v>
      </c>
      <c r="B130" s="82" t="s">
        <v>1590</v>
      </c>
      <c r="C130" s="83" t="s">
        <v>1431</v>
      </c>
      <c r="D130" s="82" t="s">
        <v>1593</v>
      </c>
      <c r="E130" s="84" t="n">
        <v>250000</v>
      </c>
      <c r="F130" s="84" t="n">
        <v>0</v>
      </c>
      <c r="G130" s="84" t="n">
        <v>0</v>
      </c>
      <c r="H130" s="84" t="n">
        <v>0</v>
      </c>
      <c r="I130" s="82" t="s">
        <v>1433</v>
      </c>
      <c r="J130" s="85" t="n">
        <v>49</v>
      </c>
    </row>
    <row r="131" customFormat="false" ht="15" hidden="false" customHeight="true" outlineLevel="0" collapsed="false">
      <c r="D131" s="90" t="s">
        <v>1594</v>
      </c>
      <c r="E131" s="91" t="n">
        <f aca="false">SUM(E128:E130)</f>
        <v>742000</v>
      </c>
    </row>
    <row r="132" customFormat="false" ht="15.75" hidden="false" customHeight="true" outlineLevel="0" collapsed="false"/>
    <row r="133" customFormat="false" ht="15" hidden="false" customHeight="true" outlineLevel="0" collapsed="false">
      <c r="A133" s="55" t="s">
        <v>1595</v>
      </c>
    </row>
    <row r="134" customFormat="false" ht="15" hidden="false" customHeight="true" outlineLevel="0" collapsed="false">
      <c r="A134" s="62" t="s">
        <v>1419</v>
      </c>
      <c r="B134" s="62" t="s">
        <v>1420</v>
      </c>
      <c r="C134" s="65" t="s">
        <v>1421</v>
      </c>
      <c r="D134" s="62" t="s">
        <v>1422</v>
      </c>
      <c r="E134" s="65" t="s">
        <v>1423</v>
      </c>
      <c r="F134" s="65" t="s">
        <v>1424</v>
      </c>
      <c r="G134" s="65" t="s">
        <v>1425</v>
      </c>
      <c r="H134" s="65" t="s">
        <v>1426</v>
      </c>
      <c r="I134" s="62" t="s">
        <v>1427</v>
      </c>
      <c r="J134" s="65" t="s">
        <v>1428</v>
      </c>
    </row>
    <row r="135" customFormat="false" ht="15" hidden="false" customHeight="true" outlineLevel="0" collapsed="false">
      <c r="A135" s="82" t="s">
        <v>1596</v>
      </c>
      <c r="B135" s="82" t="s">
        <v>1597</v>
      </c>
      <c r="C135" s="83" t="s">
        <v>1431</v>
      </c>
      <c r="D135" s="82" t="s">
        <v>1598</v>
      </c>
      <c r="E135" s="84" t="n">
        <v>150000</v>
      </c>
      <c r="F135" s="84" t="n">
        <v>0</v>
      </c>
      <c r="G135" s="84" t="n">
        <v>0</v>
      </c>
      <c r="H135" s="84" t="n">
        <v>0</v>
      </c>
      <c r="I135" s="82" t="s">
        <v>1433</v>
      </c>
      <c r="J135" s="85" t="n">
        <v>53</v>
      </c>
    </row>
    <row r="136" customFormat="false" ht="15" hidden="false" customHeight="true" outlineLevel="0" collapsed="false">
      <c r="A136" s="82" t="s">
        <v>1599</v>
      </c>
      <c r="B136" s="82" t="s">
        <v>1597</v>
      </c>
      <c r="C136" s="83" t="s">
        <v>1431</v>
      </c>
      <c r="D136" s="82" t="s">
        <v>1600</v>
      </c>
      <c r="E136" s="84" t="n">
        <v>160000</v>
      </c>
      <c r="F136" s="84" t="n">
        <v>0</v>
      </c>
      <c r="G136" s="84" t="n">
        <v>0</v>
      </c>
      <c r="H136" s="84" t="n">
        <v>0</v>
      </c>
      <c r="I136" s="82" t="s">
        <v>1433</v>
      </c>
      <c r="J136" s="85" t="n">
        <v>53</v>
      </c>
    </row>
    <row r="137" customFormat="false" ht="15" hidden="false" customHeight="true" outlineLevel="0" collapsed="false">
      <c r="D137" s="90" t="s">
        <v>1601</v>
      </c>
      <c r="E137" s="91" t="n">
        <f aca="false">SUM(E135:E136)</f>
        <v>310000</v>
      </c>
    </row>
    <row r="138" customFormat="false" ht="15.75" hidden="false" customHeight="true" outlineLevel="0" collapsed="false"/>
    <row r="139" customFormat="false" ht="15" hidden="false" customHeight="true" outlineLevel="0" collapsed="false">
      <c r="A139" s="55" t="s">
        <v>1602</v>
      </c>
    </row>
    <row r="140" customFormat="false" ht="15" hidden="false" customHeight="true" outlineLevel="0" collapsed="false">
      <c r="A140" s="62" t="s">
        <v>1419</v>
      </c>
      <c r="B140" s="62" t="s">
        <v>1420</v>
      </c>
      <c r="C140" s="65" t="s">
        <v>1421</v>
      </c>
      <c r="D140" s="62" t="s">
        <v>1422</v>
      </c>
      <c r="E140" s="65" t="s">
        <v>1423</v>
      </c>
      <c r="F140" s="65" t="s">
        <v>1424</v>
      </c>
      <c r="G140" s="65" t="s">
        <v>1425</v>
      </c>
      <c r="H140" s="65" t="s">
        <v>1426</v>
      </c>
      <c r="I140" s="62" t="s">
        <v>1427</v>
      </c>
      <c r="J140" s="65" t="s">
        <v>1428</v>
      </c>
    </row>
    <row r="141" customFormat="false" ht="15" hidden="false" customHeight="true" outlineLevel="0" collapsed="false">
      <c r="A141" s="82" t="s">
        <v>1603</v>
      </c>
      <c r="B141" s="82" t="s">
        <v>1597</v>
      </c>
      <c r="C141" s="83" t="s">
        <v>1431</v>
      </c>
      <c r="D141" s="82" t="s">
        <v>1604</v>
      </c>
      <c r="E141" s="84" t="n">
        <v>777000</v>
      </c>
      <c r="F141" s="84" t="n">
        <v>0</v>
      </c>
      <c r="G141" s="84" t="n">
        <v>0</v>
      </c>
      <c r="H141" s="84" t="n">
        <v>0</v>
      </c>
      <c r="I141" s="82" t="s">
        <v>1433</v>
      </c>
      <c r="J141" s="85" t="n">
        <v>53</v>
      </c>
    </row>
    <row r="142" customFormat="false" ht="15" hidden="false" customHeight="true" outlineLevel="0" collapsed="false">
      <c r="A142" s="82" t="s">
        <v>1605</v>
      </c>
      <c r="B142" s="82" t="s">
        <v>1597</v>
      </c>
      <c r="C142" s="83" t="s">
        <v>1431</v>
      </c>
      <c r="D142" s="82" t="s">
        <v>1606</v>
      </c>
      <c r="E142" s="84" t="n">
        <v>125000</v>
      </c>
      <c r="F142" s="84" t="n">
        <v>0</v>
      </c>
      <c r="G142" s="84" t="n">
        <v>0</v>
      </c>
      <c r="H142" s="84" t="n">
        <v>0</v>
      </c>
      <c r="I142" s="82" t="s">
        <v>1433</v>
      </c>
      <c r="J142" s="85" t="n">
        <v>53</v>
      </c>
    </row>
    <row r="143" customFormat="false" ht="15" hidden="false" customHeight="true" outlineLevel="0" collapsed="false">
      <c r="D143" s="90" t="s">
        <v>1607</v>
      </c>
      <c r="E143" s="91" t="n">
        <f aca="false">SUM(E141:E142)</f>
        <v>902000</v>
      </c>
    </row>
    <row r="144" customFormat="false" ht="15.75" hidden="false" customHeight="true" outlineLevel="0" collapsed="false"/>
    <row r="145" customFormat="false" ht="15" hidden="false" customHeight="true" outlineLevel="0" collapsed="false">
      <c r="A145" s="55" t="s">
        <v>1608</v>
      </c>
    </row>
    <row r="146" customFormat="false" ht="15" hidden="false" customHeight="true" outlineLevel="0" collapsed="false">
      <c r="A146" s="62" t="s">
        <v>1419</v>
      </c>
      <c r="B146" s="62" t="s">
        <v>1420</v>
      </c>
      <c r="C146" s="65" t="s">
        <v>1421</v>
      </c>
      <c r="D146" s="62" t="s">
        <v>1422</v>
      </c>
      <c r="E146" s="65" t="s">
        <v>1423</v>
      </c>
      <c r="F146" s="65" t="s">
        <v>1424</v>
      </c>
      <c r="G146" s="65" t="s">
        <v>1425</v>
      </c>
      <c r="H146" s="65" t="s">
        <v>1426</v>
      </c>
      <c r="I146" s="62" t="s">
        <v>1427</v>
      </c>
      <c r="J146" s="65" t="s">
        <v>1428</v>
      </c>
    </row>
    <row r="147" customFormat="false" ht="15" hidden="false" customHeight="true" outlineLevel="0" collapsed="false">
      <c r="A147" s="82" t="s">
        <v>819</v>
      </c>
      <c r="B147" s="82" t="s">
        <v>1597</v>
      </c>
      <c r="C147" s="83" t="s">
        <v>1431</v>
      </c>
      <c r="D147" s="82" t="s">
        <v>818</v>
      </c>
      <c r="E147" s="84" t="n">
        <v>250000</v>
      </c>
      <c r="F147" s="84" t="n">
        <v>0</v>
      </c>
      <c r="G147" s="84" t="n">
        <v>0</v>
      </c>
      <c r="H147" s="84" t="n">
        <v>0</v>
      </c>
      <c r="I147" s="82" t="s">
        <v>1529</v>
      </c>
      <c r="J147" s="85" t="n">
        <v>53</v>
      </c>
    </row>
    <row r="148" customFormat="false" ht="15" hidden="false" customHeight="true" outlineLevel="0" collapsed="false">
      <c r="A148" s="82" t="s">
        <v>805</v>
      </c>
      <c r="B148" s="82" t="s">
        <v>1597</v>
      </c>
      <c r="C148" s="83" t="s">
        <v>1431</v>
      </c>
      <c r="D148" s="82" t="s">
        <v>804</v>
      </c>
      <c r="E148" s="84" t="n">
        <v>400000</v>
      </c>
      <c r="F148" s="84" t="n">
        <v>0</v>
      </c>
      <c r="G148" s="84" t="n">
        <v>0</v>
      </c>
      <c r="H148" s="84" t="n">
        <v>0</v>
      </c>
      <c r="I148" s="82" t="s">
        <v>1529</v>
      </c>
      <c r="J148" s="85" t="n">
        <v>53</v>
      </c>
    </row>
    <row r="149" customFormat="false" ht="15" hidden="false" customHeight="true" outlineLevel="0" collapsed="false">
      <c r="A149" s="86" t="s">
        <v>1609</v>
      </c>
      <c r="B149" s="86" t="s">
        <v>1597</v>
      </c>
      <c r="C149" s="87" t="s">
        <v>1610</v>
      </c>
      <c r="D149" s="86" t="s">
        <v>1611</v>
      </c>
      <c r="E149" s="88" t="n">
        <v>3536000</v>
      </c>
      <c r="F149" s="88" t="n">
        <v>0</v>
      </c>
      <c r="G149" s="88" t="n">
        <v>0</v>
      </c>
      <c r="H149" s="88" t="n">
        <v>0</v>
      </c>
      <c r="I149" s="86" t="s">
        <v>1561</v>
      </c>
      <c r="J149" s="89" t="n">
        <v>53</v>
      </c>
    </row>
    <row r="150" customFormat="false" ht="15" hidden="false" customHeight="true" outlineLevel="0" collapsed="false">
      <c r="D150" s="90" t="s">
        <v>1612</v>
      </c>
      <c r="E150" s="91" t="n">
        <f aca="false">SUM(E147:E149)</f>
        <v>4186000</v>
      </c>
    </row>
    <row r="151" customFormat="false" ht="15.75" hidden="false" customHeight="true" outlineLevel="0" collapsed="false"/>
    <row r="152" customFormat="false" ht="15" hidden="false" customHeight="true" outlineLevel="0" collapsed="false">
      <c r="A152" s="55" t="s">
        <v>1613</v>
      </c>
    </row>
    <row r="153" customFormat="false" ht="15" hidden="false" customHeight="true" outlineLevel="0" collapsed="false">
      <c r="A153" s="62" t="s">
        <v>1419</v>
      </c>
      <c r="B153" s="62" t="s">
        <v>1420</v>
      </c>
      <c r="C153" s="65" t="s">
        <v>1421</v>
      </c>
      <c r="D153" s="62" t="s">
        <v>1422</v>
      </c>
      <c r="E153" s="65" t="s">
        <v>1423</v>
      </c>
      <c r="F153" s="65" t="s">
        <v>1424</v>
      </c>
      <c r="G153" s="65" t="s">
        <v>1425</v>
      </c>
      <c r="H153" s="65" t="s">
        <v>1426</v>
      </c>
      <c r="I153" s="62" t="s">
        <v>1427</v>
      </c>
      <c r="J153" s="65" t="s">
        <v>1428</v>
      </c>
    </row>
    <row r="154" customFormat="false" ht="15" hidden="false" customHeight="true" outlineLevel="0" collapsed="false">
      <c r="A154" s="82" t="s">
        <v>1614</v>
      </c>
      <c r="B154" s="82" t="s">
        <v>1597</v>
      </c>
      <c r="C154" s="83" t="s">
        <v>1431</v>
      </c>
      <c r="D154" s="82" t="s">
        <v>1615</v>
      </c>
      <c r="E154" s="84" t="n">
        <v>7600000</v>
      </c>
      <c r="F154" s="84" t="n">
        <v>0</v>
      </c>
      <c r="G154" s="84" t="n">
        <v>0</v>
      </c>
      <c r="H154" s="84" t="n">
        <v>0</v>
      </c>
      <c r="I154" s="82" t="s">
        <v>1578</v>
      </c>
      <c r="J154" s="85" t="n">
        <v>53</v>
      </c>
    </row>
    <row r="155" customFormat="false" ht="15" hidden="false" customHeight="true" outlineLevel="0" collapsed="false">
      <c r="D155" s="90" t="s">
        <v>1616</v>
      </c>
      <c r="E155" s="91" t="n">
        <f aca="false">SUM(E154)</f>
        <v>7600000</v>
      </c>
    </row>
    <row r="156" customFormat="false" ht="15.75" hidden="false" customHeight="true" outlineLevel="0" collapsed="false"/>
    <row r="157" customFormat="false" ht="15" hidden="false" customHeight="true" outlineLevel="0" collapsed="false">
      <c r="A157" s="55" t="s">
        <v>1617</v>
      </c>
    </row>
    <row r="158" customFormat="false" ht="15" hidden="false" customHeight="true" outlineLevel="0" collapsed="false">
      <c r="A158" s="62" t="s">
        <v>1419</v>
      </c>
      <c r="B158" s="62" t="s">
        <v>1420</v>
      </c>
      <c r="C158" s="65" t="s">
        <v>1421</v>
      </c>
      <c r="D158" s="62" t="s">
        <v>1422</v>
      </c>
      <c r="E158" s="65" t="s">
        <v>1423</v>
      </c>
      <c r="F158" s="65" t="s">
        <v>1424</v>
      </c>
      <c r="G158" s="65" t="s">
        <v>1425</v>
      </c>
      <c r="H158" s="65" t="s">
        <v>1426</v>
      </c>
      <c r="I158" s="62" t="s">
        <v>1427</v>
      </c>
      <c r="J158" s="65" t="s">
        <v>1428</v>
      </c>
    </row>
    <row r="159" customFormat="false" ht="15" hidden="false" customHeight="true" outlineLevel="0" collapsed="false">
      <c r="A159" s="82" t="s">
        <v>841</v>
      </c>
      <c r="B159" s="82" t="s">
        <v>1618</v>
      </c>
      <c r="C159" s="83" t="s">
        <v>1431</v>
      </c>
      <c r="D159" s="82" t="s">
        <v>840</v>
      </c>
      <c r="E159" s="84" t="n">
        <v>50000</v>
      </c>
      <c r="F159" s="84" t="n">
        <v>0</v>
      </c>
      <c r="G159" s="84" t="n">
        <v>0</v>
      </c>
      <c r="H159" s="84" t="n">
        <v>0</v>
      </c>
      <c r="I159" s="82" t="s">
        <v>1529</v>
      </c>
      <c r="J159" s="85" t="n">
        <v>54</v>
      </c>
    </row>
    <row r="160" customFormat="false" ht="15" hidden="false" customHeight="true" outlineLevel="0" collapsed="false">
      <c r="A160" s="82" t="s">
        <v>1619</v>
      </c>
      <c r="B160" s="82" t="s">
        <v>1620</v>
      </c>
      <c r="C160" s="83" t="s">
        <v>1431</v>
      </c>
      <c r="D160" s="82" t="s">
        <v>1621</v>
      </c>
      <c r="E160" s="84" t="n">
        <v>1000000</v>
      </c>
      <c r="F160" s="84" t="n">
        <v>0</v>
      </c>
      <c r="G160" s="84" t="n">
        <v>0</v>
      </c>
      <c r="H160" s="84" t="n">
        <v>0</v>
      </c>
      <c r="I160" s="82" t="s">
        <v>1536</v>
      </c>
      <c r="J160" s="85" t="n">
        <v>56</v>
      </c>
    </row>
    <row r="161" customFormat="false" ht="15" hidden="false" customHeight="true" outlineLevel="0" collapsed="false">
      <c r="A161" s="82" t="s">
        <v>1622</v>
      </c>
      <c r="B161" s="82" t="s">
        <v>1597</v>
      </c>
      <c r="C161" s="83" t="s">
        <v>1431</v>
      </c>
      <c r="D161" s="82" t="s">
        <v>1604</v>
      </c>
      <c r="E161" s="84" t="n">
        <v>8096000</v>
      </c>
      <c r="F161" s="84" t="n">
        <v>0</v>
      </c>
      <c r="G161" s="84" t="n">
        <v>0</v>
      </c>
      <c r="H161" s="84" t="n">
        <v>0</v>
      </c>
      <c r="I161" s="82" t="s">
        <v>1578</v>
      </c>
      <c r="J161" s="85" t="n">
        <v>53</v>
      </c>
    </row>
    <row r="162" customFormat="false" ht="15" hidden="false" customHeight="true" outlineLevel="0" collapsed="false">
      <c r="A162" s="82" t="s">
        <v>1623</v>
      </c>
      <c r="B162" s="82" t="s">
        <v>1597</v>
      </c>
      <c r="C162" s="83" t="s">
        <v>1431</v>
      </c>
      <c r="D162" s="82" t="s">
        <v>1624</v>
      </c>
      <c r="E162" s="84" t="n">
        <v>5300000</v>
      </c>
      <c r="F162" s="84" t="n">
        <v>0</v>
      </c>
      <c r="G162" s="84" t="n">
        <v>0</v>
      </c>
      <c r="H162" s="84" t="n">
        <v>0</v>
      </c>
      <c r="I162" s="82" t="s">
        <v>1536</v>
      </c>
      <c r="J162" s="85" t="n">
        <v>53</v>
      </c>
    </row>
    <row r="163" customFormat="false" ht="15" hidden="false" customHeight="true" outlineLevel="0" collapsed="false">
      <c r="D163" s="90" t="s">
        <v>1625</v>
      </c>
      <c r="E163" s="91" t="n">
        <f aca="false">SUM(E159:E162)</f>
        <v>14446000</v>
      </c>
    </row>
    <row r="164" customFormat="false" ht="15.75" hidden="false" customHeight="true" outlineLevel="0" collapsed="false"/>
    <row r="165" customFormat="false" ht="15" hidden="false" customHeight="true" outlineLevel="0" collapsed="false">
      <c r="A165" s="55" t="s">
        <v>1626</v>
      </c>
    </row>
    <row r="166" customFormat="false" ht="15" hidden="false" customHeight="true" outlineLevel="0" collapsed="false">
      <c r="A166" s="62" t="s">
        <v>1419</v>
      </c>
      <c r="B166" s="62" t="s">
        <v>1420</v>
      </c>
      <c r="C166" s="65" t="s">
        <v>1421</v>
      </c>
      <c r="D166" s="62" t="s">
        <v>1422</v>
      </c>
      <c r="E166" s="65" t="s">
        <v>1423</v>
      </c>
      <c r="F166" s="65" t="s">
        <v>1424</v>
      </c>
      <c r="G166" s="65" t="s">
        <v>1425</v>
      </c>
      <c r="H166" s="65" t="s">
        <v>1426</v>
      </c>
      <c r="I166" s="62" t="s">
        <v>1427</v>
      </c>
      <c r="J166" s="65" t="s">
        <v>1428</v>
      </c>
    </row>
    <row r="167" customFormat="false" ht="15" hidden="false" customHeight="true" outlineLevel="0" collapsed="false">
      <c r="A167" s="82" t="s">
        <v>830</v>
      </c>
      <c r="B167" s="82" t="s">
        <v>1627</v>
      </c>
      <c r="C167" s="83" t="s">
        <v>1431</v>
      </c>
      <c r="D167" s="82" t="s">
        <v>829</v>
      </c>
      <c r="E167" s="84" t="n">
        <v>120000</v>
      </c>
      <c r="F167" s="84" t="n">
        <v>0</v>
      </c>
      <c r="G167" s="84" t="n">
        <v>0</v>
      </c>
      <c r="H167" s="84" t="n">
        <v>0</v>
      </c>
      <c r="I167" s="82" t="s">
        <v>1529</v>
      </c>
      <c r="J167" s="85" t="n">
        <v>55</v>
      </c>
    </row>
    <row r="168" customFormat="false" ht="15" hidden="false" customHeight="true" outlineLevel="0" collapsed="false">
      <c r="A168" s="82" t="s">
        <v>822</v>
      </c>
      <c r="B168" s="82" t="s">
        <v>1628</v>
      </c>
      <c r="C168" s="83" t="s">
        <v>1431</v>
      </c>
      <c r="D168" s="82" t="s">
        <v>821</v>
      </c>
      <c r="E168" s="84" t="n">
        <v>200000</v>
      </c>
      <c r="F168" s="84" t="n">
        <v>0</v>
      </c>
      <c r="G168" s="84" t="n">
        <v>0</v>
      </c>
      <c r="H168" s="84" t="n">
        <v>0</v>
      </c>
      <c r="I168" s="82" t="s">
        <v>1529</v>
      </c>
      <c r="J168" s="85" t="n">
        <v>55</v>
      </c>
    </row>
    <row r="169" customFormat="false" ht="15" hidden="false" customHeight="true" outlineLevel="0" collapsed="false">
      <c r="A169" s="82" t="s">
        <v>1629</v>
      </c>
      <c r="B169" s="82" t="s">
        <v>1627</v>
      </c>
      <c r="C169" s="83" t="s">
        <v>1431</v>
      </c>
      <c r="D169" s="82" t="s">
        <v>1630</v>
      </c>
      <c r="E169" s="84" t="n">
        <v>3000000</v>
      </c>
      <c r="F169" s="84" t="n">
        <v>0</v>
      </c>
      <c r="G169" s="84" t="n">
        <v>0</v>
      </c>
      <c r="H169" s="84" t="n">
        <v>0</v>
      </c>
      <c r="I169" s="82" t="s">
        <v>1552</v>
      </c>
      <c r="J169" s="85" t="n">
        <v>55</v>
      </c>
    </row>
    <row r="170" customFormat="false" ht="15" hidden="false" customHeight="true" outlineLevel="0" collapsed="false">
      <c r="D170" s="90" t="s">
        <v>1631</v>
      </c>
      <c r="E170" s="91" t="n">
        <f aca="false">SUM(E167:E169)</f>
        <v>3320000</v>
      </c>
    </row>
    <row r="171" customFormat="false" ht="15.75" hidden="false" customHeight="true" outlineLevel="0" collapsed="false"/>
    <row r="172" customFormat="false" ht="15" hidden="false" customHeight="true" outlineLevel="0" collapsed="false">
      <c r="A172" s="55" t="s">
        <v>1632</v>
      </c>
    </row>
    <row r="173" customFormat="false" ht="15" hidden="false" customHeight="true" outlineLevel="0" collapsed="false">
      <c r="A173" s="62" t="s">
        <v>1419</v>
      </c>
      <c r="B173" s="62" t="s">
        <v>1420</v>
      </c>
      <c r="C173" s="65" t="s">
        <v>1421</v>
      </c>
      <c r="D173" s="62" t="s">
        <v>1422</v>
      </c>
      <c r="E173" s="65" t="s">
        <v>1423</v>
      </c>
      <c r="F173" s="65" t="s">
        <v>1424</v>
      </c>
      <c r="G173" s="65" t="s">
        <v>1425</v>
      </c>
      <c r="H173" s="65" t="s">
        <v>1426</v>
      </c>
      <c r="I173" s="62" t="s">
        <v>1427</v>
      </c>
      <c r="J173" s="65" t="s">
        <v>1428</v>
      </c>
    </row>
    <row r="174" customFormat="false" ht="15" hidden="false" customHeight="true" outlineLevel="0" collapsed="false">
      <c r="A174" s="82" t="s">
        <v>1633</v>
      </c>
      <c r="B174" s="82" t="s">
        <v>1634</v>
      </c>
      <c r="C174" s="83" t="s">
        <v>1431</v>
      </c>
      <c r="D174" s="82" t="s">
        <v>1635</v>
      </c>
      <c r="E174" s="84" t="n">
        <v>4000000</v>
      </c>
      <c r="F174" s="84" t="n">
        <v>0</v>
      </c>
      <c r="G174" s="84" t="n">
        <v>0</v>
      </c>
      <c r="H174" s="84" t="n">
        <v>0</v>
      </c>
      <c r="I174" s="82" t="s">
        <v>1552</v>
      </c>
      <c r="J174" s="85" t="n">
        <v>56</v>
      </c>
    </row>
    <row r="175" customFormat="false" ht="15" hidden="false" customHeight="true" outlineLevel="0" collapsed="false">
      <c r="D175" s="90" t="s">
        <v>1636</v>
      </c>
      <c r="E175" s="91" t="n">
        <f aca="false">SUM(E174)</f>
        <v>4000000</v>
      </c>
    </row>
    <row r="176" customFormat="false" ht="15.75" hidden="false" customHeight="true" outlineLevel="0" collapsed="false"/>
    <row r="177" customFormat="false" ht="15" hidden="false" customHeight="true" outlineLevel="0" collapsed="false">
      <c r="A177" s="55" t="s">
        <v>1637</v>
      </c>
    </row>
    <row r="178" customFormat="false" ht="15" hidden="false" customHeight="true" outlineLevel="0" collapsed="false">
      <c r="A178" s="62" t="s">
        <v>1419</v>
      </c>
      <c r="B178" s="62" t="s">
        <v>1420</v>
      </c>
      <c r="C178" s="65" t="s">
        <v>1421</v>
      </c>
      <c r="D178" s="62" t="s">
        <v>1422</v>
      </c>
      <c r="E178" s="65" t="s">
        <v>1423</v>
      </c>
      <c r="F178" s="65" t="s">
        <v>1424</v>
      </c>
      <c r="G178" s="65" t="s">
        <v>1425</v>
      </c>
      <c r="H178" s="65" t="s">
        <v>1426</v>
      </c>
      <c r="I178" s="62" t="s">
        <v>1427</v>
      </c>
      <c r="J178" s="65" t="s">
        <v>1428</v>
      </c>
    </row>
    <row r="179" customFormat="false" ht="15" hidden="false" customHeight="true" outlineLevel="0" collapsed="false">
      <c r="A179" s="82" t="s">
        <v>1638</v>
      </c>
      <c r="B179" s="82" t="s">
        <v>1639</v>
      </c>
      <c r="C179" s="83" t="s">
        <v>1431</v>
      </c>
      <c r="D179" s="82" t="s">
        <v>1640</v>
      </c>
      <c r="E179" s="84" t="n">
        <v>500000</v>
      </c>
      <c r="F179" s="84" t="n">
        <v>0</v>
      </c>
      <c r="G179" s="84" t="n">
        <v>0</v>
      </c>
      <c r="H179" s="84" t="n">
        <v>0</v>
      </c>
      <c r="I179" s="82" t="s">
        <v>1433</v>
      </c>
      <c r="J179" s="85" t="n">
        <v>58</v>
      </c>
    </row>
    <row r="180" customFormat="false" ht="15" hidden="false" customHeight="true" outlineLevel="0" collapsed="false">
      <c r="A180" s="82" t="s">
        <v>802</v>
      </c>
      <c r="B180" s="82" t="s">
        <v>1639</v>
      </c>
      <c r="C180" s="83" t="s">
        <v>1431</v>
      </c>
      <c r="D180" s="82" t="s">
        <v>801</v>
      </c>
      <c r="E180" s="84" t="n">
        <v>500000</v>
      </c>
      <c r="F180" s="84" t="n">
        <v>0</v>
      </c>
      <c r="G180" s="84" t="n">
        <v>0</v>
      </c>
      <c r="H180" s="84" t="n">
        <v>0</v>
      </c>
      <c r="I180" s="82" t="s">
        <v>1529</v>
      </c>
      <c r="J180" s="85" t="n">
        <v>58</v>
      </c>
    </row>
    <row r="181" customFormat="false" ht="15" hidden="false" customHeight="true" outlineLevel="0" collapsed="false">
      <c r="A181" s="82" t="s">
        <v>1641</v>
      </c>
      <c r="B181" s="82" t="s">
        <v>1639</v>
      </c>
      <c r="C181" s="83" t="s">
        <v>1431</v>
      </c>
      <c r="D181" s="82" t="s">
        <v>1642</v>
      </c>
      <c r="E181" s="84" t="n">
        <v>500000</v>
      </c>
      <c r="F181" s="84" t="n">
        <v>0</v>
      </c>
      <c r="G181" s="84" t="n">
        <v>0</v>
      </c>
      <c r="H181" s="84" t="n">
        <v>0</v>
      </c>
      <c r="I181" s="82" t="s">
        <v>1536</v>
      </c>
      <c r="J181" s="85" t="n">
        <v>58</v>
      </c>
    </row>
    <row r="182" customFormat="false" ht="15" hidden="false" customHeight="true" outlineLevel="0" collapsed="false">
      <c r="D182" s="90" t="s">
        <v>1643</v>
      </c>
      <c r="E182" s="91" t="n">
        <f aca="false">SUM(E179:E181)</f>
        <v>1500000</v>
      </c>
    </row>
    <row r="183" customFormat="false" ht="15.75" hidden="false" customHeight="true" outlineLevel="0" collapsed="false"/>
    <row r="184" customFormat="false" ht="15" hidden="false" customHeight="true" outlineLevel="0" collapsed="false">
      <c r="A184" s="55" t="s">
        <v>1644</v>
      </c>
    </row>
    <row r="185" customFormat="false" ht="15" hidden="false" customHeight="true" outlineLevel="0" collapsed="false">
      <c r="A185" s="62" t="s">
        <v>1419</v>
      </c>
      <c r="B185" s="62" t="s">
        <v>1420</v>
      </c>
      <c r="C185" s="65" t="s">
        <v>1421</v>
      </c>
      <c r="D185" s="62" t="s">
        <v>1422</v>
      </c>
      <c r="E185" s="65" t="s">
        <v>1423</v>
      </c>
      <c r="F185" s="65" t="s">
        <v>1424</v>
      </c>
      <c r="G185" s="65" t="s">
        <v>1425</v>
      </c>
      <c r="H185" s="65" t="s">
        <v>1426</v>
      </c>
      <c r="I185" s="62" t="s">
        <v>1427</v>
      </c>
      <c r="J185" s="65" t="s">
        <v>1428</v>
      </c>
    </row>
    <row r="186" customFormat="false" ht="15" hidden="false" customHeight="true" outlineLevel="0" collapsed="false">
      <c r="A186" s="82" t="s">
        <v>794</v>
      </c>
      <c r="B186" s="82" t="s">
        <v>1645</v>
      </c>
      <c r="C186" s="83" t="s">
        <v>1431</v>
      </c>
      <c r="D186" s="82" t="s">
        <v>793</v>
      </c>
      <c r="E186" s="84" t="n">
        <v>870000</v>
      </c>
      <c r="F186" s="84" t="n">
        <v>0</v>
      </c>
      <c r="G186" s="84" t="n">
        <v>0</v>
      </c>
      <c r="H186" s="84" t="n">
        <v>0</v>
      </c>
      <c r="I186" s="82" t="s">
        <v>1529</v>
      </c>
      <c r="J186" s="85" t="n">
        <v>59</v>
      </c>
    </row>
    <row r="187" customFormat="false" ht="15" hidden="false" customHeight="true" outlineLevel="0" collapsed="false">
      <c r="D187" s="90" t="s">
        <v>1646</v>
      </c>
      <c r="E187" s="91" t="n">
        <f aca="false">SUM(E186)</f>
        <v>870000</v>
      </c>
    </row>
    <row r="188" customFormat="false" ht="15.75" hidden="false" customHeight="true" outlineLevel="0" collapsed="false"/>
    <row r="189" customFormat="false" ht="15" hidden="false" customHeight="true" outlineLevel="0" collapsed="false">
      <c r="D189" s="90" t="s">
        <v>1647</v>
      </c>
      <c r="E189" s="91" t="n">
        <f aca="false">E53+E63+E69+E74+E79+E85+E92+E97+E102+E107+E112+E117+E124+E131+E137+E143+E150+E155+E163+E170+E175+E182+E187</f>
        <v>71500000</v>
      </c>
    </row>
    <row r="190" customFormat="false" ht="15" hidden="false" customHeight="true" outlineLevel="0" collapsed="false">
      <c r="D190" s="54" t="s">
        <v>1648</v>
      </c>
    </row>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85"/>
    <col collapsed="false" customWidth="true" hidden="false" outlineLevel="0" max="2" min="2" style="1" width="11"/>
    <col collapsed="false" customWidth="true" hidden="false" outlineLevel="0" max="3" min="3" style="1" width="18.57"/>
    <col collapsed="false" customWidth="true" hidden="false" outlineLevel="0" max="4" min="4" style="1" width="92"/>
    <col collapsed="false" customWidth="true" hidden="false" outlineLevel="0" max="5" min="5" style="1" width="12"/>
    <col collapsed="false" customWidth="true" hidden="false" outlineLevel="0" max="6" min="6" style="1" width="26"/>
    <col collapsed="false" customWidth="true" hidden="false" outlineLevel="0" max="7" min="7" style="1" width="7"/>
    <col collapsed="false" customWidth="true" hidden="false" outlineLevel="0" max="26" min="8" style="1" width="8.71"/>
  </cols>
  <sheetData>
    <row r="1" customFormat="false" ht="15.75" hidden="false" customHeight="true" outlineLevel="0" collapsed="false">
      <c r="A1" s="42" t="s">
        <v>1649</v>
      </c>
    </row>
    <row r="2" customFormat="false" ht="15" hidden="false" customHeight="true" outlineLevel="0" collapsed="false"/>
    <row r="3" customFormat="false" ht="15" hidden="false" customHeight="true" outlineLevel="0" collapsed="false">
      <c r="A3" s="62" t="s">
        <v>1419</v>
      </c>
      <c r="B3" s="62" t="s">
        <v>1420</v>
      </c>
      <c r="C3" s="65" t="s">
        <v>1421</v>
      </c>
      <c r="D3" s="62" t="s">
        <v>1650</v>
      </c>
      <c r="E3" s="65" t="s">
        <v>1423</v>
      </c>
      <c r="F3" s="62" t="s">
        <v>1427</v>
      </c>
      <c r="G3" s="65" t="s">
        <v>1428</v>
      </c>
    </row>
    <row r="4" customFormat="false" ht="15" hidden="false" customHeight="true" outlineLevel="0" collapsed="false">
      <c r="A4" s="55" t="s">
        <v>1651</v>
      </c>
    </row>
    <row r="5" customFormat="false" ht="15" hidden="false" customHeight="true" outlineLevel="0" collapsed="false">
      <c r="A5" s="92" t="s">
        <v>1652</v>
      </c>
      <c r="B5" s="92" t="s">
        <v>1653</v>
      </c>
      <c r="C5" s="92" t="s">
        <v>1431</v>
      </c>
      <c r="D5" s="92" t="s">
        <v>1640</v>
      </c>
      <c r="E5" s="93" t="n">
        <v>5850000</v>
      </c>
      <c r="F5" s="92" t="s">
        <v>1654</v>
      </c>
      <c r="G5" s="94" t="n">
        <v>67</v>
      </c>
    </row>
    <row r="6" customFormat="false" ht="15" hidden="false" customHeight="true" outlineLevel="0" collapsed="false"/>
    <row r="7" customFormat="false" ht="15" hidden="false" customHeight="true" outlineLevel="0" collapsed="false">
      <c r="A7" s="55" t="s">
        <v>1655</v>
      </c>
    </row>
    <row r="8" customFormat="false" ht="15" hidden="false" customHeight="true" outlineLevel="0" collapsed="false">
      <c r="A8" s="79" t="s">
        <v>1656</v>
      </c>
      <c r="B8" s="76"/>
      <c r="C8" s="76"/>
      <c r="D8" s="82" t="s">
        <v>1657</v>
      </c>
      <c r="E8" s="95" t="n">
        <v>7350000</v>
      </c>
      <c r="F8" s="76"/>
      <c r="G8" s="76"/>
    </row>
    <row r="9" customFormat="false" ht="15" hidden="false" customHeight="true" outlineLevel="0" collapsed="false">
      <c r="A9" s="79" t="s">
        <v>1658</v>
      </c>
      <c r="B9" s="76"/>
      <c r="C9" s="76"/>
      <c r="D9" s="82" t="s">
        <v>1659</v>
      </c>
      <c r="E9" s="95" t="n">
        <v>5250000</v>
      </c>
      <c r="F9" s="76"/>
      <c r="G9" s="76"/>
    </row>
    <row r="10" customFormat="false" ht="15" hidden="false" customHeight="true" outlineLevel="0" collapsed="false">
      <c r="A10" s="79" t="s">
        <v>1660</v>
      </c>
      <c r="B10" s="76"/>
      <c r="C10" s="76"/>
      <c r="D10" s="82" t="s">
        <v>1661</v>
      </c>
      <c r="E10" s="95" t="n">
        <v>870000</v>
      </c>
      <c r="F10" s="76"/>
      <c r="G10" s="76"/>
    </row>
    <row r="11" customFormat="false" ht="15" hidden="false" customHeight="true" outlineLevel="0" collapsed="false">
      <c r="A11" s="79" t="s">
        <v>1662</v>
      </c>
      <c r="B11" s="76"/>
      <c r="C11" s="76"/>
      <c r="D11" s="82" t="s">
        <v>1663</v>
      </c>
      <c r="E11" s="95" t="n">
        <v>365000</v>
      </c>
      <c r="F11" s="76"/>
      <c r="G11" s="76"/>
    </row>
    <row r="12" customFormat="false" ht="15" hidden="false" customHeight="true" outlineLevel="0" collapsed="false">
      <c r="A12" s="79" t="s">
        <v>1664</v>
      </c>
      <c r="B12" s="76"/>
      <c r="C12" s="76"/>
      <c r="D12" s="82" t="s">
        <v>1665</v>
      </c>
      <c r="E12" s="95" t="n">
        <v>340000</v>
      </c>
      <c r="F12" s="76"/>
      <c r="G12" s="76"/>
    </row>
    <row r="13" customFormat="false" ht="15" hidden="false" customHeight="true" outlineLevel="0" collapsed="false">
      <c r="D13" s="90" t="s">
        <v>1666</v>
      </c>
      <c r="E13" s="91" t="n">
        <f aca="false">SUM(E8:E12)</f>
        <v>14175000</v>
      </c>
    </row>
    <row r="14" customFormat="false" ht="15" hidden="false" customHeight="true" outlineLevel="0" collapsed="false"/>
    <row r="15" customFormat="false" ht="30" hidden="false" customHeight="true" outlineLevel="0" collapsed="false">
      <c r="A15" s="77" t="s">
        <v>1667</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9"/>
    <col collapsed="false" customWidth="true" hidden="false" outlineLevel="0" max="2" min="2" style="1" width="72"/>
    <col collapsed="false" customWidth="true" hidden="false" outlineLevel="0" max="3" min="3" style="1" width="13"/>
    <col collapsed="false" customWidth="true" hidden="false" outlineLevel="0" max="4" min="4" style="1" width="32"/>
    <col collapsed="false" customWidth="true" hidden="false" outlineLevel="0" max="5" min="5" style="1" width="7"/>
    <col collapsed="false" customWidth="true" hidden="false" outlineLevel="0" max="6" min="6" style="1" width="33"/>
    <col collapsed="false" customWidth="true" hidden="false" outlineLevel="0" max="26" min="7" style="1" width="8.71"/>
  </cols>
  <sheetData>
    <row r="1" customFormat="false" ht="15.75" hidden="false" customHeight="true" outlineLevel="0" collapsed="false">
      <c r="A1" s="42" t="s">
        <v>1668</v>
      </c>
    </row>
    <row r="2" customFormat="false" ht="15" hidden="false" customHeight="true" outlineLevel="0" collapsed="false"/>
    <row r="3" customFormat="false" ht="15" hidden="false" customHeight="true" outlineLevel="0" collapsed="false">
      <c r="A3" s="55" t="s">
        <v>1669</v>
      </c>
    </row>
    <row r="4" customFormat="false" ht="15" hidden="false" customHeight="true" outlineLevel="0" collapsed="false">
      <c r="A4" s="62" t="s">
        <v>1419</v>
      </c>
      <c r="B4" s="62" t="s">
        <v>1670</v>
      </c>
      <c r="C4" s="65" t="s">
        <v>1423</v>
      </c>
      <c r="D4" s="62" t="s">
        <v>1671</v>
      </c>
      <c r="E4" s="65" t="s">
        <v>1428</v>
      </c>
    </row>
    <row r="5" customFormat="false" ht="15" hidden="false" customHeight="true" outlineLevel="0" collapsed="false">
      <c r="A5" s="96" t="s">
        <v>783</v>
      </c>
      <c r="B5" s="96" t="s">
        <v>782</v>
      </c>
      <c r="C5" s="97" t="n">
        <v>7000000</v>
      </c>
      <c r="D5" s="96" t="s">
        <v>1542</v>
      </c>
      <c r="E5" s="98" t="n">
        <v>37</v>
      </c>
    </row>
    <row r="6" customFormat="false" ht="15" hidden="false" customHeight="true" outlineLevel="0" collapsed="false">
      <c r="A6" s="96" t="s">
        <v>786</v>
      </c>
      <c r="B6" s="96" t="s">
        <v>785</v>
      </c>
      <c r="C6" s="97" t="n">
        <v>2500000</v>
      </c>
      <c r="D6" s="96" t="s">
        <v>1542</v>
      </c>
      <c r="E6" s="98" t="n">
        <v>37</v>
      </c>
    </row>
    <row r="7" customFormat="false" ht="15" hidden="false" customHeight="true" outlineLevel="0" collapsed="false">
      <c r="A7" s="96" t="s">
        <v>789</v>
      </c>
      <c r="B7" s="96" t="s">
        <v>788</v>
      </c>
      <c r="C7" s="97" t="n">
        <v>2000000</v>
      </c>
      <c r="D7" s="96" t="s">
        <v>1542</v>
      </c>
      <c r="E7" s="98" t="n">
        <v>42</v>
      </c>
    </row>
    <row r="8" customFormat="false" ht="15" hidden="false" customHeight="true" outlineLevel="0" collapsed="false">
      <c r="A8" s="96" t="s">
        <v>792</v>
      </c>
      <c r="B8" s="96" t="s">
        <v>791</v>
      </c>
      <c r="C8" s="97" t="n">
        <v>1250000</v>
      </c>
      <c r="D8" s="96" t="s">
        <v>1542</v>
      </c>
      <c r="E8" s="98" t="n">
        <v>43</v>
      </c>
    </row>
    <row r="9" customFormat="false" ht="15" hidden="false" customHeight="true" outlineLevel="0" collapsed="false">
      <c r="A9" s="96" t="s">
        <v>794</v>
      </c>
      <c r="B9" s="96" t="s">
        <v>793</v>
      </c>
      <c r="C9" s="97" t="n">
        <v>870000</v>
      </c>
      <c r="D9" s="96" t="s">
        <v>1529</v>
      </c>
      <c r="E9" s="98" t="n">
        <v>59</v>
      </c>
    </row>
    <row r="10" customFormat="false" ht="15" hidden="false" customHeight="true" outlineLevel="0" collapsed="false">
      <c r="A10" s="96" t="s">
        <v>796</v>
      </c>
      <c r="B10" s="96" t="s">
        <v>795</v>
      </c>
      <c r="C10" s="97" t="n">
        <v>500000</v>
      </c>
      <c r="D10" s="96" t="s">
        <v>1529</v>
      </c>
      <c r="E10" s="98" t="n">
        <v>48</v>
      </c>
    </row>
    <row r="11" customFormat="false" ht="15" hidden="false" customHeight="true" outlineLevel="0" collapsed="false">
      <c r="A11" s="96" t="s">
        <v>799</v>
      </c>
      <c r="B11" s="96" t="s">
        <v>798</v>
      </c>
      <c r="C11" s="97" t="n">
        <v>500000</v>
      </c>
      <c r="D11" s="96" t="s">
        <v>1529</v>
      </c>
      <c r="E11" s="98" t="n">
        <v>48</v>
      </c>
    </row>
    <row r="12" customFormat="false" ht="15" hidden="false" customHeight="true" outlineLevel="0" collapsed="false">
      <c r="A12" s="96" t="s">
        <v>802</v>
      </c>
      <c r="B12" s="96" t="s">
        <v>801</v>
      </c>
      <c r="C12" s="97" t="n">
        <v>500000</v>
      </c>
      <c r="D12" s="96" t="s">
        <v>1529</v>
      </c>
      <c r="E12" s="98" t="n">
        <v>58</v>
      </c>
    </row>
    <row r="13" customFormat="false" ht="15" hidden="false" customHeight="true" outlineLevel="0" collapsed="false">
      <c r="A13" s="96" t="s">
        <v>805</v>
      </c>
      <c r="B13" s="96" t="s">
        <v>804</v>
      </c>
      <c r="C13" s="97" t="n">
        <v>400000</v>
      </c>
      <c r="D13" s="96" t="s">
        <v>1529</v>
      </c>
      <c r="E13" s="98" t="n">
        <v>53</v>
      </c>
    </row>
    <row r="14" customFormat="false" ht="15" hidden="false" customHeight="true" outlineLevel="0" collapsed="false">
      <c r="A14" s="96" t="s">
        <v>808</v>
      </c>
      <c r="B14" s="96" t="s">
        <v>807</v>
      </c>
      <c r="C14" s="97" t="n">
        <v>340000</v>
      </c>
      <c r="D14" s="96" t="s">
        <v>1529</v>
      </c>
      <c r="E14" s="98" t="n">
        <v>43</v>
      </c>
    </row>
    <row r="15" customFormat="false" ht="15" hidden="false" customHeight="true" outlineLevel="0" collapsed="false">
      <c r="A15" s="96" t="s">
        <v>810</v>
      </c>
      <c r="B15" s="96" t="s">
        <v>809</v>
      </c>
      <c r="C15" s="97" t="n">
        <v>250000</v>
      </c>
      <c r="D15" s="96" t="s">
        <v>1529</v>
      </c>
      <c r="E15" s="98" t="n">
        <v>31</v>
      </c>
    </row>
    <row r="16" customFormat="false" ht="15" hidden="false" customHeight="true" outlineLevel="0" collapsed="false">
      <c r="A16" s="96" t="s">
        <v>813</v>
      </c>
      <c r="B16" s="96" t="s">
        <v>812</v>
      </c>
      <c r="C16" s="97" t="n">
        <v>250000</v>
      </c>
      <c r="D16" s="96" t="s">
        <v>1529</v>
      </c>
      <c r="E16" s="98" t="n">
        <v>48</v>
      </c>
    </row>
    <row r="17" customFormat="false" ht="15" hidden="false" customHeight="true" outlineLevel="0" collapsed="false">
      <c r="A17" s="96" t="s">
        <v>816</v>
      </c>
      <c r="B17" s="96" t="s">
        <v>815</v>
      </c>
      <c r="C17" s="97" t="n">
        <v>250000</v>
      </c>
      <c r="D17" s="96" t="s">
        <v>1529</v>
      </c>
      <c r="E17" s="98" t="n">
        <v>49</v>
      </c>
    </row>
    <row r="18" customFormat="false" ht="15" hidden="false" customHeight="true" outlineLevel="0" collapsed="false">
      <c r="A18" s="96" t="s">
        <v>819</v>
      </c>
      <c r="B18" s="96" t="s">
        <v>818</v>
      </c>
      <c r="C18" s="97" t="n">
        <v>250000</v>
      </c>
      <c r="D18" s="96" t="s">
        <v>1529</v>
      </c>
      <c r="E18" s="98" t="n">
        <v>53</v>
      </c>
    </row>
    <row r="19" customFormat="false" ht="15" hidden="false" customHeight="true" outlineLevel="0" collapsed="false">
      <c r="A19" s="96" t="s">
        <v>822</v>
      </c>
      <c r="B19" s="96" t="s">
        <v>821</v>
      </c>
      <c r="C19" s="97" t="n">
        <v>200000</v>
      </c>
      <c r="D19" s="96" t="s">
        <v>1529</v>
      </c>
      <c r="E19" s="98" t="n">
        <v>55</v>
      </c>
    </row>
    <row r="20" customFormat="false" ht="15" hidden="false" customHeight="true" outlineLevel="0" collapsed="false">
      <c r="A20" s="96" t="s">
        <v>824</v>
      </c>
      <c r="B20" s="96" t="s">
        <v>1530</v>
      </c>
      <c r="C20" s="97" t="n">
        <v>150000</v>
      </c>
      <c r="D20" s="96" t="s">
        <v>1529</v>
      </c>
      <c r="E20" s="98" t="n">
        <v>31</v>
      </c>
    </row>
    <row r="21" customFormat="false" ht="15" hidden="false" customHeight="true" outlineLevel="0" collapsed="false">
      <c r="A21" s="96" t="s">
        <v>827</v>
      </c>
      <c r="B21" s="96" t="s">
        <v>1531</v>
      </c>
      <c r="C21" s="97" t="n">
        <v>150000</v>
      </c>
      <c r="D21" s="96" t="s">
        <v>1529</v>
      </c>
      <c r="E21" s="98" t="n">
        <v>31</v>
      </c>
    </row>
    <row r="22" customFormat="false" ht="15" hidden="false" customHeight="true" outlineLevel="0" collapsed="false">
      <c r="A22" s="96" t="s">
        <v>830</v>
      </c>
      <c r="B22" s="96" t="s">
        <v>829</v>
      </c>
      <c r="C22" s="97" t="n">
        <v>120000</v>
      </c>
      <c r="D22" s="96" t="s">
        <v>1529</v>
      </c>
      <c r="E22" s="98" t="n">
        <v>55</v>
      </c>
    </row>
    <row r="23" customFormat="false" ht="15" hidden="false" customHeight="true" outlineLevel="0" collapsed="false">
      <c r="A23" s="96" t="s">
        <v>832</v>
      </c>
      <c r="B23" s="96" t="s">
        <v>831</v>
      </c>
      <c r="C23" s="97" t="n">
        <v>75000</v>
      </c>
      <c r="D23" s="96" t="s">
        <v>1529</v>
      </c>
      <c r="E23" s="98" t="n">
        <v>31</v>
      </c>
    </row>
    <row r="24" customFormat="false" ht="15" hidden="false" customHeight="true" outlineLevel="0" collapsed="false">
      <c r="A24" s="96" t="s">
        <v>835</v>
      </c>
      <c r="B24" s="96" t="s">
        <v>834</v>
      </c>
      <c r="C24" s="97" t="n">
        <v>75000</v>
      </c>
      <c r="D24" s="96" t="s">
        <v>1529</v>
      </c>
      <c r="E24" s="98" t="n">
        <v>31</v>
      </c>
    </row>
    <row r="25" customFormat="false" ht="15" hidden="false" customHeight="true" outlineLevel="0" collapsed="false">
      <c r="A25" s="96" t="s">
        <v>838</v>
      </c>
      <c r="B25" s="96" t="s">
        <v>837</v>
      </c>
      <c r="C25" s="97" t="n">
        <v>70000</v>
      </c>
      <c r="D25" s="96" t="s">
        <v>1529</v>
      </c>
      <c r="E25" s="98" t="n">
        <v>31</v>
      </c>
    </row>
    <row r="26" customFormat="false" ht="15" hidden="false" customHeight="true" outlineLevel="0" collapsed="false">
      <c r="A26" s="96" t="s">
        <v>841</v>
      </c>
      <c r="B26" s="96" t="s">
        <v>840</v>
      </c>
      <c r="C26" s="97" t="n">
        <v>50000</v>
      </c>
      <c r="D26" s="96" t="s">
        <v>1529</v>
      </c>
      <c r="E26" s="98" t="n">
        <v>54</v>
      </c>
    </row>
    <row r="27" customFormat="false" ht="15" hidden="false" customHeight="true" outlineLevel="0" collapsed="false">
      <c r="B27" s="90" t="s">
        <v>1672</v>
      </c>
      <c r="C27" s="91" t="n">
        <f aca="false">SUM(C5:C26)</f>
        <v>17750000</v>
      </c>
    </row>
    <row r="28" customFormat="false" ht="15.75" hidden="false" customHeight="true" outlineLevel="0" collapsed="false"/>
    <row r="29" customFormat="false" ht="15" hidden="false" customHeight="true" outlineLevel="0" collapsed="false">
      <c r="A29" s="55" t="s">
        <v>1673</v>
      </c>
    </row>
    <row r="30" customFormat="false" ht="15" hidden="false" customHeight="true" outlineLevel="0" collapsed="false">
      <c r="A30" s="62" t="s">
        <v>1419</v>
      </c>
      <c r="B30" s="62" t="s">
        <v>1670</v>
      </c>
      <c r="C30" s="65" t="s">
        <v>1423</v>
      </c>
      <c r="D30" s="62" t="s">
        <v>1671</v>
      </c>
      <c r="E30" s="65" t="s">
        <v>1428</v>
      </c>
    </row>
    <row r="31" customFormat="false" ht="15" hidden="false" customHeight="true" outlineLevel="0" collapsed="false">
      <c r="A31" s="96" t="s">
        <v>1623</v>
      </c>
      <c r="B31" s="96" t="s">
        <v>1624</v>
      </c>
      <c r="C31" s="97" t="n">
        <v>5300000</v>
      </c>
      <c r="D31" s="96" t="s">
        <v>1536</v>
      </c>
      <c r="E31" s="98" t="n">
        <v>53</v>
      </c>
    </row>
    <row r="32" customFormat="false" ht="15" hidden="false" customHeight="true" outlineLevel="0" collapsed="false">
      <c r="A32" s="96" t="s">
        <v>1534</v>
      </c>
      <c r="B32" s="96" t="s">
        <v>1535</v>
      </c>
      <c r="C32" s="97" t="n">
        <v>2000000</v>
      </c>
      <c r="D32" s="96" t="s">
        <v>1536</v>
      </c>
      <c r="E32" s="98" t="n">
        <v>34</v>
      </c>
    </row>
    <row r="33" customFormat="false" ht="15" hidden="false" customHeight="true" outlineLevel="0" collapsed="false">
      <c r="A33" s="96" t="s">
        <v>1537</v>
      </c>
      <c r="B33" s="96" t="s">
        <v>1538</v>
      </c>
      <c r="C33" s="97" t="n">
        <v>1800000</v>
      </c>
      <c r="D33" s="96" t="s">
        <v>1536</v>
      </c>
      <c r="E33" s="98" t="n">
        <v>34</v>
      </c>
    </row>
    <row r="34" customFormat="false" ht="15" hidden="false" customHeight="true" outlineLevel="0" collapsed="false">
      <c r="A34" s="96" t="s">
        <v>1619</v>
      </c>
      <c r="B34" s="96" t="s">
        <v>1621</v>
      </c>
      <c r="C34" s="97" t="n">
        <v>1000000</v>
      </c>
      <c r="D34" s="96" t="s">
        <v>1536</v>
      </c>
      <c r="E34" s="98" t="n">
        <v>56</v>
      </c>
    </row>
    <row r="35" customFormat="false" ht="15" hidden="false" customHeight="true" outlineLevel="0" collapsed="false">
      <c r="A35" s="96" t="s">
        <v>1603</v>
      </c>
      <c r="B35" s="96" t="s">
        <v>1604</v>
      </c>
      <c r="C35" s="97" t="n">
        <v>777000</v>
      </c>
      <c r="D35" s="96" t="s">
        <v>1433</v>
      </c>
      <c r="E35" s="98" t="n">
        <v>53</v>
      </c>
    </row>
    <row r="36" customFormat="false" ht="15" hidden="false" customHeight="true" outlineLevel="0" collapsed="false">
      <c r="A36" s="96" t="s">
        <v>1454</v>
      </c>
      <c r="B36" s="96" t="s">
        <v>1455</v>
      </c>
      <c r="C36" s="97" t="n">
        <v>500000</v>
      </c>
      <c r="D36" s="96" t="s">
        <v>1433</v>
      </c>
      <c r="E36" s="98" t="n">
        <v>29</v>
      </c>
    </row>
    <row r="37" customFormat="false" ht="15" hidden="false" customHeight="true" outlineLevel="0" collapsed="false">
      <c r="A37" s="96" t="s">
        <v>1638</v>
      </c>
      <c r="B37" s="96" t="s">
        <v>1640</v>
      </c>
      <c r="C37" s="97" t="n">
        <v>500000</v>
      </c>
      <c r="D37" s="96" t="s">
        <v>1433</v>
      </c>
      <c r="E37" s="98" t="n">
        <v>58</v>
      </c>
    </row>
    <row r="38" customFormat="false" ht="15" hidden="false" customHeight="true" outlineLevel="0" collapsed="false">
      <c r="A38" s="96" t="s">
        <v>1641</v>
      </c>
      <c r="B38" s="96" t="s">
        <v>1642</v>
      </c>
      <c r="C38" s="97" t="n">
        <v>500000</v>
      </c>
      <c r="D38" s="96" t="s">
        <v>1536</v>
      </c>
      <c r="E38" s="98" t="n">
        <v>58</v>
      </c>
    </row>
    <row r="39" customFormat="false" ht="15" hidden="false" customHeight="true" outlineLevel="0" collapsed="false">
      <c r="A39" s="96" t="s">
        <v>1562</v>
      </c>
      <c r="B39" s="96" t="s">
        <v>1564</v>
      </c>
      <c r="C39" s="97" t="n">
        <v>365000</v>
      </c>
      <c r="D39" s="96" t="s">
        <v>1433</v>
      </c>
      <c r="E39" s="98" t="n">
        <v>59</v>
      </c>
    </row>
    <row r="40" customFormat="false" ht="15" hidden="false" customHeight="true" outlineLevel="0" collapsed="false">
      <c r="A40" s="96" t="s">
        <v>1592</v>
      </c>
      <c r="B40" s="96" t="s">
        <v>1593</v>
      </c>
      <c r="C40" s="97" t="n">
        <v>250000</v>
      </c>
      <c r="D40" s="96" t="s">
        <v>1433</v>
      </c>
      <c r="E40" s="98" t="n">
        <v>49</v>
      </c>
    </row>
    <row r="41" customFormat="false" ht="15" hidden="false" customHeight="true" outlineLevel="0" collapsed="false">
      <c r="A41" s="96" t="s">
        <v>1555</v>
      </c>
      <c r="B41" s="96" t="s">
        <v>1557</v>
      </c>
      <c r="C41" s="97" t="n">
        <v>250000</v>
      </c>
      <c r="D41" s="96" t="s">
        <v>1433</v>
      </c>
      <c r="E41" s="98" t="n">
        <v>56</v>
      </c>
    </row>
    <row r="42" customFormat="false" ht="15" hidden="false" customHeight="true" outlineLevel="0" collapsed="false">
      <c r="A42" s="99" t="s">
        <v>1442</v>
      </c>
      <c r="B42" s="99" t="s">
        <v>1443</v>
      </c>
      <c r="C42" s="100" t="n">
        <v>230000</v>
      </c>
      <c r="D42" s="99" t="s">
        <v>1433</v>
      </c>
      <c r="E42" s="101" t="n">
        <v>28</v>
      </c>
      <c r="F42" s="1" t="s">
        <v>1674</v>
      </c>
    </row>
    <row r="43" customFormat="false" ht="15" hidden="false" customHeight="true" outlineLevel="0" collapsed="false">
      <c r="A43" s="96" t="s">
        <v>1470</v>
      </c>
      <c r="B43" s="96" t="s">
        <v>1471</v>
      </c>
      <c r="C43" s="97" t="n">
        <v>218000</v>
      </c>
      <c r="D43" s="96" t="s">
        <v>1433</v>
      </c>
      <c r="E43" s="98" t="n">
        <v>29</v>
      </c>
    </row>
    <row r="44" customFormat="false" ht="15" hidden="false" customHeight="true" outlineLevel="0" collapsed="false">
      <c r="A44" s="96" t="s">
        <v>1599</v>
      </c>
      <c r="B44" s="96" t="s">
        <v>1600</v>
      </c>
      <c r="C44" s="97" t="n">
        <v>160000</v>
      </c>
      <c r="D44" s="96" t="s">
        <v>1433</v>
      </c>
      <c r="E44" s="98" t="n">
        <v>53</v>
      </c>
    </row>
    <row r="45" customFormat="false" ht="15" hidden="false" customHeight="true" outlineLevel="0" collapsed="false">
      <c r="A45" s="96" t="s">
        <v>1472</v>
      </c>
      <c r="B45" s="96" t="s">
        <v>1473</v>
      </c>
      <c r="C45" s="97" t="n">
        <v>150000</v>
      </c>
      <c r="D45" s="96" t="s">
        <v>1433</v>
      </c>
      <c r="E45" s="98" t="n">
        <v>29</v>
      </c>
    </row>
    <row r="46" customFormat="false" ht="15" hidden="false" customHeight="true" outlineLevel="0" collapsed="false">
      <c r="A46" s="96" t="s">
        <v>1596</v>
      </c>
      <c r="B46" s="96" t="s">
        <v>1598</v>
      </c>
      <c r="C46" s="97" t="n">
        <v>150000</v>
      </c>
      <c r="D46" s="96" t="s">
        <v>1433</v>
      </c>
      <c r="E46" s="98" t="n">
        <v>53</v>
      </c>
    </row>
    <row r="47" customFormat="false" ht="15" hidden="false" customHeight="true" outlineLevel="0" collapsed="false">
      <c r="A47" s="96" t="s">
        <v>1605</v>
      </c>
      <c r="B47" s="96" t="s">
        <v>1606</v>
      </c>
      <c r="C47" s="97" t="n">
        <v>125000</v>
      </c>
      <c r="D47" s="96" t="s">
        <v>1433</v>
      </c>
      <c r="E47" s="98" t="n">
        <v>53</v>
      </c>
    </row>
    <row r="48" customFormat="false" ht="15" hidden="false" customHeight="true" outlineLevel="0" collapsed="false">
      <c r="A48" s="96" t="s">
        <v>1436</v>
      </c>
      <c r="B48" s="96" t="s">
        <v>1437</v>
      </c>
      <c r="C48" s="97" t="n">
        <v>100000</v>
      </c>
      <c r="D48" s="96" t="s">
        <v>1433</v>
      </c>
      <c r="E48" s="98" t="n">
        <v>28</v>
      </c>
    </row>
    <row r="49" customFormat="false" ht="15" hidden="false" customHeight="true" outlineLevel="0" collapsed="false">
      <c r="A49" s="96" t="s">
        <v>1450</v>
      </c>
      <c r="B49" s="96" t="s">
        <v>1451</v>
      </c>
      <c r="C49" s="97" t="n">
        <v>100000</v>
      </c>
      <c r="D49" s="96" t="s">
        <v>1433</v>
      </c>
      <c r="E49" s="98" t="n">
        <v>29</v>
      </c>
    </row>
    <row r="50" customFormat="false" ht="15" hidden="false" customHeight="true" outlineLevel="0" collapsed="false">
      <c r="A50" s="96" t="s">
        <v>1429</v>
      </c>
      <c r="B50" s="96" t="s">
        <v>1432</v>
      </c>
      <c r="C50" s="97" t="n">
        <v>75000</v>
      </c>
      <c r="D50" s="96" t="s">
        <v>1433</v>
      </c>
      <c r="E50" s="98" t="n">
        <v>28</v>
      </c>
    </row>
    <row r="51" customFormat="false" ht="15" hidden="false" customHeight="true" outlineLevel="0" collapsed="false">
      <c r="A51" s="96" t="s">
        <v>1434</v>
      </c>
      <c r="B51" s="96" t="s">
        <v>1435</v>
      </c>
      <c r="C51" s="97" t="n">
        <v>75000</v>
      </c>
      <c r="D51" s="96" t="s">
        <v>1433</v>
      </c>
      <c r="E51" s="98" t="n">
        <v>28</v>
      </c>
    </row>
    <row r="52" customFormat="false" ht="15" hidden="false" customHeight="true" outlineLevel="0" collapsed="false">
      <c r="A52" s="96" t="s">
        <v>1438</v>
      </c>
      <c r="B52" s="96" t="s">
        <v>1439</v>
      </c>
      <c r="C52" s="97" t="n">
        <v>75000</v>
      </c>
      <c r="D52" s="96" t="s">
        <v>1433</v>
      </c>
      <c r="E52" s="98" t="n">
        <v>28</v>
      </c>
    </row>
    <row r="53" customFormat="false" ht="15" hidden="false" customHeight="true" outlineLevel="0" collapsed="false">
      <c r="A53" s="96" t="s">
        <v>1440</v>
      </c>
      <c r="B53" s="96" t="s">
        <v>1441</v>
      </c>
      <c r="C53" s="97" t="n">
        <v>75000</v>
      </c>
      <c r="D53" s="96" t="s">
        <v>1433</v>
      </c>
      <c r="E53" s="98" t="n">
        <v>28</v>
      </c>
    </row>
    <row r="54" customFormat="false" ht="15" hidden="false" customHeight="true" outlineLevel="0" collapsed="false">
      <c r="A54" s="96" t="s">
        <v>1444</v>
      </c>
      <c r="B54" s="96" t="s">
        <v>1445</v>
      </c>
      <c r="C54" s="97" t="n">
        <v>75000</v>
      </c>
      <c r="D54" s="96" t="s">
        <v>1433</v>
      </c>
      <c r="E54" s="98" t="n">
        <v>28</v>
      </c>
    </row>
    <row r="55" customFormat="false" ht="15" hidden="false" customHeight="true" outlineLevel="0" collapsed="false">
      <c r="A55" s="96" t="s">
        <v>1446</v>
      </c>
      <c r="B55" s="96" t="s">
        <v>1447</v>
      </c>
      <c r="C55" s="97" t="n">
        <v>75000</v>
      </c>
      <c r="D55" s="96" t="s">
        <v>1433</v>
      </c>
      <c r="E55" s="98" t="n">
        <v>28</v>
      </c>
    </row>
    <row r="56" customFormat="false" ht="15" hidden="false" customHeight="true" outlineLevel="0" collapsed="false">
      <c r="A56" s="96" t="s">
        <v>1448</v>
      </c>
      <c r="B56" s="96" t="s">
        <v>1449</v>
      </c>
      <c r="C56" s="97" t="n">
        <v>75000</v>
      </c>
      <c r="D56" s="96" t="s">
        <v>1433</v>
      </c>
      <c r="E56" s="98" t="n">
        <v>28</v>
      </c>
    </row>
    <row r="57" customFormat="false" ht="15" hidden="false" customHeight="true" outlineLevel="0" collapsed="false">
      <c r="A57" s="96" t="s">
        <v>1452</v>
      </c>
      <c r="B57" s="96" t="s">
        <v>1453</v>
      </c>
      <c r="C57" s="97" t="n">
        <v>75000</v>
      </c>
      <c r="D57" s="96" t="s">
        <v>1433</v>
      </c>
      <c r="E57" s="98" t="n">
        <v>29</v>
      </c>
    </row>
    <row r="58" customFormat="false" ht="15" hidden="false" customHeight="true" outlineLevel="0" collapsed="false">
      <c r="A58" s="96" t="s">
        <v>1456</v>
      </c>
      <c r="B58" s="96" t="s">
        <v>1457</v>
      </c>
      <c r="C58" s="97" t="n">
        <v>75000</v>
      </c>
      <c r="D58" s="96" t="s">
        <v>1433</v>
      </c>
      <c r="E58" s="98" t="n">
        <v>29</v>
      </c>
    </row>
    <row r="59" customFormat="false" ht="15" hidden="false" customHeight="true" outlineLevel="0" collapsed="false">
      <c r="A59" s="96" t="s">
        <v>1458</v>
      </c>
      <c r="B59" s="96" t="s">
        <v>1459</v>
      </c>
      <c r="C59" s="97" t="n">
        <v>75000</v>
      </c>
      <c r="D59" s="96" t="s">
        <v>1433</v>
      </c>
      <c r="E59" s="98" t="n">
        <v>29</v>
      </c>
    </row>
    <row r="60" customFormat="false" ht="15" hidden="false" customHeight="true" outlineLevel="0" collapsed="false">
      <c r="A60" s="96" t="s">
        <v>1460</v>
      </c>
      <c r="B60" s="96" t="s">
        <v>1461</v>
      </c>
      <c r="C60" s="97" t="n">
        <v>75000</v>
      </c>
      <c r="D60" s="96" t="s">
        <v>1433</v>
      </c>
      <c r="E60" s="98" t="n">
        <v>29</v>
      </c>
    </row>
    <row r="61" customFormat="false" ht="15" hidden="false" customHeight="true" outlineLevel="0" collapsed="false">
      <c r="A61" s="96" t="s">
        <v>1462</v>
      </c>
      <c r="B61" s="96" t="s">
        <v>1463</v>
      </c>
      <c r="C61" s="97" t="n">
        <v>75000</v>
      </c>
      <c r="D61" s="96" t="s">
        <v>1433</v>
      </c>
      <c r="E61" s="98" t="n">
        <v>29</v>
      </c>
    </row>
    <row r="62" customFormat="false" ht="15" hidden="false" customHeight="true" outlineLevel="0" collapsed="false">
      <c r="A62" s="96" t="s">
        <v>1464</v>
      </c>
      <c r="B62" s="96" t="s">
        <v>1465</v>
      </c>
      <c r="C62" s="97" t="n">
        <v>75000</v>
      </c>
      <c r="D62" s="96" t="s">
        <v>1433</v>
      </c>
      <c r="E62" s="98" t="n">
        <v>29</v>
      </c>
    </row>
    <row r="63" customFormat="false" ht="15" hidden="false" customHeight="true" outlineLevel="0" collapsed="false">
      <c r="A63" s="96" t="s">
        <v>1466</v>
      </c>
      <c r="B63" s="96" t="s">
        <v>1467</v>
      </c>
      <c r="C63" s="97" t="n">
        <v>75000</v>
      </c>
      <c r="D63" s="96" t="s">
        <v>1433</v>
      </c>
      <c r="E63" s="98" t="n">
        <v>29</v>
      </c>
    </row>
    <row r="64" customFormat="false" ht="15" hidden="false" customHeight="true" outlineLevel="0" collapsed="false">
      <c r="A64" s="96" t="s">
        <v>1468</v>
      </c>
      <c r="B64" s="96" t="s">
        <v>1469</v>
      </c>
      <c r="C64" s="97" t="n">
        <v>75000</v>
      </c>
      <c r="D64" s="96" t="s">
        <v>1433</v>
      </c>
      <c r="E64" s="98" t="n">
        <v>29</v>
      </c>
    </row>
    <row r="65" customFormat="false" ht="15" hidden="false" customHeight="true" outlineLevel="0" collapsed="false">
      <c r="B65" s="90" t="s">
        <v>1672</v>
      </c>
      <c r="C65" s="91" t="n">
        <f aca="false">SUM(C31:C64)</f>
        <v>15600000</v>
      </c>
    </row>
    <row r="66" customFormat="false" ht="15.75" hidden="false" customHeight="true" outlineLevel="0" collapsed="false"/>
    <row r="67" customFormat="false" ht="15" hidden="false" customHeight="true" outlineLevel="0" collapsed="false">
      <c r="A67" s="55" t="s">
        <v>1675</v>
      </c>
    </row>
    <row r="68" customFormat="false" ht="15" hidden="false" customHeight="true" outlineLevel="0" collapsed="false">
      <c r="A68" s="62" t="s">
        <v>1419</v>
      </c>
      <c r="B68" s="62" t="s">
        <v>1670</v>
      </c>
      <c r="C68" s="65" t="s">
        <v>1423</v>
      </c>
      <c r="D68" s="62" t="s">
        <v>1671</v>
      </c>
      <c r="E68" s="65" t="s">
        <v>1428</v>
      </c>
    </row>
    <row r="69" customFormat="false" ht="15" hidden="false" customHeight="true" outlineLevel="0" collapsed="false">
      <c r="A69" s="99" t="s">
        <v>1609</v>
      </c>
      <c r="B69" s="99" t="s">
        <v>1611</v>
      </c>
      <c r="C69" s="100" t="n">
        <v>3536000</v>
      </c>
      <c r="D69" s="99" t="s">
        <v>1561</v>
      </c>
      <c r="E69" s="101" t="n">
        <v>53</v>
      </c>
    </row>
    <row r="70" customFormat="false" ht="15" hidden="false" customHeight="true" outlineLevel="0" collapsed="false">
      <c r="A70" s="96" t="s">
        <v>1558</v>
      </c>
      <c r="B70" s="96" t="s">
        <v>1560</v>
      </c>
      <c r="C70" s="97" t="n">
        <v>2000000</v>
      </c>
      <c r="D70" s="96" t="s">
        <v>1561</v>
      </c>
      <c r="E70" s="98" t="n">
        <v>39</v>
      </c>
    </row>
    <row r="71" customFormat="false" ht="15" hidden="false" customHeight="true" outlineLevel="0" collapsed="false">
      <c r="A71" s="96" t="s">
        <v>1497</v>
      </c>
      <c r="B71" s="96" t="s">
        <v>1498</v>
      </c>
      <c r="C71" s="97" t="n">
        <v>500000</v>
      </c>
      <c r="D71" s="96" t="s">
        <v>1476</v>
      </c>
      <c r="E71" s="98" t="n">
        <v>29</v>
      </c>
    </row>
    <row r="72" customFormat="false" ht="15" hidden="false" customHeight="true" outlineLevel="0" collapsed="false">
      <c r="A72" s="96" t="s">
        <v>1503</v>
      </c>
      <c r="B72" s="96" t="s">
        <v>1504</v>
      </c>
      <c r="C72" s="97" t="n">
        <v>425000</v>
      </c>
      <c r="D72" s="96" t="s">
        <v>1476</v>
      </c>
      <c r="E72" s="98" t="n">
        <v>30</v>
      </c>
    </row>
    <row r="73" customFormat="false" ht="15" hidden="false" customHeight="true" outlineLevel="0" collapsed="false">
      <c r="A73" s="96" t="s">
        <v>1487</v>
      </c>
      <c r="B73" s="96" t="s">
        <v>1488</v>
      </c>
      <c r="C73" s="97" t="n">
        <v>360000</v>
      </c>
      <c r="D73" s="96" t="s">
        <v>1476</v>
      </c>
      <c r="E73" s="98" t="n">
        <v>29</v>
      </c>
    </row>
    <row r="74" customFormat="false" ht="15" hidden="false" customHeight="true" outlineLevel="0" collapsed="false">
      <c r="A74" s="96" t="s">
        <v>1495</v>
      </c>
      <c r="B74" s="96" t="s">
        <v>1496</v>
      </c>
      <c r="C74" s="97" t="n">
        <v>300000</v>
      </c>
      <c r="D74" s="96" t="s">
        <v>1476</v>
      </c>
      <c r="E74" s="98" t="n">
        <v>29</v>
      </c>
    </row>
    <row r="75" customFormat="false" ht="15" hidden="false" customHeight="true" outlineLevel="0" collapsed="false">
      <c r="A75" s="96" t="s">
        <v>1509</v>
      </c>
      <c r="B75" s="96" t="s">
        <v>1510</v>
      </c>
      <c r="C75" s="97" t="n">
        <v>270000</v>
      </c>
      <c r="D75" s="96" t="s">
        <v>1476</v>
      </c>
      <c r="E75" s="98" t="n">
        <v>30</v>
      </c>
    </row>
    <row r="76" customFormat="false" ht="15" hidden="false" customHeight="true" outlineLevel="0" collapsed="false">
      <c r="A76" s="96" t="s">
        <v>1481</v>
      </c>
      <c r="B76" s="96" t="s">
        <v>1482</v>
      </c>
      <c r="C76" s="97" t="n">
        <v>250000</v>
      </c>
      <c r="D76" s="96" t="s">
        <v>1476</v>
      </c>
      <c r="E76" s="98" t="n">
        <v>29</v>
      </c>
    </row>
    <row r="77" customFormat="false" ht="15" hidden="false" customHeight="true" outlineLevel="0" collapsed="false">
      <c r="A77" s="96" t="s">
        <v>1483</v>
      </c>
      <c r="B77" s="96" t="s">
        <v>1484</v>
      </c>
      <c r="C77" s="97" t="n">
        <v>250000</v>
      </c>
      <c r="D77" s="96" t="s">
        <v>1476</v>
      </c>
      <c r="E77" s="98" t="n">
        <v>29</v>
      </c>
    </row>
    <row r="78" customFormat="false" ht="15" hidden="false" customHeight="true" outlineLevel="0" collapsed="false">
      <c r="A78" s="96" t="s">
        <v>1517</v>
      </c>
      <c r="B78" s="96" t="s">
        <v>1518</v>
      </c>
      <c r="C78" s="97" t="n">
        <v>250000</v>
      </c>
      <c r="D78" s="96" t="s">
        <v>1476</v>
      </c>
      <c r="E78" s="98" t="n">
        <v>30</v>
      </c>
    </row>
    <row r="79" customFormat="false" ht="15" hidden="false" customHeight="true" outlineLevel="0" collapsed="false">
      <c r="A79" s="96" t="s">
        <v>1589</v>
      </c>
      <c r="B79" s="96" t="s">
        <v>1591</v>
      </c>
      <c r="C79" s="97" t="n">
        <v>242000</v>
      </c>
      <c r="D79" s="96" t="s">
        <v>1476</v>
      </c>
      <c r="E79" s="98" t="n">
        <v>49</v>
      </c>
    </row>
    <row r="80" customFormat="false" ht="15" hidden="false" customHeight="true" outlineLevel="0" collapsed="false">
      <c r="A80" s="96" t="s">
        <v>1501</v>
      </c>
      <c r="B80" s="96" t="s">
        <v>1502</v>
      </c>
      <c r="C80" s="97" t="n">
        <v>218000</v>
      </c>
      <c r="D80" s="96" t="s">
        <v>1476</v>
      </c>
      <c r="E80" s="98" t="n">
        <v>30</v>
      </c>
    </row>
    <row r="81" customFormat="false" ht="15" hidden="false" customHeight="true" outlineLevel="0" collapsed="false">
      <c r="A81" s="96" t="s">
        <v>1477</v>
      </c>
      <c r="B81" s="96" t="s">
        <v>1478</v>
      </c>
      <c r="C81" s="97" t="n">
        <v>200000</v>
      </c>
      <c r="D81" s="96" t="s">
        <v>1476</v>
      </c>
      <c r="E81" s="98" t="n">
        <v>29</v>
      </c>
    </row>
    <row r="82" customFormat="false" ht="15" hidden="false" customHeight="true" outlineLevel="0" collapsed="false">
      <c r="A82" s="96" t="s">
        <v>1489</v>
      </c>
      <c r="B82" s="96" t="s">
        <v>1490</v>
      </c>
      <c r="C82" s="97" t="n">
        <v>200000</v>
      </c>
      <c r="D82" s="96" t="s">
        <v>1476</v>
      </c>
      <c r="E82" s="98" t="n">
        <v>29</v>
      </c>
    </row>
    <row r="83" customFormat="false" ht="15" hidden="false" customHeight="true" outlineLevel="0" collapsed="false">
      <c r="A83" s="96" t="s">
        <v>1499</v>
      </c>
      <c r="B83" s="96" t="s">
        <v>1500</v>
      </c>
      <c r="C83" s="97" t="n">
        <v>200000</v>
      </c>
      <c r="D83" s="96" t="s">
        <v>1476</v>
      </c>
      <c r="E83" s="98" t="n">
        <v>29</v>
      </c>
    </row>
    <row r="84" customFormat="false" ht="15" hidden="false" customHeight="true" outlineLevel="0" collapsed="false">
      <c r="A84" s="96" t="s">
        <v>1511</v>
      </c>
      <c r="B84" s="96" t="s">
        <v>1512</v>
      </c>
      <c r="C84" s="97" t="n">
        <v>200000</v>
      </c>
      <c r="D84" s="96" t="s">
        <v>1476</v>
      </c>
      <c r="E84" s="98" t="n">
        <v>30</v>
      </c>
    </row>
    <row r="85" customFormat="false" ht="15" hidden="false" customHeight="true" outlineLevel="0" collapsed="false">
      <c r="A85" s="96" t="s">
        <v>1479</v>
      </c>
      <c r="B85" s="96" t="s">
        <v>1480</v>
      </c>
      <c r="C85" s="97" t="n">
        <v>150000</v>
      </c>
      <c r="D85" s="96" t="s">
        <v>1476</v>
      </c>
      <c r="E85" s="98" t="n">
        <v>29</v>
      </c>
    </row>
    <row r="86" customFormat="false" ht="15" hidden="false" customHeight="true" outlineLevel="0" collapsed="false">
      <c r="A86" s="96" t="s">
        <v>1485</v>
      </c>
      <c r="B86" s="96" t="s">
        <v>1486</v>
      </c>
      <c r="C86" s="97" t="n">
        <v>100000</v>
      </c>
      <c r="D86" s="96" t="s">
        <v>1476</v>
      </c>
      <c r="E86" s="98" t="n">
        <v>29</v>
      </c>
    </row>
    <row r="87" customFormat="false" ht="15" hidden="false" customHeight="true" outlineLevel="0" collapsed="false">
      <c r="A87" s="96" t="s">
        <v>1491</v>
      </c>
      <c r="B87" s="96" t="s">
        <v>1492</v>
      </c>
      <c r="C87" s="97" t="n">
        <v>80000</v>
      </c>
      <c r="D87" s="96" t="s">
        <v>1476</v>
      </c>
      <c r="E87" s="98" t="n">
        <v>29</v>
      </c>
    </row>
    <row r="88" customFormat="false" ht="15" hidden="false" customHeight="true" outlineLevel="0" collapsed="false">
      <c r="A88" s="96" t="s">
        <v>1474</v>
      </c>
      <c r="B88" s="96" t="s">
        <v>1475</v>
      </c>
      <c r="C88" s="97" t="n">
        <v>75000</v>
      </c>
      <c r="D88" s="96" t="s">
        <v>1476</v>
      </c>
      <c r="E88" s="98" t="n">
        <v>29</v>
      </c>
    </row>
    <row r="89" customFormat="false" ht="15" hidden="false" customHeight="true" outlineLevel="0" collapsed="false">
      <c r="A89" s="96" t="s">
        <v>1493</v>
      </c>
      <c r="B89" s="96" t="s">
        <v>1494</v>
      </c>
      <c r="C89" s="97" t="n">
        <v>75000</v>
      </c>
      <c r="D89" s="96" t="s">
        <v>1476</v>
      </c>
      <c r="E89" s="98" t="n">
        <v>29</v>
      </c>
    </row>
    <row r="90" customFormat="false" ht="15" hidden="false" customHeight="true" outlineLevel="0" collapsed="false">
      <c r="A90" s="96" t="s">
        <v>1505</v>
      </c>
      <c r="B90" s="96" t="s">
        <v>1506</v>
      </c>
      <c r="C90" s="97" t="n">
        <v>75000</v>
      </c>
      <c r="D90" s="96" t="s">
        <v>1476</v>
      </c>
      <c r="E90" s="98" t="n">
        <v>30</v>
      </c>
    </row>
    <row r="91" customFormat="false" ht="15" hidden="false" customHeight="true" outlineLevel="0" collapsed="false">
      <c r="A91" s="96" t="s">
        <v>1507</v>
      </c>
      <c r="B91" s="96" t="s">
        <v>1508</v>
      </c>
      <c r="C91" s="97" t="n">
        <v>75000</v>
      </c>
      <c r="D91" s="96" t="s">
        <v>1476</v>
      </c>
      <c r="E91" s="98" t="n">
        <v>30</v>
      </c>
    </row>
    <row r="92" customFormat="false" ht="15" hidden="false" customHeight="true" outlineLevel="0" collapsed="false">
      <c r="A92" s="96" t="s">
        <v>1513</v>
      </c>
      <c r="B92" s="96" t="s">
        <v>1514</v>
      </c>
      <c r="C92" s="97" t="n">
        <v>75000</v>
      </c>
      <c r="D92" s="96" t="s">
        <v>1476</v>
      </c>
      <c r="E92" s="98" t="n">
        <v>30</v>
      </c>
    </row>
    <row r="93" customFormat="false" ht="15" hidden="false" customHeight="true" outlineLevel="0" collapsed="false">
      <c r="A93" s="96" t="s">
        <v>1515</v>
      </c>
      <c r="B93" s="96" t="s">
        <v>1516</v>
      </c>
      <c r="C93" s="97" t="n">
        <v>75000</v>
      </c>
      <c r="D93" s="96" t="s">
        <v>1476</v>
      </c>
      <c r="E93" s="98" t="n">
        <v>30</v>
      </c>
    </row>
    <row r="94" customFormat="false" ht="15" hidden="false" customHeight="true" outlineLevel="0" collapsed="false">
      <c r="A94" s="96" t="s">
        <v>1519</v>
      </c>
      <c r="B94" s="96" t="s">
        <v>1520</v>
      </c>
      <c r="C94" s="97" t="n">
        <v>75000</v>
      </c>
      <c r="D94" s="96" t="s">
        <v>1476</v>
      </c>
      <c r="E94" s="98" t="n">
        <v>30</v>
      </c>
    </row>
    <row r="95" customFormat="false" ht="15" hidden="false" customHeight="true" outlineLevel="0" collapsed="false">
      <c r="A95" s="96" t="s">
        <v>1521</v>
      </c>
      <c r="B95" s="96" t="s">
        <v>1522</v>
      </c>
      <c r="C95" s="97" t="n">
        <v>75000</v>
      </c>
      <c r="D95" s="96" t="s">
        <v>1476</v>
      </c>
      <c r="E95" s="98" t="n">
        <v>30</v>
      </c>
    </row>
    <row r="96" customFormat="false" ht="15" hidden="false" customHeight="true" outlineLevel="0" collapsed="false">
      <c r="A96" s="96" t="s">
        <v>1523</v>
      </c>
      <c r="B96" s="96" t="s">
        <v>1524</v>
      </c>
      <c r="C96" s="97" t="n">
        <v>75000</v>
      </c>
      <c r="D96" s="96" t="s">
        <v>1476</v>
      </c>
      <c r="E96" s="98" t="n">
        <v>30</v>
      </c>
    </row>
    <row r="97" customFormat="false" ht="15" hidden="false" customHeight="true" outlineLevel="0" collapsed="false">
      <c r="A97" s="96" t="s">
        <v>1525</v>
      </c>
      <c r="B97" s="96" t="s">
        <v>1526</v>
      </c>
      <c r="C97" s="97" t="n">
        <v>75000</v>
      </c>
      <c r="D97" s="96" t="s">
        <v>1476</v>
      </c>
      <c r="E97" s="98" t="n">
        <v>30</v>
      </c>
    </row>
    <row r="98" customFormat="false" ht="15" hidden="false" customHeight="true" outlineLevel="0" collapsed="false">
      <c r="A98" s="96" t="s">
        <v>1547</v>
      </c>
      <c r="B98" s="96" t="s">
        <v>1549</v>
      </c>
      <c r="C98" s="97" t="n">
        <v>55000</v>
      </c>
      <c r="D98" s="96" t="s">
        <v>1476</v>
      </c>
      <c r="E98" s="98" t="n">
        <v>38</v>
      </c>
    </row>
    <row r="99" customFormat="false" ht="15" hidden="false" customHeight="true" outlineLevel="0" collapsed="false">
      <c r="B99" s="90" t="s">
        <v>1672</v>
      </c>
      <c r="C99" s="91" t="n">
        <f aca="false">SUM(C69:C98)</f>
        <v>10536000</v>
      </c>
    </row>
    <row r="100" customFormat="false" ht="15.75" hidden="false" customHeight="true" outlineLevel="0" collapsed="false"/>
    <row r="101" customFormat="false" ht="15" hidden="false" customHeight="true" outlineLevel="0" collapsed="false">
      <c r="A101" s="55" t="s">
        <v>1676</v>
      </c>
    </row>
    <row r="102" customFormat="false" ht="15" hidden="false" customHeight="true" outlineLevel="0" collapsed="false">
      <c r="A102" s="62" t="s">
        <v>1419</v>
      </c>
      <c r="B102" s="62" t="s">
        <v>1670</v>
      </c>
      <c r="C102" s="65" t="s">
        <v>1423</v>
      </c>
      <c r="D102" s="62" t="s">
        <v>1671</v>
      </c>
      <c r="E102" s="65" t="s">
        <v>1428</v>
      </c>
    </row>
    <row r="103" customFormat="false" ht="15" hidden="false" customHeight="true" outlineLevel="0" collapsed="false">
      <c r="A103" s="96" t="s">
        <v>1633</v>
      </c>
      <c r="B103" s="96" t="s">
        <v>1635</v>
      </c>
      <c r="C103" s="97" t="n">
        <v>4000000</v>
      </c>
      <c r="D103" s="96" t="s">
        <v>1552</v>
      </c>
      <c r="E103" s="98" t="n">
        <v>56</v>
      </c>
    </row>
    <row r="104" customFormat="false" ht="15" hidden="false" customHeight="true" outlineLevel="0" collapsed="false">
      <c r="A104" s="96" t="s">
        <v>1629</v>
      </c>
      <c r="B104" s="96" t="s">
        <v>1630</v>
      </c>
      <c r="C104" s="97" t="n">
        <v>3000000</v>
      </c>
      <c r="D104" s="96" t="s">
        <v>1552</v>
      </c>
      <c r="E104" s="98" t="n">
        <v>55</v>
      </c>
    </row>
    <row r="105" customFormat="false" ht="15" hidden="false" customHeight="true" outlineLevel="0" collapsed="false">
      <c r="A105" s="96" t="s">
        <v>1550</v>
      </c>
      <c r="B105" s="96" t="s">
        <v>1551</v>
      </c>
      <c r="C105" s="97" t="n">
        <v>418000</v>
      </c>
      <c r="D105" s="96" t="s">
        <v>1552</v>
      </c>
      <c r="E105" s="98" t="n">
        <v>38</v>
      </c>
    </row>
    <row r="106" customFormat="false" ht="15" hidden="false" customHeight="true" outlineLevel="0" collapsed="false">
      <c r="B106" s="90" t="s">
        <v>1672</v>
      </c>
      <c r="C106" s="91" t="n">
        <f aca="false">SUM(C103:C105)</f>
        <v>7418000</v>
      </c>
    </row>
    <row r="107" customFormat="false" ht="15.75" hidden="false" customHeight="true" outlineLevel="0" collapsed="false"/>
    <row r="108" customFormat="false" ht="15" hidden="false" customHeight="true" outlineLevel="0" collapsed="false">
      <c r="A108" s="55" t="s">
        <v>1677</v>
      </c>
    </row>
    <row r="109" customFormat="false" ht="15" hidden="false" customHeight="true" outlineLevel="0" collapsed="false">
      <c r="A109" s="62" t="s">
        <v>1419</v>
      </c>
      <c r="B109" s="62" t="s">
        <v>1670</v>
      </c>
      <c r="C109" s="65" t="s">
        <v>1423</v>
      </c>
      <c r="D109" s="62" t="s">
        <v>1671</v>
      </c>
      <c r="E109" s="65" t="s">
        <v>1428</v>
      </c>
    </row>
    <row r="110" customFormat="false" ht="15" hidden="false" customHeight="true" outlineLevel="0" collapsed="false">
      <c r="A110" s="96" t="s">
        <v>1622</v>
      </c>
      <c r="B110" s="96" t="s">
        <v>1604</v>
      </c>
      <c r="C110" s="97" t="n">
        <v>8096000</v>
      </c>
      <c r="D110" s="96" t="s">
        <v>1578</v>
      </c>
      <c r="E110" s="98" t="n">
        <v>53</v>
      </c>
    </row>
    <row r="111" customFormat="false" ht="15" hidden="false" customHeight="true" outlineLevel="0" collapsed="false">
      <c r="A111" s="96" t="s">
        <v>1614</v>
      </c>
      <c r="B111" s="96" t="s">
        <v>1615</v>
      </c>
      <c r="C111" s="97" t="n">
        <v>7600000</v>
      </c>
      <c r="D111" s="96" t="s">
        <v>1578</v>
      </c>
      <c r="E111" s="98" t="n">
        <v>53</v>
      </c>
    </row>
    <row r="112" customFormat="false" ht="15" hidden="false" customHeight="true" outlineLevel="0" collapsed="false">
      <c r="A112" s="96" t="s">
        <v>1576</v>
      </c>
      <c r="B112" s="96" t="s">
        <v>1577</v>
      </c>
      <c r="C112" s="97" t="n">
        <v>4000000</v>
      </c>
      <c r="D112" s="96" t="s">
        <v>1578</v>
      </c>
      <c r="E112" s="98" t="n">
        <v>43</v>
      </c>
    </row>
    <row r="113" customFormat="false" ht="15" hidden="false" customHeight="true" outlineLevel="0" collapsed="false">
      <c r="A113" s="96" t="s">
        <v>1581</v>
      </c>
      <c r="B113" s="96" t="s">
        <v>1583</v>
      </c>
      <c r="C113" s="97" t="n">
        <v>500000</v>
      </c>
      <c r="D113" s="96" t="s">
        <v>1578</v>
      </c>
      <c r="E113" s="98" t="n">
        <v>45</v>
      </c>
    </row>
    <row r="114" customFormat="false" ht="15" hidden="false" customHeight="true" outlineLevel="0" collapsed="false">
      <c r="B114" s="90" t="s">
        <v>1672</v>
      </c>
      <c r="C114" s="91" t="n">
        <f aca="false">SUM(C110:C113)</f>
        <v>20196000</v>
      </c>
    </row>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
    <col collapsed="false" customWidth="true" hidden="false" outlineLevel="0" max="26" min="4" style="1" width="8.71"/>
  </cols>
  <sheetData>
    <row r="1" customFormat="false" ht="15.75" hidden="false" customHeight="true" outlineLevel="0" collapsed="false">
      <c r="A1" s="42" t="s">
        <v>1678</v>
      </c>
    </row>
    <row r="2" customFormat="false" ht="15" hidden="false" customHeight="true" outlineLevel="0" collapsed="false"/>
    <row r="3" customFormat="false" ht="15" hidden="false" customHeight="true" outlineLevel="0" collapsed="false">
      <c r="A3" s="44" t="s">
        <v>1679</v>
      </c>
      <c r="B3" s="45" t="s">
        <v>72</v>
      </c>
      <c r="C3" s="45" t="s">
        <v>1680</v>
      </c>
    </row>
    <row r="4" customFormat="false" ht="15" hidden="false" customHeight="true" outlineLevel="0" collapsed="false">
      <c r="A4" s="46" t="s">
        <v>1397</v>
      </c>
      <c r="B4" s="47" t="n">
        <v>17750000</v>
      </c>
      <c r="C4" s="102" t="n">
        <f aca="false">B4/$B$9</f>
        <v>0.248251748251748</v>
      </c>
    </row>
    <row r="5" customFormat="false" ht="15" hidden="false" customHeight="true" outlineLevel="0" collapsed="false">
      <c r="A5" s="46" t="s">
        <v>1399</v>
      </c>
      <c r="B5" s="47" t="n">
        <v>15600000</v>
      </c>
      <c r="C5" s="102" t="n">
        <f aca="false">B5/$B$9</f>
        <v>0.218181818181818</v>
      </c>
    </row>
    <row r="6" customFormat="false" ht="15" hidden="false" customHeight="true" outlineLevel="0" collapsed="false">
      <c r="A6" s="46" t="s">
        <v>1681</v>
      </c>
      <c r="B6" s="47" t="n">
        <v>10536000</v>
      </c>
      <c r="C6" s="102" t="n">
        <f aca="false">B6/$B$9</f>
        <v>0.147356643356643</v>
      </c>
    </row>
    <row r="7" customFormat="false" ht="15" hidden="false" customHeight="true" outlineLevel="0" collapsed="false">
      <c r="A7" s="46" t="s">
        <v>1682</v>
      </c>
      <c r="B7" s="47" t="n">
        <v>7418000</v>
      </c>
      <c r="C7" s="102" t="n">
        <f aca="false">B7/$B$9</f>
        <v>0.103748251748252</v>
      </c>
    </row>
    <row r="8" customFormat="false" ht="15" hidden="false" customHeight="true" outlineLevel="0" collapsed="false">
      <c r="A8" s="46" t="s">
        <v>1683</v>
      </c>
      <c r="B8" s="47" t="n">
        <v>20196000</v>
      </c>
      <c r="C8" s="102" t="n">
        <f aca="false">B8/$B$9</f>
        <v>0.282461538461539</v>
      </c>
    </row>
    <row r="9" customFormat="false" ht="15" hidden="false" customHeight="true" outlineLevel="0" collapsed="false">
      <c r="A9" s="90" t="s">
        <v>1684</v>
      </c>
      <c r="B9" s="103" t="n">
        <f aca="false">SUM(B4:B8)</f>
        <v>71500000</v>
      </c>
    </row>
    <row r="10" customFormat="false" ht="15" hidden="false" customHeight="true" outlineLevel="0" collapsed="false">
      <c r="A10" s="104" t="s">
        <v>1685</v>
      </c>
      <c r="B10" s="105" t="n">
        <v>5850000</v>
      </c>
    </row>
    <row r="11" customFormat="false" ht="15" hidden="false" customHeight="true" outlineLevel="0" collapsed="false">
      <c r="A11" s="90" t="s">
        <v>1686</v>
      </c>
      <c r="B11" s="103" t="n">
        <f aca="false">B9+B10</f>
        <v>77350000</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4"/>
    <col collapsed="false" customWidth="true" hidden="false" outlineLevel="0" max="2" min="2" style="1" width="15"/>
    <col collapsed="false" customWidth="true" hidden="false" outlineLevel="0" max="3" min="3" style="1" width="88"/>
    <col collapsed="false" customWidth="true" hidden="false" outlineLevel="0" max="26" min="4" style="1" width="8.71"/>
  </cols>
  <sheetData>
    <row r="1" customFormat="false" ht="15.75" hidden="false" customHeight="true" outlineLevel="0" collapsed="false">
      <c r="A1" s="42" t="s">
        <v>1687</v>
      </c>
    </row>
    <row r="2" customFormat="false" ht="15" hidden="false" customHeight="true" outlineLevel="0" collapsed="false"/>
    <row r="3" customFormat="false" ht="15" hidden="false" customHeight="true" outlineLevel="0" collapsed="false">
      <c r="A3" s="44" t="s">
        <v>73</v>
      </c>
      <c r="B3" s="45" t="s">
        <v>72</v>
      </c>
      <c r="C3" s="45" t="s">
        <v>1688</v>
      </c>
    </row>
    <row r="4" customFormat="false" ht="15" hidden="false" customHeight="true" outlineLevel="0" collapsed="false">
      <c r="A4" s="46" t="s">
        <v>1689</v>
      </c>
      <c r="B4" s="47" t="n">
        <v>22908000</v>
      </c>
      <c r="C4" s="106" t="s">
        <v>1690</v>
      </c>
    </row>
    <row r="5" customFormat="false" ht="15" hidden="false" customHeight="true" outlineLevel="0" collapsed="false">
      <c r="A5" s="46" t="s">
        <v>1691</v>
      </c>
      <c r="B5" s="47" t="n">
        <v>11696000</v>
      </c>
      <c r="C5" s="106" t="s">
        <v>1692</v>
      </c>
    </row>
    <row r="6" customFormat="false" ht="15" hidden="false" customHeight="true" outlineLevel="0" collapsed="false">
      <c r="A6" s="46" t="s">
        <v>1693</v>
      </c>
      <c r="B6" s="47" t="n">
        <v>10070000</v>
      </c>
      <c r="C6" s="106" t="s">
        <v>1694</v>
      </c>
    </row>
    <row r="7" customFormat="false" ht="15" hidden="false" customHeight="true" outlineLevel="0" collapsed="false">
      <c r="A7" s="46" t="s">
        <v>1695</v>
      </c>
      <c r="B7" s="47" t="n">
        <v>9500000</v>
      </c>
      <c r="C7" s="106" t="s">
        <v>1696</v>
      </c>
    </row>
    <row r="8" customFormat="false" ht="15" hidden="false" customHeight="true" outlineLevel="0" collapsed="false">
      <c r="A8" s="46" t="s">
        <v>1697</v>
      </c>
      <c r="B8" s="47" t="n">
        <v>5590000</v>
      </c>
      <c r="C8" s="106" t="s">
        <v>1698</v>
      </c>
    </row>
    <row r="9" customFormat="false" ht="15" hidden="false" customHeight="true" outlineLevel="0" collapsed="false">
      <c r="A9" s="46" t="s">
        <v>1699</v>
      </c>
      <c r="B9" s="47" t="n">
        <v>2473000</v>
      </c>
      <c r="C9" s="106" t="s">
        <v>1700</v>
      </c>
    </row>
    <row r="10" customFormat="false" ht="15" hidden="false" customHeight="true" outlineLevel="0" collapsed="false">
      <c r="A10" s="46" t="s">
        <v>1701</v>
      </c>
      <c r="B10" s="47" t="n">
        <v>2000000</v>
      </c>
      <c r="C10" s="106" t="s">
        <v>1702</v>
      </c>
    </row>
    <row r="11" customFormat="false" ht="15" hidden="false" customHeight="true" outlineLevel="0" collapsed="false">
      <c r="A11" s="46" t="s">
        <v>1703</v>
      </c>
      <c r="B11" s="47" t="n">
        <v>1250000</v>
      </c>
      <c r="C11" s="106"/>
    </row>
    <row r="12" customFormat="false" ht="15" hidden="false" customHeight="true" outlineLevel="0" collapsed="false">
      <c r="A12" s="46" t="s">
        <v>1704</v>
      </c>
      <c r="B12" s="47" t="n">
        <v>1235000</v>
      </c>
      <c r="C12" s="106"/>
    </row>
    <row r="13" customFormat="false" ht="15" hidden="false" customHeight="true" outlineLevel="0" collapsed="false">
      <c r="A13" s="46" t="s">
        <v>1705</v>
      </c>
      <c r="B13" s="47" t="n">
        <v>742000</v>
      </c>
      <c r="C13" s="106" t="s">
        <v>1706</v>
      </c>
    </row>
    <row r="14" customFormat="false" ht="15" hidden="false" customHeight="true" outlineLevel="0" collapsed="false">
      <c r="A14" s="46" t="s">
        <v>1707</v>
      </c>
      <c r="B14" s="47" t="n">
        <v>500000</v>
      </c>
      <c r="C14" s="106" t="s">
        <v>1708</v>
      </c>
    </row>
    <row r="15" customFormat="false" ht="15" hidden="false" customHeight="true" outlineLevel="0" collapsed="false">
      <c r="A15" s="90" t="s">
        <v>1709</v>
      </c>
      <c r="B15" s="103" t="n">
        <f aca="false">SUM(B4:B14)</f>
        <v>67964000</v>
      </c>
    </row>
    <row r="16" customFormat="false" ht="15" hidden="false" customHeight="true" outlineLevel="0" collapsed="false">
      <c r="A16" s="107" t="s">
        <v>1710</v>
      </c>
      <c r="B16" s="108" t="n">
        <v>3536000</v>
      </c>
    </row>
    <row r="17" customFormat="false" ht="15" hidden="false" customHeight="true" outlineLevel="0" collapsed="false">
      <c r="A17" s="104" t="s">
        <v>1711</v>
      </c>
      <c r="B17" s="105" t="n">
        <v>5850000</v>
      </c>
    </row>
    <row r="18" customFormat="false" ht="15" hidden="false" customHeight="true" outlineLevel="0" collapsed="false">
      <c r="A18" s="90" t="s">
        <v>1686</v>
      </c>
      <c r="B18" s="103" t="n">
        <f aca="false">B15+B16+B17</f>
        <v>77350000</v>
      </c>
    </row>
    <row r="19" customFormat="false" ht="15" hidden="false" customHeight="true" outlineLevel="0" collapsed="false">
      <c r="A19" s="54" t="s">
        <v>1712</v>
      </c>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6"/>
    <col collapsed="false" customWidth="true" hidden="false" outlineLevel="0" max="2" min="2" style="1" width="15"/>
    <col collapsed="false" customWidth="true" hidden="false" outlineLevel="0" max="3" min="3" style="1" width="4"/>
    <col collapsed="false" customWidth="true" hidden="false" outlineLevel="0" max="26" min="4" style="1" width="8.71"/>
  </cols>
  <sheetData>
    <row r="1" customFormat="false" ht="15.75" hidden="false" customHeight="true" outlineLevel="0" collapsed="false">
      <c r="A1" s="42" t="s">
        <v>1713</v>
      </c>
    </row>
    <row r="2" customFormat="false" ht="15" hidden="false" customHeight="true" outlineLevel="0" collapsed="false"/>
    <row r="3" customFormat="false" ht="15" hidden="false" customHeight="true" outlineLevel="0" collapsed="false">
      <c r="A3" s="44" t="s">
        <v>779</v>
      </c>
      <c r="B3" s="45" t="s">
        <v>72</v>
      </c>
      <c r="C3" s="45"/>
    </row>
    <row r="4" customFormat="false" ht="15" hidden="false" customHeight="true" outlineLevel="0" collapsed="false">
      <c r="A4" s="104" t="s">
        <v>1714</v>
      </c>
      <c r="B4" s="105" t="n">
        <v>5850000</v>
      </c>
    </row>
    <row r="5" customFormat="false" ht="15" hidden="false" customHeight="true" outlineLevel="0" collapsed="false">
      <c r="A5" s="46" t="s">
        <v>1715</v>
      </c>
      <c r="B5" s="47" t="n">
        <v>8096000</v>
      </c>
    </row>
    <row r="6" customFormat="false" ht="15" hidden="false" customHeight="true" outlineLevel="0" collapsed="false">
      <c r="A6" s="46" t="s">
        <v>1716</v>
      </c>
      <c r="B6" s="47" t="n">
        <v>7600000</v>
      </c>
    </row>
    <row r="7" customFormat="false" ht="15" hidden="false" customHeight="true" outlineLevel="0" collapsed="false">
      <c r="A7" s="46" t="s">
        <v>1717</v>
      </c>
      <c r="B7" s="47" t="n">
        <v>7000000</v>
      </c>
    </row>
    <row r="8" customFormat="false" ht="15" hidden="false" customHeight="true" outlineLevel="0" collapsed="false">
      <c r="A8" s="46" t="s">
        <v>1718</v>
      </c>
      <c r="B8" s="47" t="n">
        <v>5300000</v>
      </c>
    </row>
    <row r="9" customFormat="false" ht="15" hidden="false" customHeight="true" outlineLevel="0" collapsed="false">
      <c r="A9" s="46" t="s">
        <v>672</v>
      </c>
      <c r="B9" s="47" t="n">
        <v>4000000</v>
      </c>
    </row>
    <row r="10" customFormat="false" ht="15" hidden="false" customHeight="true" outlineLevel="0" collapsed="false">
      <c r="A10" s="46" t="s">
        <v>1719</v>
      </c>
      <c r="B10" s="47" t="n">
        <v>4000000</v>
      </c>
    </row>
    <row r="11" customFormat="false" ht="15" hidden="false" customHeight="true" outlineLevel="0" collapsed="false">
      <c r="A11" s="46" t="s">
        <v>1720</v>
      </c>
      <c r="B11" s="47" t="n">
        <v>3000000</v>
      </c>
    </row>
    <row r="12" customFormat="false" ht="15" hidden="false" customHeight="true" outlineLevel="0" collapsed="false">
      <c r="A12" s="46" t="s">
        <v>1721</v>
      </c>
      <c r="B12" s="47" t="n">
        <v>2500000</v>
      </c>
    </row>
    <row r="13" customFormat="false" ht="15" hidden="false" customHeight="true" outlineLevel="0" collapsed="false">
      <c r="A13" s="46" t="s">
        <v>1722</v>
      </c>
      <c r="B13" s="47" t="n">
        <v>2000000</v>
      </c>
    </row>
    <row r="14" customFormat="false" ht="15" hidden="false" customHeight="true" outlineLevel="0" collapsed="false">
      <c r="A14" s="46" t="s">
        <v>1702</v>
      </c>
      <c r="B14" s="47" t="n">
        <v>2000000</v>
      </c>
    </row>
    <row r="15" customFormat="false" ht="15" hidden="false" customHeight="true" outlineLevel="0" collapsed="false">
      <c r="A15" s="107" t="s">
        <v>1723</v>
      </c>
      <c r="B15" s="108" t="n">
        <v>1250000</v>
      </c>
    </row>
    <row r="16" customFormat="false" ht="15" hidden="false" customHeight="true" outlineLevel="0" collapsed="false">
      <c r="A16" s="46" t="s">
        <v>1724</v>
      </c>
      <c r="B16" s="47" t="n">
        <v>1000000</v>
      </c>
    </row>
    <row r="17" customFormat="false" ht="15" hidden="false" customHeight="true" outlineLevel="0" collapsed="false">
      <c r="A17" s="46" t="s">
        <v>1725</v>
      </c>
      <c r="B17" s="47" t="n">
        <v>870000</v>
      </c>
    </row>
    <row r="18" customFormat="false" ht="15" hidden="false" customHeight="true" outlineLevel="0" collapsed="false">
      <c r="A18" s="90" t="s">
        <v>1726</v>
      </c>
      <c r="B18" s="103" t="n">
        <f aca="false">SUM(B4:B17)</f>
        <v>54466000</v>
      </c>
    </row>
    <row r="19" customFormat="false" ht="15" hidden="false" customHeight="true" outlineLevel="0" collapsed="false">
      <c r="A19" s="54" t="s">
        <v>1727</v>
      </c>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2" min="2" style="1" width="17"/>
    <col collapsed="false" customWidth="true" hidden="false" outlineLevel="0" max="3" min="3" style="1" width="12"/>
    <col collapsed="false" customWidth="true" hidden="false" outlineLevel="0" max="4" min="4" style="1" width="5"/>
    <col collapsed="false" customWidth="true" hidden="false" outlineLevel="0" max="5" min="5" style="1" width="12"/>
    <col collapsed="false" customWidth="true" hidden="false" outlineLevel="0" max="6" min="6" style="1" width="5"/>
    <col collapsed="false" customWidth="true" hidden="false" outlineLevel="0" max="7" min="7" style="1" width="12"/>
    <col collapsed="false" customWidth="true" hidden="false" outlineLevel="0" max="8" min="8" style="1" width="5"/>
    <col collapsed="false" customWidth="true" hidden="false" outlineLevel="0" max="9" min="9" style="1" width="14"/>
    <col collapsed="false" customWidth="true" hidden="false" outlineLevel="0" max="26" min="10" style="1" width="8.71"/>
  </cols>
  <sheetData>
    <row r="1" customFormat="false" ht="15.75" hidden="false" customHeight="true" outlineLevel="0" collapsed="false">
      <c r="A1" s="42" t="s">
        <v>1728</v>
      </c>
    </row>
    <row r="2" customFormat="false" ht="15" hidden="false" customHeight="true" outlineLevel="0" collapsed="false"/>
    <row r="3" customFormat="false" ht="15" hidden="false" customHeight="true" outlineLevel="0" collapsed="false">
      <c r="A3" s="44" t="s">
        <v>1729</v>
      </c>
      <c r="B3" s="45" t="s">
        <v>1730</v>
      </c>
      <c r="C3" s="45" t="s">
        <v>1731</v>
      </c>
      <c r="D3" s="45" t="s">
        <v>1732</v>
      </c>
      <c r="E3" s="45" t="s">
        <v>1733</v>
      </c>
      <c r="F3" s="45" t="s">
        <v>1732</v>
      </c>
      <c r="G3" s="45" t="s">
        <v>1734</v>
      </c>
      <c r="H3" s="45" t="s">
        <v>1732</v>
      </c>
      <c r="I3" s="45" t="s">
        <v>1735</v>
      </c>
    </row>
    <row r="4" customFormat="false" ht="15" hidden="false" customHeight="true" outlineLevel="0" collapsed="false">
      <c r="A4" s="49" t="s">
        <v>1736</v>
      </c>
      <c r="B4" s="109" t="s">
        <v>1737</v>
      </c>
      <c r="C4" s="50" t="n">
        <v>400000</v>
      </c>
      <c r="D4" s="110" t="n">
        <v>76</v>
      </c>
      <c r="E4" s="50" t="n">
        <v>400000</v>
      </c>
      <c r="F4" s="110" t="n">
        <v>45</v>
      </c>
      <c r="G4" s="50" t="n">
        <v>400000</v>
      </c>
      <c r="H4" s="110" t="n">
        <v>61</v>
      </c>
      <c r="I4" s="50" t="n">
        <f aca="false">C4+E4+G4</f>
        <v>1200000</v>
      </c>
    </row>
    <row r="5" customFormat="false" ht="15" hidden="false" customHeight="true" outlineLevel="0" collapsed="false">
      <c r="A5" s="46" t="s">
        <v>1738</v>
      </c>
      <c r="B5" s="106" t="s">
        <v>671</v>
      </c>
      <c r="C5" s="47" t="n">
        <v>340000</v>
      </c>
      <c r="D5" s="111" t="n">
        <v>17</v>
      </c>
      <c r="E5" s="47" t="n">
        <v>340000</v>
      </c>
      <c r="F5" s="111" t="n">
        <v>17</v>
      </c>
      <c r="G5" s="47" t="n">
        <v>340000</v>
      </c>
      <c r="H5" s="111" t="n">
        <v>17</v>
      </c>
      <c r="I5" s="47" t="n">
        <f aca="false">C5+E5+G5</f>
        <v>1020000</v>
      </c>
    </row>
    <row r="6" customFormat="false" ht="15" hidden="false" customHeight="true" outlineLevel="0" collapsed="false">
      <c r="A6" s="46" t="s">
        <v>882</v>
      </c>
      <c r="B6" s="106" t="s">
        <v>674</v>
      </c>
      <c r="C6" s="47" t="n">
        <v>280000</v>
      </c>
      <c r="D6" s="111" t="n">
        <v>6</v>
      </c>
      <c r="E6" s="47" t="n">
        <v>280000</v>
      </c>
      <c r="F6" s="111" t="n">
        <v>5</v>
      </c>
      <c r="G6" s="47" t="n">
        <v>280000</v>
      </c>
      <c r="H6" s="111" t="n">
        <v>8</v>
      </c>
      <c r="I6" s="47" t="n">
        <f aca="false">C6+E6+G6</f>
        <v>840000</v>
      </c>
    </row>
    <row r="7" customFormat="false" ht="15" hidden="false" customHeight="true" outlineLevel="0" collapsed="false">
      <c r="A7" s="46" t="s">
        <v>1739</v>
      </c>
      <c r="B7" s="106" t="s">
        <v>1740</v>
      </c>
      <c r="C7" s="47" t="n">
        <v>195000</v>
      </c>
      <c r="D7" s="111" t="n">
        <v>11</v>
      </c>
      <c r="E7" s="47" t="n">
        <v>195000</v>
      </c>
      <c r="F7" s="111" t="n">
        <v>4</v>
      </c>
      <c r="G7" s="47" t="n">
        <v>133000</v>
      </c>
      <c r="H7" s="111" t="n">
        <v>9</v>
      </c>
      <c r="I7" s="47" t="n">
        <f aca="false">C7+E7+G7</f>
        <v>523000</v>
      </c>
    </row>
    <row r="8" customFormat="false" ht="15" hidden="false" customHeight="true" outlineLevel="0" collapsed="false">
      <c r="A8" s="46" t="s">
        <v>1741</v>
      </c>
      <c r="B8" s="106" t="s">
        <v>1742</v>
      </c>
      <c r="C8" s="47" t="n">
        <v>150000</v>
      </c>
      <c r="D8" s="111" t="n">
        <v>18</v>
      </c>
      <c r="E8" s="47" t="n">
        <v>150000</v>
      </c>
      <c r="F8" s="111" t="n">
        <v>17</v>
      </c>
      <c r="G8" s="47" t="n">
        <v>150000</v>
      </c>
      <c r="H8" s="111" t="n">
        <v>12</v>
      </c>
      <c r="I8" s="47" t="n">
        <f aca="false">C8+E8+G8</f>
        <v>450000</v>
      </c>
    </row>
    <row r="9" customFormat="false" ht="15" hidden="false" customHeight="true" outlineLevel="0" collapsed="false">
      <c r="A9" s="46" t="s">
        <v>1743</v>
      </c>
      <c r="B9" s="106" t="s">
        <v>1744</v>
      </c>
      <c r="C9" s="47" t="n">
        <v>150000</v>
      </c>
      <c r="D9" s="111" t="n">
        <v>10</v>
      </c>
      <c r="E9" s="47" t="n">
        <v>150000</v>
      </c>
      <c r="F9" s="111" t="n">
        <v>6</v>
      </c>
      <c r="G9" s="47" t="n">
        <v>150000</v>
      </c>
      <c r="H9" s="111" t="n">
        <v>6</v>
      </c>
      <c r="I9" s="47" t="n">
        <f aca="false">C9+E9+G9</f>
        <v>450000</v>
      </c>
    </row>
    <row r="10" customFormat="false" ht="15" hidden="false" customHeight="true" outlineLevel="0" collapsed="false">
      <c r="A10" s="46" t="s">
        <v>937</v>
      </c>
      <c r="B10" s="106" t="s">
        <v>1745</v>
      </c>
      <c r="C10" s="47" t="n">
        <v>145000</v>
      </c>
      <c r="D10" s="111" t="n">
        <v>11</v>
      </c>
      <c r="E10" s="47" t="n">
        <v>145000</v>
      </c>
      <c r="F10" s="111" t="n">
        <v>11</v>
      </c>
      <c r="G10" s="47" t="n">
        <v>145000</v>
      </c>
      <c r="H10" s="111" t="n">
        <v>11</v>
      </c>
      <c r="I10" s="47" t="n">
        <f aca="false">C10+E10+G10</f>
        <v>435000</v>
      </c>
    </row>
    <row r="11" customFormat="false" ht="15" hidden="false" customHeight="true" outlineLevel="0" collapsed="false">
      <c r="A11" s="46" t="s">
        <v>1746</v>
      </c>
      <c r="B11" s="106" t="s">
        <v>1747</v>
      </c>
      <c r="C11" s="47" t="n">
        <v>110000</v>
      </c>
      <c r="D11" s="111" t="n">
        <v>8</v>
      </c>
      <c r="E11" s="47" t="n">
        <v>110000</v>
      </c>
      <c r="F11" s="111" t="n">
        <v>8</v>
      </c>
      <c r="G11" s="47" t="n">
        <v>110000</v>
      </c>
      <c r="H11" s="111" t="n">
        <v>9</v>
      </c>
      <c r="I11" s="47" t="n">
        <f aca="false">C11+E11+G11</f>
        <v>330000</v>
      </c>
    </row>
    <row r="12" customFormat="false" ht="15" hidden="false" customHeight="true" outlineLevel="0" collapsed="false">
      <c r="A12" s="46" t="s">
        <v>1748</v>
      </c>
      <c r="B12" s="106" t="s">
        <v>1749</v>
      </c>
      <c r="C12" s="47" t="n">
        <v>100000</v>
      </c>
      <c r="D12" s="111" t="n">
        <v>2</v>
      </c>
      <c r="E12" s="47" t="n">
        <v>100000</v>
      </c>
      <c r="F12" s="111" t="n">
        <v>8</v>
      </c>
      <c r="G12" s="47" t="n">
        <v>100000</v>
      </c>
      <c r="H12" s="111" t="n">
        <v>8</v>
      </c>
      <c r="I12" s="47" t="n">
        <f aca="false">C12+E12+G12</f>
        <v>300000</v>
      </c>
    </row>
    <row r="13" customFormat="false" ht="15" hidden="false" customHeight="true" outlineLevel="0" collapsed="false">
      <c r="A13" s="46" t="s">
        <v>926</v>
      </c>
      <c r="B13" s="106" t="s">
        <v>1750</v>
      </c>
      <c r="C13" s="47" t="n">
        <v>100000</v>
      </c>
      <c r="D13" s="111" t="n">
        <v>7</v>
      </c>
      <c r="E13" s="47" t="n">
        <v>100000</v>
      </c>
      <c r="F13" s="111" t="n">
        <v>5</v>
      </c>
      <c r="G13" s="47" t="n">
        <v>100000</v>
      </c>
      <c r="H13" s="111" t="n">
        <v>6</v>
      </c>
      <c r="I13" s="47" t="n">
        <f aca="false">C13+E13+G13</f>
        <v>300000</v>
      </c>
    </row>
    <row r="14" customFormat="false" ht="15" hidden="false" customHeight="true" outlineLevel="0" collapsed="false">
      <c r="A14" s="46" t="s">
        <v>1751</v>
      </c>
      <c r="B14" s="106" t="s">
        <v>1752</v>
      </c>
      <c r="C14" s="47" t="n">
        <v>90000</v>
      </c>
      <c r="D14" s="111" t="n">
        <v>4</v>
      </c>
      <c r="E14" s="47" t="n">
        <v>90000</v>
      </c>
      <c r="F14" s="111" t="n">
        <v>2</v>
      </c>
      <c r="G14" s="47" t="n">
        <v>90000</v>
      </c>
      <c r="H14" s="111" t="n">
        <v>5</v>
      </c>
      <c r="I14" s="47" t="n">
        <f aca="false">C14+E14+G14</f>
        <v>270000</v>
      </c>
    </row>
    <row r="15" customFormat="false" ht="15" hidden="false" customHeight="true" outlineLevel="0" collapsed="false">
      <c r="A15" s="46" t="s">
        <v>1753</v>
      </c>
      <c r="B15" s="106" t="s">
        <v>1754</v>
      </c>
      <c r="C15" s="47" t="n">
        <v>90000</v>
      </c>
      <c r="D15" s="111" t="n">
        <v>5</v>
      </c>
      <c r="E15" s="47" t="n">
        <v>90000</v>
      </c>
      <c r="F15" s="111" t="n">
        <v>5</v>
      </c>
      <c r="G15" s="47" t="n">
        <v>90000</v>
      </c>
      <c r="H15" s="111" t="n">
        <v>8</v>
      </c>
      <c r="I15" s="47" t="n">
        <f aca="false">C15+E15+G15</f>
        <v>270000</v>
      </c>
    </row>
    <row r="16" customFormat="false" ht="15" hidden="false" customHeight="true" outlineLevel="0" collapsed="false">
      <c r="A16" s="46" t="s">
        <v>945</v>
      </c>
      <c r="B16" s="106" t="s">
        <v>1755</v>
      </c>
      <c r="C16" s="47" t="n">
        <v>50000</v>
      </c>
      <c r="D16" s="111" t="n">
        <v>4</v>
      </c>
      <c r="E16" s="47" t="n">
        <v>25000</v>
      </c>
      <c r="F16" s="111" t="n">
        <v>2</v>
      </c>
      <c r="G16" s="47" t="n">
        <v>25000</v>
      </c>
      <c r="H16" s="111" t="n">
        <v>3</v>
      </c>
      <c r="I16" s="47" t="n">
        <f aca="false">C16+E16+G16</f>
        <v>100000</v>
      </c>
    </row>
    <row r="17" customFormat="false" ht="15" hidden="false" customHeight="true" outlineLevel="0" collapsed="false">
      <c r="A17" s="46" t="s">
        <v>1756</v>
      </c>
      <c r="B17" s="106" t="s">
        <v>720</v>
      </c>
      <c r="C17" s="47" t="n">
        <v>50000</v>
      </c>
      <c r="D17" s="111" t="n">
        <v>4</v>
      </c>
      <c r="E17" s="47" t="n">
        <v>50000</v>
      </c>
      <c r="F17" s="111" t="n">
        <v>3</v>
      </c>
      <c r="G17" s="47" t="n">
        <v>50000</v>
      </c>
      <c r="H17" s="111" t="n">
        <v>3</v>
      </c>
      <c r="I17" s="47" t="n">
        <f aca="false">C17+E17+G17</f>
        <v>150000</v>
      </c>
    </row>
    <row r="18" customFormat="false" ht="15" hidden="false" customHeight="true" outlineLevel="0" collapsed="false">
      <c r="A18" s="90" t="s">
        <v>1757</v>
      </c>
      <c r="C18" s="103" t="n">
        <f aca="false">SUM(C4:C17)</f>
        <v>2250000</v>
      </c>
      <c r="D18" s="112" t="n">
        <f aca="false">SUM(D4:D17)</f>
        <v>183</v>
      </c>
      <c r="E18" s="103" t="n">
        <f aca="false">SUM(E4:E17)</f>
        <v>2225000</v>
      </c>
      <c r="F18" s="112" t="n">
        <f aca="false">SUM(F4:F17)</f>
        <v>138</v>
      </c>
      <c r="G18" s="103" t="n">
        <f aca="false">SUM(G4:G17)</f>
        <v>2163000</v>
      </c>
      <c r="H18" s="112" t="n">
        <f aca="false">SUM(H4:H17)</f>
        <v>166</v>
      </c>
      <c r="I18" s="103" t="n">
        <f aca="false">SUM(I4:I17)</f>
        <v>6638000</v>
      </c>
    </row>
    <row r="19" customFormat="false" ht="15" hidden="false" customHeight="true" outlineLevel="0" collapsed="false">
      <c r="A19" s="107" t="s">
        <v>1758</v>
      </c>
      <c r="B19" s="96" t="s">
        <v>1759</v>
      </c>
      <c r="C19" s="113" t="n">
        <v>45000</v>
      </c>
      <c r="E19" s="113" t="n">
        <v>45000</v>
      </c>
      <c r="G19" s="113" t="n">
        <v>0</v>
      </c>
      <c r="I19" s="113" t="n">
        <v>90000</v>
      </c>
    </row>
    <row r="20" customFormat="false" ht="15" hidden="false" customHeight="true" outlineLevel="0" collapsed="false">
      <c r="A20" s="90" t="s">
        <v>1760</v>
      </c>
      <c r="C20" s="103" t="n">
        <f aca="false">C18+C19</f>
        <v>2295000</v>
      </c>
      <c r="E20" s="103" t="n">
        <f aca="false">E18+E19</f>
        <v>2270000</v>
      </c>
      <c r="G20" s="103" t="n">
        <f aca="false">G18+G19</f>
        <v>2163000</v>
      </c>
      <c r="I20" s="103" t="n">
        <f aca="false">I18+I19</f>
        <v>6728000</v>
      </c>
    </row>
    <row r="21" customFormat="false" ht="15.75" hidden="false" customHeight="true" outlineLevel="0" collapsed="false"/>
    <row r="22" customFormat="false" ht="15" hidden="false" customHeight="true" outlineLevel="0" collapsed="false">
      <c r="A22" s="60" t="s">
        <v>1761</v>
      </c>
      <c r="B22" s="114"/>
      <c r="C22" s="114"/>
      <c r="D22" s="114"/>
      <c r="E22" s="114"/>
      <c r="F22" s="114"/>
      <c r="G22" s="61" t="n">
        <v>45000</v>
      </c>
      <c r="H22" s="114"/>
      <c r="I22" s="61" t="n">
        <v>45000</v>
      </c>
    </row>
    <row r="23" customFormat="false" ht="15" hidden="false" customHeight="true" outlineLevel="0" collapsed="false">
      <c r="A23" s="60" t="s">
        <v>1762</v>
      </c>
      <c r="B23" s="114"/>
      <c r="C23" s="61" t="n">
        <v>2295000</v>
      </c>
      <c r="D23" s="114"/>
      <c r="E23" s="61" t="n">
        <v>2270000</v>
      </c>
      <c r="F23" s="114"/>
      <c r="G23" s="61" t="n">
        <v>2208000</v>
      </c>
      <c r="H23" s="114"/>
      <c r="I23" s="61" t="n">
        <v>6773000</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56"/>
    <col collapsed="false" customWidth="true" hidden="false" outlineLevel="0" max="3" min="3" style="1" width="13"/>
    <col collapsed="false" customWidth="true" hidden="false" outlineLevel="0" max="4" min="4" style="1" width="24"/>
    <col collapsed="false" customWidth="true" hidden="false" outlineLevel="0" max="26" min="5" style="1" width="8.71"/>
  </cols>
  <sheetData>
    <row r="1" customFormat="false" ht="15.75" hidden="false" customHeight="true" outlineLevel="0" collapsed="false">
      <c r="A1" s="42" t="s">
        <v>1763</v>
      </c>
    </row>
    <row r="2" customFormat="false" ht="15" hidden="false" customHeight="true" outlineLevel="0" collapsed="false"/>
    <row r="3" customFormat="false" ht="15" hidden="false" customHeight="true" outlineLevel="0" collapsed="false">
      <c r="A3" s="44" t="s">
        <v>1764</v>
      </c>
      <c r="B3" s="45" t="s">
        <v>573</v>
      </c>
      <c r="C3" s="45" t="s">
        <v>72</v>
      </c>
      <c r="D3" s="45" t="s">
        <v>1730</v>
      </c>
    </row>
    <row r="4" customFormat="false" ht="15" hidden="false" customHeight="true" outlineLevel="0" collapsed="false">
      <c r="A4" s="46" t="s">
        <v>595</v>
      </c>
      <c r="B4" s="46" t="s">
        <v>1765</v>
      </c>
      <c r="C4" s="47" t="n">
        <v>500000</v>
      </c>
      <c r="D4" s="106" t="s">
        <v>609</v>
      </c>
    </row>
    <row r="5" customFormat="false" ht="15" hidden="false" customHeight="true" outlineLevel="0" collapsed="false">
      <c r="A5" s="46" t="s">
        <v>595</v>
      </c>
      <c r="B5" s="46" t="s">
        <v>1766</v>
      </c>
      <c r="C5" s="47" t="n">
        <v>50000</v>
      </c>
      <c r="D5" s="106" t="s">
        <v>637</v>
      </c>
    </row>
    <row r="6" customFormat="false" ht="15" hidden="false" customHeight="true" outlineLevel="0" collapsed="false">
      <c r="A6" s="46" t="s">
        <v>595</v>
      </c>
      <c r="B6" s="46" t="s">
        <v>1767</v>
      </c>
      <c r="C6" s="47" t="n">
        <v>35000</v>
      </c>
      <c r="D6" s="106" t="s">
        <v>1768</v>
      </c>
    </row>
    <row r="7" customFormat="false" ht="15" hidden="false" customHeight="true" outlineLevel="0" collapsed="false">
      <c r="A7" s="46" t="s">
        <v>595</v>
      </c>
      <c r="B7" s="46" t="s">
        <v>1769</v>
      </c>
      <c r="C7" s="47" t="n">
        <v>30000</v>
      </c>
      <c r="D7" s="106" t="s">
        <v>1770</v>
      </c>
    </row>
    <row r="8" customFormat="false" ht="15" hidden="false" customHeight="true" outlineLevel="0" collapsed="false">
      <c r="A8" s="46" t="s">
        <v>595</v>
      </c>
      <c r="B8" s="46" t="s">
        <v>1771</v>
      </c>
      <c r="C8" s="47" t="n">
        <v>25000</v>
      </c>
      <c r="D8" s="106" t="s">
        <v>593</v>
      </c>
    </row>
    <row r="9" customFormat="false" ht="15" hidden="false" customHeight="true" outlineLevel="0" collapsed="false">
      <c r="A9" s="46" t="s">
        <v>602</v>
      </c>
      <c r="B9" s="46" t="s">
        <v>1772</v>
      </c>
      <c r="C9" s="47" t="n">
        <v>50000</v>
      </c>
      <c r="D9" s="106" t="s">
        <v>611</v>
      </c>
    </row>
    <row r="10" customFormat="false" ht="15" hidden="false" customHeight="true" outlineLevel="0" collapsed="false">
      <c r="A10" s="46" t="s">
        <v>602</v>
      </c>
      <c r="B10" s="46" t="s">
        <v>1773</v>
      </c>
      <c r="C10" s="47" t="n">
        <v>35000</v>
      </c>
      <c r="D10" s="106" t="s">
        <v>607</v>
      </c>
    </row>
    <row r="11" customFormat="false" ht="15" hidden="false" customHeight="true" outlineLevel="0" collapsed="false">
      <c r="A11" s="46" t="s">
        <v>602</v>
      </c>
      <c r="B11" s="46" t="s">
        <v>1774</v>
      </c>
      <c r="C11" s="47" t="n">
        <v>25000</v>
      </c>
      <c r="D11" s="106" t="s">
        <v>604</v>
      </c>
    </row>
    <row r="12" customFormat="false" ht="15" hidden="false" customHeight="true" outlineLevel="0" collapsed="false">
      <c r="A12" s="46" t="s">
        <v>602</v>
      </c>
      <c r="B12" s="46" t="s">
        <v>1775</v>
      </c>
      <c r="C12" s="47" t="n">
        <v>25000</v>
      </c>
      <c r="D12" s="106" t="s">
        <v>618</v>
      </c>
    </row>
    <row r="13" customFormat="false" ht="15" hidden="false" customHeight="true" outlineLevel="0" collapsed="false">
      <c r="A13" s="46" t="s">
        <v>588</v>
      </c>
      <c r="B13" s="46" t="s">
        <v>1776</v>
      </c>
      <c r="C13" s="47" t="n">
        <v>40000</v>
      </c>
      <c r="D13" s="106" t="s">
        <v>1777</v>
      </c>
    </row>
    <row r="14" customFormat="false" ht="15" hidden="false" customHeight="true" outlineLevel="0" collapsed="false">
      <c r="A14" s="46" t="s">
        <v>1778</v>
      </c>
      <c r="B14" s="46" t="s">
        <v>1779</v>
      </c>
      <c r="C14" s="47" t="n">
        <v>260000</v>
      </c>
      <c r="D14" s="106" t="s">
        <v>618</v>
      </c>
    </row>
    <row r="15" customFormat="false" ht="15" hidden="false" customHeight="true" outlineLevel="0" collapsed="false">
      <c r="A15" s="46" t="s">
        <v>1780</v>
      </c>
      <c r="B15" s="46" t="s">
        <v>1781</v>
      </c>
      <c r="C15" s="47" t="n">
        <v>200000</v>
      </c>
      <c r="D15" s="106" t="s">
        <v>618</v>
      </c>
    </row>
    <row r="16" customFormat="false" ht="15" hidden="false" customHeight="true" outlineLevel="0" collapsed="false">
      <c r="A16" s="46" t="s">
        <v>1782</v>
      </c>
      <c r="B16" s="46" t="s">
        <v>1783</v>
      </c>
      <c r="C16" s="47" t="n">
        <v>50000</v>
      </c>
      <c r="D16" s="106" t="s">
        <v>637</v>
      </c>
    </row>
    <row r="17" customFormat="false" ht="15" hidden="false" customHeight="true" outlineLevel="0" collapsed="false">
      <c r="A17" s="46" t="s">
        <v>1784</v>
      </c>
      <c r="B17" s="46" t="s">
        <v>1785</v>
      </c>
      <c r="C17" s="47" t="n">
        <v>25000</v>
      </c>
      <c r="D17" s="106" t="s">
        <v>1770</v>
      </c>
    </row>
    <row r="18" customFormat="false" ht="15" hidden="false" customHeight="true" outlineLevel="0" collapsed="false">
      <c r="A18" s="46" t="s">
        <v>1186</v>
      </c>
      <c r="B18" s="46" t="s">
        <v>1786</v>
      </c>
      <c r="C18" s="47" t="n">
        <v>75000</v>
      </c>
      <c r="D18" s="106" t="s">
        <v>1777</v>
      </c>
    </row>
    <row r="19" customFormat="false" ht="15" hidden="false" customHeight="true" outlineLevel="0" collapsed="false">
      <c r="A19" s="46" t="s">
        <v>1186</v>
      </c>
      <c r="B19" s="46" t="s">
        <v>1787</v>
      </c>
      <c r="C19" s="47" t="n">
        <v>25000</v>
      </c>
      <c r="D19" s="106" t="s">
        <v>618</v>
      </c>
    </row>
    <row r="20" customFormat="false" ht="15" hidden="false" customHeight="true" outlineLevel="0" collapsed="false">
      <c r="B20" s="90" t="s">
        <v>1788</v>
      </c>
      <c r="C20" s="103" t="n">
        <f aca="false">SUM(C4:C19)</f>
        <v>1450000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56"/>
    <col collapsed="false" customWidth="true" hidden="false" outlineLevel="0" max="3" min="3" style="1" width="13"/>
    <col collapsed="false" customWidth="true" hidden="false" outlineLevel="0" max="4" min="4" style="1" width="24"/>
    <col collapsed="false" customWidth="true" hidden="false" outlineLevel="0" max="26" min="5" style="1" width="8.71"/>
  </cols>
  <sheetData>
    <row r="1" customFormat="false" ht="15.75" hidden="false" customHeight="true" outlineLevel="0" collapsed="false">
      <c r="A1" s="42" t="s">
        <v>1789</v>
      </c>
    </row>
    <row r="2" customFormat="false" ht="15" hidden="false" customHeight="true" outlineLevel="0" collapsed="false"/>
    <row r="3" customFormat="false" ht="15" hidden="false" customHeight="true" outlineLevel="0" collapsed="false">
      <c r="A3" s="44" t="s">
        <v>1764</v>
      </c>
      <c r="B3" s="45" t="s">
        <v>573</v>
      </c>
      <c r="C3" s="45" t="s">
        <v>72</v>
      </c>
      <c r="D3" s="45" t="s">
        <v>1730</v>
      </c>
    </row>
    <row r="4" customFormat="false" ht="15" hidden="false" customHeight="true" outlineLevel="0" collapsed="false">
      <c r="A4" s="46" t="s">
        <v>595</v>
      </c>
      <c r="B4" s="46" t="s">
        <v>1790</v>
      </c>
      <c r="C4" s="47" t="n">
        <v>110000</v>
      </c>
      <c r="D4" s="106" t="s">
        <v>454</v>
      </c>
    </row>
    <row r="5" customFormat="false" ht="15" hidden="false" customHeight="true" outlineLevel="0" collapsed="false">
      <c r="A5" s="46" t="s">
        <v>595</v>
      </c>
      <c r="B5" s="46" t="s">
        <v>1791</v>
      </c>
      <c r="C5" s="47" t="n">
        <v>50000</v>
      </c>
      <c r="D5" s="106" t="s">
        <v>647</v>
      </c>
    </row>
    <row r="6" customFormat="false" ht="15" hidden="false" customHeight="true" outlineLevel="0" collapsed="false">
      <c r="A6" s="46" t="s">
        <v>595</v>
      </c>
      <c r="B6" s="46" t="s">
        <v>1792</v>
      </c>
      <c r="C6" s="47" t="n">
        <v>25000</v>
      </c>
      <c r="D6" s="106" t="s">
        <v>1793</v>
      </c>
    </row>
    <row r="7" customFormat="false" ht="15" hidden="false" customHeight="true" outlineLevel="0" collapsed="false">
      <c r="A7" s="46" t="s">
        <v>602</v>
      </c>
      <c r="B7" s="46" t="s">
        <v>1794</v>
      </c>
      <c r="C7" s="47" t="n">
        <v>100000</v>
      </c>
      <c r="D7" s="106" t="s">
        <v>1795</v>
      </c>
    </row>
    <row r="8" customFormat="false" ht="15" hidden="false" customHeight="true" outlineLevel="0" collapsed="false">
      <c r="A8" s="46" t="s">
        <v>1782</v>
      </c>
      <c r="B8" s="46" t="s">
        <v>1796</v>
      </c>
      <c r="C8" s="47" t="n">
        <v>140000</v>
      </c>
      <c r="D8" s="106" t="s">
        <v>647</v>
      </c>
    </row>
    <row r="9" customFormat="false" ht="15" hidden="false" customHeight="true" outlineLevel="0" collapsed="false">
      <c r="A9" s="46" t="s">
        <v>1782</v>
      </c>
      <c r="B9" s="46" t="s">
        <v>380</v>
      </c>
      <c r="C9" s="47" t="n">
        <v>50000</v>
      </c>
      <c r="D9" s="106" t="s">
        <v>382</v>
      </c>
    </row>
    <row r="10" customFormat="false" ht="15" hidden="false" customHeight="true" outlineLevel="0" collapsed="false">
      <c r="A10" s="46" t="s">
        <v>1778</v>
      </c>
      <c r="B10" s="46" t="s">
        <v>1797</v>
      </c>
      <c r="C10" s="47" t="n">
        <v>50000</v>
      </c>
      <c r="D10" s="106" t="s">
        <v>647</v>
      </c>
    </row>
    <row r="11" customFormat="false" ht="15" hidden="false" customHeight="true" outlineLevel="0" collapsed="false">
      <c r="A11" s="46" t="s">
        <v>1780</v>
      </c>
      <c r="B11" s="46" t="s">
        <v>1798</v>
      </c>
      <c r="C11" s="47" t="n">
        <v>45000</v>
      </c>
      <c r="D11" s="106" t="s">
        <v>1799</v>
      </c>
    </row>
    <row r="12" customFormat="false" ht="15" hidden="false" customHeight="true" outlineLevel="0" collapsed="false">
      <c r="A12" s="46" t="s">
        <v>1186</v>
      </c>
      <c r="B12" s="46" t="s">
        <v>1800</v>
      </c>
      <c r="C12" s="47" t="n">
        <v>100000</v>
      </c>
      <c r="D12" s="106" t="s">
        <v>386</v>
      </c>
    </row>
    <row r="13" customFormat="false" ht="15" hidden="false" customHeight="true" outlineLevel="0" collapsed="false">
      <c r="B13" s="90" t="s">
        <v>1801</v>
      </c>
      <c r="C13" s="103" t="n">
        <f aca="false">SUM(C4:C12)</f>
        <v>670000</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62"/>
    <col collapsed="false" customWidth="true" hidden="false" outlineLevel="0" max="2" min="2" style="1" width="13"/>
    <col collapsed="false" customWidth="true" hidden="false" outlineLevel="0" max="3" min="3" style="1" width="24"/>
    <col collapsed="false" customWidth="true" hidden="false" outlineLevel="0" max="4" min="4" style="1" width="44"/>
    <col collapsed="false" customWidth="true" hidden="false" outlineLevel="0" max="26" min="5" style="1" width="8.71"/>
  </cols>
  <sheetData>
    <row r="1" customFormat="false" ht="15.75" hidden="false" customHeight="true" outlineLevel="0" collapsed="false">
      <c r="A1" s="42" t="s">
        <v>1802</v>
      </c>
    </row>
    <row r="2" customFormat="false" ht="15" hidden="false" customHeight="true" outlineLevel="0" collapsed="false"/>
    <row r="3" customFormat="false" ht="15" hidden="false" customHeight="true" outlineLevel="0" collapsed="false">
      <c r="A3" s="44" t="s">
        <v>573</v>
      </c>
      <c r="B3" s="45" t="s">
        <v>72</v>
      </c>
      <c r="C3" s="45" t="s">
        <v>1730</v>
      </c>
      <c r="D3" s="45" t="s">
        <v>1803</v>
      </c>
    </row>
    <row r="4" customFormat="false" ht="15" hidden="false" customHeight="true" outlineLevel="0" collapsed="false">
      <c r="A4" s="46" t="s">
        <v>1804</v>
      </c>
      <c r="B4" s="47" t="n">
        <v>250000</v>
      </c>
      <c r="C4" s="106" t="s">
        <v>616</v>
      </c>
      <c r="D4" s="106"/>
    </row>
    <row r="5" customFormat="false" ht="15" hidden="false" customHeight="true" outlineLevel="0" collapsed="false">
      <c r="A5" s="46" t="s">
        <v>1805</v>
      </c>
      <c r="B5" s="47" t="n">
        <v>157880</v>
      </c>
      <c r="C5" s="106" t="s">
        <v>628</v>
      </c>
      <c r="D5" s="106"/>
    </row>
    <row r="6" customFormat="false" ht="15" hidden="false" customHeight="true" outlineLevel="0" collapsed="false">
      <c r="A6" s="46" t="s">
        <v>1806</v>
      </c>
      <c r="B6" s="47" t="n">
        <v>75000</v>
      </c>
      <c r="C6" s="106" t="s">
        <v>618</v>
      </c>
      <c r="D6" s="106"/>
    </row>
    <row r="7" customFormat="false" ht="15" hidden="false" customHeight="true" outlineLevel="0" collapsed="false">
      <c r="A7" s="46" t="s">
        <v>1807</v>
      </c>
      <c r="B7" s="47" t="n">
        <v>50000</v>
      </c>
      <c r="C7" s="106" t="s">
        <v>579</v>
      </c>
      <c r="D7" s="106"/>
    </row>
    <row r="8" customFormat="false" ht="15" hidden="false" customHeight="true" outlineLevel="0" collapsed="false">
      <c r="A8" s="46" t="s">
        <v>1808</v>
      </c>
      <c r="B8" s="47" t="n">
        <v>50000</v>
      </c>
      <c r="C8" s="106" t="s">
        <v>590</v>
      </c>
      <c r="D8" s="106"/>
    </row>
    <row r="9" customFormat="false" ht="15" hidden="false" customHeight="true" outlineLevel="0" collapsed="false">
      <c r="A9" s="46" t="s">
        <v>1809</v>
      </c>
      <c r="B9" s="47" t="n">
        <v>50000</v>
      </c>
      <c r="C9" s="106" t="s">
        <v>604</v>
      </c>
      <c r="D9" s="106"/>
    </row>
    <row r="10" customFormat="false" ht="15" hidden="false" customHeight="true" outlineLevel="0" collapsed="false">
      <c r="A10" s="46" t="s">
        <v>142</v>
      </c>
      <c r="B10" s="47" t="n">
        <v>30000</v>
      </c>
      <c r="C10" s="106" t="s">
        <v>611</v>
      </c>
      <c r="D10" s="106"/>
    </row>
    <row r="11" customFormat="false" ht="15" hidden="false" customHeight="true" outlineLevel="0" collapsed="false">
      <c r="A11" s="46" t="s">
        <v>343</v>
      </c>
      <c r="B11" s="47" t="n">
        <v>20000</v>
      </c>
      <c r="C11" s="106" t="s">
        <v>618</v>
      </c>
      <c r="D11" s="106"/>
    </row>
    <row r="12" customFormat="false" ht="15" hidden="false" customHeight="true" outlineLevel="0" collapsed="false">
      <c r="A12" s="46" t="s">
        <v>1810</v>
      </c>
      <c r="B12" s="47" t="n">
        <v>15000</v>
      </c>
      <c r="C12" s="106" t="s">
        <v>1793</v>
      </c>
      <c r="D12" s="106"/>
    </row>
    <row r="13" customFormat="false" ht="15" hidden="false" customHeight="true" outlineLevel="0" collapsed="false">
      <c r="A13" s="90" t="s">
        <v>1801</v>
      </c>
      <c r="B13" s="103" t="n">
        <f aca="false">SUM(B4:B12)</f>
        <v>697880</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32"/>
    <col collapsed="false" customWidth="true" hidden="false" outlineLevel="0" max="3" min="3" style="1" width="20"/>
    <col collapsed="false" customWidth="true" hidden="false" outlineLevel="0" max="4" min="4" style="1" width="74"/>
    <col collapsed="false" customWidth="true" hidden="false" outlineLevel="0" max="5" min="5" style="1" width="13"/>
    <col collapsed="false" customWidth="true" hidden="false" outlineLevel="0" max="6" min="6" style="1" width="12"/>
    <col collapsed="false" customWidth="true" hidden="false" outlineLevel="0" max="7" min="7" style="1" width="22"/>
    <col collapsed="false" customWidth="true" hidden="false" outlineLevel="0" max="8" min="8" style="1" width="30"/>
    <col collapsed="false" customWidth="true" hidden="false" outlineLevel="0" max="9" min="9" style="1" width="52"/>
    <col collapsed="false" customWidth="true" hidden="false" outlineLevel="0" max="26" min="10" style="1" width="8.71"/>
  </cols>
  <sheetData>
    <row r="1" customFormat="false" ht="15.75" hidden="false" customHeight="true" outlineLevel="0" collapsed="false">
      <c r="A1" s="42" t="s">
        <v>1811</v>
      </c>
    </row>
    <row r="2" customFormat="false" ht="15" hidden="false" customHeight="true" outlineLevel="0" collapsed="false"/>
    <row r="3" customFormat="false" ht="15" hidden="false" customHeight="true" outlineLevel="0" collapsed="false">
      <c r="A3" s="44" t="s">
        <v>73</v>
      </c>
      <c r="B3" s="45" t="s">
        <v>1812</v>
      </c>
      <c r="C3" s="45" t="s">
        <v>1813</v>
      </c>
      <c r="D3" s="45" t="s">
        <v>573</v>
      </c>
      <c r="E3" s="45" t="s">
        <v>190</v>
      </c>
      <c r="F3" s="45" t="s">
        <v>72</v>
      </c>
      <c r="G3" s="45" t="s">
        <v>1730</v>
      </c>
      <c r="H3" s="45" t="s">
        <v>1814</v>
      </c>
      <c r="I3" s="62" t="s">
        <v>1815</v>
      </c>
    </row>
    <row r="4" customFormat="false" ht="15" hidden="false" customHeight="true" outlineLevel="0" collapsed="false">
      <c r="A4" s="96" t="s">
        <v>1816</v>
      </c>
      <c r="B4" s="96" t="s">
        <v>926</v>
      </c>
      <c r="C4" s="96" t="s">
        <v>602</v>
      </c>
      <c r="D4" s="96" t="s">
        <v>1817</v>
      </c>
      <c r="E4" s="96" t="s">
        <v>1031</v>
      </c>
      <c r="F4" s="115" t="n">
        <v>40000</v>
      </c>
      <c r="G4" s="96" t="s">
        <v>1818</v>
      </c>
      <c r="H4" s="116"/>
      <c r="I4" s="117" t="s">
        <v>1819</v>
      </c>
    </row>
    <row r="5" customFormat="false" ht="15" hidden="false" customHeight="true" outlineLevel="0" collapsed="false">
      <c r="A5" s="96" t="s">
        <v>1816</v>
      </c>
      <c r="B5" s="96" t="s">
        <v>926</v>
      </c>
      <c r="C5" s="96" t="s">
        <v>588</v>
      </c>
      <c r="D5" s="96" t="s">
        <v>1820</v>
      </c>
      <c r="E5" s="96" t="s">
        <v>396</v>
      </c>
      <c r="F5" s="115" t="n">
        <v>35000</v>
      </c>
      <c r="G5" s="96" t="s">
        <v>1821</v>
      </c>
      <c r="H5" s="116"/>
      <c r="I5" s="117" t="s">
        <v>1819</v>
      </c>
    </row>
    <row r="6" customFormat="false" ht="15" hidden="false" customHeight="true" outlineLevel="0" collapsed="false">
      <c r="A6" s="96" t="s">
        <v>1816</v>
      </c>
      <c r="B6" s="96" t="s">
        <v>926</v>
      </c>
      <c r="C6" s="96" t="s">
        <v>595</v>
      </c>
      <c r="D6" s="96" t="s">
        <v>1822</v>
      </c>
      <c r="E6" s="96" t="s">
        <v>231</v>
      </c>
      <c r="F6" s="115" t="n">
        <v>25000</v>
      </c>
      <c r="G6" s="96" t="s">
        <v>1823</v>
      </c>
      <c r="H6" s="116"/>
      <c r="I6" s="117" t="s">
        <v>1819</v>
      </c>
    </row>
    <row r="7" customFormat="false" ht="15" hidden="false" customHeight="true" outlineLevel="0" collapsed="false">
      <c r="A7" s="96" t="s">
        <v>1816</v>
      </c>
      <c r="B7" s="96" t="s">
        <v>926</v>
      </c>
      <c r="C7" s="96" t="s">
        <v>595</v>
      </c>
      <c r="D7" s="96" t="s">
        <v>1824</v>
      </c>
      <c r="E7" s="96" t="s">
        <v>274</v>
      </c>
      <c r="F7" s="115" t="n">
        <v>20000</v>
      </c>
      <c r="G7" s="96" t="s">
        <v>1823</v>
      </c>
      <c r="H7" s="116"/>
      <c r="I7" s="117" t="s">
        <v>1819</v>
      </c>
    </row>
    <row r="8" customFormat="false" ht="15" hidden="false" customHeight="true" outlineLevel="0" collapsed="false">
      <c r="A8" s="96" t="s">
        <v>1816</v>
      </c>
      <c r="B8" s="96" t="s">
        <v>926</v>
      </c>
      <c r="C8" s="96" t="s">
        <v>588</v>
      </c>
      <c r="D8" s="96" t="s">
        <v>1825</v>
      </c>
      <c r="E8" s="96" t="s">
        <v>310</v>
      </c>
      <c r="F8" s="115" t="n">
        <v>20000</v>
      </c>
      <c r="G8" s="96" t="s">
        <v>1818</v>
      </c>
      <c r="H8" s="116"/>
      <c r="I8" s="117" t="s">
        <v>1819</v>
      </c>
    </row>
    <row r="9" customFormat="false" ht="15" hidden="false" customHeight="true" outlineLevel="0" collapsed="false">
      <c r="A9" s="96" t="s">
        <v>1816</v>
      </c>
      <c r="B9" s="96" t="s">
        <v>926</v>
      </c>
      <c r="C9" s="96" t="s">
        <v>602</v>
      </c>
      <c r="D9" s="96" t="s">
        <v>1826</v>
      </c>
      <c r="E9" s="96" t="s">
        <v>198</v>
      </c>
      <c r="F9" s="115" t="n">
        <v>15000</v>
      </c>
      <c r="G9" s="96" t="s">
        <v>1827</v>
      </c>
      <c r="H9" s="116"/>
      <c r="I9" s="117" t="s">
        <v>1819</v>
      </c>
    </row>
    <row r="10" customFormat="false" ht="15" hidden="false" customHeight="true" outlineLevel="0" collapsed="false">
      <c r="A10" s="96" t="s">
        <v>1816</v>
      </c>
      <c r="B10" s="96" t="s">
        <v>926</v>
      </c>
      <c r="C10" s="96" t="s">
        <v>602</v>
      </c>
      <c r="D10" s="96" t="s">
        <v>1828</v>
      </c>
      <c r="E10" s="96" t="s">
        <v>396</v>
      </c>
      <c r="F10" s="115" t="n">
        <v>15000</v>
      </c>
      <c r="G10" s="96" t="s">
        <v>1821</v>
      </c>
      <c r="H10" s="116"/>
      <c r="I10" s="117" t="s">
        <v>1819</v>
      </c>
    </row>
    <row r="11" customFormat="false" ht="15" hidden="false" customHeight="true" outlineLevel="0" collapsed="false">
      <c r="A11" s="96" t="s">
        <v>1816</v>
      </c>
      <c r="B11" s="96" t="s">
        <v>926</v>
      </c>
      <c r="C11" s="96" t="s">
        <v>602</v>
      </c>
      <c r="D11" s="96" t="s">
        <v>1829</v>
      </c>
      <c r="E11" s="96" t="s">
        <v>251</v>
      </c>
      <c r="F11" s="115" t="n">
        <v>15000</v>
      </c>
      <c r="G11" s="96" t="s">
        <v>402</v>
      </c>
      <c r="H11" s="116"/>
      <c r="I11" s="117" t="s">
        <v>1819</v>
      </c>
    </row>
    <row r="12" customFormat="false" ht="15" hidden="false" customHeight="true" outlineLevel="0" collapsed="false">
      <c r="A12" s="96" t="s">
        <v>1816</v>
      </c>
      <c r="B12" s="96" t="s">
        <v>926</v>
      </c>
      <c r="C12" s="96" t="s">
        <v>602</v>
      </c>
      <c r="D12" s="96" t="s">
        <v>1084</v>
      </c>
      <c r="E12" s="96" t="s">
        <v>212</v>
      </c>
      <c r="F12" s="115" t="n">
        <v>15000</v>
      </c>
      <c r="G12" s="96" t="s">
        <v>402</v>
      </c>
      <c r="H12" s="116"/>
      <c r="I12" s="117" t="s">
        <v>1819</v>
      </c>
    </row>
    <row r="13" customFormat="false" ht="15" hidden="false" customHeight="true" outlineLevel="0" collapsed="false">
      <c r="A13" s="96" t="s">
        <v>1816</v>
      </c>
      <c r="B13" s="96" t="s">
        <v>926</v>
      </c>
      <c r="C13" s="96" t="s">
        <v>588</v>
      </c>
      <c r="D13" s="96" t="s">
        <v>1830</v>
      </c>
      <c r="E13" s="96" t="s">
        <v>1099</v>
      </c>
      <c r="F13" s="115" t="n">
        <v>15000</v>
      </c>
      <c r="G13" s="96" t="s">
        <v>402</v>
      </c>
      <c r="H13" s="116"/>
      <c r="I13" s="117" t="s">
        <v>1819</v>
      </c>
    </row>
    <row r="14" customFormat="false" ht="15" hidden="false" customHeight="true" outlineLevel="0" collapsed="false">
      <c r="A14" s="96" t="s">
        <v>1816</v>
      </c>
      <c r="B14" s="96" t="s">
        <v>926</v>
      </c>
      <c r="C14" s="96" t="s">
        <v>595</v>
      </c>
      <c r="D14" s="96" t="s">
        <v>1831</v>
      </c>
      <c r="E14" s="96" t="s">
        <v>401</v>
      </c>
      <c r="F14" s="115" t="n">
        <v>15000</v>
      </c>
      <c r="G14" s="96" t="s">
        <v>402</v>
      </c>
      <c r="H14" s="116"/>
      <c r="I14" s="117" t="s">
        <v>1819</v>
      </c>
    </row>
    <row r="15" customFormat="false" ht="15" hidden="false" customHeight="true" outlineLevel="0" collapsed="false">
      <c r="A15" s="96" t="s">
        <v>1816</v>
      </c>
      <c r="B15" s="96" t="s">
        <v>926</v>
      </c>
      <c r="C15" s="96" t="s">
        <v>588</v>
      </c>
      <c r="D15" s="96" t="s">
        <v>1832</v>
      </c>
      <c r="E15" s="96" t="s">
        <v>425</v>
      </c>
      <c r="F15" s="115" t="n">
        <v>10000</v>
      </c>
      <c r="G15" s="96" t="s">
        <v>426</v>
      </c>
      <c r="H15" s="116"/>
      <c r="I15" s="117" t="s">
        <v>1819</v>
      </c>
    </row>
    <row r="16" customFormat="false" ht="15" hidden="false" customHeight="true" outlineLevel="0" collapsed="false">
      <c r="A16" s="96" t="s">
        <v>1816</v>
      </c>
      <c r="B16" s="96" t="s">
        <v>926</v>
      </c>
      <c r="C16" s="96" t="s">
        <v>595</v>
      </c>
      <c r="D16" s="96" t="s">
        <v>1833</v>
      </c>
      <c r="E16" s="96" t="s">
        <v>425</v>
      </c>
      <c r="F16" s="115" t="n">
        <v>10000</v>
      </c>
      <c r="G16" s="96" t="s">
        <v>426</v>
      </c>
      <c r="H16" s="116"/>
      <c r="I16" s="117" t="s">
        <v>1819</v>
      </c>
    </row>
    <row r="17" customFormat="false" ht="15" hidden="false" customHeight="true" outlineLevel="0" collapsed="false">
      <c r="A17" s="96" t="s">
        <v>1816</v>
      </c>
      <c r="B17" s="96" t="s">
        <v>926</v>
      </c>
      <c r="C17" s="96" t="s">
        <v>588</v>
      </c>
      <c r="D17" s="96" t="s">
        <v>1834</v>
      </c>
      <c r="E17" s="96" t="s">
        <v>1176</v>
      </c>
      <c r="F17" s="115" t="n">
        <v>10000</v>
      </c>
      <c r="G17" s="96" t="s">
        <v>1823</v>
      </c>
      <c r="H17" s="116"/>
      <c r="I17" s="117" t="s">
        <v>1819</v>
      </c>
    </row>
    <row r="18" customFormat="false" ht="15" hidden="false" customHeight="true" outlineLevel="0" collapsed="false">
      <c r="A18" s="96" t="s">
        <v>1816</v>
      </c>
      <c r="B18" s="96" t="s">
        <v>926</v>
      </c>
      <c r="C18" s="96" t="s">
        <v>595</v>
      </c>
      <c r="D18" s="96" t="s">
        <v>1835</v>
      </c>
      <c r="E18" s="96" t="s">
        <v>246</v>
      </c>
      <c r="F18" s="115" t="n">
        <v>10000</v>
      </c>
      <c r="G18" s="96" t="s">
        <v>1818</v>
      </c>
      <c r="H18" s="116"/>
      <c r="I18" s="117" t="s">
        <v>1819</v>
      </c>
    </row>
    <row r="19" customFormat="false" ht="15" hidden="false" customHeight="true" outlineLevel="0" collapsed="false">
      <c r="A19" s="96" t="s">
        <v>1816</v>
      </c>
      <c r="B19" s="96" t="s">
        <v>926</v>
      </c>
      <c r="C19" s="96" t="s">
        <v>595</v>
      </c>
      <c r="D19" s="96" t="s">
        <v>1836</v>
      </c>
      <c r="E19" s="96" t="s">
        <v>396</v>
      </c>
      <c r="F19" s="115" t="n">
        <v>10000</v>
      </c>
      <c r="G19" s="96" t="s">
        <v>1821</v>
      </c>
      <c r="H19" s="116"/>
      <c r="I19" s="117" t="s">
        <v>1819</v>
      </c>
    </row>
    <row r="20" customFormat="false" ht="15" hidden="false" customHeight="true" outlineLevel="0" collapsed="false">
      <c r="A20" s="96" t="s">
        <v>1816</v>
      </c>
      <c r="B20" s="96" t="s">
        <v>926</v>
      </c>
      <c r="C20" s="96" t="s">
        <v>595</v>
      </c>
      <c r="D20" s="96" t="s">
        <v>1837</v>
      </c>
      <c r="E20" s="96" t="s">
        <v>251</v>
      </c>
      <c r="F20" s="115" t="n">
        <v>10000</v>
      </c>
      <c r="G20" s="96" t="s">
        <v>402</v>
      </c>
      <c r="H20" s="116"/>
      <c r="I20" s="117" t="s">
        <v>1819</v>
      </c>
    </row>
    <row r="21" customFormat="false" ht="15" hidden="false" customHeight="true" outlineLevel="0" collapsed="false">
      <c r="A21" s="96" t="s">
        <v>1816</v>
      </c>
      <c r="B21" s="96" t="s">
        <v>926</v>
      </c>
      <c r="C21" s="96" t="s">
        <v>588</v>
      </c>
      <c r="D21" s="96" t="s">
        <v>1838</v>
      </c>
      <c r="E21" s="96" t="s">
        <v>1164</v>
      </c>
      <c r="F21" s="115" t="n">
        <v>10000</v>
      </c>
      <c r="G21" s="96" t="s">
        <v>402</v>
      </c>
      <c r="H21" s="116"/>
      <c r="I21" s="117" t="s">
        <v>1819</v>
      </c>
    </row>
    <row r="22" customFormat="false" ht="15" hidden="false" customHeight="true" outlineLevel="0" collapsed="false">
      <c r="A22" s="96" t="s">
        <v>1816</v>
      </c>
      <c r="B22" s="96" t="s">
        <v>1746</v>
      </c>
      <c r="C22" s="96" t="s">
        <v>602</v>
      </c>
      <c r="D22" s="96" t="s">
        <v>1839</v>
      </c>
      <c r="E22" s="96" t="s">
        <v>1840</v>
      </c>
      <c r="F22" s="115" t="n">
        <v>35000</v>
      </c>
      <c r="G22" s="96" t="s">
        <v>1841</v>
      </c>
      <c r="H22" s="116"/>
      <c r="I22" s="117" t="s">
        <v>1819</v>
      </c>
    </row>
    <row r="23" customFormat="false" ht="15" hidden="false" customHeight="true" outlineLevel="0" collapsed="false">
      <c r="A23" s="96" t="s">
        <v>1816</v>
      </c>
      <c r="B23" s="96" t="s">
        <v>1746</v>
      </c>
      <c r="C23" s="96" t="s">
        <v>588</v>
      </c>
      <c r="D23" s="96" t="s">
        <v>1842</v>
      </c>
      <c r="E23" s="96" t="s">
        <v>1840</v>
      </c>
      <c r="F23" s="115" t="n">
        <v>20000</v>
      </c>
      <c r="G23" s="96" t="s">
        <v>1841</v>
      </c>
      <c r="H23" s="116"/>
      <c r="I23" s="117" t="s">
        <v>1819</v>
      </c>
    </row>
    <row r="24" customFormat="false" ht="15" hidden="false" customHeight="true" outlineLevel="0" collapsed="false">
      <c r="A24" s="96" t="s">
        <v>1816</v>
      </c>
      <c r="B24" s="96" t="s">
        <v>1746</v>
      </c>
      <c r="C24" s="96" t="s">
        <v>588</v>
      </c>
      <c r="D24" s="96" t="s">
        <v>1843</v>
      </c>
      <c r="E24" s="96" t="s">
        <v>1840</v>
      </c>
      <c r="F24" s="115" t="n">
        <v>20000</v>
      </c>
      <c r="G24" s="96" t="s">
        <v>1841</v>
      </c>
      <c r="H24" s="116"/>
      <c r="I24" s="117" t="s">
        <v>1819</v>
      </c>
    </row>
    <row r="25" customFormat="false" ht="15" hidden="false" customHeight="true" outlineLevel="0" collapsed="false">
      <c r="A25" s="96" t="s">
        <v>1816</v>
      </c>
      <c r="B25" s="96" t="s">
        <v>1746</v>
      </c>
      <c r="C25" s="96" t="s">
        <v>588</v>
      </c>
      <c r="D25" s="96" t="s">
        <v>1844</v>
      </c>
      <c r="E25" s="96" t="s">
        <v>1845</v>
      </c>
      <c r="F25" s="115" t="n">
        <v>17500</v>
      </c>
      <c r="G25" s="96" t="s">
        <v>1846</v>
      </c>
      <c r="H25" s="116"/>
      <c r="I25" s="117" t="s">
        <v>1819</v>
      </c>
    </row>
    <row r="26" customFormat="false" ht="15" hidden="false" customHeight="true" outlineLevel="0" collapsed="false">
      <c r="A26" s="96" t="s">
        <v>1816</v>
      </c>
      <c r="B26" s="96" t="s">
        <v>1746</v>
      </c>
      <c r="C26" s="96" t="s">
        <v>602</v>
      </c>
      <c r="D26" s="96" t="s">
        <v>1141</v>
      </c>
      <c r="E26" s="96" t="s">
        <v>1847</v>
      </c>
      <c r="F26" s="115" t="n">
        <v>17000</v>
      </c>
      <c r="G26" s="96" t="s">
        <v>1848</v>
      </c>
      <c r="H26" s="116"/>
      <c r="I26" s="117" t="s">
        <v>1819</v>
      </c>
    </row>
    <row r="27" customFormat="false" ht="15" hidden="false" customHeight="true" outlineLevel="0" collapsed="false">
      <c r="A27" s="96" t="s">
        <v>1816</v>
      </c>
      <c r="B27" s="96" t="s">
        <v>1746</v>
      </c>
      <c r="C27" s="96" t="s">
        <v>602</v>
      </c>
      <c r="D27" s="96" t="s">
        <v>657</v>
      </c>
      <c r="E27" s="96" t="s">
        <v>1849</v>
      </c>
      <c r="F27" s="115" t="n">
        <v>16000</v>
      </c>
      <c r="G27" s="96" t="s">
        <v>1850</v>
      </c>
      <c r="H27" s="116"/>
      <c r="I27" s="117" t="s">
        <v>1819</v>
      </c>
    </row>
    <row r="28" customFormat="false" ht="15" hidden="false" customHeight="true" outlineLevel="0" collapsed="false">
      <c r="A28" s="96" t="s">
        <v>1816</v>
      </c>
      <c r="B28" s="96" t="s">
        <v>1746</v>
      </c>
      <c r="C28" s="96" t="s">
        <v>595</v>
      </c>
      <c r="D28" s="96" t="s">
        <v>1851</v>
      </c>
      <c r="E28" s="96" t="s">
        <v>1852</v>
      </c>
      <c r="F28" s="115" t="n">
        <v>15000</v>
      </c>
      <c r="G28" s="96" t="s">
        <v>1853</v>
      </c>
      <c r="H28" s="116"/>
      <c r="I28" s="117" t="s">
        <v>1819</v>
      </c>
    </row>
    <row r="29" customFormat="false" ht="15" hidden="false" customHeight="true" outlineLevel="0" collapsed="false">
      <c r="A29" s="96" t="s">
        <v>1816</v>
      </c>
      <c r="B29" s="96" t="s">
        <v>1746</v>
      </c>
      <c r="C29" s="96" t="s">
        <v>595</v>
      </c>
      <c r="D29" s="96" t="s">
        <v>1854</v>
      </c>
      <c r="E29" s="96" t="s">
        <v>1852</v>
      </c>
      <c r="F29" s="115" t="n">
        <v>15000</v>
      </c>
      <c r="G29" s="96" t="s">
        <v>1853</v>
      </c>
      <c r="H29" s="116"/>
      <c r="I29" s="117" t="s">
        <v>1819</v>
      </c>
    </row>
    <row r="30" customFormat="false" ht="15" hidden="false" customHeight="true" outlineLevel="0" collapsed="false">
      <c r="A30" s="96" t="s">
        <v>1816</v>
      </c>
      <c r="B30" s="96" t="s">
        <v>1746</v>
      </c>
      <c r="C30" s="96" t="s">
        <v>595</v>
      </c>
      <c r="D30" s="96" t="s">
        <v>1855</v>
      </c>
      <c r="E30" s="96" t="s">
        <v>1856</v>
      </c>
      <c r="F30" s="115" t="n">
        <v>15000</v>
      </c>
      <c r="G30" s="96" t="s">
        <v>1857</v>
      </c>
      <c r="H30" s="116"/>
      <c r="I30" s="117" t="s">
        <v>1819</v>
      </c>
    </row>
    <row r="31" customFormat="false" ht="15" hidden="false" customHeight="true" outlineLevel="0" collapsed="false">
      <c r="A31" s="96" t="s">
        <v>1816</v>
      </c>
      <c r="B31" s="96" t="s">
        <v>1746</v>
      </c>
      <c r="C31" s="96" t="s">
        <v>595</v>
      </c>
      <c r="D31" s="96" t="s">
        <v>1858</v>
      </c>
      <c r="E31" s="96" t="s">
        <v>1856</v>
      </c>
      <c r="F31" s="115" t="n">
        <v>15000</v>
      </c>
      <c r="G31" s="96" t="s">
        <v>1857</v>
      </c>
      <c r="H31" s="116"/>
      <c r="I31" s="117" t="s">
        <v>1819</v>
      </c>
    </row>
    <row r="32" customFormat="false" ht="15" hidden="false" customHeight="true" outlineLevel="0" collapsed="false">
      <c r="A32" s="96" t="s">
        <v>1816</v>
      </c>
      <c r="B32" s="96" t="s">
        <v>1746</v>
      </c>
      <c r="C32" s="96" t="s">
        <v>595</v>
      </c>
      <c r="D32" s="96" t="s">
        <v>1859</v>
      </c>
      <c r="E32" s="96" t="s">
        <v>1849</v>
      </c>
      <c r="F32" s="115" t="n">
        <v>15000</v>
      </c>
      <c r="G32" s="96" t="s">
        <v>1850</v>
      </c>
      <c r="H32" s="116"/>
      <c r="I32" s="117" t="s">
        <v>1819</v>
      </c>
    </row>
    <row r="33" customFormat="false" ht="15" hidden="false" customHeight="true" outlineLevel="0" collapsed="false">
      <c r="A33" s="96" t="s">
        <v>1816</v>
      </c>
      <c r="B33" s="96" t="s">
        <v>1746</v>
      </c>
      <c r="C33" s="96" t="s">
        <v>588</v>
      </c>
      <c r="D33" s="96" t="s">
        <v>1860</v>
      </c>
      <c r="E33" s="96" t="s">
        <v>1861</v>
      </c>
      <c r="F33" s="115" t="n">
        <v>15000</v>
      </c>
      <c r="G33" s="96" t="s">
        <v>1862</v>
      </c>
      <c r="H33" s="116"/>
      <c r="I33" s="117" t="s">
        <v>1819</v>
      </c>
    </row>
    <row r="34" customFormat="false" ht="15" hidden="false" customHeight="true" outlineLevel="0" collapsed="false">
      <c r="A34" s="96" t="s">
        <v>1816</v>
      </c>
      <c r="B34" s="96" t="s">
        <v>1746</v>
      </c>
      <c r="C34" s="96" t="s">
        <v>595</v>
      </c>
      <c r="D34" s="96" t="s">
        <v>1863</v>
      </c>
      <c r="E34" s="96" t="s">
        <v>1840</v>
      </c>
      <c r="F34" s="115" t="n">
        <v>15000</v>
      </c>
      <c r="G34" s="96" t="s">
        <v>1841</v>
      </c>
      <c r="H34" s="116"/>
      <c r="I34" s="117" t="s">
        <v>1819</v>
      </c>
    </row>
    <row r="35" customFormat="false" ht="15" hidden="false" customHeight="true" outlineLevel="0" collapsed="false">
      <c r="A35" s="96" t="s">
        <v>1816</v>
      </c>
      <c r="B35" s="96" t="s">
        <v>1746</v>
      </c>
      <c r="C35" s="96" t="s">
        <v>588</v>
      </c>
      <c r="D35" s="96" t="s">
        <v>1864</v>
      </c>
      <c r="E35" s="96" t="s">
        <v>1865</v>
      </c>
      <c r="F35" s="115" t="n">
        <v>12500</v>
      </c>
      <c r="G35" s="96" t="s">
        <v>1866</v>
      </c>
      <c r="H35" s="116"/>
      <c r="I35" s="117" t="s">
        <v>1819</v>
      </c>
    </row>
    <row r="36" customFormat="false" ht="15" hidden="false" customHeight="true" outlineLevel="0" collapsed="false">
      <c r="A36" s="96" t="s">
        <v>1816</v>
      </c>
      <c r="B36" s="96" t="s">
        <v>1746</v>
      </c>
      <c r="C36" s="96" t="s">
        <v>595</v>
      </c>
      <c r="D36" s="96" t="s">
        <v>1867</v>
      </c>
      <c r="E36" s="96" t="s">
        <v>1868</v>
      </c>
      <c r="F36" s="115" t="n">
        <v>10000</v>
      </c>
      <c r="G36" s="96" t="s">
        <v>1853</v>
      </c>
      <c r="H36" s="116"/>
      <c r="I36" s="117" t="s">
        <v>1819</v>
      </c>
    </row>
    <row r="37" customFormat="false" ht="15" hidden="false" customHeight="true" outlineLevel="0" collapsed="false">
      <c r="A37" s="96" t="s">
        <v>1816</v>
      </c>
      <c r="B37" s="96" t="s">
        <v>1746</v>
      </c>
      <c r="C37" s="96" t="s">
        <v>602</v>
      </c>
      <c r="D37" s="96" t="s">
        <v>1195</v>
      </c>
      <c r="E37" s="96" t="s">
        <v>1869</v>
      </c>
      <c r="F37" s="115" t="n">
        <v>10000</v>
      </c>
      <c r="G37" s="96" t="s">
        <v>1870</v>
      </c>
      <c r="H37" s="116"/>
      <c r="I37" s="117" t="s">
        <v>1819</v>
      </c>
    </row>
    <row r="38" customFormat="false" ht="15" hidden="false" customHeight="true" outlineLevel="0" collapsed="false">
      <c r="A38" s="96" t="s">
        <v>1816</v>
      </c>
      <c r="B38" s="96" t="s">
        <v>1746</v>
      </c>
      <c r="C38" s="96" t="s">
        <v>595</v>
      </c>
      <c r="D38" s="96" t="s">
        <v>1871</v>
      </c>
      <c r="E38" s="96" t="s">
        <v>1865</v>
      </c>
      <c r="F38" s="115" t="n">
        <v>10000</v>
      </c>
      <c r="G38" s="96" t="s">
        <v>1866</v>
      </c>
      <c r="H38" s="116"/>
      <c r="I38" s="117" t="s">
        <v>1819</v>
      </c>
    </row>
    <row r="39" customFormat="false" ht="15" hidden="false" customHeight="true" outlineLevel="0" collapsed="false">
      <c r="A39" s="96" t="s">
        <v>1816</v>
      </c>
      <c r="B39" s="96" t="s">
        <v>1746</v>
      </c>
      <c r="C39" s="96" t="s">
        <v>602</v>
      </c>
      <c r="D39" s="96" t="s">
        <v>477</v>
      </c>
      <c r="E39" s="96" t="s">
        <v>1872</v>
      </c>
      <c r="F39" s="115" t="n">
        <v>10000</v>
      </c>
      <c r="G39" s="96" t="s">
        <v>1866</v>
      </c>
      <c r="H39" s="116"/>
      <c r="I39" s="117" t="s">
        <v>1819</v>
      </c>
    </row>
    <row r="40" customFormat="false" ht="15" hidden="false" customHeight="true" outlineLevel="0" collapsed="false">
      <c r="A40" s="96" t="s">
        <v>1816</v>
      </c>
      <c r="B40" s="96" t="s">
        <v>1746</v>
      </c>
      <c r="C40" s="96" t="s">
        <v>588</v>
      </c>
      <c r="D40" s="96" t="s">
        <v>1873</v>
      </c>
      <c r="E40" s="96" t="s">
        <v>1874</v>
      </c>
      <c r="F40" s="115" t="n">
        <v>10000</v>
      </c>
      <c r="G40" s="96" t="s">
        <v>1875</v>
      </c>
      <c r="H40" s="116"/>
      <c r="I40" s="117" t="s">
        <v>1819</v>
      </c>
    </row>
    <row r="41" customFormat="false" ht="15" hidden="false" customHeight="true" outlineLevel="0" collapsed="false">
      <c r="A41" s="118" t="s">
        <v>1816</v>
      </c>
      <c r="B41" s="118" t="s">
        <v>1746</v>
      </c>
      <c r="C41" s="118" t="s">
        <v>602</v>
      </c>
      <c r="D41" s="118" t="s">
        <v>1876</v>
      </c>
      <c r="E41" s="118" t="s">
        <v>1877</v>
      </c>
      <c r="F41" s="119" t="n">
        <v>9000</v>
      </c>
      <c r="G41" s="118" t="s">
        <v>1846</v>
      </c>
      <c r="H41" s="120" t="s">
        <v>1878</v>
      </c>
      <c r="I41" s="117" t="s">
        <v>1819</v>
      </c>
    </row>
    <row r="42" customFormat="false" ht="15" hidden="false" customHeight="true" outlineLevel="0" collapsed="false">
      <c r="A42" s="96" t="s">
        <v>1816</v>
      </c>
      <c r="B42" s="96" t="s">
        <v>1746</v>
      </c>
      <c r="C42" s="96" t="s">
        <v>602</v>
      </c>
      <c r="D42" s="96" t="s">
        <v>309</v>
      </c>
      <c r="E42" s="96" t="s">
        <v>1865</v>
      </c>
      <c r="F42" s="115" t="n">
        <v>8000</v>
      </c>
      <c r="G42" s="96" t="s">
        <v>1866</v>
      </c>
      <c r="H42" s="116"/>
      <c r="I42" s="117" t="s">
        <v>1819</v>
      </c>
    </row>
    <row r="43" customFormat="false" ht="15" hidden="false" customHeight="true" outlineLevel="0" collapsed="false">
      <c r="A43" s="96" t="s">
        <v>1816</v>
      </c>
      <c r="B43" s="96" t="s">
        <v>1746</v>
      </c>
      <c r="C43" s="96" t="s">
        <v>588</v>
      </c>
      <c r="D43" s="96" t="s">
        <v>1879</v>
      </c>
      <c r="E43" s="96" t="s">
        <v>1849</v>
      </c>
      <c r="F43" s="115" t="n">
        <v>5000</v>
      </c>
      <c r="G43" s="96" t="s">
        <v>1850</v>
      </c>
      <c r="H43" s="116"/>
      <c r="I43" s="117" t="s">
        <v>1819</v>
      </c>
    </row>
    <row r="44" customFormat="false" ht="15" hidden="false" customHeight="true" outlineLevel="0" collapsed="false">
      <c r="A44" s="96" t="s">
        <v>1816</v>
      </c>
      <c r="B44" s="96" t="s">
        <v>1746</v>
      </c>
      <c r="C44" s="96" t="s">
        <v>588</v>
      </c>
      <c r="D44" s="96" t="s">
        <v>1880</v>
      </c>
      <c r="E44" s="96" t="s">
        <v>1881</v>
      </c>
      <c r="F44" s="115" t="n">
        <v>5000</v>
      </c>
      <c r="G44" s="96" t="s">
        <v>1841</v>
      </c>
      <c r="H44" s="116"/>
      <c r="I44" s="117" t="s">
        <v>1819</v>
      </c>
    </row>
    <row r="45" customFormat="false" ht="15" hidden="false" customHeight="true" outlineLevel="0" collapsed="false">
      <c r="A45" s="96" t="s">
        <v>1816</v>
      </c>
      <c r="B45" s="96" t="s">
        <v>1746</v>
      </c>
      <c r="C45" s="96" t="s">
        <v>588</v>
      </c>
      <c r="D45" s="96" t="s">
        <v>1197</v>
      </c>
      <c r="E45" s="96" t="s">
        <v>1882</v>
      </c>
      <c r="F45" s="115" t="n">
        <v>5000</v>
      </c>
      <c r="G45" s="96" t="s">
        <v>1883</v>
      </c>
      <c r="H45" s="116"/>
      <c r="I45" s="117" t="s">
        <v>1819</v>
      </c>
    </row>
    <row r="46" customFormat="false" ht="15" hidden="false" customHeight="true" outlineLevel="0" collapsed="false">
      <c r="A46" s="96" t="s">
        <v>1816</v>
      </c>
      <c r="B46" s="96" t="s">
        <v>1746</v>
      </c>
      <c r="C46" s="96" t="s">
        <v>602</v>
      </c>
      <c r="D46" s="96" t="s">
        <v>1227</v>
      </c>
      <c r="E46" s="96" t="s">
        <v>1884</v>
      </c>
      <c r="F46" s="115" t="n">
        <v>5000</v>
      </c>
      <c r="G46" s="96" t="s">
        <v>1883</v>
      </c>
      <c r="H46" s="116"/>
      <c r="I46" s="117" t="s">
        <v>1819</v>
      </c>
    </row>
    <row r="47" customFormat="false" ht="15" hidden="false" customHeight="true" outlineLevel="0" collapsed="false">
      <c r="A47" s="96" t="s">
        <v>1816</v>
      </c>
      <c r="B47" s="96" t="s">
        <v>1885</v>
      </c>
      <c r="C47" s="96" t="s">
        <v>595</v>
      </c>
      <c r="D47" s="96" t="s">
        <v>1886</v>
      </c>
      <c r="E47" s="96" t="s">
        <v>1887</v>
      </c>
      <c r="F47" s="115" t="n">
        <v>30000</v>
      </c>
      <c r="G47" s="96" t="s">
        <v>1888</v>
      </c>
      <c r="H47" s="116"/>
      <c r="I47" s="117" t="s">
        <v>1819</v>
      </c>
    </row>
    <row r="48" customFormat="false" ht="15" hidden="false" customHeight="true" outlineLevel="0" collapsed="false">
      <c r="A48" s="96" t="s">
        <v>1816</v>
      </c>
      <c r="B48" s="96" t="s">
        <v>1885</v>
      </c>
      <c r="C48" s="96" t="s">
        <v>602</v>
      </c>
      <c r="D48" s="96" t="s">
        <v>388</v>
      </c>
      <c r="E48" s="96" t="s">
        <v>1889</v>
      </c>
      <c r="F48" s="115" t="n">
        <v>20000</v>
      </c>
      <c r="G48" s="96" t="s">
        <v>1890</v>
      </c>
      <c r="H48" s="116"/>
      <c r="I48" s="117" t="s">
        <v>1819</v>
      </c>
    </row>
    <row r="49" customFormat="false" ht="15" hidden="false" customHeight="true" outlineLevel="0" collapsed="false">
      <c r="A49" s="96" t="s">
        <v>1816</v>
      </c>
      <c r="B49" s="96" t="s">
        <v>1885</v>
      </c>
      <c r="C49" s="96" t="s">
        <v>595</v>
      </c>
      <c r="D49" s="96" t="s">
        <v>273</v>
      </c>
      <c r="E49" s="96" t="s">
        <v>1891</v>
      </c>
      <c r="F49" s="115" t="n">
        <v>10000</v>
      </c>
      <c r="G49" s="96" t="s">
        <v>1892</v>
      </c>
      <c r="H49" s="116"/>
      <c r="I49" s="117" t="s">
        <v>1819</v>
      </c>
    </row>
    <row r="50" customFormat="false" ht="15" hidden="false" customHeight="true" outlineLevel="0" collapsed="false">
      <c r="A50" s="96" t="s">
        <v>1816</v>
      </c>
      <c r="B50" s="96" t="s">
        <v>1885</v>
      </c>
      <c r="C50" s="96" t="s">
        <v>588</v>
      </c>
      <c r="D50" s="96" t="s">
        <v>1893</v>
      </c>
      <c r="E50" s="96" t="s">
        <v>1894</v>
      </c>
      <c r="F50" s="115" t="n">
        <v>10000</v>
      </c>
      <c r="G50" s="96" t="s">
        <v>1890</v>
      </c>
      <c r="H50" s="116"/>
      <c r="I50" s="117" t="s">
        <v>1819</v>
      </c>
    </row>
    <row r="51" customFormat="false" ht="15" hidden="false" customHeight="true" outlineLevel="0" collapsed="false">
      <c r="A51" s="96" t="s">
        <v>1816</v>
      </c>
      <c r="B51" s="96" t="s">
        <v>1885</v>
      </c>
      <c r="C51" s="96" t="s">
        <v>588</v>
      </c>
      <c r="D51" s="96" t="s">
        <v>1221</v>
      </c>
      <c r="E51" s="96" t="s">
        <v>1895</v>
      </c>
      <c r="F51" s="115" t="n">
        <v>7500</v>
      </c>
      <c r="G51" s="96" t="s">
        <v>1896</v>
      </c>
      <c r="H51" s="116"/>
      <c r="I51" s="117" t="s">
        <v>1819</v>
      </c>
    </row>
    <row r="52" customFormat="false" ht="15" hidden="false" customHeight="true" outlineLevel="0" collapsed="false">
      <c r="A52" s="96" t="s">
        <v>1816</v>
      </c>
      <c r="B52" s="96" t="s">
        <v>1885</v>
      </c>
      <c r="C52" s="96" t="s">
        <v>588</v>
      </c>
      <c r="D52" s="96" t="s">
        <v>1897</v>
      </c>
      <c r="E52" s="96" t="s">
        <v>1861</v>
      </c>
      <c r="F52" s="115" t="n">
        <v>7500</v>
      </c>
      <c r="G52" s="96" t="s">
        <v>1898</v>
      </c>
      <c r="H52" s="116"/>
      <c r="I52" s="117" t="s">
        <v>1819</v>
      </c>
    </row>
    <row r="53" customFormat="false" ht="15" hidden="false" customHeight="true" outlineLevel="0" collapsed="false">
      <c r="A53" s="96" t="s">
        <v>1816</v>
      </c>
      <c r="B53" s="96" t="s">
        <v>1885</v>
      </c>
      <c r="C53" s="96" t="s">
        <v>602</v>
      </c>
      <c r="D53" s="96" t="s">
        <v>380</v>
      </c>
      <c r="E53" s="96" t="s">
        <v>1899</v>
      </c>
      <c r="F53" s="115" t="n">
        <v>5000</v>
      </c>
      <c r="G53" s="96" t="s">
        <v>1900</v>
      </c>
      <c r="H53" s="116"/>
      <c r="I53" s="117" t="s">
        <v>1819</v>
      </c>
    </row>
    <row r="54" customFormat="false" ht="15" hidden="false" customHeight="true" outlineLevel="0" collapsed="false">
      <c r="A54" s="96" t="s">
        <v>1816</v>
      </c>
      <c r="B54" s="96" t="s">
        <v>1885</v>
      </c>
      <c r="C54" s="96" t="s">
        <v>595</v>
      </c>
      <c r="D54" s="96" t="s">
        <v>1901</v>
      </c>
      <c r="E54" s="96" t="s">
        <v>1902</v>
      </c>
      <c r="F54" s="115" t="n">
        <v>5000</v>
      </c>
      <c r="G54" s="96" t="s">
        <v>491</v>
      </c>
      <c r="H54" s="116"/>
      <c r="I54" s="117" t="s">
        <v>1819</v>
      </c>
    </row>
    <row r="55" customFormat="false" ht="15" hidden="false" customHeight="true" outlineLevel="0" collapsed="false">
      <c r="A55" s="96" t="s">
        <v>1816</v>
      </c>
      <c r="B55" s="96" t="s">
        <v>1885</v>
      </c>
      <c r="C55" s="96" t="s">
        <v>595</v>
      </c>
      <c r="D55" s="96" t="s">
        <v>1903</v>
      </c>
      <c r="E55" s="96" t="s">
        <v>1904</v>
      </c>
      <c r="F55" s="115" t="n">
        <v>5000</v>
      </c>
      <c r="G55" s="96" t="s">
        <v>496</v>
      </c>
      <c r="H55" s="116"/>
      <c r="I55" s="117" t="s">
        <v>1819</v>
      </c>
    </row>
    <row r="56" customFormat="false" ht="15" hidden="false" customHeight="true" outlineLevel="0" collapsed="false">
      <c r="A56" s="96" t="s">
        <v>1816</v>
      </c>
      <c r="B56" s="96" t="s">
        <v>1905</v>
      </c>
      <c r="C56" s="96" t="s">
        <v>595</v>
      </c>
      <c r="D56" s="96" t="s">
        <v>1906</v>
      </c>
      <c r="E56" s="96" t="s">
        <v>1907</v>
      </c>
      <c r="F56" s="115" t="n">
        <v>80000</v>
      </c>
      <c r="G56" s="96" t="s">
        <v>223</v>
      </c>
      <c r="H56" s="116"/>
      <c r="I56" s="117" t="s">
        <v>1819</v>
      </c>
    </row>
    <row r="57" customFormat="false" ht="15" hidden="false" customHeight="true" outlineLevel="0" collapsed="false">
      <c r="A57" s="96" t="s">
        <v>1816</v>
      </c>
      <c r="B57" s="96" t="s">
        <v>1905</v>
      </c>
      <c r="C57" s="96" t="s">
        <v>588</v>
      </c>
      <c r="D57" s="96" t="s">
        <v>1908</v>
      </c>
      <c r="E57" s="96" t="s">
        <v>1909</v>
      </c>
      <c r="F57" s="115" t="n">
        <v>20000</v>
      </c>
      <c r="G57" s="96" t="s">
        <v>1910</v>
      </c>
      <c r="H57" s="116"/>
      <c r="I57" s="117" t="s">
        <v>1819</v>
      </c>
    </row>
    <row r="58" customFormat="false" ht="15" hidden="false" customHeight="true" outlineLevel="0" collapsed="false">
      <c r="A58" s="96" t="s">
        <v>1816</v>
      </c>
      <c r="B58" s="96" t="s">
        <v>1905</v>
      </c>
      <c r="C58" s="96" t="s">
        <v>595</v>
      </c>
      <c r="D58" s="96" t="s">
        <v>1911</v>
      </c>
      <c r="E58" s="96" t="s">
        <v>1912</v>
      </c>
      <c r="F58" s="115" t="n">
        <v>20000</v>
      </c>
      <c r="G58" s="96" t="s">
        <v>223</v>
      </c>
      <c r="H58" s="116"/>
      <c r="I58" s="117" t="s">
        <v>1819</v>
      </c>
    </row>
    <row r="59" customFormat="false" ht="15" hidden="false" customHeight="true" outlineLevel="0" collapsed="false">
      <c r="A59" s="96" t="s">
        <v>1816</v>
      </c>
      <c r="B59" s="96" t="s">
        <v>1905</v>
      </c>
      <c r="C59" s="96" t="s">
        <v>588</v>
      </c>
      <c r="D59" s="96" t="s">
        <v>350</v>
      </c>
      <c r="E59" s="96" t="s">
        <v>1913</v>
      </c>
      <c r="F59" s="115" t="n">
        <v>17500</v>
      </c>
      <c r="G59" s="96" t="s">
        <v>1914</v>
      </c>
      <c r="H59" s="116"/>
      <c r="I59" s="117" t="s">
        <v>1819</v>
      </c>
    </row>
    <row r="60" customFormat="false" ht="15" hidden="false" customHeight="true" outlineLevel="0" collapsed="false">
      <c r="A60" s="96" t="s">
        <v>1816</v>
      </c>
      <c r="B60" s="96" t="s">
        <v>1905</v>
      </c>
      <c r="C60" s="96" t="s">
        <v>602</v>
      </c>
      <c r="D60" s="96" t="s">
        <v>225</v>
      </c>
      <c r="E60" s="96" t="s">
        <v>1887</v>
      </c>
      <c r="F60" s="115" t="n">
        <v>15000</v>
      </c>
      <c r="G60" s="96" t="s">
        <v>1915</v>
      </c>
      <c r="H60" s="116"/>
      <c r="I60" s="117" t="s">
        <v>1819</v>
      </c>
    </row>
    <row r="61" customFormat="false" ht="15" hidden="false" customHeight="true" outlineLevel="0" collapsed="false">
      <c r="A61" s="96" t="s">
        <v>1816</v>
      </c>
      <c r="B61" s="96" t="s">
        <v>1905</v>
      </c>
      <c r="C61" s="96" t="s">
        <v>602</v>
      </c>
      <c r="D61" s="96" t="s">
        <v>1158</v>
      </c>
      <c r="E61" s="96" t="s">
        <v>1916</v>
      </c>
      <c r="F61" s="115" t="n">
        <v>15000</v>
      </c>
      <c r="G61" s="96" t="s">
        <v>223</v>
      </c>
      <c r="H61" s="116"/>
      <c r="I61" s="117" t="s">
        <v>1819</v>
      </c>
    </row>
    <row r="62" customFormat="false" ht="15" hidden="false" customHeight="true" outlineLevel="0" collapsed="false">
      <c r="A62" s="96" t="s">
        <v>1816</v>
      </c>
      <c r="B62" s="96" t="s">
        <v>1905</v>
      </c>
      <c r="C62" s="96" t="s">
        <v>602</v>
      </c>
      <c r="D62" s="96" t="s">
        <v>1104</v>
      </c>
      <c r="E62" s="96" t="s">
        <v>1917</v>
      </c>
      <c r="F62" s="115" t="n">
        <v>15000</v>
      </c>
      <c r="G62" s="96" t="s">
        <v>1914</v>
      </c>
      <c r="H62" s="116"/>
      <c r="I62" s="117" t="s">
        <v>1819</v>
      </c>
    </row>
    <row r="63" customFormat="false" ht="15" hidden="false" customHeight="true" outlineLevel="0" collapsed="false">
      <c r="A63" s="96" t="s">
        <v>1816</v>
      </c>
      <c r="B63" s="96" t="s">
        <v>1905</v>
      </c>
      <c r="C63" s="96" t="s">
        <v>602</v>
      </c>
      <c r="D63" s="96" t="s">
        <v>1179</v>
      </c>
      <c r="E63" s="96" t="s">
        <v>1918</v>
      </c>
      <c r="F63" s="115" t="n">
        <v>15000</v>
      </c>
      <c r="G63" s="96" t="s">
        <v>1919</v>
      </c>
      <c r="H63" s="116"/>
      <c r="I63" s="117" t="s">
        <v>1819</v>
      </c>
    </row>
    <row r="64" customFormat="false" ht="15" hidden="false" customHeight="true" outlineLevel="0" collapsed="false">
      <c r="A64" s="96" t="s">
        <v>1816</v>
      </c>
      <c r="B64" s="96" t="s">
        <v>1905</v>
      </c>
      <c r="C64" s="96" t="s">
        <v>588</v>
      </c>
      <c r="D64" s="96" t="s">
        <v>1920</v>
      </c>
      <c r="E64" s="96" t="s">
        <v>1852</v>
      </c>
      <c r="F64" s="115" t="n">
        <v>12500</v>
      </c>
      <c r="G64" s="96" t="s">
        <v>1921</v>
      </c>
      <c r="H64" s="116"/>
      <c r="I64" s="117" t="s">
        <v>1819</v>
      </c>
    </row>
    <row r="65" customFormat="false" ht="15" hidden="false" customHeight="true" outlineLevel="0" collapsed="false">
      <c r="A65" s="96" t="s">
        <v>1816</v>
      </c>
      <c r="B65" s="96" t="s">
        <v>1905</v>
      </c>
      <c r="C65" s="96" t="s">
        <v>602</v>
      </c>
      <c r="D65" s="96" t="s">
        <v>281</v>
      </c>
      <c r="E65" s="96" t="s">
        <v>1922</v>
      </c>
      <c r="F65" s="115" t="n">
        <v>10000</v>
      </c>
      <c r="G65" s="96" t="s">
        <v>1921</v>
      </c>
      <c r="H65" s="116"/>
      <c r="I65" s="117" t="s">
        <v>1819</v>
      </c>
    </row>
    <row r="66" customFormat="false" ht="15" hidden="false" customHeight="true" outlineLevel="0" collapsed="false">
      <c r="A66" s="96" t="s">
        <v>1816</v>
      </c>
      <c r="B66" s="96" t="s">
        <v>1905</v>
      </c>
      <c r="C66" s="96" t="s">
        <v>588</v>
      </c>
      <c r="D66" s="96" t="s">
        <v>586</v>
      </c>
      <c r="E66" s="96" t="s">
        <v>1923</v>
      </c>
      <c r="F66" s="115" t="n">
        <v>10000</v>
      </c>
      <c r="G66" s="96" t="s">
        <v>1921</v>
      </c>
      <c r="H66" s="116"/>
      <c r="I66" s="117" t="s">
        <v>1819</v>
      </c>
    </row>
    <row r="67" customFormat="false" ht="15" hidden="false" customHeight="true" outlineLevel="0" collapsed="false">
      <c r="A67" s="96" t="s">
        <v>1816</v>
      </c>
      <c r="B67" s="96" t="s">
        <v>1905</v>
      </c>
      <c r="C67" s="96" t="s">
        <v>602</v>
      </c>
      <c r="D67" s="96" t="s">
        <v>1924</v>
      </c>
      <c r="E67" s="96" t="s">
        <v>1925</v>
      </c>
      <c r="F67" s="115" t="n">
        <v>10000</v>
      </c>
      <c r="G67" s="96" t="s">
        <v>1915</v>
      </c>
      <c r="H67" s="116"/>
      <c r="I67" s="117" t="s">
        <v>1819</v>
      </c>
    </row>
    <row r="68" customFormat="false" ht="15" hidden="false" customHeight="true" outlineLevel="0" collapsed="false">
      <c r="A68" s="96" t="s">
        <v>1816</v>
      </c>
      <c r="B68" s="96" t="s">
        <v>1905</v>
      </c>
      <c r="C68" s="96" t="s">
        <v>588</v>
      </c>
      <c r="D68" s="96" t="s">
        <v>1926</v>
      </c>
      <c r="E68" s="96" t="s">
        <v>1925</v>
      </c>
      <c r="F68" s="115" t="n">
        <v>10000</v>
      </c>
      <c r="G68" s="96" t="s">
        <v>1915</v>
      </c>
      <c r="H68" s="116"/>
      <c r="I68" s="117" t="s">
        <v>1819</v>
      </c>
    </row>
    <row r="69" customFormat="false" ht="15" hidden="false" customHeight="true" outlineLevel="0" collapsed="false">
      <c r="A69" s="118" t="s">
        <v>1816</v>
      </c>
      <c r="B69" s="118" t="s">
        <v>1905</v>
      </c>
      <c r="C69" s="118" t="s">
        <v>602</v>
      </c>
      <c r="D69" s="118" t="s">
        <v>1876</v>
      </c>
      <c r="E69" s="118" t="s">
        <v>1877</v>
      </c>
      <c r="F69" s="119" t="n">
        <v>10000</v>
      </c>
      <c r="G69" s="118" t="s">
        <v>1927</v>
      </c>
      <c r="H69" s="120" t="s">
        <v>1878</v>
      </c>
      <c r="I69" s="117" t="s">
        <v>1819</v>
      </c>
    </row>
    <row r="70" customFormat="false" ht="15" hidden="false" customHeight="true" outlineLevel="0" collapsed="false">
      <c r="A70" s="96" t="s">
        <v>1816</v>
      </c>
      <c r="B70" s="96" t="s">
        <v>1905</v>
      </c>
      <c r="C70" s="96" t="s">
        <v>588</v>
      </c>
      <c r="D70" s="96" t="s">
        <v>1928</v>
      </c>
      <c r="E70" s="96" t="s">
        <v>1929</v>
      </c>
      <c r="F70" s="115" t="n">
        <v>10000</v>
      </c>
      <c r="G70" s="96" t="s">
        <v>1927</v>
      </c>
      <c r="H70" s="116"/>
      <c r="I70" s="117" t="s">
        <v>1819</v>
      </c>
    </row>
    <row r="71" customFormat="false" ht="15" hidden="false" customHeight="true" outlineLevel="0" collapsed="false">
      <c r="A71" s="96" t="s">
        <v>1816</v>
      </c>
      <c r="B71" s="96" t="s">
        <v>1905</v>
      </c>
      <c r="C71" s="96" t="s">
        <v>588</v>
      </c>
      <c r="D71" s="96" t="s">
        <v>1930</v>
      </c>
      <c r="E71" s="96" t="s">
        <v>1931</v>
      </c>
      <c r="F71" s="115" t="n">
        <v>10000</v>
      </c>
      <c r="G71" s="96" t="s">
        <v>1932</v>
      </c>
      <c r="H71" s="116"/>
      <c r="I71" s="117" t="s">
        <v>1819</v>
      </c>
    </row>
    <row r="72" customFormat="false" ht="15" hidden="false" customHeight="true" outlineLevel="0" collapsed="false">
      <c r="A72" s="96" t="s">
        <v>1816</v>
      </c>
      <c r="B72" s="96" t="s">
        <v>1905</v>
      </c>
      <c r="C72" s="96" t="s">
        <v>602</v>
      </c>
      <c r="D72" s="96" t="s">
        <v>1149</v>
      </c>
      <c r="E72" s="96" t="s">
        <v>1933</v>
      </c>
      <c r="F72" s="115" t="n">
        <v>10000</v>
      </c>
      <c r="G72" s="96" t="s">
        <v>1934</v>
      </c>
      <c r="H72" s="116"/>
      <c r="I72" s="117" t="s">
        <v>1819</v>
      </c>
    </row>
    <row r="73" customFormat="false" ht="15" hidden="false" customHeight="true" outlineLevel="0" collapsed="false">
      <c r="A73" s="96" t="s">
        <v>1816</v>
      </c>
      <c r="B73" s="96" t="s">
        <v>1905</v>
      </c>
      <c r="C73" s="96" t="s">
        <v>588</v>
      </c>
      <c r="D73" s="96" t="s">
        <v>1935</v>
      </c>
      <c r="E73" s="96" t="s">
        <v>1936</v>
      </c>
      <c r="F73" s="115" t="n">
        <v>10000</v>
      </c>
      <c r="G73" s="96" t="s">
        <v>1937</v>
      </c>
      <c r="H73" s="116"/>
      <c r="I73" s="117" t="s">
        <v>1819</v>
      </c>
    </row>
    <row r="74" customFormat="false" ht="15" hidden="false" customHeight="true" outlineLevel="0" collapsed="false">
      <c r="A74" s="96" t="s">
        <v>1816</v>
      </c>
      <c r="B74" s="96" t="s">
        <v>1938</v>
      </c>
      <c r="C74" s="96" t="s">
        <v>595</v>
      </c>
      <c r="D74" s="96" t="s">
        <v>260</v>
      </c>
      <c r="E74" s="96" t="s">
        <v>261</v>
      </c>
      <c r="F74" s="115" t="n">
        <v>20000</v>
      </c>
      <c r="G74" s="96" t="s">
        <v>1939</v>
      </c>
      <c r="H74" s="116"/>
      <c r="I74" s="117" t="s">
        <v>1819</v>
      </c>
    </row>
    <row r="75" customFormat="false" ht="15" hidden="false" customHeight="true" outlineLevel="0" collapsed="false">
      <c r="A75" s="96" t="s">
        <v>1816</v>
      </c>
      <c r="B75" s="96" t="s">
        <v>1938</v>
      </c>
      <c r="C75" s="96" t="s">
        <v>588</v>
      </c>
      <c r="D75" s="96" t="s">
        <v>1940</v>
      </c>
      <c r="E75" s="96" t="s">
        <v>282</v>
      </c>
      <c r="F75" s="115" t="n">
        <v>20000</v>
      </c>
      <c r="G75" s="96" t="s">
        <v>1941</v>
      </c>
      <c r="H75" s="116"/>
      <c r="I75" s="117" t="s">
        <v>1819</v>
      </c>
    </row>
    <row r="76" customFormat="false" ht="15" hidden="false" customHeight="true" outlineLevel="0" collapsed="false">
      <c r="A76" s="96" t="s">
        <v>1816</v>
      </c>
      <c r="B76" s="96" t="s">
        <v>1938</v>
      </c>
      <c r="C76" s="96" t="s">
        <v>595</v>
      </c>
      <c r="D76" s="96" t="s">
        <v>1942</v>
      </c>
      <c r="E76" s="96" t="s">
        <v>282</v>
      </c>
      <c r="F76" s="115" t="n">
        <v>20000</v>
      </c>
      <c r="G76" s="96" t="s">
        <v>1941</v>
      </c>
      <c r="H76" s="116"/>
      <c r="I76" s="117" t="s">
        <v>1819</v>
      </c>
    </row>
    <row r="77" customFormat="false" ht="15" hidden="false" customHeight="true" outlineLevel="0" collapsed="false">
      <c r="A77" s="96" t="s">
        <v>1816</v>
      </c>
      <c r="B77" s="96" t="s">
        <v>1938</v>
      </c>
      <c r="C77" s="96" t="s">
        <v>595</v>
      </c>
      <c r="D77" s="96" t="s">
        <v>1943</v>
      </c>
      <c r="E77" s="96" t="s">
        <v>329</v>
      </c>
      <c r="F77" s="115" t="n">
        <v>20000</v>
      </c>
      <c r="G77" s="96" t="s">
        <v>330</v>
      </c>
      <c r="H77" s="116"/>
      <c r="I77" s="117" t="s">
        <v>1819</v>
      </c>
    </row>
    <row r="78" customFormat="false" ht="15" hidden="false" customHeight="true" outlineLevel="0" collapsed="false">
      <c r="A78" s="96" t="s">
        <v>1816</v>
      </c>
      <c r="B78" s="96" t="s">
        <v>1938</v>
      </c>
      <c r="C78" s="96" t="s">
        <v>595</v>
      </c>
      <c r="D78" s="96" t="s">
        <v>1944</v>
      </c>
      <c r="E78" s="96" t="s">
        <v>286</v>
      </c>
      <c r="F78" s="115" t="n">
        <v>20000</v>
      </c>
      <c r="G78" s="96" t="s">
        <v>330</v>
      </c>
      <c r="H78" s="116"/>
      <c r="I78" s="117" t="s">
        <v>1819</v>
      </c>
    </row>
    <row r="79" customFormat="false" ht="15" hidden="false" customHeight="true" outlineLevel="0" collapsed="false">
      <c r="A79" s="96" t="s">
        <v>1816</v>
      </c>
      <c r="B79" s="96" t="s">
        <v>1938</v>
      </c>
      <c r="C79" s="96" t="s">
        <v>602</v>
      </c>
      <c r="D79" s="96" t="s">
        <v>1945</v>
      </c>
      <c r="E79" s="96" t="s">
        <v>291</v>
      </c>
      <c r="F79" s="115" t="n">
        <v>20000</v>
      </c>
      <c r="G79" s="96" t="s">
        <v>1946</v>
      </c>
      <c r="H79" s="116"/>
      <c r="I79" s="117" t="s">
        <v>1819</v>
      </c>
    </row>
    <row r="80" customFormat="false" ht="15" hidden="false" customHeight="true" outlineLevel="0" collapsed="false">
      <c r="A80" s="96" t="s">
        <v>1816</v>
      </c>
      <c r="B80" s="96" t="s">
        <v>1938</v>
      </c>
      <c r="C80" s="96" t="s">
        <v>588</v>
      </c>
      <c r="D80" s="96" t="s">
        <v>1947</v>
      </c>
      <c r="E80" s="96" t="s">
        <v>291</v>
      </c>
      <c r="F80" s="115" t="n">
        <v>20000</v>
      </c>
      <c r="G80" s="96" t="s">
        <v>1946</v>
      </c>
      <c r="H80" s="116"/>
      <c r="I80" s="117" t="s">
        <v>1819</v>
      </c>
    </row>
    <row r="81" customFormat="false" ht="15" hidden="false" customHeight="true" outlineLevel="0" collapsed="false">
      <c r="A81" s="96" t="s">
        <v>1816</v>
      </c>
      <c r="B81" s="96" t="s">
        <v>1938</v>
      </c>
      <c r="C81" s="96" t="s">
        <v>595</v>
      </c>
      <c r="D81" s="96" t="s">
        <v>1948</v>
      </c>
      <c r="E81" s="96" t="s">
        <v>291</v>
      </c>
      <c r="F81" s="115" t="n">
        <v>20000</v>
      </c>
      <c r="G81" s="96" t="s">
        <v>1946</v>
      </c>
      <c r="H81" s="116"/>
      <c r="I81" s="117" t="s">
        <v>1819</v>
      </c>
    </row>
    <row r="82" customFormat="false" ht="15" hidden="false" customHeight="true" outlineLevel="0" collapsed="false">
      <c r="A82" s="96" t="s">
        <v>1816</v>
      </c>
      <c r="B82" s="96" t="s">
        <v>1938</v>
      </c>
      <c r="C82" s="96" t="s">
        <v>588</v>
      </c>
      <c r="D82" s="96" t="s">
        <v>1949</v>
      </c>
      <c r="E82" s="96" t="s">
        <v>291</v>
      </c>
      <c r="F82" s="115" t="n">
        <v>20000</v>
      </c>
      <c r="G82" s="96" t="s">
        <v>1946</v>
      </c>
      <c r="H82" s="116"/>
      <c r="I82" s="117" t="s">
        <v>1819</v>
      </c>
    </row>
    <row r="83" customFormat="false" ht="15" hidden="false" customHeight="true" outlineLevel="0" collapsed="false">
      <c r="A83" s="96" t="s">
        <v>1816</v>
      </c>
      <c r="B83" s="96" t="s">
        <v>1938</v>
      </c>
      <c r="C83" s="96" t="s">
        <v>602</v>
      </c>
      <c r="D83" s="96" t="s">
        <v>1950</v>
      </c>
      <c r="E83" s="96" t="s">
        <v>291</v>
      </c>
      <c r="F83" s="115" t="n">
        <v>20000</v>
      </c>
      <c r="G83" s="96" t="s">
        <v>1951</v>
      </c>
      <c r="H83" s="116"/>
      <c r="I83" s="117" t="s">
        <v>1819</v>
      </c>
    </row>
    <row r="84" customFormat="false" ht="15" hidden="false" customHeight="true" outlineLevel="0" collapsed="false">
      <c r="A84" s="96" t="s">
        <v>1816</v>
      </c>
      <c r="B84" s="96" t="s">
        <v>1938</v>
      </c>
      <c r="C84" s="96" t="s">
        <v>588</v>
      </c>
      <c r="D84" s="96" t="s">
        <v>1952</v>
      </c>
      <c r="E84" s="96" t="s">
        <v>291</v>
      </c>
      <c r="F84" s="115" t="n">
        <v>20000</v>
      </c>
      <c r="G84" s="96" t="s">
        <v>1951</v>
      </c>
      <c r="H84" s="116"/>
      <c r="I84" s="117" t="s">
        <v>1819</v>
      </c>
    </row>
    <row r="85" customFormat="false" ht="15" hidden="false" customHeight="true" outlineLevel="0" collapsed="false">
      <c r="A85" s="96" t="s">
        <v>1816</v>
      </c>
      <c r="B85" s="96" t="s">
        <v>1938</v>
      </c>
      <c r="C85" s="96" t="s">
        <v>602</v>
      </c>
      <c r="D85" s="96" t="s">
        <v>1953</v>
      </c>
      <c r="E85" s="96" t="s">
        <v>291</v>
      </c>
      <c r="F85" s="115" t="n">
        <v>20000</v>
      </c>
      <c r="G85" s="96" t="s">
        <v>1951</v>
      </c>
      <c r="H85" s="116"/>
      <c r="I85" s="117" t="s">
        <v>1819</v>
      </c>
    </row>
    <row r="86" customFormat="false" ht="15" hidden="false" customHeight="true" outlineLevel="0" collapsed="false">
      <c r="A86" s="96" t="s">
        <v>1816</v>
      </c>
      <c r="B86" s="96" t="s">
        <v>1938</v>
      </c>
      <c r="C86" s="96" t="s">
        <v>588</v>
      </c>
      <c r="D86" s="96" t="s">
        <v>1954</v>
      </c>
      <c r="E86" s="96" t="s">
        <v>291</v>
      </c>
      <c r="F86" s="115" t="n">
        <v>20000</v>
      </c>
      <c r="G86" s="96" t="s">
        <v>1951</v>
      </c>
      <c r="H86" s="116"/>
      <c r="I86" s="117" t="s">
        <v>1819</v>
      </c>
    </row>
    <row r="87" customFormat="false" ht="15" hidden="false" customHeight="true" outlineLevel="0" collapsed="false">
      <c r="A87" s="96" t="s">
        <v>1816</v>
      </c>
      <c r="B87" s="96" t="s">
        <v>1938</v>
      </c>
      <c r="C87" s="96" t="s">
        <v>588</v>
      </c>
      <c r="D87" s="96" t="s">
        <v>1955</v>
      </c>
      <c r="E87" s="96" t="s">
        <v>1128</v>
      </c>
      <c r="F87" s="115" t="n">
        <v>20000</v>
      </c>
      <c r="G87" s="96" t="s">
        <v>1951</v>
      </c>
      <c r="H87" s="116"/>
      <c r="I87" s="117" t="s">
        <v>1819</v>
      </c>
    </row>
    <row r="88" customFormat="false" ht="15" hidden="false" customHeight="true" outlineLevel="0" collapsed="false">
      <c r="A88" s="96" t="s">
        <v>1816</v>
      </c>
      <c r="B88" s="96" t="s">
        <v>1938</v>
      </c>
      <c r="C88" s="96" t="s">
        <v>588</v>
      </c>
      <c r="D88" s="96" t="s">
        <v>1956</v>
      </c>
      <c r="E88" s="96" t="s">
        <v>1128</v>
      </c>
      <c r="F88" s="115" t="n">
        <v>20000</v>
      </c>
      <c r="G88" s="96" t="s">
        <v>1951</v>
      </c>
      <c r="H88" s="116"/>
      <c r="I88" s="117" t="s">
        <v>1819</v>
      </c>
    </row>
    <row r="89" customFormat="false" ht="15" hidden="false" customHeight="true" outlineLevel="0" collapsed="false">
      <c r="A89" s="96" t="s">
        <v>1816</v>
      </c>
      <c r="B89" s="96" t="s">
        <v>1938</v>
      </c>
      <c r="C89" s="96" t="s">
        <v>595</v>
      </c>
      <c r="D89" s="96" t="s">
        <v>1957</v>
      </c>
      <c r="E89" s="96" t="s">
        <v>333</v>
      </c>
      <c r="F89" s="115" t="n">
        <v>20000</v>
      </c>
      <c r="G89" s="96" t="s">
        <v>334</v>
      </c>
      <c r="H89" s="116"/>
      <c r="I89" s="117" t="s">
        <v>1819</v>
      </c>
    </row>
    <row r="90" customFormat="false" ht="15" hidden="false" customHeight="true" outlineLevel="0" collapsed="false">
      <c r="A90" s="96" t="s">
        <v>1816</v>
      </c>
      <c r="B90" s="96" t="s">
        <v>1938</v>
      </c>
      <c r="C90" s="96" t="s">
        <v>588</v>
      </c>
      <c r="D90" s="96" t="s">
        <v>1958</v>
      </c>
      <c r="E90" s="96" t="s">
        <v>333</v>
      </c>
      <c r="F90" s="115" t="n">
        <v>20000</v>
      </c>
      <c r="G90" s="96" t="s">
        <v>1959</v>
      </c>
      <c r="H90" s="116"/>
      <c r="I90" s="117" t="s">
        <v>1819</v>
      </c>
    </row>
    <row r="91" customFormat="false" ht="15" hidden="false" customHeight="true" outlineLevel="0" collapsed="false">
      <c r="A91" s="96" t="s">
        <v>1816</v>
      </c>
      <c r="B91" s="96" t="s">
        <v>1938</v>
      </c>
      <c r="C91" s="96" t="s">
        <v>588</v>
      </c>
      <c r="D91" s="96" t="s">
        <v>1960</v>
      </c>
      <c r="E91" s="96" t="s">
        <v>333</v>
      </c>
      <c r="F91" s="115" t="n">
        <v>20000</v>
      </c>
      <c r="G91" s="96" t="s">
        <v>1959</v>
      </c>
      <c r="H91" s="116"/>
      <c r="I91" s="117" t="s">
        <v>1819</v>
      </c>
    </row>
    <row r="92" customFormat="false" ht="15" hidden="false" customHeight="true" outlineLevel="0" collapsed="false">
      <c r="A92" s="96" t="s">
        <v>1816</v>
      </c>
      <c r="B92" s="96" t="s">
        <v>1938</v>
      </c>
      <c r="C92" s="96" t="s">
        <v>595</v>
      </c>
      <c r="D92" s="96" t="s">
        <v>1961</v>
      </c>
      <c r="E92" s="96" t="s">
        <v>294</v>
      </c>
      <c r="F92" s="115" t="n">
        <v>20000</v>
      </c>
      <c r="G92" s="96" t="s">
        <v>1962</v>
      </c>
      <c r="H92" s="116"/>
      <c r="I92" s="117" t="s">
        <v>1819</v>
      </c>
    </row>
    <row r="93" customFormat="false" ht="15" hidden="false" customHeight="true" outlineLevel="0" collapsed="false">
      <c r="A93" s="96" t="s">
        <v>1816</v>
      </c>
      <c r="B93" s="96" t="s">
        <v>1938</v>
      </c>
      <c r="C93" s="96" t="s">
        <v>602</v>
      </c>
      <c r="D93" s="96" t="s">
        <v>1963</v>
      </c>
      <c r="E93" s="96" t="s">
        <v>1168</v>
      </c>
      <c r="F93" s="115" t="n">
        <v>20000</v>
      </c>
      <c r="G93" s="96" t="s">
        <v>338</v>
      </c>
      <c r="H93" s="116"/>
      <c r="I93" s="117" t="s">
        <v>1819</v>
      </c>
    </row>
    <row r="94" customFormat="false" ht="15" hidden="false" customHeight="true" outlineLevel="0" collapsed="false">
      <c r="A94" s="96" t="s">
        <v>1816</v>
      </c>
      <c r="B94" s="96" t="s">
        <v>1938</v>
      </c>
      <c r="C94" s="96" t="s">
        <v>595</v>
      </c>
      <c r="D94" s="96" t="s">
        <v>1964</v>
      </c>
      <c r="E94" s="96" t="s">
        <v>337</v>
      </c>
      <c r="F94" s="115" t="n">
        <v>20000</v>
      </c>
      <c r="G94" s="96" t="s">
        <v>338</v>
      </c>
      <c r="H94" s="116"/>
      <c r="I94" s="117" t="s">
        <v>1819</v>
      </c>
    </row>
    <row r="95" customFormat="false" ht="15" hidden="false" customHeight="true" outlineLevel="0" collapsed="false">
      <c r="A95" s="96" t="s">
        <v>1816</v>
      </c>
      <c r="B95" s="96" t="s">
        <v>1938</v>
      </c>
      <c r="C95" s="96" t="s">
        <v>595</v>
      </c>
      <c r="D95" s="96" t="s">
        <v>1965</v>
      </c>
      <c r="E95" s="96" t="s">
        <v>341</v>
      </c>
      <c r="F95" s="115" t="n">
        <v>20000</v>
      </c>
      <c r="G95" s="96" t="s">
        <v>342</v>
      </c>
      <c r="H95" s="116"/>
      <c r="I95" s="117" t="s">
        <v>1819</v>
      </c>
    </row>
    <row r="96" customFormat="false" ht="15" hidden="false" customHeight="true" outlineLevel="0" collapsed="false">
      <c r="A96" s="96" t="s">
        <v>1816</v>
      </c>
      <c r="B96" s="96" t="s">
        <v>1938</v>
      </c>
      <c r="C96" s="96" t="s">
        <v>595</v>
      </c>
      <c r="D96" s="96" t="s">
        <v>1966</v>
      </c>
      <c r="E96" s="96" t="s">
        <v>297</v>
      </c>
      <c r="F96" s="115" t="n">
        <v>20000</v>
      </c>
      <c r="G96" s="96" t="s">
        <v>1967</v>
      </c>
      <c r="H96" s="116"/>
      <c r="I96" s="117" t="s">
        <v>1819</v>
      </c>
    </row>
    <row r="97" customFormat="false" ht="15" hidden="false" customHeight="true" outlineLevel="0" collapsed="false">
      <c r="A97" s="96" t="s">
        <v>1816</v>
      </c>
      <c r="B97" s="96" t="s">
        <v>1938</v>
      </c>
      <c r="C97" s="96" t="s">
        <v>602</v>
      </c>
      <c r="D97" s="96" t="s">
        <v>1968</v>
      </c>
      <c r="E97" s="96" t="s">
        <v>251</v>
      </c>
      <c r="F97" s="115" t="n">
        <v>20000</v>
      </c>
      <c r="G97" s="96" t="s">
        <v>345</v>
      </c>
      <c r="H97" s="116"/>
      <c r="I97" s="117" t="s">
        <v>1819</v>
      </c>
    </row>
    <row r="98" customFormat="false" ht="15" hidden="false" customHeight="true" outlineLevel="0" collapsed="false">
      <c r="A98" s="96" t="s">
        <v>1816</v>
      </c>
      <c r="B98" s="96" t="s">
        <v>1938</v>
      </c>
      <c r="C98" s="96" t="s">
        <v>595</v>
      </c>
      <c r="D98" s="96" t="s">
        <v>1969</v>
      </c>
      <c r="E98" s="96" t="s">
        <v>251</v>
      </c>
      <c r="F98" s="115" t="n">
        <v>20000</v>
      </c>
      <c r="G98" s="96" t="s">
        <v>345</v>
      </c>
      <c r="H98" s="116"/>
      <c r="I98" s="117" t="s">
        <v>1819</v>
      </c>
    </row>
    <row r="99" customFormat="false" ht="15" hidden="false" customHeight="true" outlineLevel="0" collapsed="false">
      <c r="A99" s="96" t="s">
        <v>1816</v>
      </c>
      <c r="B99" s="96" t="s">
        <v>1938</v>
      </c>
      <c r="C99" s="96" t="s">
        <v>602</v>
      </c>
      <c r="D99" s="96" t="s">
        <v>1970</v>
      </c>
      <c r="E99" s="96" t="s">
        <v>344</v>
      </c>
      <c r="F99" s="115" t="n">
        <v>20000</v>
      </c>
      <c r="G99" s="96" t="s">
        <v>345</v>
      </c>
      <c r="H99" s="116"/>
      <c r="I99" s="117" t="s">
        <v>1819</v>
      </c>
    </row>
    <row r="100" customFormat="false" ht="15" hidden="false" customHeight="true" outlineLevel="0" collapsed="false">
      <c r="A100" s="96" t="s">
        <v>1816</v>
      </c>
      <c r="B100" s="96" t="s">
        <v>1938</v>
      </c>
      <c r="C100" s="96" t="s">
        <v>602</v>
      </c>
      <c r="D100" s="96" t="s">
        <v>1971</v>
      </c>
      <c r="E100" s="96" t="s">
        <v>344</v>
      </c>
      <c r="F100" s="115" t="n">
        <v>20000</v>
      </c>
      <c r="G100" s="96" t="s">
        <v>345</v>
      </c>
      <c r="H100" s="116"/>
      <c r="I100" s="117" t="s">
        <v>1819</v>
      </c>
    </row>
    <row r="101" customFormat="false" ht="15" hidden="false" customHeight="true" outlineLevel="0" collapsed="false">
      <c r="A101" s="96" t="s">
        <v>1816</v>
      </c>
      <c r="B101" s="96" t="s">
        <v>1938</v>
      </c>
      <c r="C101" s="96" t="s">
        <v>595</v>
      </c>
      <c r="D101" s="96" t="s">
        <v>1972</v>
      </c>
      <c r="E101" s="96" t="s">
        <v>344</v>
      </c>
      <c r="F101" s="115" t="n">
        <v>20000</v>
      </c>
      <c r="G101" s="96" t="s">
        <v>345</v>
      </c>
      <c r="H101" s="116"/>
      <c r="I101" s="117" t="s">
        <v>1819</v>
      </c>
    </row>
    <row r="102" customFormat="false" ht="15" hidden="false" customHeight="true" outlineLevel="0" collapsed="false">
      <c r="A102" s="96" t="s">
        <v>1816</v>
      </c>
      <c r="B102" s="96" t="s">
        <v>1938</v>
      </c>
      <c r="C102" s="96" t="s">
        <v>588</v>
      </c>
      <c r="D102" s="96" t="s">
        <v>1973</v>
      </c>
      <c r="E102" s="96" t="s">
        <v>1099</v>
      </c>
      <c r="F102" s="115" t="n">
        <v>20000</v>
      </c>
      <c r="G102" s="96" t="s">
        <v>345</v>
      </c>
      <c r="H102" s="116"/>
      <c r="I102" s="117" t="s">
        <v>1819</v>
      </c>
    </row>
    <row r="103" customFormat="false" ht="15" hidden="false" customHeight="true" outlineLevel="0" collapsed="false">
      <c r="A103" s="96" t="s">
        <v>1816</v>
      </c>
      <c r="B103" s="96" t="s">
        <v>1938</v>
      </c>
      <c r="C103" s="96" t="s">
        <v>588</v>
      </c>
      <c r="D103" s="96" t="s">
        <v>1974</v>
      </c>
      <c r="E103" s="96" t="s">
        <v>1099</v>
      </c>
      <c r="F103" s="115" t="n">
        <v>20000</v>
      </c>
      <c r="G103" s="96" t="s">
        <v>345</v>
      </c>
      <c r="H103" s="116"/>
      <c r="I103" s="117" t="s">
        <v>1819</v>
      </c>
    </row>
    <row r="104" customFormat="false" ht="15" hidden="false" customHeight="true" outlineLevel="0" collapsed="false">
      <c r="A104" s="96" t="s">
        <v>1816</v>
      </c>
      <c r="B104" s="96" t="s">
        <v>1938</v>
      </c>
      <c r="C104" s="96" t="s">
        <v>602</v>
      </c>
      <c r="D104" s="96" t="s">
        <v>1975</v>
      </c>
      <c r="E104" s="96" t="s">
        <v>1099</v>
      </c>
      <c r="F104" s="115" t="n">
        <v>20000</v>
      </c>
      <c r="G104" s="96" t="s">
        <v>345</v>
      </c>
      <c r="H104" s="116"/>
      <c r="I104" s="117" t="s">
        <v>1819</v>
      </c>
    </row>
    <row r="105" customFormat="false" ht="15" hidden="false" customHeight="true" outlineLevel="0" collapsed="false">
      <c r="A105" s="96" t="s">
        <v>1816</v>
      </c>
      <c r="B105" s="96" t="s">
        <v>1938</v>
      </c>
      <c r="C105" s="96" t="s">
        <v>595</v>
      </c>
      <c r="D105" s="96" t="s">
        <v>1976</v>
      </c>
      <c r="E105" s="96" t="s">
        <v>266</v>
      </c>
      <c r="F105" s="115" t="n">
        <v>20000</v>
      </c>
      <c r="G105" s="96" t="s">
        <v>345</v>
      </c>
      <c r="H105" s="116"/>
      <c r="I105" s="117" t="s">
        <v>1819</v>
      </c>
    </row>
    <row r="106" customFormat="false" ht="15" hidden="false" customHeight="true" outlineLevel="0" collapsed="false">
      <c r="A106" s="96" t="s">
        <v>1816</v>
      </c>
      <c r="B106" s="96" t="s">
        <v>1938</v>
      </c>
      <c r="C106" s="96" t="s">
        <v>595</v>
      </c>
      <c r="D106" s="96" t="s">
        <v>1977</v>
      </c>
      <c r="E106" s="96" t="s">
        <v>266</v>
      </c>
      <c r="F106" s="115" t="n">
        <v>20000</v>
      </c>
      <c r="G106" s="96" t="s">
        <v>348</v>
      </c>
      <c r="H106" s="116"/>
      <c r="I106" s="117" t="s">
        <v>1819</v>
      </c>
    </row>
    <row r="107" customFormat="false" ht="15" hidden="false" customHeight="true" outlineLevel="0" collapsed="false">
      <c r="A107" s="96" t="s">
        <v>1816</v>
      </c>
      <c r="B107" s="96" t="s">
        <v>1938</v>
      </c>
      <c r="C107" s="96" t="s">
        <v>602</v>
      </c>
      <c r="D107" s="96" t="s">
        <v>1978</v>
      </c>
      <c r="E107" s="96" t="s">
        <v>266</v>
      </c>
      <c r="F107" s="115" t="n">
        <v>20000</v>
      </c>
      <c r="G107" s="96" t="s">
        <v>348</v>
      </c>
      <c r="H107" s="116"/>
      <c r="I107" s="117" t="s">
        <v>1819</v>
      </c>
    </row>
    <row r="108" customFormat="false" ht="15" hidden="false" customHeight="true" outlineLevel="0" collapsed="false">
      <c r="A108" s="96" t="s">
        <v>1816</v>
      </c>
      <c r="B108" s="96" t="s">
        <v>1938</v>
      </c>
      <c r="C108" s="96" t="s">
        <v>595</v>
      </c>
      <c r="D108" s="96" t="s">
        <v>1979</v>
      </c>
      <c r="E108" s="96" t="s">
        <v>347</v>
      </c>
      <c r="F108" s="115" t="n">
        <v>20000</v>
      </c>
      <c r="G108" s="96" t="s">
        <v>348</v>
      </c>
      <c r="H108" s="116"/>
      <c r="I108" s="117" t="s">
        <v>1819</v>
      </c>
    </row>
    <row r="109" customFormat="false" ht="15" hidden="false" customHeight="true" outlineLevel="0" collapsed="false">
      <c r="A109" s="96" t="s">
        <v>1816</v>
      </c>
      <c r="B109" s="96" t="s">
        <v>1938</v>
      </c>
      <c r="C109" s="96" t="s">
        <v>602</v>
      </c>
      <c r="D109" s="96" t="s">
        <v>1980</v>
      </c>
      <c r="E109" s="96" t="s">
        <v>389</v>
      </c>
      <c r="F109" s="115" t="n">
        <v>20000</v>
      </c>
      <c r="G109" s="96" t="s">
        <v>348</v>
      </c>
      <c r="H109" s="116"/>
      <c r="I109" s="117" t="s">
        <v>1819</v>
      </c>
    </row>
    <row r="110" customFormat="false" ht="15" hidden="false" customHeight="true" outlineLevel="0" collapsed="false">
      <c r="A110" s="96" t="s">
        <v>1816</v>
      </c>
      <c r="B110" s="96" t="s">
        <v>1938</v>
      </c>
      <c r="C110" s="96" t="s">
        <v>602</v>
      </c>
      <c r="D110" s="96" t="s">
        <v>1981</v>
      </c>
      <c r="E110" s="96" t="s">
        <v>389</v>
      </c>
      <c r="F110" s="115" t="n">
        <v>20000</v>
      </c>
      <c r="G110" s="96" t="s">
        <v>348</v>
      </c>
      <c r="H110" s="116"/>
      <c r="I110" s="117" t="s">
        <v>1819</v>
      </c>
    </row>
    <row r="111" customFormat="false" ht="15" hidden="false" customHeight="true" outlineLevel="0" collapsed="false">
      <c r="A111" s="96" t="s">
        <v>1816</v>
      </c>
      <c r="B111" s="96" t="s">
        <v>1938</v>
      </c>
      <c r="C111" s="96" t="s">
        <v>602</v>
      </c>
      <c r="D111" s="96" t="s">
        <v>1982</v>
      </c>
      <c r="E111" s="96" t="s">
        <v>389</v>
      </c>
      <c r="F111" s="115" t="n">
        <v>20000</v>
      </c>
      <c r="G111" s="96" t="s">
        <v>348</v>
      </c>
      <c r="H111" s="116"/>
      <c r="I111" s="117" t="s">
        <v>1819</v>
      </c>
    </row>
    <row r="112" customFormat="false" ht="15" hidden="false" customHeight="true" outlineLevel="0" collapsed="false">
      <c r="A112" s="96" t="s">
        <v>1816</v>
      </c>
      <c r="B112" s="96" t="s">
        <v>1938</v>
      </c>
      <c r="C112" s="96" t="s">
        <v>602</v>
      </c>
      <c r="D112" s="96" t="s">
        <v>1983</v>
      </c>
      <c r="E112" s="96" t="s">
        <v>389</v>
      </c>
      <c r="F112" s="115" t="n">
        <v>20000</v>
      </c>
      <c r="G112" s="96" t="s">
        <v>348</v>
      </c>
      <c r="H112" s="116"/>
      <c r="I112" s="117" t="s">
        <v>1819</v>
      </c>
    </row>
    <row r="113" customFormat="false" ht="15" hidden="false" customHeight="true" outlineLevel="0" collapsed="false">
      <c r="A113" s="96" t="s">
        <v>1816</v>
      </c>
      <c r="B113" s="96" t="s">
        <v>1938</v>
      </c>
      <c r="C113" s="96" t="s">
        <v>588</v>
      </c>
      <c r="D113" s="96" t="s">
        <v>1984</v>
      </c>
      <c r="E113" s="96" t="s">
        <v>351</v>
      </c>
      <c r="F113" s="115" t="n">
        <v>20000</v>
      </c>
      <c r="G113" s="96" t="s">
        <v>348</v>
      </c>
      <c r="H113" s="116"/>
      <c r="I113" s="117" t="s">
        <v>1819</v>
      </c>
    </row>
    <row r="114" customFormat="false" ht="15" hidden="false" customHeight="true" outlineLevel="0" collapsed="false">
      <c r="A114" s="96" t="s">
        <v>1816</v>
      </c>
      <c r="B114" s="96" t="s">
        <v>1938</v>
      </c>
      <c r="C114" s="96" t="s">
        <v>588</v>
      </c>
      <c r="D114" s="96" t="s">
        <v>1985</v>
      </c>
      <c r="E114" s="96" t="s">
        <v>351</v>
      </c>
      <c r="F114" s="115" t="n">
        <v>20000</v>
      </c>
      <c r="G114" s="96" t="s">
        <v>348</v>
      </c>
      <c r="H114" s="116"/>
      <c r="I114" s="117" t="s">
        <v>1819</v>
      </c>
    </row>
    <row r="115" customFormat="false" ht="15" hidden="false" customHeight="true" outlineLevel="0" collapsed="false">
      <c r="A115" s="96" t="s">
        <v>1816</v>
      </c>
      <c r="B115" s="96" t="s">
        <v>1938</v>
      </c>
      <c r="C115" s="96" t="s">
        <v>602</v>
      </c>
      <c r="D115" s="96" t="s">
        <v>1986</v>
      </c>
      <c r="E115" s="96" t="s">
        <v>351</v>
      </c>
      <c r="F115" s="115" t="n">
        <v>20000</v>
      </c>
      <c r="G115" s="96" t="s">
        <v>348</v>
      </c>
      <c r="H115" s="116"/>
      <c r="I115" s="117" t="s">
        <v>1819</v>
      </c>
    </row>
    <row r="116" customFormat="false" ht="15" hidden="false" customHeight="true" outlineLevel="0" collapsed="false">
      <c r="A116" s="96" t="s">
        <v>1816</v>
      </c>
      <c r="B116" s="96" t="s">
        <v>1938</v>
      </c>
      <c r="C116" s="96" t="s">
        <v>602</v>
      </c>
      <c r="D116" s="96" t="s">
        <v>1987</v>
      </c>
      <c r="E116" s="96" t="s">
        <v>351</v>
      </c>
      <c r="F116" s="115" t="n">
        <v>20000</v>
      </c>
      <c r="G116" s="96" t="s">
        <v>348</v>
      </c>
      <c r="H116" s="116"/>
      <c r="I116" s="117" t="s">
        <v>1819</v>
      </c>
    </row>
    <row r="117" customFormat="false" ht="15" hidden="false" customHeight="true" outlineLevel="0" collapsed="false">
      <c r="A117" s="96" t="s">
        <v>1816</v>
      </c>
      <c r="B117" s="96" t="s">
        <v>1938</v>
      </c>
      <c r="C117" s="96" t="s">
        <v>602</v>
      </c>
      <c r="D117" s="96" t="s">
        <v>1988</v>
      </c>
      <c r="E117" s="96" t="s">
        <v>351</v>
      </c>
      <c r="F117" s="115" t="n">
        <v>20000</v>
      </c>
      <c r="G117" s="96" t="s">
        <v>348</v>
      </c>
      <c r="H117" s="116"/>
      <c r="I117" s="117" t="s">
        <v>1819</v>
      </c>
    </row>
    <row r="118" customFormat="false" ht="15" hidden="false" customHeight="true" outlineLevel="0" collapsed="false">
      <c r="A118" s="96" t="s">
        <v>1816</v>
      </c>
      <c r="B118" s="96" t="s">
        <v>1938</v>
      </c>
      <c r="C118" s="96" t="s">
        <v>602</v>
      </c>
      <c r="D118" s="96" t="s">
        <v>1989</v>
      </c>
      <c r="E118" s="96" t="s">
        <v>351</v>
      </c>
      <c r="F118" s="115" t="n">
        <v>20000</v>
      </c>
      <c r="G118" s="96" t="s">
        <v>348</v>
      </c>
      <c r="H118" s="116"/>
      <c r="I118" s="117" t="s">
        <v>1819</v>
      </c>
    </row>
    <row r="119" customFormat="false" ht="15" hidden="false" customHeight="true" outlineLevel="0" collapsed="false">
      <c r="A119" s="96" t="s">
        <v>1816</v>
      </c>
      <c r="B119" s="96" t="s">
        <v>1938</v>
      </c>
      <c r="C119" s="96" t="s">
        <v>588</v>
      </c>
      <c r="D119" s="96" t="s">
        <v>1990</v>
      </c>
      <c r="E119" s="96" t="s">
        <v>351</v>
      </c>
      <c r="F119" s="115" t="n">
        <v>20000</v>
      </c>
      <c r="G119" s="96" t="s">
        <v>348</v>
      </c>
      <c r="H119" s="116"/>
      <c r="I119" s="117" t="s">
        <v>1819</v>
      </c>
    </row>
    <row r="120" customFormat="false" ht="15" hidden="false" customHeight="true" outlineLevel="0" collapsed="false">
      <c r="A120" s="96" t="s">
        <v>1816</v>
      </c>
      <c r="B120" s="96" t="s">
        <v>1938</v>
      </c>
      <c r="C120" s="96" t="s">
        <v>588</v>
      </c>
      <c r="D120" s="96" t="s">
        <v>1991</v>
      </c>
      <c r="E120" s="96" t="s">
        <v>351</v>
      </c>
      <c r="F120" s="115" t="n">
        <v>20000</v>
      </c>
      <c r="G120" s="96" t="s">
        <v>348</v>
      </c>
      <c r="H120" s="116"/>
      <c r="I120" s="117" t="s">
        <v>1819</v>
      </c>
    </row>
    <row r="121" customFormat="false" ht="15" hidden="false" customHeight="true" outlineLevel="0" collapsed="false">
      <c r="A121" s="96" t="s">
        <v>1816</v>
      </c>
      <c r="B121" s="96" t="s">
        <v>1938</v>
      </c>
      <c r="C121" s="96" t="s">
        <v>588</v>
      </c>
      <c r="D121" s="96" t="s">
        <v>1992</v>
      </c>
      <c r="E121" s="96" t="s">
        <v>351</v>
      </c>
      <c r="F121" s="115" t="n">
        <v>20000</v>
      </c>
      <c r="G121" s="96" t="s">
        <v>348</v>
      </c>
      <c r="H121" s="116"/>
      <c r="I121" s="117" t="s">
        <v>1819</v>
      </c>
    </row>
    <row r="122" customFormat="false" ht="15" hidden="false" customHeight="true" outlineLevel="0" collapsed="false">
      <c r="A122" s="96" t="s">
        <v>1816</v>
      </c>
      <c r="B122" s="96" t="s">
        <v>1938</v>
      </c>
      <c r="C122" s="96" t="s">
        <v>588</v>
      </c>
      <c r="D122" s="96" t="s">
        <v>1993</v>
      </c>
      <c r="E122" s="96" t="s">
        <v>351</v>
      </c>
      <c r="F122" s="115" t="n">
        <v>20000</v>
      </c>
      <c r="G122" s="96" t="s">
        <v>348</v>
      </c>
      <c r="H122" s="116"/>
      <c r="I122" s="117" t="s">
        <v>1819</v>
      </c>
    </row>
    <row r="123" customFormat="false" ht="15" hidden="false" customHeight="true" outlineLevel="0" collapsed="false">
      <c r="A123" s="96" t="s">
        <v>1816</v>
      </c>
      <c r="B123" s="96" t="s">
        <v>1938</v>
      </c>
      <c r="C123" s="96" t="s">
        <v>595</v>
      </c>
      <c r="D123" s="96" t="s">
        <v>1994</v>
      </c>
      <c r="E123" s="96" t="s">
        <v>351</v>
      </c>
      <c r="F123" s="115" t="n">
        <v>20000</v>
      </c>
      <c r="G123" s="96" t="s">
        <v>352</v>
      </c>
      <c r="H123" s="116"/>
      <c r="I123" s="117" t="s">
        <v>1819</v>
      </c>
    </row>
    <row r="124" customFormat="false" ht="15" hidden="false" customHeight="true" outlineLevel="0" collapsed="false">
      <c r="A124" s="96" t="s">
        <v>1816</v>
      </c>
      <c r="B124" s="96" t="s">
        <v>1938</v>
      </c>
      <c r="C124" s="96" t="s">
        <v>595</v>
      </c>
      <c r="D124" s="96" t="s">
        <v>1995</v>
      </c>
      <c r="E124" s="96" t="s">
        <v>354</v>
      </c>
      <c r="F124" s="115" t="n">
        <v>20000</v>
      </c>
      <c r="G124" s="96" t="s">
        <v>352</v>
      </c>
      <c r="H124" s="116"/>
      <c r="I124" s="117" t="s">
        <v>1819</v>
      </c>
    </row>
    <row r="125" customFormat="false" ht="15" hidden="false" customHeight="true" outlineLevel="0" collapsed="false">
      <c r="A125" s="96" t="s">
        <v>1816</v>
      </c>
      <c r="B125" s="96" t="s">
        <v>691</v>
      </c>
      <c r="C125" s="96" t="s">
        <v>595</v>
      </c>
      <c r="D125" s="96" t="s">
        <v>1996</v>
      </c>
      <c r="E125" s="96" t="s">
        <v>301</v>
      </c>
      <c r="F125" s="115" t="n">
        <v>30000</v>
      </c>
      <c r="G125" s="96" t="s">
        <v>302</v>
      </c>
      <c r="H125" s="116"/>
      <c r="I125" s="117" t="s">
        <v>1819</v>
      </c>
    </row>
    <row r="126" customFormat="false" ht="15" hidden="false" customHeight="true" outlineLevel="0" collapsed="false">
      <c r="A126" s="96" t="s">
        <v>1816</v>
      </c>
      <c r="B126" s="96" t="s">
        <v>691</v>
      </c>
      <c r="C126" s="96" t="s">
        <v>588</v>
      </c>
      <c r="D126" s="96" t="s">
        <v>1997</v>
      </c>
      <c r="E126" s="96" t="s">
        <v>396</v>
      </c>
      <c r="F126" s="115" t="n">
        <v>25000</v>
      </c>
      <c r="G126" s="96" t="s">
        <v>437</v>
      </c>
      <c r="H126" s="116"/>
      <c r="I126" s="117" t="s">
        <v>1819</v>
      </c>
    </row>
    <row r="127" customFormat="false" ht="15" hidden="false" customHeight="true" outlineLevel="0" collapsed="false">
      <c r="A127" s="96" t="s">
        <v>1816</v>
      </c>
      <c r="B127" s="96" t="s">
        <v>691</v>
      </c>
      <c r="C127" s="96" t="s">
        <v>602</v>
      </c>
      <c r="D127" s="96" t="s">
        <v>1998</v>
      </c>
      <c r="E127" s="96" t="s">
        <v>351</v>
      </c>
      <c r="F127" s="115" t="n">
        <v>22500</v>
      </c>
      <c r="G127" s="96" t="s">
        <v>1999</v>
      </c>
      <c r="H127" s="116"/>
      <c r="I127" s="117" t="s">
        <v>1819</v>
      </c>
    </row>
    <row r="128" customFormat="false" ht="15" hidden="false" customHeight="true" outlineLevel="0" collapsed="false">
      <c r="A128" s="96" t="s">
        <v>1816</v>
      </c>
      <c r="B128" s="96" t="s">
        <v>691</v>
      </c>
      <c r="C128" s="96" t="s">
        <v>588</v>
      </c>
      <c r="D128" s="96" t="s">
        <v>2000</v>
      </c>
      <c r="E128" s="96" t="s">
        <v>1128</v>
      </c>
      <c r="F128" s="115" t="n">
        <v>20000</v>
      </c>
      <c r="G128" s="96" t="s">
        <v>2001</v>
      </c>
      <c r="H128" s="116"/>
      <c r="I128" s="117" t="s">
        <v>1819</v>
      </c>
    </row>
    <row r="129" customFormat="false" ht="15" hidden="false" customHeight="true" outlineLevel="0" collapsed="false">
      <c r="A129" s="96" t="s">
        <v>1816</v>
      </c>
      <c r="B129" s="96" t="s">
        <v>691</v>
      </c>
      <c r="C129" s="96" t="s">
        <v>602</v>
      </c>
      <c r="D129" s="96" t="s">
        <v>2002</v>
      </c>
      <c r="E129" s="96" t="s">
        <v>1170</v>
      </c>
      <c r="F129" s="115" t="n">
        <v>20000</v>
      </c>
      <c r="G129" s="96" t="s">
        <v>2001</v>
      </c>
      <c r="H129" s="116"/>
      <c r="I129" s="117" t="s">
        <v>1819</v>
      </c>
    </row>
    <row r="130" customFormat="false" ht="15" hidden="false" customHeight="true" outlineLevel="0" collapsed="false">
      <c r="A130" s="96" t="s">
        <v>1816</v>
      </c>
      <c r="B130" s="96" t="s">
        <v>691</v>
      </c>
      <c r="C130" s="96" t="s">
        <v>595</v>
      </c>
      <c r="D130" s="96" t="s">
        <v>2003</v>
      </c>
      <c r="E130" s="96" t="s">
        <v>251</v>
      </c>
      <c r="F130" s="115" t="n">
        <v>20000</v>
      </c>
      <c r="G130" s="96" t="s">
        <v>2004</v>
      </c>
      <c r="H130" s="116"/>
      <c r="I130" s="117" t="s">
        <v>1819</v>
      </c>
    </row>
    <row r="131" customFormat="false" ht="15" hidden="false" customHeight="true" outlineLevel="0" collapsed="false">
      <c r="A131" s="96" t="s">
        <v>1816</v>
      </c>
      <c r="B131" s="96" t="s">
        <v>691</v>
      </c>
      <c r="C131" s="96" t="s">
        <v>602</v>
      </c>
      <c r="D131" s="96" t="s">
        <v>2005</v>
      </c>
      <c r="E131" s="96" t="s">
        <v>994</v>
      </c>
      <c r="F131" s="115" t="n">
        <v>18000</v>
      </c>
      <c r="G131" s="96" t="s">
        <v>1999</v>
      </c>
      <c r="H131" s="116"/>
      <c r="I131" s="117" t="s">
        <v>1819</v>
      </c>
    </row>
    <row r="132" customFormat="false" ht="15" hidden="false" customHeight="true" outlineLevel="0" collapsed="false">
      <c r="A132" s="96" t="s">
        <v>1816</v>
      </c>
      <c r="B132" s="96" t="s">
        <v>691</v>
      </c>
      <c r="C132" s="96" t="s">
        <v>588</v>
      </c>
      <c r="D132" s="96" t="s">
        <v>2006</v>
      </c>
      <c r="E132" s="96" t="s">
        <v>261</v>
      </c>
      <c r="F132" s="115" t="n">
        <v>15000</v>
      </c>
      <c r="G132" s="96" t="s">
        <v>2007</v>
      </c>
      <c r="H132" s="116"/>
      <c r="I132" s="117" t="s">
        <v>1819</v>
      </c>
    </row>
    <row r="133" customFormat="false" ht="15" hidden="false" customHeight="true" outlineLevel="0" collapsed="false">
      <c r="A133" s="96" t="s">
        <v>1816</v>
      </c>
      <c r="B133" s="96" t="s">
        <v>691</v>
      </c>
      <c r="C133" s="96" t="s">
        <v>595</v>
      </c>
      <c r="D133" s="96" t="s">
        <v>1127</v>
      </c>
      <c r="E133" s="96" t="s">
        <v>357</v>
      </c>
      <c r="F133" s="115" t="n">
        <v>15000</v>
      </c>
      <c r="G133" s="96" t="s">
        <v>2008</v>
      </c>
      <c r="H133" s="116"/>
      <c r="I133" s="117" t="s">
        <v>1819</v>
      </c>
    </row>
    <row r="134" customFormat="false" ht="15" hidden="false" customHeight="true" outlineLevel="0" collapsed="false">
      <c r="A134" s="96" t="s">
        <v>1816</v>
      </c>
      <c r="B134" s="96" t="s">
        <v>691</v>
      </c>
      <c r="C134" s="96" t="s">
        <v>588</v>
      </c>
      <c r="D134" s="96" t="s">
        <v>2009</v>
      </c>
      <c r="E134" s="96" t="s">
        <v>251</v>
      </c>
      <c r="F134" s="115" t="n">
        <v>15000</v>
      </c>
      <c r="G134" s="96" t="s">
        <v>2004</v>
      </c>
      <c r="H134" s="116"/>
      <c r="I134" s="117" t="s">
        <v>1819</v>
      </c>
    </row>
    <row r="135" customFormat="false" ht="15" hidden="false" customHeight="true" outlineLevel="0" collapsed="false">
      <c r="A135" s="96" t="s">
        <v>1816</v>
      </c>
      <c r="B135" s="96" t="s">
        <v>691</v>
      </c>
      <c r="C135" s="96" t="s">
        <v>602</v>
      </c>
      <c r="D135" s="96" t="s">
        <v>1127</v>
      </c>
      <c r="E135" s="96" t="s">
        <v>357</v>
      </c>
      <c r="F135" s="115" t="n">
        <v>12500</v>
      </c>
      <c r="G135" s="96" t="s">
        <v>2008</v>
      </c>
      <c r="H135" s="116"/>
      <c r="I135" s="117" t="s">
        <v>1819</v>
      </c>
    </row>
    <row r="136" customFormat="false" ht="15" hidden="false" customHeight="true" outlineLevel="0" collapsed="false">
      <c r="A136" s="96" t="s">
        <v>1816</v>
      </c>
      <c r="B136" s="96" t="s">
        <v>691</v>
      </c>
      <c r="C136" s="96" t="s">
        <v>602</v>
      </c>
      <c r="D136" s="96" t="s">
        <v>346</v>
      </c>
      <c r="E136" s="96" t="s">
        <v>347</v>
      </c>
      <c r="F136" s="115" t="n">
        <v>12000</v>
      </c>
      <c r="G136" s="96" t="s">
        <v>1999</v>
      </c>
      <c r="H136" s="116"/>
      <c r="I136" s="117" t="s">
        <v>1819</v>
      </c>
    </row>
    <row r="137" customFormat="false" ht="15" hidden="false" customHeight="true" outlineLevel="0" collapsed="false">
      <c r="A137" s="96" t="s">
        <v>1816</v>
      </c>
      <c r="B137" s="96" t="s">
        <v>691</v>
      </c>
      <c r="C137" s="96" t="s">
        <v>588</v>
      </c>
      <c r="D137" s="96" t="s">
        <v>2010</v>
      </c>
      <c r="E137" s="96" t="s">
        <v>972</v>
      </c>
      <c r="F137" s="115" t="n">
        <v>10000</v>
      </c>
      <c r="G137" s="96" t="s">
        <v>2011</v>
      </c>
      <c r="H137" s="116"/>
      <c r="I137" s="117" t="s">
        <v>1819</v>
      </c>
    </row>
    <row r="138" customFormat="false" ht="15" hidden="false" customHeight="true" outlineLevel="0" collapsed="false">
      <c r="A138" s="96" t="s">
        <v>1816</v>
      </c>
      <c r="B138" s="96" t="s">
        <v>691</v>
      </c>
      <c r="C138" s="96" t="s">
        <v>595</v>
      </c>
      <c r="D138" s="96" t="s">
        <v>2012</v>
      </c>
      <c r="E138" s="96" t="s">
        <v>261</v>
      </c>
      <c r="F138" s="115" t="n">
        <v>10000</v>
      </c>
      <c r="G138" s="96" t="s">
        <v>2007</v>
      </c>
      <c r="H138" s="116"/>
      <c r="I138" s="117" t="s">
        <v>1819</v>
      </c>
    </row>
    <row r="139" customFormat="false" ht="15" hidden="false" customHeight="true" outlineLevel="0" collapsed="false">
      <c r="A139" s="96" t="s">
        <v>1816</v>
      </c>
      <c r="B139" s="96" t="s">
        <v>691</v>
      </c>
      <c r="C139" s="96" t="s">
        <v>595</v>
      </c>
      <c r="D139" s="96" t="s">
        <v>2013</v>
      </c>
      <c r="E139" s="96" t="s">
        <v>282</v>
      </c>
      <c r="F139" s="115" t="n">
        <v>10000</v>
      </c>
      <c r="G139" s="96" t="s">
        <v>2008</v>
      </c>
      <c r="H139" s="116"/>
      <c r="I139" s="117" t="s">
        <v>1819</v>
      </c>
    </row>
    <row r="140" customFormat="false" ht="15" hidden="false" customHeight="true" outlineLevel="0" collapsed="false">
      <c r="A140" s="96" t="s">
        <v>1816</v>
      </c>
      <c r="B140" s="96" t="s">
        <v>691</v>
      </c>
      <c r="C140" s="96" t="s">
        <v>588</v>
      </c>
      <c r="D140" s="96" t="s">
        <v>1127</v>
      </c>
      <c r="E140" s="96" t="s">
        <v>357</v>
      </c>
      <c r="F140" s="115" t="n">
        <v>10000</v>
      </c>
      <c r="G140" s="96" t="s">
        <v>2008</v>
      </c>
      <c r="H140" s="116"/>
      <c r="I140" s="117" t="s">
        <v>1819</v>
      </c>
    </row>
    <row r="141" customFormat="false" ht="15" hidden="false" customHeight="true" outlineLevel="0" collapsed="false">
      <c r="A141" s="96" t="s">
        <v>1816</v>
      </c>
      <c r="B141" s="96" t="s">
        <v>691</v>
      </c>
      <c r="C141" s="96" t="s">
        <v>602</v>
      </c>
      <c r="D141" s="96" t="s">
        <v>427</v>
      </c>
      <c r="E141" s="96" t="s">
        <v>428</v>
      </c>
      <c r="F141" s="115" t="n">
        <v>10000</v>
      </c>
      <c r="G141" s="96" t="s">
        <v>429</v>
      </c>
      <c r="H141" s="116"/>
      <c r="I141" s="117" t="s">
        <v>1819</v>
      </c>
    </row>
    <row r="142" customFormat="false" ht="15" hidden="false" customHeight="true" outlineLevel="0" collapsed="false">
      <c r="A142" s="96" t="s">
        <v>1816</v>
      </c>
      <c r="B142" s="96" t="s">
        <v>691</v>
      </c>
      <c r="C142" s="96" t="s">
        <v>595</v>
      </c>
      <c r="D142" s="96" t="s">
        <v>2014</v>
      </c>
      <c r="E142" s="96" t="s">
        <v>428</v>
      </c>
      <c r="F142" s="115" t="n">
        <v>10000</v>
      </c>
      <c r="G142" s="96" t="s">
        <v>429</v>
      </c>
      <c r="H142" s="116"/>
      <c r="I142" s="117" t="s">
        <v>1819</v>
      </c>
    </row>
    <row r="143" customFormat="false" ht="15" hidden="false" customHeight="true" outlineLevel="0" collapsed="false">
      <c r="A143" s="96" t="s">
        <v>1816</v>
      </c>
      <c r="B143" s="96" t="s">
        <v>691</v>
      </c>
      <c r="C143" s="96" t="s">
        <v>602</v>
      </c>
      <c r="D143" s="96" t="s">
        <v>2015</v>
      </c>
      <c r="E143" s="96" t="s">
        <v>516</v>
      </c>
      <c r="F143" s="115" t="n">
        <v>10000</v>
      </c>
      <c r="G143" s="96" t="s">
        <v>429</v>
      </c>
      <c r="H143" s="116"/>
      <c r="I143" s="117" t="s">
        <v>1819</v>
      </c>
    </row>
    <row r="144" customFormat="false" ht="15" hidden="false" customHeight="true" outlineLevel="0" collapsed="false">
      <c r="A144" s="96" t="s">
        <v>1816</v>
      </c>
      <c r="B144" s="96" t="s">
        <v>691</v>
      </c>
      <c r="C144" s="96" t="s">
        <v>602</v>
      </c>
      <c r="D144" s="96" t="s">
        <v>2016</v>
      </c>
      <c r="E144" s="96" t="s">
        <v>291</v>
      </c>
      <c r="F144" s="115" t="n">
        <v>10000</v>
      </c>
      <c r="G144" s="96" t="s">
        <v>2001</v>
      </c>
      <c r="H144" s="116"/>
      <c r="I144" s="117" t="s">
        <v>1819</v>
      </c>
    </row>
    <row r="145" customFormat="false" ht="15" hidden="false" customHeight="true" outlineLevel="0" collapsed="false">
      <c r="A145" s="96" t="s">
        <v>1816</v>
      </c>
      <c r="B145" s="96" t="s">
        <v>691</v>
      </c>
      <c r="C145" s="96" t="s">
        <v>595</v>
      </c>
      <c r="D145" s="96" t="s">
        <v>290</v>
      </c>
      <c r="E145" s="96" t="s">
        <v>291</v>
      </c>
      <c r="F145" s="115" t="n">
        <v>10000</v>
      </c>
      <c r="G145" s="96" t="s">
        <v>2001</v>
      </c>
      <c r="H145" s="116"/>
      <c r="I145" s="117" t="s">
        <v>1819</v>
      </c>
    </row>
    <row r="146" customFormat="false" ht="15" hidden="false" customHeight="true" outlineLevel="0" collapsed="false">
      <c r="A146" s="96" t="s">
        <v>1816</v>
      </c>
      <c r="B146" s="96" t="s">
        <v>691</v>
      </c>
      <c r="C146" s="96" t="s">
        <v>595</v>
      </c>
      <c r="D146" s="96" t="s">
        <v>657</v>
      </c>
      <c r="E146" s="96" t="s">
        <v>246</v>
      </c>
      <c r="F146" s="115" t="n">
        <v>10000</v>
      </c>
      <c r="G146" s="96" t="s">
        <v>2017</v>
      </c>
      <c r="H146" s="116"/>
      <c r="I146" s="117" t="s">
        <v>1819</v>
      </c>
    </row>
    <row r="147" customFormat="false" ht="15" hidden="false" customHeight="true" outlineLevel="0" collapsed="false">
      <c r="A147" s="96" t="s">
        <v>1816</v>
      </c>
      <c r="B147" s="96" t="s">
        <v>691</v>
      </c>
      <c r="C147" s="96" t="s">
        <v>595</v>
      </c>
      <c r="D147" s="96" t="s">
        <v>2018</v>
      </c>
      <c r="E147" s="96" t="s">
        <v>432</v>
      </c>
      <c r="F147" s="115" t="n">
        <v>10000</v>
      </c>
      <c r="G147" s="96" t="s">
        <v>433</v>
      </c>
      <c r="H147" s="116"/>
      <c r="I147" s="117" t="s">
        <v>1819</v>
      </c>
    </row>
    <row r="148" customFormat="false" ht="15" hidden="false" customHeight="true" outlineLevel="0" collapsed="false">
      <c r="A148" s="96" t="s">
        <v>1816</v>
      </c>
      <c r="B148" s="96" t="s">
        <v>691</v>
      </c>
      <c r="C148" s="96" t="s">
        <v>602</v>
      </c>
      <c r="D148" s="96" t="s">
        <v>2019</v>
      </c>
      <c r="E148" s="96" t="s">
        <v>1160</v>
      </c>
      <c r="F148" s="115" t="n">
        <v>10000</v>
      </c>
      <c r="G148" s="96" t="s">
        <v>433</v>
      </c>
      <c r="H148" s="116"/>
      <c r="I148" s="117" t="s">
        <v>1819</v>
      </c>
    </row>
    <row r="149" customFormat="false" ht="15" hidden="false" customHeight="true" outlineLevel="0" collapsed="false">
      <c r="A149" s="96" t="s">
        <v>1816</v>
      </c>
      <c r="B149" s="96" t="s">
        <v>691</v>
      </c>
      <c r="C149" s="96" t="s">
        <v>602</v>
      </c>
      <c r="D149" s="96" t="s">
        <v>2020</v>
      </c>
      <c r="E149" s="96" t="s">
        <v>294</v>
      </c>
      <c r="F149" s="115" t="n">
        <v>10000</v>
      </c>
      <c r="G149" s="96" t="s">
        <v>433</v>
      </c>
      <c r="H149" s="116"/>
      <c r="I149" s="117" t="s">
        <v>1819</v>
      </c>
    </row>
    <row r="150" customFormat="false" ht="15" hidden="false" customHeight="true" outlineLevel="0" collapsed="false">
      <c r="A150" s="96" t="s">
        <v>1816</v>
      </c>
      <c r="B150" s="96" t="s">
        <v>691</v>
      </c>
      <c r="C150" s="96" t="s">
        <v>595</v>
      </c>
      <c r="D150" s="96" t="s">
        <v>293</v>
      </c>
      <c r="E150" s="96" t="s">
        <v>294</v>
      </c>
      <c r="F150" s="115" t="n">
        <v>10000</v>
      </c>
      <c r="G150" s="96" t="s">
        <v>433</v>
      </c>
      <c r="H150" s="116"/>
      <c r="I150" s="117" t="s">
        <v>1819</v>
      </c>
    </row>
    <row r="151" customFormat="false" ht="15" hidden="false" customHeight="true" outlineLevel="0" collapsed="false">
      <c r="A151" s="96" t="s">
        <v>1816</v>
      </c>
      <c r="B151" s="96" t="s">
        <v>691</v>
      </c>
      <c r="C151" s="96" t="s">
        <v>595</v>
      </c>
      <c r="D151" s="96" t="s">
        <v>2021</v>
      </c>
      <c r="E151" s="96" t="s">
        <v>436</v>
      </c>
      <c r="F151" s="115" t="n">
        <v>10000</v>
      </c>
      <c r="G151" s="96" t="s">
        <v>437</v>
      </c>
      <c r="H151" s="116"/>
      <c r="I151" s="117" t="s">
        <v>1819</v>
      </c>
    </row>
    <row r="152" customFormat="false" ht="15" hidden="false" customHeight="true" outlineLevel="0" collapsed="false">
      <c r="A152" s="96" t="s">
        <v>1816</v>
      </c>
      <c r="B152" s="96" t="s">
        <v>691</v>
      </c>
      <c r="C152" s="96" t="s">
        <v>602</v>
      </c>
      <c r="D152" s="96" t="s">
        <v>1201</v>
      </c>
      <c r="E152" s="96" t="s">
        <v>1200</v>
      </c>
      <c r="F152" s="115" t="n">
        <v>10000</v>
      </c>
      <c r="G152" s="96" t="s">
        <v>2004</v>
      </c>
      <c r="H152" s="116"/>
      <c r="I152" s="117" t="s">
        <v>1819</v>
      </c>
    </row>
    <row r="153" customFormat="false" ht="15" hidden="false" customHeight="true" outlineLevel="0" collapsed="false">
      <c r="A153" s="96" t="s">
        <v>1816</v>
      </c>
      <c r="B153" s="96" t="s">
        <v>691</v>
      </c>
      <c r="C153" s="96" t="s">
        <v>588</v>
      </c>
      <c r="D153" s="96" t="s">
        <v>2022</v>
      </c>
      <c r="E153" s="96" t="s">
        <v>297</v>
      </c>
      <c r="F153" s="115" t="n">
        <v>10000</v>
      </c>
      <c r="G153" s="96" t="s">
        <v>2004</v>
      </c>
      <c r="H153" s="116"/>
      <c r="I153" s="117" t="s">
        <v>1819</v>
      </c>
    </row>
    <row r="154" customFormat="false" ht="15" hidden="false" customHeight="true" outlineLevel="0" collapsed="false">
      <c r="A154" s="96" t="s">
        <v>1816</v>
      </c>
      <c r="B154" s="96" t="s">
        <v>691</v>
      </c>
      <c r="C154" s="96" t="s">
        <v>588</v>
      </c>
      <c r="D154" s="96" t="s">
        <v>2023</v>
      </c>
      <c r="E154" s="96" t="s">
        <v>1099</v>
      </c>
      <c r="F154" s="115" t="n">
        <v>10000</v>
      </c>
      <c r="G154" s="96" t="s">
        <v>1999</v>
      </c>
      <c r="H154" s="116"/>
      <c r="I154" s="117" t="s">
        <v>1819</v>
      </c>
    </row>
    <row r="155" customFormat="false" ht="15" hidden="false" customHeight="true" outlineLevel="0" collapsed="false">
      <c r="A155" s="96" t="s">
        <v>1816</v>
      </c>
      <c r="B155" s="96" t="s">
        <v>691</v>
      </c>
      <c r="C155" s="96" t="s">
        <v>588</v>
      </c>
      <c r="D155" s="96" t="s">
        <v>2024</v>
      </c>
      <c r="E155" s="96" t="s">
        <v>347</v>
      </c>
      <c r="F155" s="115" t="n">
        <v>10000</v>
      </c>
      <c r="G155" s="96" t="s">
        <v>1999</v>
      </c>
      <c r="H155" s="116"/>
      <c r="I155" s="117" t="s">
        <v>1819</v>
      </c>
    </row>
    <row r="156" customFormat="false" ht="15" hidden="false" customHeight="true" outlineLevel="0" collapsed="false">
      <c r="A156" s="96" t="s">
        <v>1816</v>
      </c>
      <c r="B156" s="96" t="s">
        <v>691</v>
      </c>
      <c r="C156" s="96" t="s">
        <v>588</v>
      </c>
      <c r="D156" s="96" t="s">
        <v>2025</v>
      </c>
      <c r="E156" s="96" t="s">
        <v>351</v>
      </c>
      <c r="F156" s="115" t="n">
        <v>10000</v>
      </c>
      <c r="G156" s="96" t="s">
        <v>1999</v>
      </c>
      <c r="H156" s="116"/>
      <c r="I156" s="117" t="s">
        <v>1819</v>
      </c>
    </row>
    <row r="157" customFormat="false" ht="15" hidden="false" customHeight="true" outlineLevel="0" collapsed="false">
      <c r="A157" s="96" t="s">
        <v>1816</v>
      </c>
      <c r="B157" s="96" t="s">
        <v>691</v>
      </c>
      <c r="C157" s="96" t="s">
        <v>588</v>
      </c>
      <c r="D157" s="96" t="s">
        <v>2026</v>
      </c>
      <c r="E157" s="96" t="s">
        <v>1164</v>
      </c>
      <c r="F157" s="115" t="n">
        <v>10000</v>
      </c>
      <c r="G157" s="96" t="s">
        <v>302</v>
      </c>
      <c r="H157" s="116"/>
      <c r="I157" s="117" t="s">
        <v>1819</v>
      </c>
    </row>
    <row r="158" customFormat="false" ht="15" hidden="false" customHeight="true" outlineLevel="0" collapsed="false">
      <c r="A158" s="96" t="s">
        <v>1816</v>
      </c>
      <c r="B158" s="96" t="s">
        <v>2027</v>
      </c>
      <c r="C158" s="96" t="s">
        <v>602</v>
      </c>
      <c r="D158" s="96" t="s">
        <v>2028</v>
      </c>
      <c r="E158" s="96" t="s">
        <v>246</v>
      </c>
      <c r="F158" s="115" t="n">
        <v>45000</v>
      </c>
      <c r="G158" s="96" t="s">
        <v>362</v>
      </c>
      <c r="H158" s="116"/>
      <c r="I158" s="117" t="s">
        <v>1819</v>
      </c>
    </row>
    <row r="159" customFormat="false" ht="15" hidden="false" customHeight="true" outlineLevel="0" collapsed="false">
      <c r="A159" s="96" t="s">
        <v>1816</v>
      </c>
      <c r="B159" s="96" t="s">
        <v>2027</v>
      </c>
      <c r="C159" s="96" t="s">
        <v>602</v>
      </c>
      <c r="D159" s="96" t="s">
        <v>1104</v>
      </c>
      <c r="E159" s="96" t="s">
        <v>1103</v>
      </c>
      <c r="F159" s="115" t="n">
        <v>45000</v>
      </c>
      <c r="G159" s="96" t="s">
        <v>306</v>
      </c>
      <c r="H159" s="116"/>
      <c r="I159" s="117" t="s">
        <v>1819</v>
      </c>
    </row>
    <row r="160" customFormat="false" ht="15" hidden="false" customHeight="true" outlineLevel="0" collapsed="false">
      <c r="A160" s="96" t="s">
        <v>1816</v>
      </c>
      <c r="B160" s="96" t="s">
        <v>2027</v>
      </c>
      <c r="C160" s="96" t="s">
        <v>595</v>
      </c>
      <c r="D160" s="96" t="s">
        <v>2029</v>
      </c>
      <c r="E160" s="96" t="s">
        <v>305</v>
      </c>
      <c r="F160" s="115" t="n">
        <v>30000</v>
      </c>
      <c r="G160" s="96" t="s">
        <v>306</v>
      </c>
      <c r="H160" s="116"/>
      <c r="I160" s="117" t="s">
        <v>1819</v>
      </c>
    </row>
    <row r="161" customFormat="false" ht="15" hidden="false" customHeight="true" outlineLevel="0" collapsed="false">
      <c r="A161" s="96" t="s">
        <v>1816</v>
      </c>
      <c r="B161" s="96" t="s">
        <v>2027</v>
      </c>
      <c r="C161" s="96" t="s">
        <v>588</v>
      </c>
      <c r="D161" s="96" t="s">
        <v>2030</v>
      </c>
      <c r="E161" s="96" t="s">
        <v>291</v>
      </c>
      <c r="F161" s="115" t="n">
        <v>20000</v>
      </c>
      <c r="G161" s="96" t="s">
        <v>362</v>
      </c>
      <c r="H161" s="116"/>
      <c r="I161" s="117" t="s">
        <v>1819</v>
      </c>
    </row>
    <row r="162" customFormat="false" ht="15" hidden="false" customHeight="true" outlineLevel="0" collapsed="false">
      <c r="A162" s="96" t="s">
        <v>1816</v>
      </c>
      <c r="B162" s="96" t="s">
        <v>2027</v>
      </c>
      <c r="C162" s="96" t="s">
        <v>588</v>
      </c>
      <c r="D162" s="96" t="s">
        <v>2031</v>
      </c>
      <c r="E162" s="96" t="s">
        <v>246</v>
      </c>
      <c r="F162" s="115" t="n">
        <v>20000</v>
      </c>
      <c r="G162" s="96" t="s">
        <v>362</v>
      </c>
      <c r="H162" s="116"/>
      <c r="I162" s="117" t="s">
        <v>1819</v>
      </c>
    </row>
    <row r="163" customFormat="false" ht="15" hidden="false" customHeight="true" outlineLevel="0" collapsed="false">
      <c r="A163" s="96" t="s">
        <v>1816</v>
      </c>
      <c r="B163" s="96" t="s">
        <v>2027</v>
      </c>
      <c r="C163" s="96" t="s">
        <v>588</v>
      </c>
      <c r="D163" s="96" t="s">
        <v>2032</v>
      </c>
      <c r="E163" s="96" t="s">
        <v>361</v>
      </c>
      <c r="F163" s="115" t="n">
        <v>20000</v>
      </c>
      <c r="G163" s="96" t="s">
        <v>362</v>
      </c>
      <c r="H163" s="116"/>
      <c r="I163" s="117" t="s">
        <v>1819</v>
      </c>
    </row>
    <row r="164" customFormat="false" ht="15" hidden="false" customHeight="true" outlineLevel="0" collapsed="false">
      <c r="A164" s="96" t="s">
        <v>1816</v>
      </c>
      <c r="B164" s="96" t="s">
        <v>2027</v>
      </c>
      <c r="C164" s="96" t="s">
        <v>595</v>
      </c>
      <c r="D164" s="96" t="s">
        <v>2033</v>
      </c>
      <c r="E164" s="96" t="s">
        <v>361</v>
      </c>
      <c r="F164" s="115" t="n">
        <v>20000</v>
      </c>
      <c r="G164" s="96" t="s">
        <v>362</v>
      </c>
      <c r="H164" s="116"/>
      <c r="I164" s="117" t="s">
        <v>1819</v>
      </c>
    </row>
    <row r="165" customFormat="false" ht="15" hidden="false" customHeight="true" outlineLevel="0" collapsed="false">
      <c r="A165" s="96" t="s">
        <v>1816</v>
      </c>
      <c r="B165" s="96" t="s">
        <v>2027</v>
      </c>
      <c r="C165" s="96" t="s">
        <v>595</v>
      </c>
      <c r="D165" s="96" t="s">
        <v>2034</v>
      </c>
      <c r="E165" s="96" t="s">
        <v>365</v>
      </c>
      <c r="F165" s="115" t="n">
        <v>20000</v>
      </c>
      <c r="G165" s="96" t="s">
        <v>366</v>
      </c>
      <c r="H165" s="116"/>
      <c r="I165" s="117" t="s">
        <v>1819</v>
      </c>
    </row>
    <row r="166" customFormat="false" ht="15" hidden="false" customHeight="true" outlineLevel="0" collapsed="false">
      <c r="A166" s="96" t="s">
        <v>1816</v>
      </c>
      <c r="B166" s="96" t="s">
        <v>2027</v>
      </c>
      <c r="C166" s="96" t="s">
        <v>588</v>
      </c>
      <c r="D166" s="96" t="s">
        <v>2035</v>
      </c>
      <c r="E166" s="96" t="s">
        <v>351</v>
      </c>
      <c r="F166" s="115" t="n">
        <v>20000</v>
      </c>
      <c r="G166" s="96" t="s">
        <v>306</v>
      </c>
      <c r="H166" s="116"/>
      <c r="I166" s="117" t="s">
        <v>1819</v>
      </c>
    </row>
    <row r="167" customFormat="false" ht="15" hidden="false" customHeight="true" outlineLevel="0" collapsed="false">
      <c r="A167" s="96" t="s">
        <v>1816</v>
      </c>
      <c r="B167" s="96" t="s">
        <v>2027</v>
      </c>
      <c r="C167" s="96" t="s">
        <v>595</v>
      </c>
      <c r="D167" s="96" t="s">
        <v>2036</v>
      </c>
      <c r="E167" s="96" t="s">
        <v>269</v>
      </c>
      <c r="F167" s="115" t="n">
        <v>20000</v>
      </c>
      <c r="G167" s="96" t="s">
        <v>306</v>
      </c>
      <c r="H167" s="116"/>
      <c r="I167" s="117" t="s">
        <v>1819</v>
      </c>
    </row>
    <row r="168" customFormat="false" ht="15" hidden="false" customHeight="true" outlineLevel="0" collapsed="false">
      <c r="A168" s="96" t="s">
        <v>1816</v>
      </c>
      <c r="B168" s="96" t="s">
        <v>2027</v>
      </c>
      <c r="C168" s="96" t="s">
        <v>588</v>
      </c>
      <c r="D168" s="96" t="s">
        <v>1104</v>
      </c>
      <c r="E168" s="96" t="s">
        <v>1103</v>
      </c>
      <c r="F168" s="115" t="n">
        <v>10000</v>
      </c>
      <c r="G168" s="96" t="s">
        <v>306</v>
      </c>
      <c r="H168" s="116"/>
      <c r="I168" s="117" t="s">
        <v>1819</v>
      </c>
    </row>
    <row r="169" customFormat="false" ht="15" hidden="false" customHeight="true" outlineLevel="0" collapsed="false">
      <c r="A169" s="96" t="s">
        <v>1816</v>
      </c>
      <c r="B169" s="96" t="s">
        <v>2037</v>
      </c>
      <c r="C169" s="96" t="s">
        <v>602</v>
      </c>
      <c r="D169" s="96" t="s">
        <v>2038</v>
      </c>
      <c r="E169" s="96" t="s">
        <v>216</v>
      </c>
      <c r="F169" s="115" t="n">
        <v>55000</v>
      </c>
      <c r="G169" s="96" t="s">
        <v>370</v>
      </c>
      <c r="H169" s="116"/>
      <c r="I169" s="117" t="s">
        <v>1819</v>
      </c>
    </row>
    <row r="170" customFormat="false" ht="15" hidden="false" customHeight="true" outlineLevel="0" collapsed="false">
      <c r="A170" s="96" t="s">
        <v>1816</v>
      </c>
      <c r="B170" s="96" t="s">
        <v>2037</v>
      </c>
      <c r="C170" s="96" t="s">
        <v>595</v>
      </c>
      <c r="D170" s="96" t="s">
        <v>2039</v>
      </c>
      <c r="E170" s="96" t="s">
        <v>241</v>
      </c>
      <c r="F170" s="115" t="n">
        <v>50000</v>
      </c>
      <c r="G170" s="96" t="s">
        <v>440</v>
      </c>
      <c r="H170" s="116"/>
      <c r="I170" s="117" t="s">
        <v>1819</v>
      </c>
    </row>
    <row r="171" customFormat="false" ht="15" hidden="false" customHeight="true" outlineLevel="0" collapsed="false">
      <c r="A171" s="96" t="s">
        <v>1816</v>
      </c>
      <c r="B171" s="96" t="s">
        <v>2037</v>
      </c>
      <c r="C171" s="96" t="s">
        <v>602</v>
      </c>
      <c r="D171" s="96" t="s">
        <v>2040</v>
      </c>
      <c r="E171" s="96" t="s">
        <v>377</v>
      </c>
      <c r="F171" s="115" t="n">
        <v>50000</v>
      </c>
      <c r="G171" s="96" t="s">
        <v>378</v>
      </c>
      <c r="H171" s="116"/>
      <c r="I171" s="117" t="s">
        <v>1819</v>
      </c>
    </row>
    <row r="172" customFormat="false" ht="15" hidden="false" customHeight="true" outlineLevel="0" collapsed="false">
      <c r="A172" s="96" t="s">
        <v>1816</v>
      </c>
      <c r="B172" s="96" t="s">
        <v>2037</v>
      </c>
      <c r="C172" s="96" t="s">
        <v>602</v>
      </c>
      <c r="D172" s="96" t="s">
        <v>2041</v>
      </c>
      <c r="E172" s="96" t="s">
        <v>369</v>
      </c>
      <c r="F172" s="115" t="n">
        <v>45000</v>
      </c>
      <c r="G172" s="96" t="s">
        <v>370</v>
      </c>
      <c r="H172" s="116"/>
      <c r="I172" s="117" t="s">
        <v>1819</v>
      </c>
    </row>
    <row r="173" customFormat="false" ht="15" hidden="false" customHeight="true" outlineLevel="0" collapsed="false">
      <c r="A173" s="96" t="s">
        <v>1816</v>
      </c>
      <c r="B173" s="96" t="s">
        <v>2037</v>
      </c>
      <c r="C173" s="96" t="s">
        <v>602</v>
      </c>
      <c r="D173" s="96" t="s">
        <v>2042</v>
      </c>
      <c r="E173" s="96" t="s">
        <v>314</v>
      </c>
      <c r="F173" s="115" t="n">
        <v>45000</v>
      </c>
      <c r="G173" s="96" t="s">
        <v>315</v>
      </c>
      <c r="H173" s="116"/>
      <c r="I173" s="117" t="s">
        <v>1819</v>
      </c>
    </row>
    <row r="174" customFormat="false" ht="15" hidden="false" customHeight="true" outlineLevel="0" collapsed="false">
      <c r="A174" s="96" t="s">
        <v>1816</v>
      </c>
      <c r="B174" s="96" t="s">
        <v>2037</v>
      </c>
      <c r="C174" s="96" t="s">
        <v>588</v>
      </c>
      <c r="D174" s="96" t="s">
        <v>2043</v>
      </c>
      <c r="E174" s="96" t="s">
        <v>198</v>
      </c>
      <c r="F174" s="115" t="n">
        <v>25000</v>
      </c>
      <c r="G174" s="96" t="s">
        <v>370</v>
      </c>
      <c r="H174" s="116"/>
      <c r="I174" s="117" t="s">
        <v>1819</v>
      </c>
    </row>
    <row r="175" customFormat="false" ht="15" hidden="false" customHeight="true" outlineLevel="0" collapsed="false">
      <c r="A175" s="96" t="s">
        <v>1816</v>
      </c>
      <c r="B175" s="96" t="s">
        <v>2037</v>
      </c>
      <c r="C175" s="96" t="s">
        <v>595</v>
      </c>
      <c r="D175" s="96" t="s">
        <v>2044</v>
      </c>
      <c r="E175" s="96" t="s">
        <v>314</v>
      </c>
      <c r="F175" s="115" t="n">
        <v>25000</v>
      </c>
      <c r="G175" s="96" t="s">
        <v>315</v>
      </c>
      <c r="H175" s="116"/>
      <c r="I175" s="117" t="s">
        <v>1819</v>
      </c>
    </row>
    <row r="176" customFormat="false" ht="15" hidden="false" customHeight="true" outlineLevel="0" collapsed="false">
      <c r="A176" s="96" t="s">
        <v>1816</v>
      </c>
      <c r="B176" s="96" t="s">
        <v>2037</v>
      </c>
      <c r="C176" s="96" t="s">
        <v>595</v>
      </c>
      <c r="D176" s="96" t="s">
        <v>2045</v>
      </c>
      <c r="E176" s="96" t="s">
        <v>369</v>
      </c>
      <c r="F176" s="115" t="n">
        <v>20000</v>
      </c>
      <c r="G176" s="96" t="s">
        <v>370</v>
      </c>
      <c r="H176" s="116"/>
      <c r="I176" s="117" t="s">
        <v>1819</v>
      </c>
    </row>
    <row r="177" customFormat="false" ht="15" hidden="false" customHeight="true" outlineLevel="0" collapsed="false">
      <c r="A177" s="96" t="s">
        <v>1816</v>
      </c>
      <c r="B177" s="96" t="s">
        <v>2037</v>
      </c>
      <c r="C177" s="96" t="s">
        <v>588</v>
      </c>
      <c r="D177" s="96" t="s">
        <v>2030</v>
      </c>
      <c r="E177" s="96" t="s">
        <v>291</v>
      </c>
      <c r="F177" s="115" t="n">
        <v>20000</v>
      </c>
      <c r="G177" s="96" t="s">
        <v>2046</v>
      </c>
      <c r="H177" s="116"/>
      <c r="I177" s="117" t="s">
        <v>1819</v>
      </c>
    </row>
    <row r="178" customFormat="false" ht="15" hidden="false" customHeight="true" outlineLevel="0" collapsed="false">
      <c r="A178" s="96" t="s">
        <v>1816</v>
      </c>
      <c r="B178" s="96" t="s">
        <v>2037</v>
      </c>
      <c r="C178" s="96" t="s">
        <v>595</v>
      </c>
      <c r="D178" s="96" t="s">
        <v>2047</v>
      </c>
      <c r="E178" s="96" t="s">
        <v>373</v>
      </c>
      <c r="F178" s="115" t="n">
        <v>20000</v>
      </c>
      <c r="G178" s="96" t="s">
        <v>315</v>
      </c>
      <c r="H178" s="116"/>
      <c r="I178" s="117" t="s">
        <v>1819</v>
      </c>
    </row>
    <row r="179" customFormat="false" ht="15" hidden="false" customHeight="true" outlineLevel="0" collapsed="false">
      <c r="A179" s="96" t="s">
        <v>1816</v>
      </c>
      <c r="B179" s="96" t="s">
        <v>2037</v>
      </c>
      <c r="C179" s="96" t="s">
        <v>595</v>
      </c>
      <c r="D179" s="96" t="s">
        <v>2048</v>
      </c>
      <c r="E179" s="96" t="s">
        <v>377</v>
      </c>
      <c r="F179" s="115" t="n">
        <v>20000</v>
      </c>
      <c r="G179" s="96" t="s">
        <v>378</v>
      </c>
      <c r="H179" s="116"/>
      <c r="I179" s="117" t="s">
        <v>1819</v>
      </c>
    </row>
    <row r="180" customFormat="false" ht="15" hidden="false" customHeight="true" outlineLevel="0" collapsed="false">
      <c r="A180" s="96" t="s">
        <v>1816</v>
      </c>
      <c r="B180" s="96" t="s">
        <v>2037</v>
      </c>
      <c r="C180" s="96" t="s">
        <v>588</v>
      </c>
      <c r="D180" s="96" t="s">
        <v>2049</v>
      </c>
      <c r="E180" s="96" t="s">
        <v>377</v>
      </c>
      <c r="F180" s="115" t="n">
        <v>20000</v>
      </c>
      <c r="G180" s="96" t="s">
        <v>378</v>
      </c>
      <c r="H180" s="116"/>
      <c r="I180" s="117" t="s">
        <v>1819</v>
      </c>
    </row>
    <row r="181" customFormat="false" ht="15" hidden="false" customHeight="true" outlineLevel="0" collapsed="false">
      <c r="A181" s="96" t="s">
        <v>1816</v>
      </c>
      <c r="B181" s="96" t="s">
        <v>2037</v>
      </c>
      <c r="C181" s="96" t="s">
        <v>588</v>
      </c>
      <c r="D181" s="96" t="s">
        <v>2050</v>
      </c>
      <c r="E181" s="96" t="s">
        <v>441</v>
      </c>
      <c r="F181" s="115" t="n">
        <v>18000</v>
      </c>
      <c r="G181" s="96" t="s">
        <v>442</v>
      </c>
      <c r="H181" s="116"/>
      <c r="I181" s="117" t="s">
        <v>1819</v>
      </c>
    </row>
    <row r="182" customFormat="false" ht="15" hidden="false" customHeight="true" outlineLevel="0" collapsed="false">
      <c r="A182" s="96" t="s">
        <v>1816</v>
      </c>
      <c r="B182" s="96" t="s">
        <v>2037</v>
      </c>
      <c r="C182" s="96" t="s">
        <v>595</v>
      </c>
      <c r="D182" s="96" t="s">
        <v>2051</v>
      </c>
      <c r="E182" s="96" t="s">
        <v>318</v>
      </c>
      <c r="F182" s="115" t="n">
        <v>15000</v>
      </c>
      <c r="G182" s="96" t="s">
        <v>319</v>
      </c>
      <c r="H182" s="116"/>
      <c r="I182" s="117" t="s">
        <v>1819</v>
      </c>
    </row>
    <row r="183" customFormat="false" ht="15" hidden="false" customHeight="true" outlineLevel="0" collapsed="false">
      <c r="A183" s="96" t="s">
        <v>1816</v>
      </c>
      <c r="B183" s="96" t="s">
        <v>2037</v>
      </c>
      <c r="C183" s="96" t="s">
        <v>595</v>
      </c>
      <c r="D183" s="96" t="s">
        <v>2038</v>
      </c>
      <c r="E183" s="96" t="s">
        <v>216</v>
      </c>
      <c r="F183" s="115" t="n">
        <v>10000</v>
      </c>
      <c r="G183" s="96" t="s">
        <v>2052</v>
      </c>
      <c r="H183" s="116"/>
      <c r="I183" s="117" t="s">
        <v>1819</v>
      </c>
    </row>
    <row r="184" customFormat="false" ht="15" hidden="false" customHeight="true" outlineLevel="0" collapsed="false">
      <c r="A184" s="96" t="s">
        <v>1816</v>
      </c>
      <c r="B184" s="96" t="s">
        <v>2037</v>
      </c>
      <c r="C184" s="96" t="s">
        <v>588</v>
      </c>
      <c r="D184" s="96" t="s">
        <v>2053</v>
      </c>
      <c r="E184" s="96" t="s">
        <v>216</v>
      </c>
      <c r="F184" s="115" t="n">
        <v>10000</v>
      </c>
      <c r="G184" s="96" t="s">
        <v>370</v>
      </c>
      <c r="H184" s="116"/>
      <c r="I184" s="117" t="s">
        <v>1819</v>
      </c>
    </row>
    <row r="185" customFormat="false" ht="15" hidden="false" customHeight="true" outlineLevel="0" collapsed="false">
      <c r="A185" s="96" t="s">
        <v>1816</v>
      </c>
      <c r="B185" s="96" t="s">
        <v>2037</v>
      </c>
      <c r="C185" s="96" t="s">
        <v>595</v>
      </c>
      <c r="D185" s="96" t="s">
        <v>2054</v>
      </c>
      <c r="E185" s="96" t="s">
        <v>439</v>
      </c>
      <c r="F185" s="115" t="n">
        <v>10000</v>
      </c>
      <c r="G185" s="96" t="s">
        <v>440</v>
      </c>
      <c r="H185" s="116"/>
      <c r="I185" s="117" t="s">
        <v>1819</v>
      </c>
    </row>
    <row r="186" customFormat="false" ht="15" hidden="false" customHeight="true" outlineLevel="0" collapsed="false">
      <c r="A186" s="96" t="s">
        <v>1816</v>
      </c>
      <c r="B186" s="96" t="s">
        <v>2037</v>
      </c>
      <c r="C186" s="96" t="s">
        <v>588</v>
      </c>
      <c r="D186" s="96" t="s">
        <v>2055</v>
      </c>
      <c r="E186" s="96" t="s">
        <v>314</v>
      </c>
      <c r="F186" s="115" t="n">
        <v>10000</v>
      </c>
      <c r="G186" s="96" t="s">
        <v>315</v>
      </c>
      <c r="H186" s="116"/>
      <c r="I186" s="117" t="s">
        <v>1819</v>
      </c>
    </row>
    <row r="187" customFormat="false" ht="15" hidden="false" customHeight="true" outlineLevel="0" collapsed="false">
      <c r="A187" s="96" t="s">
        <v>1816</v>
      </c>
      <c r="B187" s="96" t="s">
        <v>2037</v>
      </c>
      <c r="C187" s="96" t="s">
        <v>588</v>
      </c>
      <c r="D187" s="96" t="s">
        <v>2056</v>
      </c>
      <c r="E187" s="96" t="s">
        <v>198</v>
      </c>
      <c r="F187" s="115" t="n">
        <v>10000</v>
      </c>
      <c r="G187" s="96" t="s">
        <v>2057</v>
      </c>
      <c r="H187" s="116"/>
      <c r="I187" s="117" t="s">
        <v>1819</v>
      </c>
    </row>
    <row r="188" customFormat="false" ht="15" hidden="false" customHeight="true" outlineLevel="0" collapsed="false">
      <c r="A188" s="96" t="s">
        <v>1816</v>
      </c>
      <c r="B188" s="96" t="s">
        <v>2037</v>
      </c>
      <c r="C188" s="96" t="s">
        <v>595</v>
      </c>
      <c r="D188" s="96" t="s">
        <v>2058</v>
      </c>
      <c r="E188" s="96" t="s">
        <v>441</v>
      </c>
      <c r="F188" s="115" t="n">
        <v>10000</v>
      </c>
      <c r="G188" s="96" t="s">
        <v>442</v>
      </c>
      <c r="H188" s="116"/>
      <c r="I188" s="117" t="s">
        <v>1819</v>
      </c>
    </row>
    <row r="189" customFormat="false" ht="15" hidden="false" customHeight="true" outlineLevel="0" collapsed="false">
      <c r="A189" s="96" t="s">
        <v>1816</v>
      </c>
      <c r="B189" s="96" t="s">
        <v>2037</v>
      </c>
      <c r="C189" s="96" t="s">
        <v>595</v>
      </c>
      <c r="D189" s="96" t="s">
        <v>2059</v>
      </c>
      <c r="E189" s="96" t="s">
        <v>318</v>
      </c>
      <c r="F189" s="115" t="n">
        <v>10000</v>
      </c>
      <c r="G189" s="96" t="s">
        <v>319</v>
      </c>
      <c r="H189" s="116"/>
      <c r="I189" s="117" t="s">
        <v>1819</v>
      </c>
    </row>
    <row r="190" customFormat="false" ht="15" hidden="false" customHeight="true" outlineLevel="0" collapsed="false">
      <c r="A190" s="96" t="s">
        <v>1816</v>
      </c>
      <c r="B190" s="96" t="s">
        <v>2037</v>
      </c>
      <c r="C190" s="96" t="s">
        <v>588</v>
      </c>
      <c r="D190" s="96" t="s">
        <v>2051</v>
      </c>
      <c r="E190" s="96" t="s">
        <v>318</v>
      </c>
      <c r="F190" s="115" t="n">
        <v>10000</v>
      </c>
      <c r="G190" s="96" t="s">
        <v>319</v>
      </c>
      <c r="H190" s="116"/>
      <c r="I190" s="117" t="s">
        <v>1819</v>
      </c>
    </row>
    <row r="191" customFormat="false" ht="15" hidden="false" customHeight="true" outlineLevel="0" collapsed="false">
      <c r="A191" s="96" t="s">
        <v>1816</v>
      </c>
      <c r="B191" s="96" t="s">
        <v>2037</v>
      </c>
      <c r="C191" s="96" t="s">
        <v>588</v>
      </c>
      <c r="D191" s="96" t="s">
        <v>2060</v>
      </c>
      <c r="E191" s="96" t="s">
        <v>1203</v>
      </c>
      <c r="F191" s="115" t="n">
        <v>10000</v>
      </c>
      <c r="G191" s="96" t="s">
        <v>319</v>
      </c>
      <c r="H191" s="116"/>
      <c r="I191" s="117" t="s">
        <v>1819</v>
      </c>
    </row>
    <row r="192" customFormat="false" ht="15" hidden="false" customHeight="true" outlineLevel="0" collapsed="false">
      <c r="A192" s="96" t="s">
        <v>1816</v>
      </c>
      <c r="B192" s="96" t="s">
        <v>2037</v>
      </c>
      <c r="C192" s="96" t="s">
        <v>595</v>
      </c>
      <c r="D192" s="96" t="s">
        <v>2061</v>
      </c>
      <c r="E192" s="96" t="s">
        <v>500</v>
      </c>
      <c r="F192" s="115" t="n">
        <v>5000</v>
      </c>
      <c r="G192" s="96" t="s">
        <v>501</v>
      </c>
      <c r="H192" s="116"/>
      <c r="I192" s="117" t="s">
        <v>1819</v>
      </c>
    </row>
    <row r="193" customFormat="false" ht="15" hidden="false" customHeight="true" outlineLevel="0" collapsed="false">
      <c r="A193" s="96" t="s">
        <v>1816</v>
      </c>
      <c r="B193" s="96" t="s">
        <v>1736</v>
      </c>
      <c r="C193" s="96" t="s">
        <v>588</v>
      </c>
      <c r="D193" s="96" t="s">
        <v>1084</v>
      </c>
      <c r="E193" s="96" t="s">
        <v>2062</v>
      </c>
      <c r="F193" s="115" t="n">
        <v>40000</v>
      </c>
      <c r="G193" s="96" t="s">
        <v>647</v>
      </c>
      <c r="H193" s="116"/>
      <c r="I193" s="117" t="s">
        <v>1819</v>
      </c>
    </row>
    <row r="194" customFormat="false" ht="15" hidden="false" customHeight="true" outlineLevel="0" collapsed="false">
      <c r="A194" s="96" t="s">
        <v>1816</v>
      </c>
      <c r="B194" s="96" t="s">
        <v>1736</v>
      </c>
      <c r="C194" s="96" t="s">
        <v>595</v>
      </c>
      <c r="D194" s="96" t="s">
        <v>2063</v>
      </c>
      <c r="E194" s="96" t="s">
        <v>2064</v>
      </c>
      <c r="F194" s="115" t="n">
        <v>30000</v>
      </c>
      <c r="G194" s="96" t="s">
        <v>647</v>
      </c>
      <c r="H194" s="116"/>
      <c r="I194" s="117" t="s">
        <v>1819</v>
      </c>
    </row>
    <row r="195" customFormat="false" ht="15" hidden="false" customHeight="true" outlineLevel="0" collapsed="false">
      <c r="A195" s="96" t="s">
        <v>1816</v>
      </c>
      <c r="B195" s="96" t="s">
        <v>1736</v>
      </c>
      <c r="C195" s="96" t="s">
        <v>602</v>
      </c>
      <c r="D195" s="96" t="s">
        <v>2065</v>
      </c>
      <c r="E195" s="96" t="s">
        <v>2066</v>
      </c>
      <c r="F195" s="115" t="n">
        <v>25000</v>
      </c>
      <c r="G195" s="96" t="s">
        <v>2067</v>
      </c>
      <c r="H195" s="116"/>
      <c r="I195" s="117" t="s">
        <v>1819</v>
      </c>
    </row>
    <row r="196" customFormat="false" ht="15" hidden="false" customHeight="true" outlineLevel="0" collapsed="false">
      <c r="A196" s="96" t="s">
        <v>1816</v>
      </c>
      <c r="B196" s="96" t="s">
        <v>1736</v>
      </c>
      <c r="C196" s="96" t="s">
        <v>588</v>
      </c>
      <c r="D196" s="96" t="s">
        <v>380</v>
      </c>
      <c r="E196" s="96" t="s">
        <v>1899</v>
      </c>
      <c r="F196" s="115" t="n">
        <v>25000</v>
      </c>
      <c r="G196" s="96" t="s">
        <v>382</v>
      </c>
      <c r="H196" s="116"/>
      <c r="I196" s="117" t="s">
        <v>1819</v>
      </c>
    </row>
    <row r="197" customFormat="false" ht="15" hidden="false" customHeight="true" outlineLevel="0" collapsed="false">
      <c r="A197" s="96" t="s">
        <v>1816</v>
      </c>
      <c r="B197" s="96" t="s">
        <v>1736</v>
      </c>
      <c r="C197" s="96" t="s">
        <v>602</v>
      </c>
      <c r="D197" s="96" t="s">
        <v>2068</v>
      </c>
      <c r="E197" s="96" t="s">
        <v>2062</v>
      </c>
      <c r="F197" s="115" t="n">
        <v>25000</v>
      </c>
      <c r="G197" s="96" t="s">
        <v>647</v>
      </c>
      <c r="H197" s="116"/>
      <c r="I197" s="117" t="s">
        <v>1819</v>
      </c>
    </row>
    <row r="198" customFormat="false" ht="15" hidden="false" customHeight="true" outlineLevel="0" collapsed="false">
      <c r="A198" s="96" t="s">
        <v>1816</v>
      </c>
      <c r="B198" s="96" t="s">
        <v>1736</v>
      </c>
      <c r="C198" s="96" t="s">
        <v>602</v>
      </c>
      <c r="D198" s="96" t="s">
        <v>2069</v>
      </c>
      <c r="E198" s="96" t="s">
        <v>2062</v>
      </c>
      <c r="F198" s="115" t="n">
        <v>25000</v>
      </c>
      <c r="G198" s="96" t="s">
        <v>647</v>
      </c>
      <c r="H198" s="116"/>
      <c r="I198" s="117" t="s">
        <v>1819</v>
      </c>
    </row>
    <row r="199" customFormat="false" ht="15" hidden="false" customHeight="true" outlineLevel="0" collapsed="false">
      <c r="A199" s="96" t="s">
        <v>1816</v>
      </c>
      <c r="B199" s="96" t="s">
        <v>1736</v>
      </c>
      <c r="C199" s="96" t="s">
        <v>595</v>
      </c>
      <c r="D199" s="96" t="s">
        <v>2069</v>
      </c>
      <c r="E199" s="96" t="s">
        <v>2062</v>
      </c>
      <c r="F199" s="115" t="n">
        <v>25000</v>
      </c>
      <c r="G199" s="96" t="s">
        <v>647</v>
      </c>
      <c r="H199" s="116"/>
      <c r="I199" s="117" t="s">
        <v>1819</v>
      </c>
    </row>
    <row r="200" customFormat="false" ht="15" hidden="false" customHeight="true" outlineLevel="0" collapsed="false">
      <c r="A200" s="96" t="s">
        <v>1816</v>
      </c>
      <c r="B200" s="96" t="s">
        <v>1736</v>
      </c>
      <c r="C200" s="96" t="s">
        <v>595</v>
      </c>
      <c r="D200" s="96" t="s">
        <v>2070</v>
      </c>
      <c r="E200" s="96" t="s">
        <v>2071</v>
      </c>
      <c r="F200" s="115" t="n">
        <v>20000</v>
      </c>
      <c r="G200" s="96" t="s">
        <v>386</v>
      </c>
      <c r="H200" s="116"/>
      <c r="I200" s="117" t="s">
        <v>1819</v>
      </c>
    </row>
    <row r="201" customFormat="false" ht="15" hidden="false" customHeight="true" outlineLevel="0" collapsed="false">
      <c r="A201" s="96" t="s">
        <v>1816</v>
      </c>
      <c r="B201" s="96" t="s">
        <v>1736</v>
      </c>
      <c r="C201" s="96" t="s">
        <v>602</v>
      </c>
      <c r="D201" s="96" t="s">
        <v>2072</v>
      </c>
      <c r="E201" s="96" t="s">
        <v>1933</v>
      </c>
      <c r="F201" s="115" t="n">
        <v>20000</v>
      </c>
      <c r="G201" s="96" t="s">
        <v>386</v>
      </c>
      <c r="H201" s="116"/>
      <c r="I201" s="117" t="s">
        <v>1819</v>
      </c>
    </row>
    <row r="202" customFormat="false" ht="15" hidden="false" customHeight="true" outlineLevel="0" collapsed="false">
      <c r="A202" s="96" t="s">
        <v>1816</v>
      </c>
      <c r="B202" s="96" t="s">
        <v>1736</v>
      </c>
      <c r="C202" s="96" t="s">
        <v>602</v>
      </c>
      <c r="D202" s="96" t="s">
        <v>2069</v>
      </c>
      <c r="E202" s="96" t="s">
        <v>2062</v>
      </c>
      <c r="F202" s="115" t="n">
        <v>20000</v>
      </c>
      <c r="G202" s="96" t="s">
        <v>647</v>
      </c>
      <c r="H202" s="116"/>
      <c r="I202" s="117" t="s">
        <v>1819</v>
      </c>
    </row>
    <row r="203" customFormat="false" ht="15" hidden="false" customHeight="true" outlineLevel="0" collapsed="false">
      <c r="A203" s="96" t="s">
        <v>1816</v>
      </c>
      <c r="B203" s="96" t="s">
        <v>1736</v>
      </c>
      <c r="C203" s="96" t="s">
        <v>602</v>
      </c>
      <c r="D203" s="96" t="s">
        <v>2073</v>
      </c>
      <c r="E203" s="96" t="s">
        <v>2074</v>
      </c>
      <c r="F203" s="115" t="n">
        <v>20000</v>
      </c>
      <c r="G203" s="96" t="s">
        <v>647</v>
      </c>
      <c r="H203" s="116"/>
      <c r="I203" s="117" t="s">
        <v>1819</v>
      </c>
    </row>
    <row r="204" customFormat="false" ht="15" hidden="false" customHeight="true" outlineLevel="0" collapsed="false">
      <c r="A204" s="96" t="s">
        <v>1816</v>
      </c>
      <c r="B204" s="96" t="s">
        <v>1736</v>
      </c>
      <c r="C204" s="96" t="s">
        <v>595</v>
      </c>
      <c r="D204" s="96" t="s">
        <v>2075</v>
      </c>
      <c r="E204" s="96" t="s">
        <v>1889</v>
      </c>
      <c r="F204" s="115" t="n">
        <v>20000</v>
      </c>
      <c r="G204" s="96" t="s">
        <v>390</v>
      </c>
      <c r="H204" s="116"/>
      <c r="I204" s="117" t="s">
        <v>1819</v>
      </c>
    </row>
    <row r="205" customFormat="false" ht="15" hidden="false" customHeight="true" outlineLevel="0" collapsed="false">
      <c r="A205" s="96" t="s">
        <v>1816</v>
      </c>
      <c r="B205" s="96" t="s">
        <v>1736</v>
      </c>
      <c r="C205" s="96" t="s">
        <v>595</v>
      </c>
      <c r="D205" s="96" t="s">
        <v>2076</v>
      </c>
      <c r="E205" s="96" t="s">
        <v>2077</v>
      </c>
      <c r="F205" s="115" t="n">
        <v>16000</v>
      </c>
      <c r="G205" s="96" t="s">
        <v>454</v>
      </c>
      <c r="H205" s="116"/>
      <c r="I205" s="117" t="s">
        <v>1819</v>
      </c>
    </row>
    <row r="206" customFormat="false" ht="15" hidden="false" customHeight="true" outlineLevel="0" collapsed="false">
      <c r="A206" s="96" t="s">
        <v>1816</v>
      </c>
      <c r="B206" s="96" t="s">
        <v>1736</v>
      </c>
      <c r="C206" s="96" t="s">
        <v>588</v>
      </c>
      <c r="D206" s="96" t="s">
        <v>2078</v>
      </c>
      <c r="E206" s="96" t="s">
        <v>1894</v>
      </c>
      <c r="F206" s="115" t="n">
        <v>16000</v>
      </c>
      <c r="G206" s="96" t="s">
        <v>647</v>
      </c>
      <c r="H206" s="116"/>
      <c r="I206" s="117" t="s">
        <v>1819</v>
      </c>
    </row>
    <row r="207" customFormat="false" ht="15" hidden="false" customHeight="true" outlineLevel="0" collapsed="false">
      <c r="A207" s="118" t="s">
        <v>1816</v>
      </c>
      <c r="B207" s="118" t="s">
        <v>1736</v>
      </c>
      <c r="C207" s="118" t="s">
        <v>602</v>
      </c>
      <c r="D207" s="118" t="s">
        <v>2079</v>
      </c>
      <c r="E207" s="118" t="s">
        <v>1877</v>
      </c>
      <c r="F207" s="119" t="n">
        <v>15000</v>
      </c>
      <c r="G207" s="118" t="s">
        <v>2080</v>
      </c>
      <c r="H207" s="120" t="s">
        <v>1878</v>
      </c>
      <c r="I207" s="117" t="s">
        <v>1819</v>
      </c>
    </row>
    <row r="208" customFormat="false" ht="15" hidden="false" customHeight="true" outlineLevel="0" collapsed="false">
      <c r="A208" s="96" t="s">
        <v>1816</v>
      </c>
      <c r="B208" s="96" t="s">
        <v>1736</v>
      </c>
      <c r="C208" s="96" t="s">
        <v>595</v>
      </c>
      <c r="D208" s="96" t="s">
        <v>2081</v>
      </c>
      <c r="E208" s="96" t="s">
        <v>2082</v>
      </c>
      <c r="F208" s="115" t="n">
        <v>15000</v>
      </c>
      <c r="G208" s="96" t="s">
        <v>410</v>
      </c>
      <c r="H208" s="116"/>
      <c r="I208" s="117" t="s">
        <v>1819</v>
      </c>
    </row>
    <row r="209" customFormat="false" ht="15" hidden="false" customHeight="true" outlineLevel="0" collapsed="false">
      <c r="A209" s="96" t="s">
        <v>1816</v>
      </c>
      <c r="B209" s="96" t="s">
        <v>1736</v>
      </c>
      <c r="C209" s="96" t="s">
        <v>588</v>
      </c>
      <c r="D209" s="96" t="s">
        <v>2083</v>
      </c>
      <c r="E209" s="96" t="s">
        <v>2084</v>
      </c>
      <c r="F209" s="115" t="n">
        <v>15000</v>
      </c>
      <c r="G209" s="96" t="s">
        <v>2085</v>
      </c>
      <c r="H209" s="116"/>
      <c r="I209" s="117" t="s">
        <v>1819</v>
      </c>
    </row>
    <row r="210" customFormat="false" ht="15" hidden="false" customHeight="true" outlineLevel="0" collapsed="false">
      <c r="A210" s="96" t="s">
        <v>1816</v>
      </c>
      <c r="B210" s="96" t="s">
        <v>1736</v>
      </c>
      <c r="C210" s="96" t="s">
        <v>602</v>
      </c>
      <c r="D210" s="96" t="s">
        <v>617</v>
      </c>
      <c r="E210" s="96" t="s">
        <v>2064</v>
      </c>
      <c r="F210" s="115" t="n">
        <v>15000</v>
      </c>
      <c r="G210" s="96" t="s">
        <v>647</v>
      </c>
      <c r="H210" s="116"/>
      <c r="I210" s="117" t="s">
        <v>1819</v>
      </c>
    </row>
    <row r="211" customFormat="false" ht="15" hidden="false" customHeight="true" outlineLevel="0" collapsed="false">
      <c r="A211" s="96" t="s">
        <v>1816</v>
      </c>
      <c r="B211" s="96" t="s">
        <v>1736</v>
      </c>
      <c r="C211" s="96" t="s">
        <v>602</v>
      </c>
      <c r="D211" s="96" t="s">
        <v>2086</v>
      </c>
      <c r="E211" s="96" t="s">
        <v>2062</v>
      </c>
      <c r="F211" s="115" t="n">
        <v>15000</v>
      </c>
      <c r="G211" s="96" t="s">
        <v>647</v>
      </c>
      <c r="H211" s="116"/>
      <c r="I211" s="117" t="s">
        <v>1819</v>
      </c>
    </row>
    <row r="212" customFormat="false" ht="15" hidden="false" customHeight="true" outlineLevel="0" collapsed="false">
      <c r="A212" s="96" t="s">
        <v>1816</v>
      </c>
      <c r="B212" s="96" t="s">
        <v>1736</v>
      </c>
      <c r="C212" s="96" t="s">
        <v>602</v>
      </c>
      <c r="D212" s="96" t="s">
        <v>2069</v>
      </c>
      <c r="E212" s="96" t="s">
        <v>2062</v>
      </c>
      <c r="F212" s="115" t="n">
        <v>15000</v>
      </c>
      <c r="G212" s="96" t="s">
        <v>647</v>
      </c>
      <c r="H212" s="116"/>
      <c r="I212" s="117" t="s">
        <v>1819</v>
      </c>
    </row>
    <row r="213" customFormat="false" ht="15" hidden="false" customHeight="true" outlineLevel="0" collapsed="false">
      <c r="A213" s="96" t="s">
        <v>1816</v>
      </c>
      <c r="B213" s="96" t="s">
        <v>1736</v>
      </c>
      <c r="C213" s="96" t="s">
        <v>588</v>
      </c>
      <c r="D213" s="96" t="s">
        <v>2087</v>
      </c>
      <c r="E213" s="96" t="s">
        <v>1912</v>
      </c>
      <c r="F213" s="115" t="n">
        <v>14500</v>
      </c>
      <c r="G213" s="96" t="s">
        <v>2088</v>
      </c>
      <c r="H213" s="116"/>
      <c r="I213" s="117" t="s">
        <v>1819</v>
      </c>
    </row>
    <row r="214" customFormat="false" ht="15" hidden="false" customHeight="true" outlineLevel="0" collapsed="false">
      <c r="A214" s="96" t="s">
        <v>1816</v>
      </c>
      <c r="B214" s="96" t="s">
        <v>1736</v>
      </c>
      <c r="C214" s="96" t="s">
        <v>595</v>
      </c>
      <c r="D214" s="96" t="s">
        <v>2089</v>
      </c>
      <c r="E214" s="96" t="s">
        <v>1931</v>
      </c>
      <c r="F214" s="115" t="n">
        <v>14000</v>
      </c>
      <c r="G214" s="96" t="s">
        <v>2090</v>
      </c>
      <c r="H214" s="116"/>
      <c r="I214" s="117" t="s">
        <v>1819</v>
      </c>
    </row>
    <row r="215" customFormat="false" ht="15" hidden="false" customHeight="true" outlineLevel="0" collapsed="false">
      <c r="A215" s="96" t="s">
        <v>1816</v>
      </c>
      <c r="B215" s="96" t="s">
        <v>1736</v>
      </c>
      <c r="C215" s="96" t="s">
        <v>588</v>
      </c>
      <c r="D215" s="96" t="s">
        <v>2091</v>
      </c>
      <c r="E215" s="96" t="s">
        <v>2092</v>
      </c>
      <c r="F215" s="115" t="n">
        <v>11500</v>
      </c>
      <c r="G215" s="96" t="s">
        <v>2093</v>
      </c>
      <c r="H215" s="116"/>
      <c r="I215" s="117" t="s">
        <v>1819</v>
      </c>
    </row>
    <row r="216" customFormat="false" ht="15" hidden="false" customHeight="true" outlineLevel="0" collapsed="false">
      <c r="A216" s="96" t="s">
        <v>1816</v>
      </c>
      <c r="B216" s="96" t="s">
        <v>1736</v>
      </c>
      <c r="C216" s="96" t="s">
        <v>595</v>
      </c>
      <c r="D216" s="96" t="s">
        <v>2094</v>
      </c>
      <c r="E216" s="96" t="s">
        <v>2095</v>
      </c>
      <c r="F216" s="115" t="n">
        <v>10000</v>
      </c>
      <c r="G216" s="96" t="s">
        <v>446</v>
      </c>
      <c r="H216" s="116"/>
      <c r="I216" s="117" t="s">
        <v>1819</v>
      </c>
    </row>
    <row r="217" customFormat="false" ht="15" hidden="false" customHeight="true" outlineLevel="0" collapsed="false">
      <c r="A217" s="96" t="s">
        <v>1816</v>
      </c>
      <c r="B217" s="96" t="s">
        <v>1736</v>
      </c>
      <c r="C217" s="96" t="s">
        <v>595</v>
      </c>
      <c r="D217" s="96" t="s">
        <v>2096</v>
      </c>
      <c r="E217" s="96" t="s">
        <v>2097</v>
      </c>
      <c r="F217" s="115" t="n">
        <v>10000</v>
      </c>
      <c r="G217" s="96" t="s">
        <v>2098</v>
      </c>
      <c r="H217" s="116"/>
      <c r="I217" s="117" t="s">
        <v>1819</v>
      </c>
    </row>
    <row r="218" customFormat="false" ht="15" hidden="false" customHeight="true" outlineLevel="0" collapsed="false">
      <c r="A218" s="96" t="s">
        <v>1816</v>
      </c>
      <c r="B218" s="96" t="s">
        <v>1736</v>
      </c>
      <c r="C218" s="96" t="s">
        <v>595</v>
      </c>
      <c r="D218" s="96" t="s">
        <v>2099</v>
      </c>
      <c r="E218" s="96" t="s">
        <v>2100</v>
      </c>
      <c r="F218" s="115" t="n">
        <v>10000</v>
      </c>
      <c r="G218" s="96" t="s">
        <v>450</v>
      </c>
      <c r="H218" s="116"/>
      <c r="I218" s="117" t="s">
        <v>1819</v>
      </c>
    </row>
    <row r="219" customFormat="false" ht="15" hidden="false" customHeight="true" outlineLevel="0" collapsed="false">
      <c r="A219" s="96" t="s">
        <v>1816</v>
      </c>
      <c r="B219" s="96" t="s">
        <v>1736</v>
      </c>
      <c r="C219" s="96" t="s">
        <v>595</v>
      </c>
      <c r="D219" s="96" t="s">
        <v>2101</v>
      </c>
      <c r="E219" s="96" t="s">
        <v>2102</v>
      </c>
      <c r="F219" s="115" t="n">
        <v>10000</v>
      </c>
      <c r="G219" s="96" t="s">
        <v>454</v>
      </c>
      <c r="H219" s="116"/>
      <c r="I219" s="117" t="s">
        <v>1819</v>
      </c>
    </row>
    <row r="220" customFormat="false" ht="15" hidden="false" customHeight="true" outlineLevel="0" collapsed="false">
      <c r="A220" s="96" t="s">
        <v>1816</v>
      </c>
      <c r="B220" s="96" t="s">
        <v>1736</v>
      </c>
      <c r="C220" s="96" t="s">
        <v>602</v>
      </c>
      <c r="D220" s="96" t="s">
        <v>1206</v>
      </c>
      <c r="E220" s="96" t="s">
        <v>2103</v>
      </c>
      <c r="F220" s="115" t="n">
        <v>10000</v>
      </c>
      <c r="G220" s="96" t="s">
        <v>2104</v>
      </c>
      <c r="H220" s="116"/>
      <c r="I220" s="117" t="s">
        <v>1819</v>
      </c>
    </row>
    <row r="221" customFormat="false" ht="15" hidden="false" customHeight="true" outlineLevel="0" collapsed="false">
      <c r="A221" s="96" t="s">
        <v>1816</v>
      </c>
      <c r="B221" s="96" t="s">
        <v>1736</v>
      </c>
      <c r="C221" s="96" t="s">
        <v>602</v>
      </c>
      <c r="D221" s="96" t="s">
        <v>2105</v>
      </c>
      <c r="E221" s="96" t="s">
        <v>1931</v>
      </c>
      <c r="F221" s="115" t="n">
        <v>10000</v>
      </c>
      <c r="G221" s="96" t="s">
        <v>2106</v>
      </c>
      <c r="H221" s="116"/>
      <c r="I221" s="117" t="s">
        <v>1819</v>
      </c>
    </row>
    <row r="222" customFormat="false" ht="15" hidden="false" customHeight="true" outlineLevel="0" collapsed="false">
      <c r="A222" s="96" t="s">
        <v>1816</v>
      </c>
      <c r="B222" s="96" t="s">
        <v>1736</v>
      </c>
      <c r="C222" s="96" t="s">
        <v>595</v>
      </c>
      <c r="D222" s="96" t="s">
        <v>2107</v>
      </c>
      <c r="E222" s="96" t="s">
        <v>2108</v>
      </c>
      <c r="F222" s="115" t="n">
        <v>10000</v>
      </c>
      <c r="G222" s="96" t="s">
        <v>2109</v>
      </c>
      <c r="H222" s="116"/>
      <c r="I222" s="117" t="s">
        <v>1819</v>
      </c>
    </row>
    <row r="223" customFormat="false" ht="15" hidden="false" customHeight="true" outlineLevel="0" collapsed="false">
      <c r="A223" s="96" t="s">
        <v>1816</v>
      </c>
      <c r="B223" s="96" t="s">
        <v>1736</v>
      </c>
      <c r="C223" s="96" t="s">
        <v>602</v>
      </c>
      <c r="D223" s="96" t="s">
        <v>515</v>
      </c>
      <c r="E223" s="96" t="s">
        <v>2110</v>
      </c>
      <c r="F223" s="115" t="n">
        <v>10000</v>
      </c>
      <c r="G223" s="96" t="s">
        <v>517</v>
      </c>
      <c r="H223" s="116"/>
      <c r="I223" s="117" t="s">
        <v>1819</v>
      </c>
    </row>
    <row r="224" customFormat="false" ht="15" hidden="false" customHeight="true" outlineLevel="0" collapsed="false">
      <c r="A224" s="99" t="s">
        <v>1816</v>
      </c>
      <c r="B224" s="99" t="s">
        <v>1736</v>
      </c>
      <c r="C224" s="99" t="s">
        <v>595</v>
      </c>
      <c r="D224" s="99" t="s">
        <v>2111</v>
      </c>
      <c r="E224" s="99" t="s">
        <v>1899</v>
      </c>
      <c r="F224" s="121" t="n">
        <v>10000</v>
      </c>
      <c r="G224" s="99" t="s">
        <v>382</v>
      </c>
      <c r="H224" s="122"/>
      <c r="I224" s="117" t="s">
        <v>1819</v>
      </c>
    </row>
    <row r="225" customFormat="false" ht="15" hidden="false" customHeight="true" outlineLevel="0" collapsed="false">
      <c r="A225" s="99" t="s">
        <v>1816</v>
      </c>
      <c r="B225" s="99" t="s">
        <v>1736</v>
      </c>
      <c r="C225" s="99" t="s">
        <v>595</v>
      </c>
      <c r="D225" s="99" t="s">
        <v>2111</v>
      </c>
      <c r="E225" s="99" t="s">
        <v>1899</v>
      </c>
      <c r="F225" s="121" t="n">
        <v>10000</v>
      </c>
      <c r="G225" s="99" t="s">
        <v>382</v>
      </c>
      <c r="H225" s="122"/>
      <c r="I225" s="117" t="s">
        <v>1819</v>
      </c>
    </row>
    <row r="226" customFormat="false" ht="15" hidden="false" customHeight="true" outlineLevel="0" collapsed="false">
      <c r="A226" s="96" t="s">
        <v>1816</v>
      </c>
      <c r="B226" s="96" t="s">
        <v>1736</v>
      </c>
      <c r="C226" s="96" t="s">
        <v>595</v>
      </c>
      <c r="D226" s="96" t="s">
        <v>456</v>
      </c>
      <c r="E226" s="96" t="s">
        <v>2112</v>
      </c>
      <c r="F226" s="115" t="n">
        <v>10000</v>
      </c>
      <c r="G226" s="96" t="s">
        <v>458</v>
      </c>
      <c r="H226" s="116"/>
      <c r="I226" s="117" t="s">
        <v>1819</v>
      </c>
    </row>
    <row r="227" customFormat="false" ht="15" hidden="false" customHeight="true" outlineLevel="0" collapsed="false">
      <c r="A227" s="96" t="s">
        <v>1816</v>
      </c>
      <c r="B227" s="96" t="s">
        <v>1736</v>
      </c>
      <c r="C227" s="96" t="s">
        <v>588</v>
      </c>
      <c r="D227" s="96" t="s">
        <v>1208</v>
      </c>
      <c r="E227" s="96" t="s">
        <v>2113</v>
      </c>
      <c r="F227" s="115" t="n">
        <v>10000</v>
      </c>
      <c r="G227" s="96" t="s">
        <v>2114</v>
      </c>
      <c r="H227" s="116"/>
      <c r="I227" s="117" t="s">
        <v>1819</v>
      </c>
    </row>
    <row r="228" customFormat="false" ht="15" hidden="false" customHeight="true" outlineLevel="0" collapsed="false">
      <c r="A228" s="96" t="s">
        <v>1816</v>
      </c>
      <c r="B228" s="96" t="s">
        <v>1736</v>
      </c>
      <c r="C228" s="96" t="s">
        <v>595</v>
      </c>
      <c r="D228" s="96" t="s">
        <v>2115</v>
      </c>
      <c r="E228" s="96" t="s">
        <v>2116</v>
      </c>
      <c r="F228" s="115" t="n">
        <v>10000</v>
      </c>
      <c r="G228" s="96" t="s">
        <v>464</v>
      </c>
      <c r="H228" s="116"/>
      <c r="I228" s="117" t="s">
        <v>1819</v>
      </c>
    </row>
    <row r="229" customFormat="false" ht="15" hidden="false" customHeight="true" outlineLevel="0" collapsed="false">
      <c r="A229" s="96" t="s">
        <v>1816</v>
      </c>
      <c r="B229" s="96" t="s">
        <v>1736</v>
      </c>
      <c r="C229" s="96" t="s">
        <v>602</v>
      </c>
      <c r="D229" s="96" t="s">
        <v>168</v>
      </c>
      <c r="E229" s="96" t="s">
        <v>1907</v>
      </c>
      <c r="F229" s="115" t="n">
        <v>10000</v>
      </c>
      <c r="G229" s="96" t="s">
        <v>2117</v>
      </c>
      <c r="H229" s="116"/>
      <c r="I229" s="117" t="s">
        <v>1819</v>
      </c>
    </row>
    <row r="230" customFormat="false" ht="15" hidden="false" customHeight="true" outlineLevel="0" collapsed="false">
      <c r="A230" s="96" t="s">
        <v>1816</v>
      </c>
      <c r="B230" s="96" t="s">
        <v>1736</v>
      </c>
      <c r="C230" s="96" t="s">
        <v>602</v>
      </c>
      <c r="D230" s="96" t="s">
        <v>1158</v>
      </c>
      <c r="E230" s="96" t="s">
        <v>1916</v>
      </c>
      <c r="F230" s="115" t="n">
        <v>10000</v>
      </c>
      <c r="G230" s="96" t="s">
        <v>2118</v>
      </c>
      <c r="H230" s="116"/>
      <c r="I230" s="117" t="s">
        <v>1819</v>
      </c>
    </row>
    <row r="231" customFormat="false" ht="15" hidden="false" customHeight="true" outlineLevel="0" collapsed="false">
      <c r="A231" s="96" t="s">
        <v>1816</v>
      </c>
      <c r="B231" s="96" t="s">
        <v>1736</v>
      </c>
      <c r="C231" s="96" t="s">
        <v>588</v>
      </c>
      <c r="D231" s="96" t="s">
        <v>2119</v>
      </c>
      <c r="E231" s="96" t="s">
        <v>1912</v>
      </c>
      <c r="F231" s="115" t="n">
        <v>10000</v>
      </c>
      <c r="G231" s="96" t="s">
        <v>2088</v>
      </c>
      <c r="H231" s="116"/>
      <c r="I231" s="117" t="s">
        <v>1819</v>
      </c>
    </row>
    <row r="232" customFormat="false" ht="15" hidden="false" customHeight="true" outlineLevel="0" collapsed="false">
      <c r="A232" s="96" t="s">
        <v>1816</v>
      </c>
      <c r="B232" s="96" t="s">
        <v>1736</v>
      </c>
      <c r="C232" s="96" t="s">
        <v>588</v>
      </c>
      <c r="D232" s="96" t="s">
        <v>2120</v>
      </c>
      <c r="E232" s="96" t="s">
        <v>1912</v>
      </c>
      <c r="F232" s="115" t="n">
        <v>10000</v>
      </c>
      <c r="G232" s="96" t="s">
        <v>2088</v>
      </c>
      <c r="H232" s="116"/>
      <c r="I232" s="117" t="s">
        <v>1819</v>
      </c>
    </row>
    <row r="233" customFormat="false" ht="15" hidden="false" customHeight="true" outlineLevel="0" collapsed="false">
      <c r="A233" s="96" t="s">
        <v>1816</v>
      </c>
      <c r="B233" s="96" t="s">
        <v>1736</v>
      </c>
      <c r="C233" s="96" t="s">
        <v>602</v>
      </c>
      <c r="D233" s="96" t="s">
        <v>2121</v>
      </c>
      <c r="E233" s="96" t="s">
        <v>2122</v>
      </c>
      <c r="F233" s="115" t="n">
        <v>10000</v>
      </c>
      <c r="G233" s="96" t="s">
        <v>2123</v>
      </c>
      <c r="H233" s="116"/>
      <c r="I233" s="117" t="s">
        <v>1819</v>
      </c>
    </row>
    <row r="234" customFormat="false" ht="15" hidden="false" customHeight="true" outlineLevel="0" collapsed="false">
      <c r="A234" s="96" t="s">
        <v>1816</v>
      </c>
      <c r="B234" s="96" t="s">
        <v>1736</v>
      </c>
      <c r="C234" s="96" t="s">
        <v>602</v>
      </c>
      <c r="D234" s="96" t="s">
        <v>2124</v>
      </c>
      <c r="E234" s="96" t="s">
        <v>2125</v>
      </c>
      <c r="F234" s="115" t="n">
        <v>10000</v>
      </c>
      <c r="G234" s="96" t="s">
        <v>386</v>
      </c>
      <c r="H234" s="116"/>
      <c r="I234" s="117" t="s">
        <v>1819</v>
      </c>
    </row>
    <row r="235" customFormat="false" ht="15" hidden="false" customHeight="true" outlineLevel="0" collapsed="false">
      <c r="A235" s="96" t="s">
        <v>1816</v>
      </c>
      <c r="B235" s="96" t="s">
        <v>1736</v>
      </c>
      <c r="C235" s="96" t="s">
        <v>595</v>
      </c>
      <c r="D235" s="96" t="s">
        <v>2126</v>
      </c>
      <c r="E235" s="96" t="s">
        <v>2127</v>
      </c>
      <c r="F235" s="115" t="n">
        <v>10000</v>
      </c>
      <c r="G235" s="96" t="s">
        <v>2128</v>
      </c>
      <c r="H235" s="116"/>
      <c r="I235" s="117" t="s">
        <v>1819</v>
      </c>
    </row>
    <row r="236" customFormat="false" ht="15" hidden="false" customHeight="true" outlineLevel="0" collapsed="false">
      <c r="A236" s="96" t="s">
        <v>1816</v>
      </c>
      <c r="B236" s="96" t="s">
        <v>1736</v>
      </c>
      <c r="C236" s="96" t="s">
        <v>588</v>
      </c>
      <c r="D236" s="96" t="s">
        <v>2129</v>
      </c>
      <c r="E236" s="96" t="s">
        <v>2130</v>
      </c>
      <c r="F236" s="115" t="n">
        <v>10000</v>
      </c>
      <c r="G236" s="96" t="s">
        <v>2131</v>
      </c>
      <c r="H236" s="116"/>
      <c r="I236" s="117" t="s">
        <v>1819</v>
      </c>
    </row>
    <row r="237" customFormat="false" ht="15" hidden="false" customHeight="true" outlineLevel="0" collapsed="false">
      <c r="A237" s="96" t="s">
        <v>1816</v>
      </c>
      <c r="B237" s="96" t="s">
        <v>1736</v>
      </c>
      <c r="C237" s="96" t="s">
        <v>588</v>
      </c>
      <c r="D237" s="96" t="s">
        <v>2132</v>
      </c>
      <c r="E237" s="96" t="s">
        <v>2108</v>
      </c>
      <c r="F237" s="115" t="n">
        <v>8000</v>
      </c>
      <c r="G237" s="96" t="s">
        <v>2109</v>
      </c>
      <c r="H237" s="116"/>
      <c r="I237" s="117" t="s">
        <v>1819</v>
      </c>
    </row>
    <row r="238" customFormat="false" ht="15" hidden="false" customHeight="true" outlineLevel="0" collapsed="false">
      <c r="A238" s="96" t="s">
        <v>1816</v>
      </c>
      <c r="B238" s="96" t="s">
        <v>1736</v>
      </c>
      <c r="C238" s="96" t="s">
        <v>588</v>
      </c>
      <c r="D238" s="96" t="s">
        <v>528</v>
      </c>
      <c r="E238" s="96" t="s">
        <v>2133</v>
      </c>
      <c r="F238" s="115" t="n">
        <v>8000</v>
      </c>
      <c r="G238" s="96" t="s">
        <v>390</v>
      </c>
      <c r="H238" s="116"/>
      <c r="I238" s="117" t="s">
        <v>1819</v>
      </c>
    </row>
    <row r="239" customFormat="false" ht="15" hidden="false" customHeight="true" outlineLevel="0" collapsed="false">
      <c r="A239" s="96" t="s">
        <v>1816</v>
      </c>
      <c r="B239" s="96" t="s">
        <v>1736</v>
      </c>
      <c r="C239" s="96" t="s">
        <v>588</v>
      </c>
      <c r="D239" s="96" t="s">
        <v>2134</v>
      </c>
      <c r="E239" s="96" t="s">
        <v>2135</v>
      </c>
      <c r="F239" s="115" t="n">
        <v>8000</v>
      </c>
      <c r="G239" s="96" t="s">
        <v>2136</v>
      </c>
      <c r="H239" s="116"/>
      <c r="I239" s="117" t="s">
        <v>1819</v>
      </c>
    </row>
    <row r="240" customFormat="false" ht="15" hidden="false" customHeight="true" outlineLevel="0" collapsed="false">
      <c r="A240" s="96" t="s">
        <v>1816</v>
      </c>
      <c r="B240" s="96" t="s">
        <v>1736</v>
      </c>
      <c r="C240" s="96" t="s">
        <v>595</v>
      </c>
      <c r="D240" s="96" t="s">
        <v>2137</v>
      </c>
      <c r="E240" s="96" t="s">
        <v>1887</v>
      </c>
      <c r="F240" s="115" t="n">
        <v>7500</v>
      </c>
      <c r="G240" s="96" t="s">
        <v>2138</v>
      </c>
      <c r="H240" s="116"/>
      <c r="I240" s="117" t="s">
        <v>1819</v>
      </c>
    </row>
    <row r="241" customFormat="false" ht="15" hidden="false" customHeight="true" outlineLevel="0" collapsed="false">
      <c r="A241" s="96" t="s">
        <v>1816</v>
      </c>
      <c r="B241" s="96" t="s">
        <v>1736</v>
      </c>
      <c r="C241" s="96" t="s">
        <v>595</v>
      </c>
      <c r="D241" s="96" t="s">
        <v>2139</v>
      </c>
      <c r="E241" s="96" t="s">
        <v>1887</v>
      </c>
      <c r="F241" s="115" t="n">
        <v>7500</v>
      </c>
      <c r="G241" s="96" t="s">
        <v>2138</v>
      </c>
      <c r="H241" s="116"/>
      <c r="I241" s="117" t="s">
        <v>1819</v>
      </c>
    </row>
    <row r="242" customFormat="false" ht="15" hidden="false" customHeight="true" outlineLevel="0" collapsed="false">
      <c r="A242" s="96" t="s">
        <v>1816</v>
      </c>
      <c r="B242" s="96" t="s">
        <v>1736</v>
      </c>
      <c r="C242" s="96" t="s">
        <v>588</v>
      </c>
      <c r="D242" s="96" t="s">
        <v>2140</v>
      </c>
      <c r="E242" s="96" t="s">
        <v>2141</v>
      </c>
      <c r="F242" s="115" t="n">
        <v>7500</v>
      </c>
      <c r="G242" s="96" t="s">
        <v>2142</v>
      </c>
      <c r="H242" s="116"/>
      <c r="I242" s="117" t="s">
        <v>1819</v>
      </c>
    </row>
    <row r="243" customFormat="false" ht="15" hidden="false" customHeight="true" outlineLevel="0" collapsed="false">
      <c r="A243" s="96" t="s">
        <v>1816</v>
      </c>
      <c r="B243" s="96" t="s">
        <v>1736</v>
      </c>
      <c r="C243" s="96" t="s">
        <v>588</v>
      </c>
      <c r="D243" s="96" t="s">
        <v>2143</v>
      </c>
      <c r="E243" s="96" t="s">
        <v>1913</v>
      </c>
      <c r="F243" s="115" t="n">
        <v>7500</v>
      </c>
      <c r="G243" s="96" t="s">
        <v>390</v>
      </c>
      <c r="H243" s="116"/>
      <c r="I243" s="117" t="s">
        <v>1819</v>
      </c>
    </row>
    <row r="244" customFormat="false" ht="15" hidden="false" customHeight="true" outlineLevel="0" collapsed="false">
      <c r="A244" s="96" t="s">
        <v>1816</v>
      </c>
      <c r="B244" s="96" t="s">
        <v>1736</v>
      </c>
      <c r="C244" s="96" t="s">
        <v>588</v>
      </c>
      <c r="D244" s="96" t="s">
        <v>2144</v>
      </c>
      <c r="E244" s="96" t="s">
        <v>1912</v>
      </c>
      <c r="F244" s="115" t="n">
        <v>6000</v>
      </c>
      <c r="G244" s="96" t="s">
        <v>2088</v>
      </c>
      <c r="H244" s="116"/>
      <c r="I244" s="117" t="s">
        <v>1819</v>
      </c>
    </row>
    <row r="245" customFormat="false" ht="15" hidden="false" customHeight="true" outlineLevel="0" collapsed="false">
      <c r="A245" s="96" t="s">
        <v>1816</v>
      </c>
      <c r="B245" s="96" t="s">
        <v>1736</v>
      </c>
      <c r="C245" s="96" t="s">
        <v>588</v>
      </c>
      <c r="D245" s="96" t="s">
        <v>2145</v>
      </c>
      <c r="E245" s="96" t="s">
        <v>2146</v>
      </c>
      <c r="F245" s="115" t="n">
        <v>5500</v>
      </c>
      <c r="G245" s="96" t="s">
        <v>2114</v>
      </c>
      <c r="H245" s="116"/>
      <c r="I245" s="117" t="s">
        <v>1819</v>
      </c>
    </row>
    <row r="246" customFormat="false" ht="15" hidden="false" customHeight="true" outlineLevel="0" collapsed="false">
      <c r="A246" s="96" t="s">
        <v>1816</v>
      </c>
      <c r="B246" s="96" t="s">
        <v>1736</v>
      </c>
      <c r="C246" s="96" t="s">
        <v>602</v>
      </c>
      <c r="D246" s="96" t="s">
        <v>1231</v>
      </c>
      <c r="E246" s="96" t="s">
        <v>2147</v>
      </c>
      <c r="F246" s="115" t="n">
        <v>5000</v>
      </c>
      <c r="G246" s="96" t="s">
        <v>446</v>
      </c>
      <c r="H246" s="116"/>
      <c r="I246" s="117" t="s">
        <v>1819</v>
      </c>
    </row>
    <row r="247" customFormat="false" ht="15" hidden="false" customHeight="true" outlineLevel="0" collapsed="false">
      <c r="A247" s="96" t="s">
        <v>1816</v>
      </c>
      <c r="B247" s="96" t="s">
        <v>1736</v>
      </c>
      <c r="C247" s="96" t="s">
        <v>595</v>
      </c>
      <c r="D247" s="96" t="s">
        <v>2148</v>
      </c>
      <c r="E247" s="96" t="s">
        <v>2149</v>
      </c>
      <c r="F247" s="115" t="n">
        <v>5000</v>
      </c>
      <c r="G247" s="96" t="s">
        <v>505</v>
      </c>
      <c r="H247" s="116"/>
      <c r="I247" s="117" t="s">
        <v>1819</v>
      </c>
    </row>
    <row r="248" customFormat="false" ht="15" hidden="false" customHeight="true" outlineLevel="0" collapsed="false">
      <c r="A248" s="118" t="s">
        <v>1816</v>
      </c>
      <c r="B248" s="118" t="s">
        <v>1736</v>
      </c>
      <c r="C248" s="118" t="s">
        <v>602</v>
      </c>
      <c r="D248" s="118" t="s">
        <v>2150</v>
      </c>
      <c r="E248" s="118" t="s">
        <v>2151</v>
      </c>
      <c r="F248" s="119" t="n">
        <v>5000</v>
      </c>
      <c r="G248" s="118" t="s">
        <v>2152</v>
      </c>
      <c r="H248" s="120" t="s">
        <v>1878</v>
      </c>
      <c r="I248" s="117" t="s">
        <v>1819</v>
      </c>
    </row>
    <row r="249" customFormat="false" ht="15" hidden="false" customHeight="true" outlineLevel="0" collapsed="false">
      <c r="A249" s="96" t="s">
        <v>1816</v>
      </c>
      <c r="B249" s="96" t="s">
        <v>1736</v>
      </c>
      <c r="C249" s="96" t="s">
        <v>602</v>
      </c>
      <c r="D249" s="96" t="s">
        <v>281</v>
      </c>
      <c r="E249" s="96" t="s">
        <v>1922</v>
      </c>
      <c r="F249" s="115" t="n">
        <v>5000</v>
      </c>
      <c r="G249" s="96" t="s">
        <v>2153</v>
      </c>
      <c r="H249" s="116"/>
      <c r="I249" s="117" t="s">
        <v>1819</v>
      </c>
    </row>
    <row r="250" customFormat="false" ht="15" hidden="false" customHeight="true" outlineLevel="0" collapsed="false">
      <c r="A250" s="96" t="s">
        <v>1816</v>
      </c>
      <c r="B250" s="96" t="s">
        <v>1736</v>
      </c>
      <c r="C250" s="96" t="s">
        <v>595</v>
      </c>
      <c r="D250" s="96" t="s">
        <v>2154</v>
      </c>
      <c r="E250" s="96" t="s">
        <v>2155</v>
      </c>
      <c r="F250" s="115" t="n">
        <v>5000</v>
      </c>
      <c r="G250" s="96" t="s">
        <v>2156</v>
      </c>
      <c r="H250" s="116"/>
      <c r="I250" s="117" t="s">
        <v>1819</v>
      </c>
    </row>
    <row r="251" customFormat="false" ht="15" hidden="false" customHeight="true" outlineLevel="0" collapsed="false">
      <c r="A251" s="96" t="s">
        <v>1816</v>
      </c>
      <c r="B251" s="96" t="s">
        <v>1736</v>
      </c>
      <c r="C251" s="96" t="s">
        <v>588</v>
      </c>
      <c r="D251" s="96" t="s">
        <v>1235</v>
      </c>
      <c r="E251" s="96" t="s">
        <v>2157</v>
      </c>
      <c r="F251" s="115" t="n">
        <v>5000</v>
      </c>
      <c r="G251" s="96" t="s">
        <v>2158</v>
      </c>
      <c r="H251" s="116"/>
      <c r="I251" s="117" t="s">
        <v>1819</v>
      </c>
    </row>
    <row r="252" customFormat="false" ht="15" hidden="false" customHeight="true" outlineLevel="0" collapsed="false">
      <c r="A252" s="96" t="s">
        <v>1816</v>
      </c>
      <c r="B252" s="96" t="s">
        <v>1736</v>
      </c>
      <c r="C252" s="96" t="s">
        <v>595</v>
      </c>
      <c r="D252" s="96" t="s">
        <v>2159</v>
      </c>
      <c r="E252" s="96" t="s">
        <v>1931</v>
      </c>
      <c r="F252" s="115" t="n">
        <v>5000</v>
      </c>
      <c r="G252" s="96" t="s">
        <v>2160</v>
      </c>
      <c r="H252" s="116"/>
      <c r="I252" s="117" t="s">
        <v>1819</v>
      </c>
    </row>
    <row r="253" customFormat="false" ht="15" hidden="false" customHeight="true" outlineLevel="0" collapsed="false">
      <c r="A253" s="96" t="s">
        <v>1816</v>
      </c>
      <c r="B253" s="96" t="s">
        <v>1736</v>
      </c>
      <c r="C253" s="96" t="s">
        <v>595</v>
      </c>
      <c r="D253" s="96" t="s">
        <v>2161</v>
      </c>
      <c r="E253" s="96" t="s">
        <v>1931</v>
      </c>
      <c r="F253" s="115" t="n">
        <v>5000</v>
      </c>
      <c r="G253" s="96" t="s">
        <v>2162</v>
      </c>
      <c r="H253" s="116"/>
      <c r="I253" s="117" t="s">
        <v>1819</v>
      </c>
    </row>
    <row r="254" customFormat="false" ht="15" hidden="false" customHeight="true" outlineLevel="0" collapsed="false">
      <c r="A254" s="96" t="s">
        <v>1816</v>
      </c>
      <c r="B254" s="96" t="s">
        <v>1736</v>
      </c>
      <c r="C254" s="96" t="s">
        <v>595</v>
      </c>
      <c r="D254" s="96" t="s">
        <v>2161</v>
      </c>
      <c r="E254" s="96" t="s">
        <v>1931</v>
      </c>
      <c r="F254" s="115" t="n">
        <v>5000</v>
      </c>
      <c r="G254" s="96" t="s">
        <v>2162</v>
      </c>
      <c r="H254" s="116"/>
      <c r="I254" s="117" t="s">
        <v>1819</v>
      </c>
    </row>
    <row r="255" customFormat="false" ht="15" hidden="false" customHeight="true" outlineLevel="0" collapsed="false">
      <c r="A255" s="96" t="s">
        <v>1816</v>
      </c>
      <c r="B255" s="96" t="s">
        <v>1736</v>
      </c>
      <c r="C255" s="96" t="s">
        <v>595</v>
      </c>
      <c r="D255" s="96" t="s">
        <v>2163</v>
      </c>
      <c r="E255" s="96" t="s">
        <v>1931</v>
      </c>
      <c r="F255" s="115" t="n">
        <v>5000</v>
      </c>
      <c r="G255" s="96" t="s">
        <v>2162</v>
      </c>
      <c r="H255" s="116"/>
      <c r="I255" s="117" t="s">
        <v>1819</v>
      </c>
    </row>
    <row r="256" customFormat="false" ht="15" hidden="false" customHeight="true" outlineLevel="0" collapsed="false">
      <c r="A256" s="96" t="s">
        <v>1816</v>
      </c>
      <c r="B256" s="96" t="s">
        <v>1736</v>
      </c>
      <c r="C256" s="96" t="s">
        <v>602</v>
      </c>
      <c r="D256" s="96" t="s">
        <v>2164</v>
      </c>
      <c r="E256" s="96" t="s">
        <v>1931</v>
      </c>
      <c r="F256" s="115" t="n">
        <v>5000</v>
      </c>
      <c r="G256" s="96" t="s">
        <v>2162</v>
      </c>
      <c r="H256" s="116"/>
      <c r="I256" s="117" t="s">
        <v>1819</v>
      </c>
    </row>
    <row r="257" customFormat="false" ht="15" hidden="false" customHeight="true" outlineLevel="0" collapsed="false">
      <c r="A257" s="96" t="s">
        <v>1816</v>
      </c>
      <c r="B257" s="96" t="s">
        <v>1736</v>
      </c>
      <c r="C257" s="96" t="s">
        <v>602</v>
      </c>
      <c r="D257" s="96" t="s">
        <v>2165</v>
      </c>
      <c r="E257" s="96" t="s">
        <v>1931</v>
      </c>
      <c r="F257" s="115" t="n">
        <v>5000</v>
      </c>
      <c r="G257" s="96" t="s">
        <v>2106</v>
      </c>
      <c r="H257" s="116"/>
      <c r="I257" s="117" t="s">
        <v>1819</v>
      </c>
    </row>
    <row r="258" customFormat="false" ht="15" hidden="false" customHeight="true" outlineLevel="0" collapsed="false">
      <c r="A258" s="96" t="s">
        <v>1816</v>
      </c>
      <c r="B258" s="96" t="s">
        <v>1736</v>
      </c>
      <c r="C258" s="96" t="s">
        <v>602</v>
      </c>
      <c r="D258" s="96" t="s">
        <v>2166</v>
      </c>
      <c r="E258" s="96" t="s">
        <v>1931</v>
      </c>
      <c r="F258" s="115" t="n">
        <v>5000</v>
      </c>
      <c r="G258" s="96" t="s">
        <v>1795</v>
      </c>
      <c r="H258" s="116"/>
      <c r="I258" s="117" t="s">
        <v>1819</v>
      </c>
    </row>
    <row r="259" customFormat="false" ht="15" hidden="false" customHeight="true" outlineLevel="0" collapsed="false">
      <c r="A259" s="96" t="s">
        <v>1816</v>
      </c>
      <c r="B259" s="96" t="s">
        <v>1736</v>
      </c>
      <c r="C259" s="96" t="s">
        <v>595</v>
      </c>
      <c r="D259" s="96" t="s">
        <v>2167</v>
      </c>
      <c r="E259" s="96" t="s">
        <v>1931</v>
      </c>
      <c r="F259" s="115" t="n">
        <v>5000</v>
      </c>
      <c r="G259" s="96" t="s">
        <v>2090</v>
      </c>
      <c r="H259" s="116"/>
      <c r="I259" s="117" t="s">
        <v>1819</v>
      </c>
    </row>
    <row r="260" customFormat="false" ht="15" hidden="false" customHeight="true" outlineLevel="0" collapsed="false">
      <c r="A260" s="96" t="s">
        <v>1816</v>
      </c>
      <c r="B260" s="96" t="s">
        <v>1736</v>
      </c>
      <c r="C260" s="96" t="s">
        <v>595</v>
      </c>
      <c r="D260" s="96" t="s">
        <v>2168</v>
      </c>
      <c r="E260" s="96" t="s">
        <v>1887</v>
      </c>
      <c r="F260" s="115" t="n">
        <v>5000</v>
      </c>
      <c r="G260" s="96" t="s">
        <v>2138</v>
      </c>
      <c r="H260" s="116"/>
      <c r="I260" s="117" t="s">
        <v>1819</v>
      </c>
    </row>
    <row r="261" customFormat="false" ht="15" hidden="false" customHeight="true" outlineLevel="0" collapsed="false">
      <c r="A261" s="96" t="s">
        <v>1816</v>
      </c>
      <c r="B261" s="96" t="s">
        <v>1736</v>
      </c>
      <c r="C261" s="96" t="s">
        <v>588</v>
      </c>
      <c r="D261" s="96" t="s">
        <v>2169</v>
      </c>
      <c r="E261" s="96" t="s">
        <v>2108</v>
      </c>
      <c r="F261" s="115" t="n">
        <v>5000</v>
      </c>
      <c r="G261" s="96" t="s">
        <v>2109</v>
      </c>
      <c r="H261" s="116"/>
      <c r="I261" s="117" t="s">
        <v>1819</v>
      </c>
    </row>
    <row r="262" customFormat="false" ht="15" hidden="false" customHeight="true" outlineLevel="0" collapsed="false">
      <c r="A262" s="96" t="s">
        <v>1816</v>
      </c>
      <c r="B262" s="96" t="s">
        <v>1736</v>
      </c>
      <c r="C262" s="96" t="s">
        <v>595</v>
      </c>
      <c r="D262" s="96" t="s">
        <v>1924</v>
      </c>
      <c r="E262" s="96" t="s">
        <v>1925</v>
      </c>
      <c r="F262" s="115" t="n">
        <v>5000</v>
      </c>
      <c r="G262" s="96" t="s">
        <v>509</v>
      </c>
      <c r="H262" s="116"/>
      <c r="I262" s="117" t="s">
        <v>1819</v>
      </c>
    </row>
    <row r="263" customFormat="false" ht="15" hidden="false" customHeight="true" outlineLevel="0" collapsed="false">
      <c r="A263" s="96" t="s">
        <v>1816</v>
      </c>
      <c r="B263" s="96" t="s">
        <v>1736</v>
      </c>
      <c r="C263" s="96" t="s">
        <v>595</v>
      </c>
      <c r="D263" s="96" t="s">
        <v>2170</v>
      </c>
      <c r="E263" s="96" t="s">
        <v>2171</v>
      </c>
      <c r="F263" s="115" t="n">
        <v>5000</v>
      </c>
      <c r="G263" s="96" t="s">
        <v>513</v>
      </c>
      <c r="H263" s="116"/>
      <c r="I263" s="117" t="s">
        <v>1819</v>
      </c>
    </row>
    <row r="264" customFormat="false" ht="15" hidden="false" customHeight="true" outlineLevel="0" collapsed="false">
      <c r="A264" s="96" t="s">
        <v>1816</v>
      </c>
      <c r="B264" s="96" t="s">
        <v>1736</v>
      </c>
      <c r="C264" s="96" t="s">
        <v>588</v>
      </c>
      <c r="D264" s="96" t="s">
        <v>2172</v>
      </c>
      <c r="E264" s="96" t="s">
        <v>2173</v>
      </c>
      <c r="F264" s="115" t="n">
        <v>5000</v>
      </c>
      <c r="G264" s="96" t="s">
        <v>2174</v>
      </c>
      <c r="H264" s="116"/>
      <c r="I264" s="117" t="s">
        <v>1819</v>
      </c>
    </row>
    <row r="265" customFormat="false" ht="15" hidden="false" customHeight="true" outlineLevel="0" collapsed="false">
      <c r="A265" s="96" t="s">
        <v>1816</v>
      </c>
      <c r="B265" s="96" t="s">
        <v>1736</v>
      </c>
      <c r="C265" s="96" t="s">
        <v>602</v>
      </c>
      <c r="D265" s="96" t="s">
        <v>1191</v>
      </c>
      <c r="E265" s="96" t="s">
        <v>2141</v>
      </c>
      <c r="F265" s="115" t="n">
        <v>5000</v>
      </c>
      <c r="G265" s="96" t="s">
        <v>2142</v>
      </c>
      <c r="H265" s="116"/>
      <c r="I265" s="117" t="s">
        <v>1819</v>
      </c>
    </row>
    <row r="266" customFormat="false" ht="15" hidden="false" customHeight="true" outlineLevel="0" collapsed="false">
      <c r="A266" s="96" t="s">
        <v>1816</v>
      </c>
      <c r="B266" s="96" t="s">
        <v>1736</v>
      </c>
      <c r="C266" s="96" t="s">
        <v>595</v>
      </c>
      <c r="D266" s="96" t="s">
        <v>515</v>
      </c>
      <c r="E266" s="96" t="s">
        <v>2110</v>
      </c>
      <c r="F266" s="115" t="n">
        <v>5000</v>
      </c>
      <c r="G266" s="96" t="s">
        <v>517</v>
      </c>
      <c r="H266" s="116"/>
      <c r="I266" s="117" t="s">
        <v>1819</v>
      </c>
    </row>
    <row r="267" customFormat="false" ht="15" hidden="false" customHeight="true" outlineLevel="0" collapsed="false">
      <c r="A267" s="96" t="s">
        <v>1816</v>
      </c>
      <c r="B267" s="96" t="s">
        <v>1736</v>
      </c>
      <c r="C267" s="96" t="s">
        <v>602</v>
      </c>
      <c r="D267" s="96" t="s">
        <v>2175</v>
      </c>
      <c r="E267" s="96" t="s">
        <v>1899</v>
      </c>
      <c r="F267" s="115" t="n">
        <v>5000</v>
      </c>
      <c r="G267" s="96" t="s">
        <v>382</v>
      </c>
      <c r="H267" s="116"/>
      <c r="I267" s="117" t="s">
        <v>1819</v>
      </c>
    </row>
    <row r="268" customFormat="false" ht="15" hidden="false" customHeight="true" outlineLevel="0" collapsed="false">
      <c r="A268" s="96" t="s">
        <v>1816</v>
      </c>
      <c r="B268" s="96" t="s">
        <v>1736</v>
      </c>
      <c r="C268" s="96" t="s">
        <v>602</v>
      </c>
      <c r="D268" s="96" t="s">
        <v>485</v>
      </c>
      <c r="E268" s="96" t="s">
        <v>2176</v>
      </c>
      <c r="F268" s="115" t="n">
        <v>5000</v>
      </c>
      <c r="G268" s="96" t="s">
        <v>2177</v>
      </c>
      <c r="H268" s="116"/>
      <c r="I268" s="117" t="s">
        <v>1819</v>
      </c>
    </row>
    <row r="269" customFormat="false" ht="15" hidden="false" customHeight="true" outlineLevel="0" collapsed="false">
      <c r="A269" s="96" t="s">
        <v>1816</v>
      </c>
      <c r="B269" s="96" t="s">
        <v>1736</v>
      </c>
      <c r="C269" s="96" t="s">
        <v>602</v>
      </c>
      <c r="D269" s="96" t="s">
        <v>1237</v>
      </c>
      <c r="E269" s="96" t="s">
        <v>2178</v>
      </c>
      <c r="F269" s="115" t="n">
        <v>5000</v>
      </c>
      <c r="G269" s="96" t="s">
        <v>2177</v>
      </c>
      <c r="H269" s="116"/>
      <c r="I269" s="117" t="s">
        <v>1819</v>
      </c>
    </row>
    <row r="270" customFormat="false" ht="15" hidden="false" customHeight="true" outlineLevel="0" collapsed="false">
      <c r="A270" s="96" t="s">
        <v>1816</v>
      </c>
      <c r="B270" s="96" t="s">
        <v>1736</v>
      </c>
      <c r="C270" s="96" t="s">
        <v>588</v>
      </c>
      <c r="D270" s="96" t="s">
        <v>2179</v>
      </c>
      <c r="E270" s="96" t="s">
        <v>2180</v>
      </c>
      <c r="F270" s="115" t="n">
        <v>5000</v>
      </c>
      <c r="G270" s="96" t="s">
        <v>458</v>
      </c>
      <c r="H270" s="116"/>
      <c r="I270" s="117" t="s">
        <v>1819</v>
      </c>
    </row>
    <row r="271" customFormat="false" ht="15" hidden="false" customHeight="true" outlineLevel="0" collapsed="false">
      <c r="A271" s="96" t="s">
        <v>1816</v>
      </c>
      <c r="B271" s="96" t="s">
        <v>1736</v>
      </c>
      <c r="C271" s="96" t="s">
        <v>602</v>
      </c>
      <c r="D271" s="96" t="s">
        <v>2181</v>
      </c>
      <c r="E271" s="96" t="s">
        <v>1849</v>
      </c>
      <c r="F271" s="115" t="n">
        <v>5000</v>
      </c>
      <c r="G271" s="96" t="s">
        <v>1793</v>
      </c>
      <c r="H271" s="116"/>
      <c r="I271" s="117" t="s">
        <v>1819</v>
      </c>
    </row>
    <row r="272" customFormat="false" ht="15" hidden="false" customHeight="true" outlineLevel="0" collapsed="false">
      <c r="A272" s="96" t="s">
        <v>1816</v>
      </c>
      <c r="B272" s="96" t="s">
        <v>1736</v>
      </c>
      <c r="C272" s="96" t="s">
        <v>602</v>
      </c>
      <c r="D272" s="96" t="s">
        <v>1241</v>
      </c>
      <c r="E272" s="96" t="s">
        <v>2182</v>
      </c>
      <c r="F272" s="115" t="n">
        <v>5000</v>
      </c>
      <c r="G272" s="96" t="s">
        <v>2183</v>
      </c>
      <c r="H272" s="116"/>
      <c r="I272" s="117" t="s">
        <v>1819</v>
      </c>
    </row>
    <row r="273" customFormat="false" ht="15" hidden="false" customHeight="true" outlineLevel="0" collapsed="false">
      <c r="A273" s="96" t="s">
        <v>1816</v>
      </c>
      <c r="B273" s="96" t="s">
        <v>1736</v>
      </c>
      <c r="C273" s="96" t="s">
        <v>602</v>
      </c>
      <c r="D273" s="96" t="s">
        <v>1151</v>
      </c>
      <c r="E273" s="96" t="s">
        <v>2184</v>
      </c>
      <c r="F273" s="115" t="n">
        <v>5000</v>
      </c>
      <c r="G273" s="96" t="s">
        <v>2183</v>
      </c>
      <c r="H273" s="116"/>
      <c r="I273" s="117" t="s">
        <v>1819</v>
      </c>
    </row>
    <row r="274" customFormat="false" ht="15" hidden="false" customHeight="true" outlineLevel="0" collapsed="false">
      <c r="A274" s="96" t="s">
        <v>1816</v>
      </c>
      <c r="B274" s="96" t="s">
        <v>1736</v>
      </c>
      <c r="C274" s="96" t="s">
        <v>588</v>
      </c>
      <c r="D274" s="96" t="s">
        <v>1151</v>
      </c>
      <c r="E274" s="96" t="s">
        <v>2184</v>
      </c>
      <c r="F274" s="115" t="n">
        <v>5000</v>
      </c>
      <c r="G274" s="96" t="s">
        <v>2183</v>
      </c>
      <c r="H274" s="116"/>
      <c r="I274" s="117" t="s">
        <v>1819</v>
      </c>
    </row>
    <row r="275" customFormat="false" ht="15" hidden="false" customHeight="true" outlineLevel="0" collapsed="false">
      <c r="A275" s="96" t="s">
        <v>1816</v>
      </c>
      <c r="B275" s="96" t="s">
        <v>1736</v>
      </c>
      <c r="C275" s="96" t="s">
        <v>595</v>
      </c>
      <c r="D275" s="96" t="s">
        <v>2185</v>
      </c>
      <c r="E275" s="96" t="s">
        <v>1865</v>
      </c>
      <c r="F275" s="115" t="n">
        <v>5000</v>
      </c>
      <c r="G275" s="96" t="s">
        <v>410</v>
      </c>
      <c r="H275" s="116"/>
      <c r="I275" s="117" t="s">
        <v>1819</v>
      </c>
    </row>
    <row r="276" customFormat="false" ht="15" hidden="false" customHeight="true" outlineLevel="0" collapsed="false">
      <c r="A276" s="96" t="s">
        <v>1816</v>
      </c>
      <c r="B276" s="96" t="s">
        <v>1736</v>
      </c>
      <c r="C276" s="96" t="s">
        <v>602</v>
      </c>
      <c r="D276" s="96" t="s">
        <v>1243</v>
      </c>
      <c r="E276" s="96" t="s">
        <v>2186</v>
      </c>
      <c r="F276" s="115" t="n">
        <v>5000</v>
      </c>
      <c r="G276" s="96" t="s">
        <v>2114</v>
      </c>
      <c r="H276" s="116"/>
      <c r="I276" s="117" t="s">
        <v>1819</v>
      </c>
    </row>
    <row r="277" customFormat="false" ht="15" hidden="false" customHeight="true" outlineLevel="0" collapsed="false">
      <c r="A277" s="96" t="s">
        <v>1816</v>
      </c>
      <c r="B277" s="96" t="s">
        <v>1736</v>
      </c>
      <c r="C277" s="96" t="s">
        <v>602</v>
      </c>
      <c r="D277" s="96" t="s">
        <v>1245</v>
      </c>
      <c r="E277" s="96" t="s">
        <v>2187</v>
      </c>
      <c r="F277" s="115" t="n">
        <v>5000</v>
      </c>
      <c r="G277" s="96" t="s">
        <v>2188</v>
      </c>
      <c r="H277" s="116"/>
      <c r="I277" s="117" t="s">
        <v>1819</v>
      </c>
    </row>
    <row r="278" customFormat="false" ht="15" hidden="false" customHeight="true" outlineLevel="0" collapsed="false">
      <c r="A278" s="96" t="s">
        <v>1816</v>
      </c>
      <c r="B278" s="96" t="s">
        <v>1736</v>
      </c>
      <c r="C278" s="96" t="s">
        <v>602</v>
      </c>
      <c r="D278" s="96" t="s">
        <v>987</v>
      </c>
      <c r="E278" s="96" t="s">
        <v>2189</v>
      </c>
      <c r="F278" s="115" t="n">
        <v>5000</v>
      </c>
      <c r="G278" s="96" t="s">
        <v>2190</v>
      </c>
      <c r="H278" s="116"/>
      <c r="I278" s="117" t="s">
        <v>1819</v>
      </c>
    </row>
    <row r="279" customFormat="false" ht="15" hidden="false" customHeight="true" outlineLevel="0" collapsed="false">
      <c r="A279" s="96" t="s">
        <v>1816</v>
      </c>
      <c r="B279" s="96" t="s">
        <v>1736</v>
      </c>
      <c r="C279" s="96" t="s">
        <v>602</v>
      </c>
      <c r="D279" s="96" t="s">
        <v>1212</v>
      </c>
      <c r="E279" s="96" t="s">
        <v>2191</v>
      </c>
      <c r="F279" s="115" t="n">
        <v>5000</v>
      </c>
      <c r="G279" s="96" t="s">
        <v>2192</v>
      </c>
      <c r="H279" s="116"/>
      <c r="I279" s="117" t="s">
        <v>1819</v>
      </c>
    </row>
    <row r="280" customFormat="false" ht="15" hidden="false" customHeight="true" outlineLevel="0" collapsed="false">
      <c r="A280" s="96" t="s">
        <v>1816</v>
      </c>
      <c r="B280" s="96" t="s">
        <v>1736</v>
      </c>
      <c r="C280" s="96" t="s">
        <v>588</v>
      </c>
      <c r="D280" s="96" t="s">
        <v>2193</v>
      </c>
      <c r="E280" s="96" t="s">
        <v>2194</v>
      </c>
      <c r="F280" s="115" t="n">
        <v>5000</v>
      </c>
      <c r="G280" s="96" t="s">
        <v>2192</v>
      </c>
      <c r="H280" s="116"/>
      <c r="I280" s="117" t="s">
        <v>1819</v>
      </c>
    </row>
    <row r="281" customFormat="false" ht="15" hidden="false" customHeight="true" outlineLevel="0" collapsed="false">
      <c r="A281" s="96" t="s">
        <v>1816</v>
      </c>
      <c r="B281" s="96" t="s">
        <v>1736</v>
      </c>
      <c r="C281" s="96" t="s">
        <v>595</v>
      </c>
      <c r="D281" s="96" t="s">
        <v>2195</v>
      </c>
      <c r="E281" s="96" t="s">
        <v>2196</v>
      </c>
      <c r="F281" s="115" t="n">
        <v>5000</v>
      </c>
      <c r="G281" s="96" t="s">
        <v>2197</v>
      </c>
      <c r="H281" s="116"/>
      <c r="I281" s="117" t="s">
        <v>1819</v>
      </c>
    </row>
    <row r="282" customFormat="false" ht="15" hidden="false" customHeight="true" outlineLevel="0" collapsed="false">
      <c r="A282" s="96" t="s">
        <v>1816</v>
      </c>
      <c r="B282" s="96" t="s">
        <v>1736</v>
      </c>
      <c r="C282" s="96" t="s">
        <v>588</v>
      </c>
      <c r="D282" s="96" t="s">
        <v>2198</v>
      </c>
      <c r="E282" s="96" t="s">
        <v>1874</v>
      </c>
      <c r="F282" s="115" t="n">
        <v>5000</v>
      </c>
      <c r="G282" s="96" t="s">
        <v>520</v>
      </c>
      <c r="H282" s="116"/>
      <c r="I282" s="117" t="s">
        <v>1819</v>
      </c>
    </row>
    <row r="283" customFormat="false" ht="15" hidden="false" customHeight="true" outlineLevel="0" collapsed="false">
      <c r="A283" s="96" t="s">
        <v>1816</v>
      </c>
      <c r="B283" s="96" t="s">
        <v>1736</v>
      </c>
      <c r="C283" s="96" t="s">
        <v>595</v>
      </c>
      <c r="D283" s="96" t="s">
        <v>2199</v>
      </c>
      <c r="E283" s="96" t="s">
        <v>2200</v>
      </c>
      <c r="F283" s="115" t="n">
        <v>5000</v>
      </c>
      <c r="G283" s="96" t="s">
        <v>520</v>
      </c>
      <c r="H283" s="116"/>
      <c r="I283" s="117" t="s">
        <v>1819</v>
      </c>
    </row>
    <row r="284" customFormat="false" ht="15" hidden="false" customHeight="true" outlineLevel="0" collapsed="false">
      <c r="A284" s="96" t="s">
        <v>1816</v>
      </c>
      <c r="B284" s="96" t="s">
        <v>1736</v>
      </c>
      <c r="C284" s="96" t="s">
        <v>588</v>
      </c>
      <c r="D284" s="96" t="s">
        <v>2201</v>
      </c>
      <c r="E284" s="96" t="s">
        <v>2202</v>
      </c>
      <c r="F284" s="115" t="n">
        <v>5000</v>
      </c>
      <c r="G284" s="96" t="s">
        <v>2088</v>
      </c>
      <c r="H284" s="116"/>
      <c r="I284" s="117" t="s">
        <v>1819</v>
      </c>
    </row>
    <row r="285" customFormat="false" ht="15" hidden="false" customHeight="true" outlineLevel="0" collapsed="false">
      <c r="A285" s="96" t="s">
        <v>1816</v>
      </c>
      <c r="B285" s="96" t="s">
        <v>1736</v>
      </c>
      <c r="C285" s="96" t="s">
        <v>595</v>
      </c>
      <c r="D285" s="96" t="s">
        <v>2203</v>
      </c>
      <c r="E285" s="96" t="s">
        <v>2204</v>
      </c>
      <c r="F285" s="115" t="n">
        <v>5000</v>
      </c>
      <c r="G285" s="96" t="s">
        <v>525</v>
      </c>
      <c r="H285" s="116"/>
      <c r="I285" s="117" t="s">
        <v>1819</v>
      </c>
    </row>
    <row r="286" customFormat="false" ht="15" hidden="false" customHeight="true" outlineLevel="0" collapsed="false">
      <c r="A286" s="96" t="s">
        <v>1816</v>
      </c>
      <c r="B286" s="96" t="s">
        <v>1736</v>
      </c>
      <c r="C286" s="96" t="s">
        <v>602</v>
      </c>
      <c r="D286" s="96" t="s">
        <v>2205</v>
      </c>
      <c r="E286" s="96" t="s">
        <v>2122</v>
      </c>
      <c r="F286" s="115" t="n">
        <v>5000</v>
      </c>
      <c r="G286" s="96" t="s">
        <v>2123</v>
      </c>
      <c r="H286" s="116"/>
      <c r="I286" s="117" t="s">
        <v>1819</v>
      </c>
    </row>
    <row r="287" customFormat="false" ht="15" hidden="false" customHeight="true" outlineLevel="0" collapsed="false">
      <c r="A287" s="96" t="s">
        <v>1816</v>
      </c>
      <c r="B287" s="96" t="s">
        <v>1736</v>
      </c>
      <c r="C287" s="96" t="s">
        <v>588</v>
      </c>
      <c r="D287" s="96" t="s">
        <v>2206</v>
      </c>
      <c r="E287" s="96" t="s">
        <v>2207</v>
      </c>
      <c r="F287" s="115" t="n">
        <v>5000</v>
      </c>
      <c r="G287" s="96" t="s">
        <v>2123</v>
      </c>
      <c r="H287" s="116"/>
      <c r="I287" s="117" t="s">
        <v>1819</v>
      </c>
    </row>
    <row r="288" customFormat="false" ht="15" hidden="false" customHeight="true" outlineLevel="0" collapsed="false">
      <c r="A288" s="96" t="s">
        <v>1816</v>
      </c>
      <c r="B288" s="96" t="s">
        <v>1736</v>
      </c>
      <c r="C288" s="96" t="s">
        <v>602</v>
      </c>
      <c r="D288" s="96" t="s">
        <v>1251</v>
      </c>
      <c r="E288" s="96" t="s">
        <v>2208</v>
      </c>
      <c r="F288" s="115" t="n">
        <v>5000</v>
      </c>
      <c r="G288" s="96" t="s">
        <v>386</v>
      </c>
      <c r="H288" s="116"/>
      <c r="I288" s="117" t="s">
        <v>1819</v>
      </c>
    </row>
    <row r="289" customFormat="false" ht="15" hidden="false" customHeight="true" outlineLevel="0" collapsed="false">
      <c r="A289" s="96" t="s">
        <v>1816</v>
      </c>
      <c r="B289" s="96" t="s">
        <v>1736</v>
      </c>
      <c r="C289" s="96" t="s">
        <v>602</v>
      </c>
      <c r="D289" s="96" t="s">
        <v>1253</v>
      </c>
      <c r="E289" s="96" t="s">
        <v>2209</v>
      </c>
      <c r="F289" s="115" t="n">
        <v>5000</v>
      </c>
      <c r="G289" s="96" t="s">
        <v>2210</v>
      </c>
      <c r="H289" s="116"/>
      <c r="I289" s="117" t="s">
        <v>1819</v>
      </c>
    </row>
    <row r="290" customFormat="false" ht="15" hidden="false" customHeight="true" outlineLevel="0" collapsed="false">
      <c r="A290" s="96" t="s">
        <v>1816</v>
      </c>
      <c r="B290" s="96" t="s">
        <v>1736</v>
      </c>
      <c r="C290" s="96" t="s">
        <v>602</v>
      </c>
      <c r="D290" s="96" t="s">
        <v>343</v>
      </c>
      <c r="E290" s="96" t="s">
        <v>1894</v>
      </c>
      <c r="F290" s="115" t="n">
        <v>5000</v>
      </c>
      <c r="G290" s="96" t="s">
        <v>647</v>
      </c>
      <c r="H290" s="116"/>
      <c r="I290" s="117" t="s">
        <v>1819</v>
      </c>
    </row>
    <row r="291" customFormat="false" ht="15" hidden="false" customHeight="true" outlineLevel="0" collapsed="false">
      <c r="A291" s="96" t="s">
        <v>1816</v>
      </c>
      <c r="B291" s="96" t="s">
        <v>1736</v>
      </c>
      <c r="C291" s="96" t="s">
        <v>595</v>
      </c>
      <c r="D291" s="96" t="s">
        <v>2211</v>
      </c>
      <c r="E291" s="96" t="s">
        <v>2062</v>
      </c>
      <c r="F291" s="115" t="n">
        <v>5000</v>
      </c>
      <c r="G291" s="96" t="s">
        <v>647</v>
      </c>
      <c r="H291" s="116"/>
      <c r="I291" s="117" t="s">
        <v>1819</v>
      </c>
    </row>
    <row r="292" customFormat="false" ht="15" hidden="false" customHeight="true" outlineLevel="0" collapsed="false">
      <c r="A292" s="96" t="s">
        <v>1816</v>
      </c>
      <c r="B292" s="96" t="s">
        <v>1736</v>
      </c>
      <c r="C292" s="96" t="s">
        <v>588</v>
      </c>
      <c r="D292" s="96" t="s">
        <v>1255</v>
      </c>
      <c r="E292" s="96" t="s">
        <v>2212</v>
      </c>
      <c r="F292" s="115" t="n">
        <v>5000</v>
      </c>
      <c r="G292" s="96" t="s">
        <v>647</v>
      </c>
      <c r="H292" s="116"/>
      <c r="I292" s="117" t="s">
        <v>1819</v>
      </c>
    </row>
    <row r="293" customFormat="false" ht="15" hidden="false" customHeight="true" outlineLevel="0" collapsed="false">
      <c r="A293" s="96" t="s">
        <v>1816</v>
      </c>
      <c r="B293" s="96" t="s">
        <v>1736</v>
      </c>
      <c r="C293" s="96" t="s">
        <v>602</v>
      </c>
      <c r="D293" s="96" t="s">
        <v>1188</v>
      </c>
      <c r="E293" s="96" t="s">
        <v>2213</v>
      </c>
      <c r="F293" s="115" t="n">
        <v>5000</v>
      </c>
      <c r="G293" s="96" t="s">
        <v>647</v>
      </c>
      <c r="H293" s="116"/>
      <c r="I293" s="117" t="s">
        <v>1819</v>
      </c>
    </row>
    <row r="294" customFormat="false" ht="15" hidden="false" customHeight="true" outlineLevel="0" collapsed="false">
      <c r="A294" s="96" t="s">
        <v>1816</v>
      </c>
      <c r="B294" s="96" t="s">
        <v>1736</v>
      </c>
      <c r="C294" s="96" t="s">
        <v>588</v>
      </c>
      <c r="D294" s="96" t="s">
        <v>2214</v>
      </c>
      <c r="E294" s="96" t="s">
        <v>2215</v>
      </c>
      <c r="F294" s="115" t="n">
        <v>5000</v>
      </c>
      <c r="G294" s="96" t="s">
        <v>647</v>
      </c>
      <c r="H294" s="116"/>
      <c r="I294" s="117" t="s">
        <v>1819</v>
      </c>
    </row>
    <row r="295" customFormat="false" ht="15" hidden="false" customHeight="true" outlineLevel="0" collapsed="false">
      <c r="A295" s="96" t="s">
        <v>1816</v>
      </c>
      <c r="B295" s="96" t="s">
        <v>1736</v>
      </c>
      <c r="C295" s="96" t="s">
        <v>602</v>
      </c>
      <c r="D295" s="96" t="s">
        <v>1257</v>
      </c>
      <c r="E295" s="96" t="s">
        <v>2216</v>
      </c>
      <c r="F295" s="115" t="n">
        <v>5000</v>
      </c>
      <c r="G295" s="96" t="s">
        <v>647</v>
      </c>
      <c r="H295" s="116"/>
      <c r="I295" s="117" t="s">
        <v>1819</v>
      </c>
    </row>
    <row r="296" customFormat="false" ht="15" hidden="false" customHeight="true" outlineLevel="0" collapsed="false">
      <c r="A296" s="96" t="s">
        <v>1816</v>
      </c>
      <c r="B296" s="96" t="s">
        <v>1736</v>
      </c>
      <c r="C296" s="96" t="s">
        <v>602</v>
      </c>
      <c r="D296" s="96" t="s">
        <v>1259</v>
      </c>
      <c r="E296" s="96" t="s">
        <v>2217</v>
      </c>
      <c r="F296" s="115" t="n">
        <v>5000</v>
      </c>
      <c r="G296" s="96" t="s">
        <v>390</v>
      </c>
      <c r="H296" s="116"/>
      <c r="I296" s="117" t="s">
        <v>1819</v>
      </c>
    </row>
    <row r="297" customFormat="false" ht="15" hidden="false" customHeight="true" outlineLevel="0" collapsed="false">
      <c r="A297" s="96" t="s">
        <v>1816</v>
      </c>
      <c r="B297" s="96" t="s">
        <v>1736</v>
      </c>
      <c r="C297" s="96" t="s">
        <v>595</v>
      </c>
      <c r="D297" s="96" t="s">
        <v>528</v>
      </c>
      <c r="E297" s="96" t="s">
        <v>2133</v>
      </c>
      <c r="F297" s="115" t="n">
        <v>5000</v>
      </c>
      <c r="G297" s="96" t="s">
        <v>390</v>
      </c>
      <c r="H297" s="116"/>
      <c r="I297" s="117" t="s">
        <v>1819</v>
      </c>
    </row>
    <row r="298" customFormat="false" ht="15" hidden="false" customHeight="true" outlineLevel="0" collapsed="false">
      <c r="A298" s="96" t="s">
        <v>1816</v>
      </c>
      <c r="B298" s="96" t="s">
        <v>1736</v>
      </c>
      <c r="C298" s="96" t="s">
        <v>588</v>
      </c>
      <c r="D298" s="96" t="s">
        <v>388</v>
      </c>
      <c r="E298" s="96" t="s">
        <v>1889</v>
      </c>
      <c r="F298" s="115" t="n">
        <v>5000</v>
      </c>
      <c r="G298" s="96" t="s">
        <v>390</v>
      </c>
      <c r="H298" s="116"/>
      <c r="I298" s="117" t="s">
        <v>1819</v>
      </c>
    </row>
    <row r="299" customFormat="false" ht="15" hidden="false" customHeight="true" outlineLevel="0" collapsed="false">
      <c r="A299" s="96" t="s">
        <v>1816</v>
      </c>
      <c r="B299" s="96" t="s">
        <v>1736</v>
      </c>
      <c r="C299" s="96" t="s">
        <v>588</v>
      </c>
      <c r="D299" s="96" t="s">
        <v>2218</v>
      </c>
      <c r="E299" s="96" t="s">
        <v>2219</v>
      </c>
      <c r="F299" s="115" t="n">
        <v>5000</v>
      </c>
      <c r="G299" s="96" t="s">
        <v>2093</v>
      </c>
      <c r="H299" s="116"/>
      <c r="I299" s="117" t="s">
        <v>1819</v>
      </c>
    </row>
    <row r="300" customFormat="false" ht="15" hidden="false" customHeight="true" outlineLevel="0" collapsed="false">
      <c r="A300" s="96" t="s">
        <v>1816</v>
      </c>
      <c r="B300" s="96" t="s">
        <v>1736</v>
      </c>
      <c r="C300" s="96" t="s">
        <v>588</v>
      </c>
      <c r="D300" s="96" t="s">
        <v>2220</v>
      </c>
      <c r="E300" s="96" t="s">
        <v>1882</v>
      </c>
      <c r="F300" s="115" t="n">
        <v>5000</v>
      </c>
      <c r="G300" s="96" t="s">
        <v>2221</v>
      </c>
      <c r="H300" s="116"/>
      <c r="I300" s="117" t="s">
        <v>1819</v>
      </c>
    </row>
    <row r="301" customFormat="false" ht="15" hidden="false" customHeight="true" outlineLevel="0" collapsed="false">
      <c r="A301" s="96" t="s">
        <v>1816</v>
      </c>
      <c r="B301" s="96" t="s">
        <v>1736</v>
      </c>
      <c r="C301" s="96" t="s">
        <v>588</v>
      </c>
      <c r="D301" s="96" t="s">
        <v>2222</v>
      </c>
      <c r="E301" s="96" t="s">
        <v>2223</v>
      </c>
      <c r="F301" s="115" t="n">
        <v>5000</v>
      </c>
      <c r="G301" s="96" t="s">
        <v>2224</v>
      </c>
      <c r="H301" s="116"/>
      <c r="I301" s="117" t="s">
        <v>1819</v>
      </c>
    </row>
    <row r="302" customFormat="false" ht="15" hidden="false" customHeight="true" outlineLevel="0" collapsed="false">
      <c r="A302" s="96" t="s">
        <v>1816</v>
      </c>
      <c r="B302" s="96" t="s">
        <v>1736</v>
      </c>
      <c r="C302" s="96" t="s">
        <v>595</v>
      </c>
      <c r="D302" s="96" t="s">
        <v>2225</v>
      </c>
      <c r="E302" s="96" t="s">
        <v>2226</v>
      </c>
      <c r="F302" s="115" t="n">
        <v>5000</v>
      </c>
      <c r="G302" s="96" t="s">
        <v>533</v>
      </c>
      <c r="H302" s="116"/>
      <c r="I302" s="117" t="s">
        <v>1819</v>
      </c>
    </row>
    <row r="303" customFormat="false" ht="15" hidden="false" customHeight="true" outlineLevel="0" collapsed="false">
      <c r="A303" s="96" t="s">
        <v>1816</v>
      </c>
      <c r="B303" s="96" t="s">
        <v>1736</v>
      </c>
      <c r="C303" s="96" t="s">
        <v>588</v>
      </c>
      <c r="D303" s="96" t="s">
        <v>1264</v>
      </c>
      <c r="E303" s="96" t="s">
        <v>2227</v>
      </c>
      <c r="F303" s="115" t="n">
        <v>5000</v>
      </c>
      <c r="G303" s="96" t="s">
        <v>2228</v>
      </c>
      <c r="H303" s="116"/>
      <c r="I303" s="117" t="s">
        <v>1819</v>
      </c>
    </row>
    <row r="304" customFormat="false" ht="15" hidden="false" customHeight="true" outlineLevel="0" collapsed="false">
      <c r="A304" s="96" t="s">
        <v>1816</v>
      </c>
      <c r="B304" s="96" t="s">
        <v>1736</v>
      </c>
      <c r="C304" s="96" t="s">
        <v>595</v>
      </c>
      <c r="D304" s="96" t="s">
        <v>2229</v>
      </c>
      <c r="E304" s="96" t="s">
        <v>2230</v>
      </c>
      <c r="F304" s="115" t="n">
        <v>5000</v>
      </c>
      <c r="G304" s="96" t="s">
        <v>2131</v>
      </c>
      <c r="H304" s="116"/>
      <c r="I304" s="117" t="s">
        <v>1819</v>
      </c>
    </row>
    <row r="305" customFormat="false" ht="15" hidden="false" customHeight="true" outlineLevel="0" collapsed="false">
      <c r="A305" s="96" t="s">
        <v>1816</v>
      </c>
      <c r="B305" s="96" t="s">
        <v>1736</v>
      </c>
      <c r="C305" s="96" t="s">
        <v>595</v>
      </c>
      <c r="D305" s="96" t="s">
        <v>2231</v>
      </c>
      <c r="E305" s="96" t="s">
        <v>2232</v>
      </c>
      <c r="F305" s="115" t="n">
        <v>5000</v>
      </c>
      <c r="G305" s="96" t="s">
        <v>537</v>
      </c>
      <c r="H305" s="116"/>
      <c r="I305" s="117" t="s">
        <v>1819</v>
      </c>
    </row>
    <row r="306" customFormat="false" ht="15" hidden="false" customHeight="true" outlineLevel="0" collapsed="false">
      <c r="A306" s="96" t="s">
        <v>1816</v>
      </c>
      <c r="B306" s="96" t="s">
        <v>1736</v>
      </c>
      <c r="C306" s="96" t="s">
        <v>602</v>
      </c>
      <c r="D306" s="96" t="s">
        <v>2233</v>
      </c>
      <c r="E306" s="96" t="s">
        <v>2234</v>
      </c>
      <c r="F306" s="115" t="n">
        <v>5000</v>
      </c>
      <c r="G306" s="96" t="s">
        <v>537</v>
      </c>
      <c r="H306" s="116"/>
      <c r="I306" s="117" t="s">
        <v>1819</v>
      </c>
    </row>
    <row r="307" customFormat="false" ht="15" hidden="false" customHeight="true" outlineLevel="0" collapsed="false">
      <c r="A307" s="96" t="s">
        <v>1816</v>
      </c>
      <c r="B307" s="96" t="s">
        <v>1736</v>
      </c>
      <c r="C307" s="96" t="s">
        <v>588</v>
      </c>
      <c r="D307" s="96" t="s">
        <v>2235</v>
      </c>
      <c r="E307" s="96" t="s">
        <v>1931</v>
      </c>
      <c r="F307" s="115" t="n">
        <v>4000</v>
      </c>
      <c r="G307" s="96" t="s">
        <v>2236</v>
      </c>
      <c r="H307" s="116"/>
      <c r="I307" s="117" t="s">
        <v>1819</v>
      </c>
    </row>
    <row r="308" customFormat="false" ht="15" hidden="false" customHeight="true" outlineLevel="0" collapsed="false">
      <c r="A308" s="96" t="s">
        <v>1816</v>
      </c>
      <c r="B308" s="96" t="s">
        <v>1736</v>
      </c>
      <c r="C308" s="96" t="s">
        <v>588</v>
      </c>
      <c r="D308" s="96" t="s">
        <v>2237</v>
      </c>
      <c r="E308" s="96" t="s">
        <v>1931</v>
      </c>
      <c r="F308" s="115" t="n">
        <v>4000</v>
      </c>
      <c r="G308" s="96" t="s">
        <v>2160</v>
      </c>
      <c r="H308" s="116"/>
      <c r="I308" s="117" t="s">
        <v>1819</v>
      </c>
    </row>
    <row r="309" customFormat="false" ht="15" hidden="false" customHeight="true" outlineLevel="0" collapsed="false">
      <c r="A309" s="96" t="s">
        <v>1816</v>
      </c>
      <c r="B309" s="96" t="s">
        <v>1736</v>
      </c>
      <c r="C309" s="96" t="s">
        <v>588</v>
      </c>
      <c r="D309" s="96" t="s">
        <v>2238</v>
      </c>
      <c r="E309" s="96" t="s">
        <v>1931</v>
      </c>
      <c r="F309" s="115" t="n">
        <v>4000</v>
      </c>
      <c r="G309" s="96" t="s">
        <v>2160</v>
      </c>
      <c r="H309" s="116"/>
      <c r="I309" s="117" t="s">
        <v>1819</v>
      </c>
    </row>
    <row r="310" customFormat="false" ht="15" hidden="false" customHeight="true" outlineLevel="0" collapsed="false">
      <c r="A310" s="96" t="s">
        <v>1816</v>
      </c>
      <c r="B310" s="96" t="s">
        <v>1736</v>
      </c>
      <c r="C310" s="96" t="s">
        <v>588</v>
      </c>
      <c r="D310" s="96" t="s">
        <v>2239</v>
      </c>
      <c r="E310" s="96" t="s">
        <v>1931</v>
      </c>
      <c r="F310" s="115" t="n">
        <v>4000</v>
      </c>
      <c r="G310" s="96" t="s">
        <v>2160</v>
      </c>
      <c r="H310" s="116"/>
      <c r="I310" s="117" t="s">
        <v>1819</v>
      </c>
    </row>
    <row r="311" customFormat="false" ht="15" hidden="false" customHeight="true" outlineLevel="0" collapsed="false">
      <c r="A311" s="96" t="s">
        <v>1816</v>
      </c>
      <c r="B311" s="96" t="s">
        <v>1736</v>
      </c>
      <c r="C311" s="96" t="s">
        <v>588</v>
      </c>
      <c r="D311" s="96" t="s">
        <v>2240</v>
      </c>
      <c r="E311" s="96" t="s">
        <v>1931</v>
      </c>
      <c r="F311" s="115" t="n">
        <v>4000</v>
      </c>
      <c r="G311" s="96" t="s">
        <v>2160</v>
      </c>
      <c r="H311" s="116"/>
      <c r="I311" s="117" t="s">
        <v>1819</v>
      </c>
    </row>
    <row r="312" customFormat="false" ht="15" hidden="false" customHeight="true" outlineLevel="0" collapsed="false">
      <c r="A312" s="96" t="s">
        <v>1816</v>
      </c>
      <c r="B312" s="96" t="s">
        <v>1736</v>
      </c>
      <c r="C312" s="96" t="s">
        <v>588</v>
      </c>
      <c r="D312" s="96" t="s">
        <v>2241</v>
      </c>
      <c r="E312" s="96" t="s">
        <v>1931</v>
      </c>
      <c r="F312" s="115" t="n">
        <v>4000</v>
      </c>
      <c r="G312" s="96" t="s">
        <v>2160</v>
      </c>
      <c r="H312" s="116"/>
      <c r="I312" s="117" t="s">
        <v>1819</v>
      </c>
    </row>
    <row r="313" customFormat="false" ht="15" hidden="false" customHeight="true" outlineLevel="0" collapsed="false">
      <c r="A313" s="96" t="s">
        <v>1816</v>
      </c>
      <c r="B313" s="96" t="s">
        <v>1736</v>
      </c>
      <c r="C313" s="96" t="s">
        <v>588</v>
      </c>
      <c r="D313" s="96" t="s">
        <v>2242</v>
      </c>
      <c r="E313" s="96" t="s">
        <v>1931</v>
      </c>
      <c r="F313" s="115" t="n">
        <v>4000</v>
      </c>
      <c r="G313" s="96" t="s">
        <v>2162</v>
      </c>
      <c r="H313" s="116"/>
      <c r="I313" s="117" t="s">
        <v>1819</v>
      </c>
    </row>
    <row r="314" customFormat="false" ht="15" hidden="false" customHeight="true" outlineLevel="0" collapsed="false">
      <c r="A314" s="96" t="s">
        <v>1816</v>
      </c>
      <c r="B314" s="96" t="s">
        <v>1736</v>
      </c>
      <c r="C314" s="96" t="s">
        <v>588</v>
      </c>
      <c r="D314" s="96" t="s">
        <v>2243</v>
      </c>
      <c r="E314" s="96" t="s">
        <v>1931</v>
      </c>
      <c r="F314" s="115" t="n">
        <v>4000</v>
      </c>
      <c r="G314" s="96" t="s">
        <v>2162</v>
      </c>
      <c r="H314" s="116"/>
      <c r="I314" s="117" t="s">
        <v>1819</v>
      </c>
    </row>
    <row r="315" customFormat="false" ht="15" hidden="false" customHeight="true" outlineLevel="0" collapsed="false">
      <c r="A315" s="96" t="s">
        <v>1816</v>
      </c>
      <c r="B315" s="96" t="s">
        <v>1736</v>
      </c>
      <c r="C315" s="96" t="s">
        <v>588</v>
      </c>
      <c r="D315" s="96" t="s">
        <v>2244</v>
      </c>
      <c r="E315" s="96" t="s">
        <v>1931</v>
      </c>
      <c r="F315" s="115" t="n">
        <v>4000</v>
      </c>
      <c r="G315" s="96" t="s">
        <v>2245</v>
      </c>
      <c r="H315" s="116"/>
      <c r="I315" s="117" t="s">
        <v>1819</v>
      </c>
    </row>
    <row r="316" customFormat="false" ht="15" hidden="false" customHeight="true" outlineLevel="0" collapsed="false">
      <c r="A316" s="96" t="s">
        <v>1816</v>
      </c>
      <c r="B316" s="96" t="s">
        <v>1736</v>
      </c>
      <c r="C316" s="96" t="s">
        <v>588</v>
      </c>
      <c r="D316" s="96" t="s">
        <v>2246</v>
      </c>
      <c r="E316" s="96" t="s">
        <v>1931</v>
      </c>
      <c r="F316" s="115" t="n">
        <v>4000</v>
      </c>
      <c r="G316" s="96" t="s">
        <v>2245</v>
      </c>
      <c r="H316" s="116"/>
      <c r="I316" s="117" t="s">
        <v>1819</v>
      </c>
    </row>
    <row r="317" customFormat="false" ht="15" hidden="false" customHeight="true" outlineLevel="0" collapsed="false">
      <c r="A317" s="96" t="s">
        <v>1816</v>
      </c>
      <c r="B317" s="96" t="s">
        <v>1736</v>
      </c>
      <c r="C317" s="96" t="s">
        <v>588</v>
      </c>
      <c r="D317" s="96" t="s">
        <v>2247</v>
      </c>
      <c r="E317" s="96" t="s">
        <v>1931</v>
      </c>
      <c r="F317" s="115" t="n">
        <v>4000</v>
      </c>
      <c r="G317" s="96" t="s">
        <v>2106</v>
      </c>
      <c r="H317" s="116"/>
      <c r="I317" s="117" t="s">
        <v>1819</v>
      </c>
    </row>
    <row r="318" customFormat="false" ht="15" hidden="false" customHeight="true" outlineLevel="0" collapsed="false">
      <c r="A318" s="96" t="s">
        <v>1816</v>
      </c>
      <c r="B318" s="96" t="s">
        <v>1736</v>
      </c>
      <c r="C318" s="96" t="s">
        <v>588</v>
      </c>
      <c r="D318" s="96" t="s">
        <v>2248</v>
      </c>
      <c r="E318" s="96" t="s">
        <v>1931</v>
      </c>
      <c r="F318" s="115" t="n">
        <v>4000</v>
      </c>
      <c r="G318" s="96" t="s">
        <v>2106</v>
      </c>
      <c r="H318" s="116"/>
      <c r="I318" s="117" t="s">
        <v>1819</v>
      </c>
    </row>
    <row r="319" customFormat="false" ht="15" hidden="false" customHeight="true" outlineLevel="0" collapsed="false">
      <c r="A319" s="96" t="s">
        <v>1816</v>
      </c>
      <c r="B319" s="96" t="s">
        <v>1736</v>
      </c>
      <c r="C319" s="96" t="s">
        <v>588</v>
      </c>
      <c r="D319" s="96" t="s">
        <v>2249</v>
      </c>
      <c r="E319" s="96" t="s">
        <v>1931</v>
      </c>
      <c r="F319" s="115" t="n">
        <v>4000</v>
      </c>
      <c r="G319" s="96" t="s">
        <v>2106</v>
      </c>
      <c r="H319" s="116"/>
      <c r="I319" s="117" t="s">
        <v>1819</v>
      </c>
    </row>
    <row r="320" customFormat="false" ht="15" hidden="false" customHeight="true" outlineLevel="0" collapsed="false">
      <c r="A320" s="96" t="s">
        <v>1816</v>
      </c>
      <c r="B320" s="96" t="s">
        <v>1736</v>
      </c>
      <c r="C320" s="96" t="s">
        <v>588</v>
      </c>
      <c r="D320" s="96" t="s">
        <v>2250</v>
      </c>
      <c r="E320" s="96" t="s">
        <v>1931</v>
      </c>
      <c r="F320" s="115" t="n">
        <v>4000</v>
      </c>
      <c r="G320" s="96" t="s">
        <v>2106</v>
      </c>
      <c r="H320" s="116"/>
      <c r="I320" s="117" t="s">
        <v>1819</v>
      </c>
    </row>
    <row r="321" customFormat="false" ht="15" hidden="false" customHeight="true" outlineLevel="0" collapsed="false">
      <c r="A321" s="96" t="s">
        <v>1816</v>
      </c>
      <c r="B321" s="96" t="s">
        <v>1736</v>
      </c>
      <c r="C321" s="96" t="s">
        <v>588</v>
      </c>
      <c r="D321" s="96" t="s">
        <v>2251</v>
      </c>
      <c r="E321" s="96" t="s">
        <v>1931</v>
      </c>
      <c r="F321" s="115" t="n">
        <v>4000</v>
      </c>
      <c r="G321" s="96" t="s">
        <v>2106</v>
      </c>
      <c r="H321" s="116"/>
      <c r="I321" s="117" t="s">
        <v>1819</v>
      </c>
    </row>
    <row r="322" customFormat="false" ht="15" hidden="false" customHeight="true" outlineLevel="0" collapsed="false">
      <c r="A322" s="96" t="s">
        <v>1816</v>
      </c>
      <c r="B322" s="96" t="s">
        <v>1736</v>
      </c>
      <c r="C322" s="96" t="s">
        <v>588</v>
      </c>
      <c r="D322" s="96" t="s">
        <v>2252</v>
      </c>
      <c r="E322" s="96" t="s">
        <v>1931</v>
      </c>
      <c r="F322" s="115" t="n">
        <v>4000</v>
      </c>
      <c r="G322" s="96" t="s">
        <v>2106</v>
      </c>
      <c r="H322" s="116"/>
      <c r="I322" s="117" t="s">
        <v>1819</v>
      </c>
    </row>
    <row r="323" customFormat="false" ht="15" hidden="false" customHeight="true" outlineLevel="0" collapsed="false">
      <c r="A323" s="96" t="s">
        <v>1816</v>
      </c>
      <c r="B323" s="96" t="s">
        <v>1736</v>
      </c>
      <c r="C323" s="96" t="s">
        <v>588</v>
      </c>
      <c r="D323" s="96" t="s">
        <v>2253</v>
      </c>
      <c r="E323" s="96" t="s">
        <v>1931</v>
      </c>
      <c r="F323" s="115" t="n">
        <v>4000</v>
      </c>
      <c r="G323" s="96" t="s">
        <v>2106</v>
      </c>
      <c r="H323" s="116"/>
      <c r="I323" s="117" t="s">
        <v>1819</v>
      </c>
    </row>
    <row r="324" customFormat="false" ht="15" hidden="false" customHeight="true" outlineLevel="0" collapsed="false">
      <c r="A324" s="96" t="s">
        <v>1816</v>
      </c>
      <c r="B324" s="96" t="s">
        <v>1736</v>
      </c>
      <c r="C324" s="96" t="s">
        <v>588</v>
      </c>
      <c r="D324" s="96" t="s">
        <v>2254</v>
      </c>
      <c r="E324" s="96" t="s">
        <v>1931</v>
      </c>
      <c r="F324" s="115" t="n">
        <v>4000</v>
      </c>
      <c r="G324" s="96" t="s">
        <v>2106</v>
      </c>
      <c r="H324" s="116"/>
      <c r="I324" s="117" t="s">
        <v>1819</v>
      </c>
    </row>
    <row r="325" customFormat="false" ht="15" hidden="false" customHeight="true" outlineLevel="0" collapsed="false">
      <c r="A325" s="96" t="s">
        <v>1816</v>
      </c>
      <c r="B325" s="96" t="s">
        <v>1736</v>
      </c>
      <c r="C325" s="96" t="s">
        <v>588</v>
      </c>
      <c r="D325" s="96" t="s">
        <v>2255</v>
      </c>
      <c r="E325" s="96" t="s">
        <v>1931</v>
      </c>
      <c r="F325" s="115" t="n">
        <v>4000</v>
      </c>
      <c r="G325" s="96" t="s">
        <v>2106</v>
      </c>
      <c r="H325" s="116"/>
      <c r="I325" s="117" t="s">
        <v>1819</v>
      </c>
    </row>
    <row r="326" customFormat="false" ht="15" hidden="false" customHeight="true" outlineLevel="0" collapsed="false">
      <c r="A326" s="96" t="s">
        <v>1816</v>
      </c>
      <c r="B326" s="96" t="s">
        <v>1736</v>
      </c>
      <c r="C326" s="96" t="s">
        <v>588</v>
      </c>
      <c r="D326" s="96" t="s">
        <v>2256</v>
      </c>
      <c r="E326" s="96" t="s">
        <v>1931</v>
      </c>
      <c r="F326" s="115" t="n">
        <v>4000</v>
      </c>
      <c r="G326" s="96" t="s">
        <v>2257</v>
      </c>
      <c r="H326" s="116"/>
      <c r="I326" s="117" t="s">
        <v>1819</v>
      </c>
    </row>
    <row r="327" customFormat="false" ht="15" hidden="false" customHeight="true" outlineLevel="0" collapsed="false">
      <c r="A327" s="96" t="s">
        <v>1816</v>
      </c>
      <c r="B327" s="96" t="s">
        <v>1736</v>
      </c>
      <c r="C327" s="96" t="s">
        <v>588</v>
      </c>
      <c r="D327" s="96" t="s">
        <v>2258</v>
      </c>
      <c r="E327" s="96" t="s">
        <v>1931</v>
      </c>
      <c r="F327" s="115" t="n">
        <v>4000</v>
      </c>
      <c r="G327" s="96" t="s">
        <v>2257</v>
      </c>
      <c r="H327" s="116"/>
      <c r="I327" s="117" t="s">
        <v>1819</v>
      </c>
    </row>
    <row r="328" customFormat="false" ht="15" hidden="false" customHeight="true" outlineLevel="0" collapsed="false">
      <c r="A328" s="96" t="s">
        <v>1816</v>
      </c>
      <c r="B328" s="96" t="s">
        <v>1736</v>
      </c>
      <c r="C328" s="96" t="s">
        <v>588</v>
      </c>
      <c r="D328" s="96" t="s">
        <v>2259</v>
      </c>
      <c r="E328" s="96" t="s">
        <v>1931</v>
      </c>
      <c r="F328" s="115" t="n">
        <v>4000</v>
      </c>
      <c r="G328" s="96" t="s">
        <v>2257</v>
      </c>
      <c r="H328" s="116"/>
      <c r="I328" s="117" t="s">
        <v>1819</v>
      </c>
    </row>
    <row r="329" customFormat="false" ht="15" hidden="false" customHeight="true" outlineLevel="0" collapsed="false">
      <c r="A329" s="96" t="s">
        <v>1816</v>
      </c>
      <c r="B329" s="96" t="s">
        <v>1736</v>
      </c>
      <c r="C329" s="96" t="s">
        <v>588</v>
      </c>
      <c r="D329" s="96" t="s">
        <v>2260</v>
      </c>
      <c r="E329" s="96" t="s">
        <v>1931</v>
      </c>
      <c r="F329" s="115" t="n">
        <v>4000</v>
      </c>
      <c r="G329" s="96" t="s">
        <v>2257</v>
      </c>
      <c r="H329" s="116"/>
      <c r="I329" s="117" t="s">
        <v>1819</v>
      </c>
    </row>
    <row r="330" customFormat="false" ht="15" hidden="false" customHeight="true" outlineLevel="0" collapsed="false">
      <c r="A330" s="96" t="s">
        <v>1816</v>
      </c>
      <c r="B330" s="96" t="s">
        <v>1736</v>
      </c>
      <c r="C330" s="96" t="s">
        <v>588</v>
      </c>
      <c r="D330" s="96" t="s">
        <v>2261</v>
      </c>
      <c r="E330" s="96" t="s">
        <v>1931</v>
      </c>
      <c r="F330" s="115" t="n">
        <v>4000</v>
      </c>
      <c r="G330" s="96" t="s">
        <v>2257</v>
      </c>
      <c r="H330" s="116"/>
      <c r="I330" s="117" t="s">
        <v>1819</v>
      </c>
    </row>
    <row r="331" customFormat="false" ht="15" hidden="false" customHeight="true" outlineLevel="0" collapsed="false">
      <c r="A331" s="96" t="s">
        <v>1816</v>
      </c>
      <c r="B331" s="96" t="s">
        <v>1736</v>
      </c>
      <c r="C331" s="96" t="s">
        <v>588</v>
      </c>
      <c r="D331" s="96" t="s">
        <v>2262</v>
      </c>
      <c r="E331" s="96" t="s">
        <v>1931</v>
      </c>
      <c r="F331" s="115" t="n">
        <v>4000</v>
      </c>
      <c r="G331" s="96" t="s">
        <v>2257</v>
      </c>
      <c r="H331" s="116"/>
      <c r="I331" s="117" t="s">
        <v>1819</v>
      </c>
    </row>
    <row r="332" customFormat="false" ht="15" hidden="false" customHeight="true" outlineLevel="0" collapsed="false">
      <c r="A332" s="96" t="s">
        <v>1816</v>
      </c>
      <c r="B332" s="96" t="s">
        <v>1736</v>
      </c>
      <c r="C332" s="96" t="s">
        <v>588</v>
      </c>
      <c r="D332" s="96" t="s">
        <v>2263</v>
      </c>
      <c r="E332" s="96" t="s">
        <v>1931</v>
      </c>
      <c r="F332" s="115" t="n">
        <v>4000</v>
      </c>
      <c r="G332" s="96" t="s">
        <v>2264</v>
      </c>
      <c r="H332" s="116"/>
      <c r="I332" s="117" t="s">
        <v>1819</v>
      </c>
    </row>
    <row r="333" customFormat="false" ht="15" hidden="false" customHeight="true" outlineLevel="0" collapsed="false">
      <c r="A333" s="96" t="s">
        <v>1816</v>
      </c>
      <c r="B333" s="96" t="s">
        <v>1736</v>
      </c>
      <c r="C333" s="96" t="s">
        <v>602</v>
      </c>
      <c r="D333" s="96" t="s">
        <v>2265</v>
      </c>
      <c r="E333" s="96" t="s">
        <v>1931</v>
      </c>
      <c r="F333" s="115" t="n">
        <v>3500</v>
      </c>
      <c r="G333" s="96" t="s">
        <v>2266</v>
      </c>
      <c r="H333" s="116"/>
      <c r="I333" s="117" t="s">
        <v>1819</v>
      </c>
    </row>
    <row r="334" customFormat="false" ht="15" hidden="false" customHeight="true" outlineLevel="0" collapsed="false">
      <c r="A334" s="96" t="s">
        <v>1816</v>
      </c>
      <c r="B334" s="96" t="s">
        <v>1736</v>
      </c>
      <c r="C334" s="96" t="s">
        <v>602</v>
      </c>
      <c r="D334" s="96" t="s">
        <v>2267</v>
      </c>
      <c r="E334" s="96" t="s">
        <v>1931</v>
      </c>
      <c r="F334" s="115" t="n">
        <v>3500</v>
      </c>
      <c r="G334" s="96" t="s">
        <v>2268</v>
      </c>
      <c r="H334" s="116"/>
      <c r="I334" s="117" t="s">
        <v>1819</v>
      </c>
    </row>
    <row r="335" customFormat="false" ht="15" hidden="false" customHeight="true" outlineLevel="0" collapsed="false">
      <c r="A335" s="96" t="s">
        <v>1816</v>
      </c>
      <c r="B335" s="96" t="s">
        <v>1736</v>
      </c>
      <c r="C335" s="96" t="s">
        <v>602</v>
      </c>
      <c r="D335" s="96" t="s">
        <v>625</v>
      </c>
      <c r="E335" s="96" t="s">
        <v>2269</v>
      </c>
      <c r="F335" s="115" t="n">
        <v>3000</v>
      </c>
      <c r="G335" s="96" t="s">
        <v>647</v>
      </c>
      <c r="H335" s="116"/>
      <c r="I335" s="117" t="s">
        <v>1819</v>
      </c>
    </row>
    <row r="336" customFormat="false" ht="15" hidden="false" customHeight="true" outlineLevel="0" collapsed="false">
      <c r="A336" s="96" t="s">
        <v>1816</v>
      </c>
      <c r="B336" s="96" t="s">
        <v>1736</v>
      </c>
      <c r="C336" s="96" t="s">
        <v>595</v>
      </c>
      <c r="D336" s="96" t="s">
        <v>2270</v>
      </c>
      <c r="E336" s="96" t="s">
        <v>1931</v>
      </c>
      <c r="F336" s="115" t="n">
        <v>2000</v>
      </c>
      <c r="G336" s="96" t="s">
        <v>2266</v>
      </c>
      <c r="H336" s="116"/>
      <c r="I336" s="117" t="s">
        <v>1819</v>
      </c>
    </row>
    <row r="337" customFormat="false" ht="15" hidden="false" customHeight="true" outlineLevel="0" collapsed="false">
      <c r="A337" s="96" t="s">
        <v>1816</v>
      </c>
      <c r="B337" s="96" t="s">
        <v>1736</v>
      </c>
      <c r="C337" s="96" t="s">
        <v>595</v>
      </c>
      <c r="D337" s="96" t="s">
        <v>2271</v>
      </c>
      <c r="E337" s="96" t="s">
        <v>1931</v>
      </c>
      <c r="F337" s="115" t="n">
        <v>2000</v>
      </c>
      <c r="G337" s="96" t="s">
        <v>2272</v>
      </c>
      <c r="H337" s="116"/>
      <c r="I337" s="117" t="s">
        <v>1819</v>
      </c>
    </row>
    <row r="338" customFormat="false" ht="15" hidden="false" customHeight="true" outlineLevel="0" collapsed="false">
      <c r="A338" s="96" t="s">
        <v>1816</v>
      </c>
      <c r="B338" s="96" t="s">
        <v>1736</v>
      </c>
      <c r="C338" s="96" t="s">
        <v>595</v>
      </c>
      <c r="D338" s="96" t="s">
        <v>2273</v>
      </c>
      <c r="E338" s="96" t="s">
        <v>1931</v>
      </c>
      <c r="F338" s="115" t="n">
        <v>2000</v>
      </c>
      <c r="G338" s="96" t="s">
        <v>2272</v>
      </c>
      <c r="H338" s="116"/>
      <c r="I338" s="117" t="s">
        <v>1819</v>
      </c>
    </row>
    <row r="339" customFormat="false" ht="15" hidden="false" customHeight="true" outlineLevel="0" collapsed="false">
      <c r="A339" s="96" t="s">
        <v>1816</v>
      </c>
      <c r="B339" s="96" t="s">
        <v>1736</v>
      </c>
      <c r="C339" s="96" t="s">
        <v>595</v>
      </c>
      <c r="D339" s="96" t="s">
        <v>2274</v>
      </c>
      <c r="E339" s="96" t="s">
        <v>1931</v>
      </c>
      <c r="F339" s="115" t="n">
        <v>2000</v>
      </c>
      <c r="G339" s="96" t="s">
        <v>2272</v>
      </c>
      <c r="H339" s="116"/>
      <c r="I339" s="117" t="s">
        <v>1819</v>
      </c>
    </row>
    <row r="340" customFormat="false" ht="15" hidden="false" customHeight="true" outlineLevel="0" collapsed="false">
      <c r="A340" s="96" t="s">
        <v>1816</v>
      </c>
      <c r="B340" s="96" t="s">
        <v>1736</v>
      </c>
      <c r="C340" s="96" t="s">
        <v>595</v>
      </c>
      <c r="D340" s="96" t="s">
        <v>2275</v>
      </c>
      <c r="E340" s="96" t="s">
        <v>1931</v>
      </c>
      <c r="F340" s="115" t="n">
        <v>2000</v>
      </c>
      <c r="G340" s="96" t="s">
        <v>2268</v>
      </c>
      <c r="H340" s="116"/>
      <c r="I340" s="117" t="s">
        <v>1819</v>
      </c>
    </row>
    <row r="341" customFormat="false" ht="15" hidden="false" customHeight="true" outlineLevel="0" collapsed="false">
      <c r="A341" s="96" t="s">
        <v>1816</v>
      </c>
      <c r="B341" s="96" t="s">
        <v>1736</v>
      </c>
      <c r="C341" s="96" t="s">
        <v>595</v>
      </c>
      <c r="D341" s="96" t="s">
        <v>2276</v>
      </c>
      <c r="E341" s="96" t="s">
        <v>1931</v>
      </c>
      <c r="F341" s="115" t="n">
        <v>2000</v>
      </c>
      <c r="G341" s="96" t="s">
        <v>2268</v>
      </c>
      <c r="H341" s="116"/>
      <c r="I341" s="117" t="s">
        <v>1819</v>
      </c>
    </row>
    <row r="342" customFormat="false" ht="15" hidden="false" customHeight="true" outlineLevel="0" collapsed="false">
      <c r="A342" s="96" t="s">
        <v>1816</v>
      </c>
      <c r="B342" s="96" t="s">
        <v>1736</v>
      </c>
      <c r="C342" s="96" t="s">
        <v>595</v>
      </c>
      <c r="D342" s="96" t="s">
        <v>2277</v>
      </c>
      <c r="E342" s="96" t="s">
        <v>1931</v>
      </c>
      <c r="F342" s="115" t="n">
        <v>2000</v>
      </c>
      <c r="G342" s="96" t="s">
        <v>2278</v>
      </c>
      <c r="H342" s="116"/>
      <c r="I342" s="117" t="s">
        <v>1819</v>
      </c>
    </row>
    <row r="343" customFormat="false" ht="15" hidden="false" customHeight="true" outlineLevel="0" collapsed="false">
      <c r="A343" s="96" t="s">
        <v>1816</v>
      </c>
      <c r="B343" s="96" t="s">
        <v>1736</v>
      </c>
      <c r="C343" s="96" t="s">
        <v>595</v>
      </c>
      <c r="D343" s="96" t="s">
        <v>2279</v>
      </c>
      <c r="E343" s="96" t="s">
        <v>1931</v>
      </c>
      <c r="F343" s="115" t="n">
        <v>2000</v>
      </c>
      <c r="G343" s="96" t="s">
        <v>2278</v>
      </c>
      <c r="H343" s="116"/>
      <c r="I343" s="117" t="s">
        <v>1819</v>
      </c>
    </row>
    <row r="344" customFormat="false" ht="15" hidden="false" customHeight="true" outlineLevel="0" collapsed="false">
      <c r="A344" s="96" t="s">
        <v>1816</v>
      </c>
      <c r="B344" s="96" t="s">
        <v>1736</v>
      </c>
      <c r="C344" s="96" t="s">
        <v>588</v>
      </c>
      <c r="D344" s="96" t="s">
        <v>2280</v>
      </c>
      <c r="E344" s="96" t="s">
        <v>1931</v>
      </c>
      <c r="F344" s="115" t="n">
        <v>2000</v>
      </c>
      <c r="G344" s="96" t="s">
        <v>647</v>
      </c>
      <c r="H344" s="116"/>
      <c r="I344" s="117" t="s">
        <v>1819</v>
      </c>
    </row>
    <row r="345" customFormat="false" ht="15" hidden="false" customHeight="true" outlineLevel="0" collapsed="false">
      <c r="A345" s="96" t="s">
        <v>1816</v>
      </c>
      <c r="B345" s="96" t="s">
        <v>1736</v>
      </c>
      <c r="C345" s="96" t="s">
        <v>588</v>
      </c>
      <c r="D345" s="96" t="s">
        <v>2281</v>
      </c>
      <c r="E345" s="96" t="s">
        <v>1931</v>
      </c>
      <c r="F345" s="115" t="n">
        <v>1500</v>
      </c>
      <c r="G345" s="96" t="s">
        <v>1795</v>
      </c>
      <c r="H345" s="116"/>
      <c r="I345" s="117" t="s">
        <v>1819</v>
      </c>
    </row>
    <row r="346" customFormat="false" ht="15" hidden="false" customHeight="true" outlineLevel="0" collapsed="false">
      <c r="A346" s="96" t="s">
        <v>1816</v>
      </c>
      <c r="B346" s="96" t="s">
        <v>1736</v>
      </c>
      <c r="C346" s="96" t="s">
        <v>595</v>
      </c>
      <c r="D346" s="96" t="s">
        <v>2282</v>
      </c>
      <c r="E346" s="96" t="s">
        <v>1931</v>
      </c>
      <c r="F346" s="115" t="n">
        <v>1000</v>
      </c>
      <c r="G346" s="96" t="s">
        <v>2160</v>
      </c>
      <c r="H346" s="116"/>
      <c r="I346" s="117" t="s">
        <v>1819</v>
      </c>
    </row>
    <row r="347" customFormat="false" ht="15" hidden="false" customHeight="true" outlineLevel="0" collapsed="false">
      <c r="A347" s="96" t="s">
        <v>1816</v>
      </c>
      <c r="B347" s="96" t="s">
        <v>1736</v>
      </c>
      <c r="C347" s="96" t="s">
        <v>595</v>
      </c>
      <c r="D347" s="96" t="s">
        <v>2283</v>
      </c>
      <c r="E347" s="96" t="s">
        <v>1931</v>
      </c>
      <c r="F347" s="115" t="n">
        <v>1000</v>
      </c>
      <c r="G347" s="96" t="s">
        <v>2160</v>
      </c>
      <c r="H347" s="116"/>
      <c r="I347" s="117" t="s">
        <v>1819</v>
      </c>
    </row>
    <row r="348" customFormat="false" ht="15" hidden="false" customHeight="true" outlineLevel="0" collapsed="false">
      <c r="A348" s="96" t="s">
        <v>1816</v>
      </c>
      <c r="B348" s="96" t="s">
        <v>1736</v>
      </c>
      <c r="C348" s="96" t="s">
        <v>595</v>
      </c>
      <c r="D348" s="96" t="s">
        <v>2284</v>
      </c>
      <c r="E348" s="96" t="s">
        <v>1931</v>
      </c>
      <c r="F348" s="115" t="n">
        <v>1000</v>
      </c>
      <c r="G348" s="96" t="s">
        <v>2160</v>
      </c>
      <c r="H348" s="116"/>
      <c r="I348" s="117" t="s">
        <v>1819</v>
      </c>
    </row>
    <row r="349" customFormat="false" ht="15" hidden="false" customHeight="true" outlineLevel="0" collapsed="false">
      <c r="A349" s="96" t="s">
        <v>1816</v>
      </c>
      <c r="B349" s="96" t="s">
        <v>1736</v>
      </c>
      <c r="C349" s="96" t="s">
        <v>595</v>
      </c>
      <c r="D349" s="96" t="s">
        <v>2285</v>
      </c>
      <c r="E349" s="96" t="s">
        <v>1931</v>
      </c>
      <c r="F349" s="115" t="n">
        <v>1000</v>
      </c>
      <c r="G349" s="96" t="s">
        <v>2160</v>
      </c>
      <c r="H349" s="116"/>
      <c r="I349" s="117" t="s">
        <v>1819</v>
      </c>
    </row>
    <row r="350" customFormat="false" ht="15" hidden="false" customHeight="true" outlineLevel="0" collapsed="false">
      <c r="A350" s="96" t="s">
        <v>1816</v>
      </c>
      <c r="B350" s="96" t="s">
        <v>1736</v>
      </c>
      <c r="C350" s="96" t="s">
        <v>595</v>
      </c>
      <c r="D350" s="96" t="s">
        <v>2286</v>
      </c>
      <c r="E350" s="96" t="s">
        <v>1931</v>
      </c>
      <c r="F350" s="115" t="n">
        <v>1000</v>
      </c>
      <c r="G350" s="96" t="s">
        <v>2160</v>
      </c>
      <c r="H350" s="116"/>
      <c r="I350" s="117" t="s">
        <v>1819</v>
      </c>
    </row>
    <row r="351" customFormat="false" ht="15" hidden="false" customHeight="true" outlineLevel="0" collapsed="false">
      <c r="A351" s="96" t="s">
        <v>1816</v>
      </c>
      <c r="B351" s="96" t="s">
        <v>1736</v>
      </c>
      <c r="C351" s="96" t="s">
        <v>595</v>
      </c>
      <c r="D351" s="96" t="s">
        <v>2287</v>
      </c>
      <c r="E351" s="96" t="s">
        <v>1931</v>
      </c>
      <c r="F351" s="115" t="n">
        <v>1000</v>
      </c>
      <c r="G351" s="96" t="s">
        <v>2160</v>
      </c>
      <c r="H351" s="116"/>
      <c r="I351" s="117" t="s">
        <v>1819</v>
      </c>
    </row>
    <row r="352" customFormat="false" ht="15" hidden="false" customHeight="true" outlineLevel="0" collapsed="false">
      <c r="A352" s="96" t="s">
        <v>1816</v>
      </c>
      <c r="B352" s="96" t="s">
        <v>1736</v>
      </c>
      <c r="C352" s="96" t="s">
        <v>595</v>
      </c>
      <c r="D352" s="96" t="s">
        <v>2288</v>
      </c>
      <c r="E352" s="96" t="s">
        <v>1931</v>
      </c>
      <c r="F352" s="115" t="n">
        <v>1000</v>
      </c>
      <c r="G352" s="96" t="s">
        <v>2160</v>
      </c>
      <c r="H352" s="116"/>
      <c r="I352" s="117" t="s">
        <v>1819</v>
      </c>
    </row>
    <row r="353" customFormat="false" ht="15" hidden="false" customHeight="true" outlineLevel="0" collapsed="false">
      <c r="A353" s="96" t="s">
        <v>1816</v>
      </c>
      <c r="B353" s="96" t="s">
        <v>1736</v>
      </c>
      <c r="C353" s="96" t="s">
        <v>595</v>
      </c>
      <c r="D353" s="96" t="s">
        <v>2289</v>
      </c>
      <c r="E353" s="96" t="s">
        <v>1931</v>
      </c>
      <c r="F353" s="115" t="n">
        <v>1000</v>
      </c>
      <c r="G353" s="96" t="s">
        <v>2162</v>
      </c>
      <c r="H353" s="116"/>
      <c r="I353" s="117" t="s">
        <v>1819</v>
      </c>
    </row>
    <row r="354" customFormat="false" ht="15" hidden="false" customHeight="true" outlineLevel="0" collapsed="false">
      <c r="A354" s="96" t="s">
        <v>1816</v>
      </c>
      <c r="B354" s="96" t="s">
        <v>1736</v>
      </c>
      <c r="C354" s="96" t="s">
        <v>595</v>
      </c>
      <c r="D354" s="96" t="s">
        <v>2290</v>
      </c>
      <c r="E354" s="96" t="s">
        <v>1931</v>
      </c>
      <c r="F354" s="115" t="n">
        <v>1000</v>
      </c>
      <c r="G354" s="96" t="s">
        <v>2162</v>
      </c>
      <c r="H354" s="116"/>
      <c r="I354" s="117" t="s">
        <v>1819</v>
      </c>
    </row>
    <row r="355" customFormat="false" ht="15" hidden="false" customHeight="true" outlineLevel="0" collapsed="false">
      <c r="A355" s="96" t="s">
        <v>1816</v>
      </c>
      <c r="B355" s="96" t="s">
        <v>1736</v>
      </c>
      <c r="C355" s="96" t="s">
        <v>595</v>
      </c>
      <c r="D355" s="96" t="s">
        <v>2291</v>
      </c>
      <c r="E355" s="96" t="s">
        <v>1931</v>
      </c>
      <c r="F355" s="115" t="n">
        <v>1000</v>
      </c>
      <c r="G355" s="96" t="s">
        <v>2245</v>
      </c>
      <c r="H355" s="116"/>
      <c r="I355" s="117" t="s">
        <v>1819</v>
      </c>
    </row>
    <row r="356" customFormat="false" ht="15" hidden="false" customHeight="true" outlineLevel="0" collapsed="false">
      <c r="A356" s="96" t="s">
        <v>1816</v>
      </c>
      <c r="B356" s="96" t="s">
        <v>1736</v>
      </c>
      <c r="C356" s="96" t="s">
        <v>595</v>
      </c>
      <c r="D356" s="96" t="s">
        <v>2292</v>
      </c>
      <c r="E356" s="96" t="s">
        <v>1931</v>
      </c>
      <c r="F356" s="115" t="n">
        <v>1000</v>
      </c>
      <c r="G356" s="96" t="s">
        <v>2245</v>
      </c>
      <c r="H356" s="116"/>
      <c r="I356" s="117" t="s">
        <v>1819</v>
      </c>
    </row>
    <row r="357" customFormat="false" ht="15" hidden="false" customHeight="true" outlineLevel="0" collapsed="false">
      <c r="A357" s="96" t="s">
        <v>1816</v>
      </c>
      <c r="B357" s="96" t="s">
        <v>1736</v>
      </c>
      <c r="C357" s="96" t="s">
        <v>595</v>
      </c>
      <c r="D357" s="96" t="s">
        <v>2293</v>
      </c>
      <c r="E357" s="96" t="s">
        <v>1931</v>
      </c>
      <c r="F357" s="115" t="n">
        <v>1000</v>
      </c>
      <c r="G357" s="96" t="s">
        <v>2245</v>
      </c>
      <c r="H357" s="116"/>
      <c r="I357" s="117" t="s">
        <v>1819</v>
      </c>
    </row>
    <row r="358" customFormat="false" ht="15" hidden="false" customHeight="true" outlineLevel="0" collapsed="false">
      <c r="A358" s="96" t="s">
        <v>1816</v>
      </c>
      <c r="B358" s="96" t="s">
        <v>1736</v>
      </c>
      <c r="C358" s="96" t="s">
        <v>595</v>
      </c>
      <c r="D358" s="96" t="s">
        <v>2294</v>
      </c>
      <c r="E358" s="96" t="s">
        <v>1931</v>
      </c>
      <c r="F358" s="115" t="n">
        <v>1000</v>
      </c>
      <c r="G358" s="96" t="s">
        <v>2245</v>
      </c>
      <c r="H358" s="116"/>
      <c r="I358" s="117" t="s">
        <v>1819</v>
      </c>
    </row>
    <row r="359" customFormat="false" ht="15" hidden="false" customHeight="true" outlineLevel="0" collapsed="false">
      <c r="A359" s="96" t="s">
        <v>1816</v>
      </c>
      <c r="B359" s="96" t="s">
        <v>1736</v>
      </c>
      <c r="C359" s="96" t="s">
        <v>595</v>
      </c>
      <c r="D359" s="96" t="s">
        <v>2295</v>
      </c>
      <c r="E359" s="96" t="s">
        <v>1931</v>
      </c>
      <c r="F359" s="115" t="n">
        <v>1000</v>
      </c>
      <c r="G359" s="96" t="s">
        <v>2245</v>
      </c>
      <c r="H359" s="116"/>
      <c r="I359" s="117" t="s">
        <v>1819</v>
      </c>
    </row>
    <row r="360" customFormat="false" ht="15" hidden="false" customHeight="true" outlineLevel="0" collapsed="false">
      <c r="A360" s="96" t="s">
        <v>1816</v>
      </c>
      <c r="B360" s="96" t="s">
        <v>1736</v>
      </c>
      <c r="C360" s="96" t="s">
        <v>595</v>
      </c>
      <c r="D360" s="96" t="s">
        <v>2296</v>
      </c>
      <c r="E360" s="96" t="s">
        <v>1931</v>
      </c>
      <c r="F360" s="115" t="n">
        <v>1000</v>
      </c>
      <c r="G360" s="96" t="s">
        <v>2245</v>
      </c>
      <c r="H360" s="116"/>
      <c r="I360" s="117" t="s">
        <v>1819</v>
      </c>
    </row>
    <row r="361" customFormat="false" ht="15" hidden="false" customHeight="true" outlineLevel="0" collapsed="false">
      <c r="A361" s="96" t="s">
        <v>1816</v>
      </c>
      <c r="B361" s="96" t="s">
        <v>1736</v>
      </c>
      <c r="C361" s="96" t="s">
        <v>595</v>
      </c>
      <c r="D361" s="96" t="s">
        <v>2297</v>
      </c>
      <c r="E361" s="96" t="s">
        <v>1931</v>
      </c>
      <c r="F361" s="115" t="n">
        <v>1000</v>
      </c>
      <c r="G361" s="96" t="s">
        <v>2245</v>
      </c>
      <c r="H361" s="116"/>
      <c r="I361" s="117" t="s">
        <v>1819</v>
      </c>
    </row>
    <row r="362" customFormat="false" ht="15" hidden="false" customHeight="true" outlineLevel="0" collapsed="false">
      <c r="A362" s="96" t="s">
        <v>1816</v>
      </c>
      <c r="B362" s="96" t="s">
        <v>1736</v>
      </c>
      <c r="C362" s="96" t="s">
        <v>595</v>
      </c>
      <c r="D362" s="96" t="s">
        <v>2298</v>
      </c>
      <c r="E362" s="96" t="s">
        <v>1931</v>
      </c>
      <c r="F362" s="115" t="n">
        <v>1000</v>
      </c>
      <c r="G362" s="96" t="s">
        <v>2106</v>
      </c>
      <c r="H362" s="116"/>
      <c r="I362" s="117" t="s">
        <v>1819</v>
      </c>
    </row>
    <row r="363" customFormat="false" ht="15" hidden="false" customHeight="true" outlineLevel="0" collapsed="false">
      <c r="A363" s="96" t="s">
        <v>1816</v>
      </c>
      <c r="B363" s="96" t="s">
        <v>1736</v>
      </c>
      <c r="C363" s="96" t="s">
        <v>595</v>
      </c>
      <c r="D363" s="96" t="s">
        <v>2299</v>
      </c>
      <c r="E363" s="96" t="s">
        <v>1931</v>
      </c>
      <c r="F363" s="115" t="n">
        <v>1000</v>
      </c>
      <c r="G363" s="96" t="s">
        <v>2106</v>
      </c>
      <c r="H363" s="116"/>
      <c r="I363" s="117" t="s">
        <v>1819</v>
      </c>
    </row>
    <row r="364" customFormat="false" ht="15" hidden="false" customHeight="true" outlineLevel="0" collapsed="false">
      <c r="A364" s="96" t="s">
        <v>1816</v>
      </c>
      <c r="B364" s="96" t="s">
        <v>1736</v>
      </c>
      <c r="C364" s="96" t="s">
        <v>595</v>
      </c>
      <c r="D364" s="96" t="s">
        <v>2300</v>
      </c>
      <c r="E364" s="96" t="s">
        <v>1931</v>
      </c>
      <c r="F364" s="115" t="n">
        <v>1000</v>
      </c>
      <c r="G364" s="96" t="s">
        <v>2106</v>
      </c>
      <c r="H364" s="116"/>
      <c r="I364" s="117" t="s">
        <v>1819</v>
      </c>
    </row>
    <row r="365" customFormat="false" ht="15" hidden="false" customHeight="true" outlineLevel="0" collapsed="false">
      <c r="A365" s="96" t="s">
        <v>1816</v>
      </c>
      <c r="B365" s="96" t="s">
        <v>1736</v>
      </c>
      <c r="C365" s="96" t="s">
        <v>595</v>
      </c>
      <c r="D365" s="96" t="s">
        <v>2301</v>
      </c>
      <c r="E365" s="96" t="s">
        <v>1931</v>
      </c>
      <c r="F365" s="115" t="n">
        <v>1000</v>
      </c>
      <c r="G365" s="96" t="s">
        <v>2106</v>
      </c>
      <c r="H365" s="116"/>
      <c r="I365" s="117" t="s">
        <v>1819</v>
      </c>
    </row>
    <row r="366" customFormat="false" ht="15" hidden="false" customHeight="true" outlineLevel="0" collapsed="false">
      <c r="A366" s="96" t="s">
        <v>1816</v>
      </c>
      <c r="B366" s="96" t="s">
        <v>1736</v>
      </c>
      <c r="C366" s="96" t="s">
        <v>595</v>
      </c>
      <c r="D366" s="96" t="s">
        <v>2302</v>
      </c>
      <c r="E366" s="96" t="s">
        <v>1931</v>
      </c>
      <c r="F366" s="115" t="n">
        <v>1000</v>
      </c>
      <c r="G366" s="96" t="s">
        <v>2106</v>
      </c>
      <c r="H366" s="116"/>
      <c r="I366" s="117" t="s">
        <v>1819</v>
      </c>
    </row>
    <row r="367" customFormat="false" ht="15" hidden="false" customHeight="true" outlineLevel="0" collapsed="false">
      <c r="A367" s="96" t="s">
        <v>1816</v>
      </c>
      <c r="B367" s="96" t="s">
        <v>1736</v>
      </c>
      <c r="C367" s="96" t="s">
        <v>595</v>
      </c>
      <c r="D367" s="96" t="s">
        <v>2303</v>
      </c>
      <c r="E367" s="96" t="s">
        <v>1931</v>
      </c>
      <c r="F367" s="115" t="n">
        <v>1000</v>
      </c>
      <c r="G367" s="96" t="s">
        <v>2257</v>
      </c>
      <c r="H367" s="116"/>
      <c r="I367" s="117" t="s">
        <v>1819</v>
      </c>
    </row>
    <row r="368" customFormat="false" ht="15" hidden="false" customHeight="true" outlineLevel="0" collapsed="false">
      <c r="A368" s="96" t="s">
        <v>1816</v>
      </c>
      <c r="B368" s="96" t="s">
        <v>1736</v>
      </c>
      <c r="C368" s="96" t="s">
        <v>595</v>
      </c>
      <c r="D368" s="96" t="s">
        <v>2304</v>
      </c>
      <c r="E368" s="96" t="s">
        <v>1931</v>
      </c>
      <c r="F368" s="115" t="n">
        <v>1000</v>
      </c>
      <c r="G368" s="96" t="s">
        <v>2257</v>
      </c>
      <c r="H368" s="116"/>
      <c r="I368" s="117" t="s">
        <v>1819</v>
      </c>
    </row>
    <row r="369" customFormat="false" ht="15" hidden="false" customHeight="true" outlineLevel="0" collapsed="false">
      <c r="A369" s="96" t="s">
        <v>1816</v>
      </c>
      <c r="B369" s="96" t="s">
        <v>1736</v>
      </c>
      <c r="C369" s="96" t="s">
        <v>595</v>
      </c>
      <c r="D369" s="96" t="s">
        <v>2305</v>
      </c>
      <c r="E369" s="96" t="s">
        <v>1931</v>
      </c>
      <c r="F369" s="115" t="n">
        <v>1000</v>
      </c>
      <c r="G369" s="96" t="s">
        <v>2257</v>
      </c>
      <c r="H369" s="116"/>
      <c r="I369" s="117" t="s">
        <v>1819</v>
      </c>
    </row>
    <row r="370" customFormat="false" ht="15" hidden="false" customHeight="true" outlineLevel="0" collapsed="false">
      <c r="A370" s="96" t="s">
        <v>1816</v>
      </c>
      <c r="B370" s="96" t="s">
        <v>1736</v>
      </c>
      <c r="C370" s="96" t="s">
        <v>595</v>
      </c>
      <c r="D370" s="96" t="s">
        <v>2306</v>
      </c>
      <c r="E370" s="96" t="s">
        <v>1931</v>
      </c>
      <c r="F370" s="115" t="n">
        <v>1000</v>
      </c>
      <c r="G370" s="96" t="s">
        <v>2257</v>
      </c>
      <c r="H370" s="116"/>
      <c r="I370" s="117" t="s">
        <v>1819</v>
      </c>
    </row>
    <row r="371" customFormat="false" ht="15" hidden="false" customHeight="true" outlineLevel="0" collapsed="false">
      <c r="A371" s="96" t="s">
        <v>1816</v>
      </c>
      <c r="B371" s="96" t="s">
        <v>1736</v>
      </c>
      <c r="C371" s="96" t="s">
        <v>595</v>
      </c>
      <c r="D371" s="96" t="s">
        <v>2307</v>
      </c>
      <c r="E371" s="96" t="s">
        <v>1931</v>
      </c>
      <c r="F371" s="115" t="n">
        <v>1000</v>
      </c>
      <c r="G371" s="96" t="s">
        <v>2257</v>
      </c>
      <c r="H371" s="116"/>
      <c r="I371" s="117" t="s">
        <v>1819</v>
      </c>
    </row>
    <row r="372" customFormat="false" ht="15" hidden="false" customHeight="true" outlineLevel="0" collapsed="false">
      <c r="A372" s="96" t="s">
        <v>1816</v>
      </c>
      <c r="B372" s="96" t="s">
        <v>1736</v>
      </c>
      <c r="C372" s="96" t="s">
        <v>595</v>
      </c>
      <c r="D372" s="96" t="s">
        <v>2308</v>
      </c>
      <c r="E372" s="96" t="s">
        <v>1931</v>
      </c>
      <c r="F372" s="115" t="n">
        <v>1000</v>
      </c>
      <c r="G372" s="96" t="s">
        <v>2257</v>
      </c>
      <c r="H372" s="116"/>
      <c r="I372" s="117" t="s">
        <v>1819</v>
      </c>
    </row>
    <row r="373" customFormat="false" ht="15" hidden="false" customHeight="true" outlineLevel="0" collapsed="false">
      <c r="A373" s="96" t="s">
        <v>1816</v>
      </c>
      <c r="B373" s="96" t="s">
        <v>1736</v>
      </c>
      <c r="C373" s="96" t="s">
        <v>595</v>
      </c>
      <c r="D373" s="96" t="s">
        <v>2309</v>
      </c>
      <c r="E373" s="96" t="s">
        <v>1931</v>
      </c>
      <c r="F373" s="115" t="n">
        <v>1000</v>
      </c>
      <c r="G373" s="96" t="s">
        <v>2257</v>
      </c>
      <c r="H373" s="116"/>
      <c r="I373" s="117" t="s">
        <v>1819</v>
      </c>
    </row>
    <row r="374" customFormat="false" ht="15" hidden="false" customHeight="true" outlineLevel="0" collapsed="false">
      <c r="A374" s="96" t="s">
        <v>1816</v>
      </c>
      <c r="B374" s="96" t="s">
        <v>1736</v>
      </c>
      <c r="C374" s="96" t="s">
        <v>595</v>
      </c>
      <c r="D374" s="96" t="s">
        <v>2310</v>
      </c>
      <c r="E374" s="96" t="s">
        <v>1931</v>
      </c>
      <c r="F374" s="115" t="n">
        <v>1000</v>
      </c>
      <c r="G374" s="96" t="s">
        <v>2264</v>
      </c>
      <c r="H374" s="116"/>
      <c r="I374" s="117" t="s">
        <v>1819</v>
      </c>
    </row>
    <row r="375" customFormat="false" ht="15" hidden="false" customHeight="true" outlineLevel="0" collapsed="false">
      <c r="A375" s="96" t="s">
        <v>1816</v>
      </c>
      <c r="B375" s="96" t="s">
        <v>882</v>
      </c>
      <c r="C375" s="96" t="s">
        <v>602</v>
      </c>
      <c r="D375" s="96" t="s">
        <v>1093</v>
      </c>
      <c r="E375" s="96" t="s">
        <v>1092</v>
      </c>
      <c r="F375" s="115" t="n">
        <v>200000</v>
      </c>
      <c r="G375" s="96" t="s">
        <v>2311</v>
      </c>
      <c r="H375" s="116"/>
      <c r="I375" s="117" t="s">
        <v>1819</v>
      </c>
    </row>
    <row r="376" customFormat="false" ht="15" hidden="false" customHeight="true" outlineLevel="0" collapsed="false">
      <c r="A376" s="96" t="s">
        <v>1816</v>
      </c>
      <c r="B376" s="96" t="s">
        <v>882</v>
      </c>
      <c r="C376" s="96" t="s">
        <v>595</v>
      </c>
      <c r="D376" s="96" t="s">
        <v>2312</v>
      </c>
      <c r="E376" s="96" t="s">
        <v>198</v>
      </c>
      <c r="F376" s="115" t="n">
        <v>180000</v>
      </c>
      <c r="G376" s="96" t="s">
        <v>2313</v>
      </c>
      <c r="H376" s="116"/>
      <c r="I376" s="117" t="s">
        <v>1819</v>
      </c>
    </row>
    <row r="377" customFormat="false" ht="15" hidden="false" customHeight="true" outlineLevel="0" collapsed="false">
      <c r="A377" s="96" t="s">
        <v>1816</v>
      </c>
      <c r="B377" s="96" t="s">
        <v>882</v>
      </c>
      <c r="C377" s="96" t="s">
        <v>588</v>
      </c>
      <c r="D377" s="96" t="s">
        <v>2314</v>
      </c>
      <c r="E377" s="96" t="s">
        <v>1092</v>
      </c>
      <c r="F377" s="115" t="n">
        <v>105000</v>
      </c>
      <c r="G377" s="96" t="s">
        <v>2311</v>
      </c>
      <c r="H377" s="116"/>
      <c r="I377" s="117" t="s">
        <v>1819</v>
      </c>
    </row>
    <row r="378" customFormat="false" ht="15" hidden="false" customHeight="true" outlineLevel="0" collapsed="false">
      <c r="A378" s="96" t="s">
        <v>1816</v>
      </c>
      <c r="B378" s="96" t="s">
        <v>882</v>
      </c>
      <c r="C378" s="96" t="s">
        <v>588</v>
      </c>
      <c r="D378" s="96" t="s">
        <v>2315</v>
      </c>
      <c r="E378" s="96" t="s">
        <v>198</v>
      </c>
      <c r="F378" s="115" t="n">
        <v>45000</v>
      </c>
      <c r="G378" s="96" t="s">
        <v>2313</v>
      </c>
      <c r="H378" s="116"/>
      <c r="I378" s="117" t="s">
        <v>1819</v>
      </c>
    </row>
    <row r="379" customFormat="false" ht="15" hidden="false" customHeight="true" outlineLevel="0" collapsed="false">
      <c r="A379" s="96" t="s">
        <v>1816</v>
      </c>
      <c r="B379" s="96" t="s">
        <v>882</v>
      </c>
      <c r="C379" s="96" t="s">
        <v>588</v>
      </c>
      <c r="D379" s="96" t="s">
        <v>2316</v>
      </c>
      <c r="E379" s="96" t="s">
        <v>396</v>
      </c>
      <c r="F379" s="115" t="n">
        <v>40000</v>
      </c>
      <c r="G379" s="96" t="s">
        <v>472</v>
      </c>
      <c r="H379" s="116"/>
      <c r="I379" s="117" t="s">
        <v>1819</v>
      </c>
    </row>
    <row r="380" customFormat="false" ht="15" hidden="false" customHeight="true" outlineLevel="0" collapsed="false">
      <c r="A380" s="96" t="s">
        <v>1816</v>
      </c>
      <c r="B380" s="96" t="s">
        <v>882</v>
      </c>
      <c r="C380" s="96" t="s">
        <v>602</v>
      </c>
      <c r="D380" s="96" t="s">
        <v>2317</v>
      </c>
      <c r="E380" s="96" t="s">
        <v>198</v>
      </c>
      <c r="F380" s="115" t="n">
        <v>30000</v>
      </c>
      <c r="G380" s="96" t="s">
        <v>2313</v>
      </c>
      <c r="H380" s="116"/>
      <c r="I380" s="117" t="s">
        <v>1819</v>
      </c>
    </row>
    <row r="381" customFormat="false" ht="15" hidden="false" customHeight="true" outlineLevel="0" collapsed="false">
      <c r="A381" s="96" t="s">
        <v>1816</v>
      </c>
      <c r="B381" s="96" t="s">
        <v>882</v>
      </c>
      <c r="C381" s="96" t="s">
        <v>602</v>
      </c>
      <c r="D381" s="96" t="s">
        <v>2318</v>
      </c>
      <c r="E381" s="96" t="s">
        <v>467</v>
      </c>
      <c r="F381" s="115" t="n">
        <v>30000</v>
      </c>
      <c r="G381" s="96" t="s">
        <v>468</v>
      </c>
      <c r="H381" s="116"/>
      <c r="I381" s="117" t="s">
        <v>1819</v>
      </c>
    </row>
    <row r="382" customFormat="false" ht="15" hidden="false" customHeight="true" outlineLevel="0" collapsed="false">
      <c r="A382" s="96" t="s">
        <v>1816</v>
      </c>
      <c r="B382" s="96" t="s">
        <v>882</v>
      </c>
      <c r="C382" s="96" t="s">
        <v>595</v>
      </c>
      <c r="D382" s="96" t="s">
        <v>2319</v>
      </c>
      <c r="E382" s="96" t="s">
        <v>205</v>
      </c>
      <c r="F382" s="115" t="n">
        <v>30000</v>
      </c>
      <c r="G382" s="96" t="s">
        <v>472</v>
      </c>
      <c r="H382" s="116"/>
      <c r="I382" s="117" t="s">
        <v>1819</v>
      </c>
    </row>
    <row r="383" customFormat="false" ht="15" hidden="false" customHeight="true" outlineLevel="0" collapsed="false">
      <c r="A383" s="96" t="s">
        <v>1816</v>
      </c>
      <c r="B383" s="96" t="s">
        <v>882</v>
      </c>
      <c r="C383" s="96" t="s">
        <v>588</v>
      </c>
      <c r="D383" s="96" t="s">
        <v>2320</v>
      </c>
      <c r="E383" s="96" t="s">
        <v>1123</v>
      </c>
      <c r="F383" s="115" t="n">
        <v>25000</v>
      </c>
      <c r="G383" s="96" t="s">
        <v>472</v>
      </c>
      <c r="H383" s="116"/>
      <c r="I383" s="117" t="s">
        <v>1819</v>
      </c>
    </row>
    <row r="384" customFormat="false" ht="15" hidden="false" customHeight="true" outlineLevel="0" collapsed="false">
      <c r="A384" s="96" t="s">
        <v>1816</v>
      </c>
      <c r="B384" s="96" t="s">
        <v>882</v>
      </c>
      <c r="C384" s="96" t="s">
        <v>595</v>
      </c>
      <c r="D384" s="96" t="s">
        <v>2321</v>
      </c>
      <c r="E384" s="96" t="s">
        <v>205</v>
      </c>
      <c r="F384" s="115" t="n">
        <v>25000</v>
      </c>
      <c r="G384" s="96" t="s">
        <v>472</v>
      </c>
      <c r="H384" s="116"/>
      <c r="I384" s="117" t="s">
        <v>1819</v>
      </c>
    </row>
    <row r="385" customFormat="false" ht="15" hidden="false" customHeight="true" outlineLevel="0" collapsed="false">
      <c r="A385" s="96" t="s">
        <v>1816</v>
      </c>
      <c r="B385" s="96" t="s">
        <v>882</v>
      </c>
      <c r="C385" s="96" t="s">
        <v>595</v>
      </c>
      <c r="D385" s="96" t="s">
        <v>2322</v>
      </c>
      <c r="E385" s="96" t="s">
        <v>212</v>
      </c>
      <c r="F385" s="115" t="n">
        <v>25000</v>
      </c>
      <c r="G385" s="96" t="s">
        <v>472</v>
      </c>
      <c r="H385" s="116"/>
      <c r="I385" s="117" t="s">
        <v>1819</v>
      </c>
    </row>
    <row r="386" customFormat="false" ht="15" hidden="false" customHeight="true" outlineLevel="0" collapsed="false">
      <c r="A386" s="96" t="s">
        <v>1816</v>
      </c>
      <c r="B386" s="96" t="s">
        <v>882</v>
      </c>
      <c r="C386" s="96" t="s">
        <v>588</v>
      </c>
      <c r="D386" s="96" t="s">
        <v>2323</v>
      </c>
      <c r="E386" s="96" t="s">
        <v>198</v>
      </c>
      <c r="F386" s="115" t="n">
        <v>20000</v>
      </c>
      <c r="G386" s="96" t="s">
        <v>2313</v>
      </c>
      <c r="H386" s="116"/>
      <c r="I386" s="117" t="s">
        <v>1819</v>
      </c>
    </row>
    <row r="387" customFormat="false" ht="15" hidden="false" customHeight="true" outlineLevel="0" collapsed="false">
      <c r="A387" s="96" t="s">
        <v>1816</v>
      </c>
      <c r="B387" s="96" t="s">
        <v>882</v>
      </c>
      <c r="C387" s="96" t="s">
        <v>588</v>
      </c>
      <c r="D387" s="96" t="s">
        <v>2324</v>
      </c>
      <c r="E387" s="96" t="s">
        <v>1099</v>
      </c>
      <c r="F387" s="115" t="n">
        <v>20000</v>
      </c>
      <c r="G387" s="96" t="s">
        <v>472</v>
      </c>
      <c r="H387" s="116"/>
      <c r="I387" s="117" t="s">
        <v>1819</v>
      </c>
    </row>
    <row r="388" customFormat="false" ht="15" hidden="false" customHeight="true" outlineLevel="0" collapsed="false">
      <c r="A388" s="96" t="s">
        <v>1816</v>
      </c>
      <c r="B388" s="96" t="s">
        <v>882</v>
      </c>
      <c r="C388" s="96" t="s">
        <v>602</v>
      </c>
      <c r="D388" s="96" t="s">
        <v>1104</v>
      </c>
      <c r="E388" s="96" t="s">
        <v>1103</v>
      </c>
      <c r="F388" s="115" t="n">
        <v>15000</v>
      </c>
      <c r="G388" s="96" t="s">
        <v>472</v>
      </c>
      <c r="H388" s="116"/>
      <c r="I388" s="117" t="s">
        <v>1819</v>
      </c>
    </row>
    <row r="389" customFormat="false" ht="15" hidden="false" customHeight="true" outlineLevel="0" collapsed="false">
      <c r="A389" s="96" t="s">
        <v>1816</v>
      </c>
      <c r="B389" s="96" t="s">
        <v>882</v>
      </c>
      <c r="C389" s="96" t="s">
        <v>588</v>
      </c>
      <c r="D389" s="96" t="s">
        <v>1104</v>
      </c>
      <c r="E389" s="96" t="s">
        <v>1103</v>
      </c>
      <c r="F389" s="115" t="n">
        <v>15000</v>
      </c>
      <c r="G389" s="96" t="s">
        <v>472</v>
      </c>
      <c r="H389" s="116"/>
      <c r="I389" s="117" t="s">
        <v>1819</v>
      </c>
    </row>
    <row r="390" customFormat="false" ht="15" hidden="false" customHeight="true" outlineLevel="0" collapsed="false">
      <c r="A390" s="96" t="s">
        <v>1816</v>
      </c>
      <c r="B390" s="96" t="s">
        <v>882</v>
      </c>
      <c r="C390" s="96" t="s">
        <v>595</v>
      </c>
      <c r="D390" s="96" t="s">
        <v>2325</v>
      </c>
      <c r="E390" s="96" t="s">
        <v>467</v>
      </c>
      <c r="F390" s="115" t="n">
        <v>10000</v>
      </c>
      <c r="G390" s="96" t="s">
        <v>468</v>
      </c>
      <c r="H390" s="116"/>
      <c r="I390" s="117" t="s">
        <v>1819</v>
      </c>
    </row>
    <row r="391" customFormat="false" ht="15" hidden="false" customHeight="true" outlineLevel="0" collapsed="false">
      <c r="A391" s="96" t="s">
        <v>1816</v>
      </c>
      <c r="B391" s="96" t="s">
        <v>882</v>
      </c>
      <c r="C391" s="96" t="s">
        <v>588</v>
      </c>
      <c r="D391" s="96" t="s">
        <v>2326</v>
      </c>
      <c r="E391" s="96" t="s">
        <v>467</v>
      </c>
      <c r="F391" s="115" t="n">
        <v>10000</v>
      </c>
      <c r="G391" s="96" t="s">
        <v>468</v>
      </c>
      <c r="H391" s="116"/>
      <c r="I391" s="117" t="s">
        <v>1819</v>
      </c>
    </row>
    <row r="392" customFormat="false" ht="15" hidden="false" customHeight="true" outlineLevel="0" collapsed="false">
      <c r="A392" s="96" t="s">
        <v>1816</v>
      </c>
      <c r="B392" s="96" t="s">
        <v>882</v>
      </c>
      <c r="C392" s="96" t="s">
        <v>595</v>
      </c>
      <c r="D392" s="96" t="s">
        <v>1215</v>
      </c>
      <c r="E392" s="96" t="s">
        <v>471</v>
      </c>
      <c r="F392" s="115" t="n">
        <v>10000</v>
      </c>
      <c r="G392" s="96" t="s">
        <v>472</v>
      </c>
      <c r="H392" s="116"/>
      <c r="I392" s="117" t="s">
        <v>1819</v>
      </c>
    </row>
    <row r="393" customFormat="false" ht="15" hidden="false" customHeight="true" outlineLevel="0" collapsed="false">
      <c r="A393" s="96" t="s">
        <v>1816</v>
      </c>
      <c r="B393" s="96" t="s">
        <v>882</v>
      </c>
      <c r="C393" s="96" t="s">
        <v>602</v>
      </c>
      <c r="D393" s="96" t="s">
        <v>1266</v>
      </c>
      <c r="E393" s="96" t="s">
        <v>1265</v>
      </c>
      <c r="F393" s="115" t="n">
        <v>5000</v>
      </c>
      <c r="G393" s="96" t="s">
        <v>2327</v>
      </c>
      <c r="H393" s="116"/>
      <c r="I393" s="117" t="s">
        <v>1819</v>
      </c>
    </row>
    <row r="394" customFormat="false" ht="15" hidden="false" customHeight="true" outlineLevel="0" collapsed="false">
      <c r="A394" s="96" t="s">
        <v>1816</v>
      </c>
      <c r="B394" s="96" t="s">
        <v>2328</v>
      </c>
      <c r="C394" s="96" t="s">
        <v>588</v>
      </c>
      <c r="D394" s="96" t="s">
        <v>2329</v>
      </c>
      <c r="E394" s="96" t="s">
        <v>1152</v>
      </c>
      <c r="F394" s="115" t="n">
        <v>30000</v>
      </c>
      <c r="G394" s="96" t="s">
        <v>2330</v>
      </c>
      <c r="H394" s="116"/>
      <c r="I394" s="117" t="s">
        <v>1819</v>
      </c>
    </row>
    <row r="395" customFormat="false" ht="15" hidden="false" customHeight="true" outlineLevel="0" collapsed="false">
      <c r="A395" s="96" t="s">
        <v>1816</v>
      </c>
      <c r="B395" s="96" t="s">
        <v>2328</v>
      </c>
      <c r="C395" s="96" t="s">
        <v>602</v>
      </c>
      <c r="D395" s="96" t="s">
        <v>2331</v>
      </c>
      <c r="E395" s="96" t="s">
        <v>212</v>
      </c>
      <c r="F395" s="115" t="n">
        <v>20000</v>
      </c>
      <c r="G395" s="96" t="s">
        <v>2332</v>
      </c>
      <c r="H395" s="116"/>
      <c r="I395" s="117" t="s">
        <v>1819</v>
      </c>
    </row>
    <row r="396" customFormat="false" ht="15" hidden="false" customHeight="true" outlineLevel="0" collapsed="false">
      <c r="A396" s="96" t="s">
        <v>1816</v>
      </c>
      <c r="B396" s="96" t="s">
        <v>2328</v>
      </c>
      <c r="C396" s="96" t="s">
        <v>602</v>
      </c>
      <c r="D396" s="96" t="s">
        <v>2333</v>
      </c>
      <c r="E396" s="96" t="s">
        <v>212</v>
      </c>
      <c r="F396" s="115" t="n">
        <v>20000</v>
      </c>
      <c r="G396" s="96" t="s">
        <v>2332</v>
      </c>
      <c r="H396" s="116"/>
      <c r="I396" s="117" t="s">
        <v>1819</v>
      </c>
    </row>
    <row r="397" customFormat="false" ht="15" hidden="false" customHeight="true" outlineLevel="0" collapsed="false">
      <c r="A397" s="96" t="s">
        <v>1816</v>
      </c>
      <c r="B397" s="96" t="s">
        <v>2328</v>
      </c>
      <c r="C397" s="96" t="s">
        <v>595</v>
      </c>
      <c r="D397" s="96" t="s">
        <v>2334</v>
      </c>
      <c r="E397" s="96" t="s">
        <v>212</v>
      </c>
      <c r="F397" s="115" t="n">
        <v>15000</v>
      </c>
      <c r="G397" s="96" t="s">
        <v>2332</v>
      </c>
      <c r="H397" s="116"/>
      <c r="I397" s="117" t="s">
        <v>1819</v>
      </c>
    </row>
    <row r="398" customFormat="false" ht="15" hidden="false" customHeight="true" outlineLevel="0" collapsed="false">
      <c r="A398" s="96" t="s">
        <v>1816</v>
      </c>
      <c r="B398" s="96" t="s">
        <v>2328</v>
      </c>
      <c r="C398" s="96" t="s">
        <v>595</v>
      </c>
      <c r="D398" s="96" t="s">
        <v>2335</v>
      </c>
      <c r="E398" s="96" t="s">
        <v>212</v>
      </c>
      <c r="F398" s="115" t="n">
        <v>15000</v>
      </c>
      <c r="G398" s="96" t="s">
        <v>2332</v>
      </c>
      <c r="H398" s="116"/>
      <c r="I398" s="117" t="s">
        <v>1819</v>
      </c>
    </row>
    <row r="399" customFormat="false" ht="15" hidden="false" customHeight="true" outlineLevel="0" collapsed="false">
      <c r="A399" s="96" t="s">
        <v>1816</v>
      </c>
      <c r="B399" s="96" t="s">
        <v>2328</v>
      </c>
      <c r="C399" s="96" t="s">
        <v>588</v>
      </c>
      <c r="D399" s="96" t="s">
        <v>2336</v>
      </c>
      <c r="E399" s="96" t="s">
        <v>978</v>
      </c>
      <c r="F399" s="115" t="n">
        <v>10000</v>
      </c>
      <c r="G399" s="96" t="s">
        <v>2332</v>
      </c>
      <c r="H399" s="116"/>
      <c r="I399" s="117" t="s">
        <v>1819</v>
      </c>
    </row>
    <row r="400" customFormat="false" ht="15" hidden="false" customHeight="true" outlineLevel="0" collapsed="false">
      <c r="A400" s="96" t="s">
        <v>1816</v>
      </c>
      <c r="B400" s="96" t="s">
        <v>2328</v>
      </c>
      <c r="C400" s="96" t="s">
        <v>595</v>
      </c>
      <c r="D400" s="96" t="s">
        <v>2337</v>
      </c>
      <c r="E400" s="96" t="s">
        <v>205</v>
      </c>
      <c r="F400" s="115" t="n">
        <v>10000</v>
      </c>
      <c r="G400" s="96" t="s">
        <v>2332</v>
      </c>
      <c r="H400" s="116"/>
      <c r="I400" s="117" t="s">
        <v>1819</v>
      </c>
    </row>
    <row r="401" customFormat="false" ht="15" hidden="false" customHeight="true" outlineLevel="0" collapsed="false">
      <c r="A401" s="96" t="s">
        <v>1816</v>
      </c>
      <c r="B401" s="96" t="s">
        <v>2328</v>
      </c>
      <c r="C401" s="96" t="s">
        <v>588</v>
      </c>
      <c r="D401" s="96" t="s">
        <v>2338</v>
      </c>
      <c r="E401" s="96" t="s">
        <v>205</v>
      </c>
      <c r="F401" s="115" t="n">
        <v>10000</v>
      </c>
      <c r="G401" s="96" t="s">
        <v>2332</v>
      </c>
      <c r="H401" s="116"/>
      <c r="I401" s="117" t="s">
        <v>1819</v>
      </c>
    </row>
    <row r="402" customFormat="false" ht="15" hidden="false" customHeight="true" outlineLevel="0" collapsed="false">
      <c r="A402" s="96" t="s">
        <v>1816</v>
      </c>
      <c r="B402" s="96" t="s">
        <v>2328</v>
      </c>
      <c r="C402" s="96" t="s">
        <v>602</v>
      </c>
      <c r="D402" s="96" t="s">
        <v>2339</v>
      </c>
      <c r="E402" s="96" t="s">
        <v>212</v>
      </c>
      <c r="F402" s="115" t="n">
        <v>10000</v>
      </c>
      <c r="G402" s="96" t="s">
        <v>2332</v>
      </c>
      <c r="H402" s="116"/>
      <c r="I402" s="117" t="s">
        <v>1819</v>
      </c>
    </row>
    <row r="403" customFormat="false" ht="15" hidden="false" customHeight="true" outlineLevel="0" collapsed="false">
      <c r="A403" s="96" t="s">
        <v>1816</v>
      </c>
      <c r="B403" s="96" t="s">
        <v>2328</v>
      </c>
      <c r="C403" s="96" t="s">
        <v>595</v>
      </c>
      <c r="D403" s="96" t="s">
        <v>2340</v>
      </c>
      <c r="E403" s="96" t="s">
        <v>269</v>
      </c>
      <c r="F403" s="115" t="n">
        <v>10000</v>
      </c>
      <c r="G403" s="96" t="s">
        <v>2341</v>
      </c>
      <c r="H403" s="116"/>
      <c r="I403" s="117" t="s">
        <v>1819</v>
      </c>
    </row>
    <row r="404" customFormat="false" ht="15" hidden="false" customHeight="true" outlineLevel="0" collapsed="false">
      <c r="A404" s="96" t="s">
        <v>1816</v>
      </c>
      <c r="B404" s="96" t="s">
        <v>2342</v>
      </c>
      <c r="C404" s="96" t="s">
        <v>595</v>
      </c>
      <c r="D404" s="96" t="s">
        <v>2343</v>
      </c>
      <c r="E404" s="96" t="s">
        <v>256</v>
      </c>
      <c r="F404" s="115" t="n">
        <v>30000</v>
      </c>
      <c r="G404" s="96" t="s">
        <v>257</v>
      </c>
      <c r="H404" s="116"/>
      <c r="I404" s="117" t="s">
        <v>1819</v>
      </c>
    </row>
    <row r="405" customFormat="false" ht="15" hidden="false" customHeight="true" outlineLevel="0" collapsed="false">
      <c r="A405" s="96" t="s">
        <v>1816</v>
      </c>
      <c r="B405" s="96" t="s">
        <v>2342</v>
      </c>
      <c r="C405" s="96" t="s">
        <v>602</v>
      </c>
      <c r="D405" s="96" t="s">
        <v>2344</v>
      </c>
      <c r="E405" s="96" t="s">
        <v>1154</v>
      </c>
      <c r="F405" s="115" t="n">
        <v>30000</v>
      </c>
      <c r="G405" s="96" t="s">
        <v>475</v>
      </c>
      <c r="H405" s="116"/>
      <c r="I405" s="117" t="s">
        <v>1819</v>
      </c>
    </row>
    <row r="406" customFormat="false" ht="15" hidden="false" customHeight="true" outlineLevel="0" collapsed="false">
      <c r="A406" s="96" t="s">
        <v>1816</v>
      </c>
      <c r="B406" s="96" t="s">
        <v>2342</v>
      </c>
      <c r="C406" s="96" t="s">
        <v>595</v>
      </c>
      <c r="D406" s="96" t="s">
        <v>2345</v>
      </c>
      <c r="E406" s="96" t="s">
        <v>256</v>
      </c>
      <c r="F406" s="115" t="n">
        <v>20000</v>
      </c>
      <c r="G406" s="96" t="s">
        <v>257</v>
      </c>
      <c r="H406" s="116"/>
      <c r="I406" s="117" t="s">
        <v>1819</v>
      </c>
    </row>
    <row r="407" customFormat="false" ht="15" hidden="false" customHeight="true" outlineLevel="0" collapsed="false">
      <c r="A407" s="96" t="s">
        <v>1816</v>
      </c>
      <c r="B407" s="96" t="s">
        <v>2342</v>
      </c>
      <c r="C407" s="96" t="s">
        <v>588</v>
      </c>
      <c r="D407" s="96" t="s">
        <v>586</v>
      </c>
      <c r="E407" s="96" t="s">
        <v>1116</v>
      </c>
      <c r="F407" s="115" t="n">
        <v>20000</v>
      </c>
      <c r="G407" s="96" t="s">
        <v>257</v>
      </c>
      <c r="H407" s="116"/>
      <c r="I407" s="117" t="s">
        <v>1819</v>
      </c>
    </row>
    <row r="408" customFormat="false" ht="15" hidden="false" customHeight="true" outlineLevel="0" collapsed="false">
      <c r="A408" s="96" t="s">
        <v>1816</v>
      </c>
      <c r="B408" s="96" t="s">
        <v>2342</v>
      </c>
      <c r="C408" s="96" t="s">
        <v>595</v>
      </c>
      <c r="D408" s="96" t="s">
        <v>2346</v>
      </c>
      <c r="E408" s="96" t="s">
        <v>231</v>
      </c>
      <c r="F408" s="115" t="n">
        <v>20000</v>
      </c>
      <c r="G408" s="96" t="s">
        <v>257</v>
      </c>
      <c r="H408" s="116"/>
      <c r="I408" s="117" t="s">
        <v>1819</v>
      </c>
    </row>
    <row r="409" customFormat="false" ht="15" hidden="false" customHeight="true" outlineLevel="0" collapsed="false">
      <c r="A409" s="96" t="s">
        <v>1816</v>
      </c>
      <c r="B409" s="96" t="s">
        <v>2342</v>
      </c>
      <c r="C409" s="96" t="s">
        <v>602</v>
      </c>
      <c r="D409" s="96" t="s">
        <v>2347</v>
      </c>
      <c r="E409" s="96" t="s">
        <v>1145</v>
      </c>
      <c r="F409" s="115" t="n">
        <v>20000</v>
      </c>
      <c r="G409" s="96" t="s">
        <v>2348</v>
      </c>
      <c r="H409" s="116"/>
      <c r="I409" s="117" t="s">
        <v>1819</v>
      </c>
    </row>
    <row r="410" customFormat="false" ht="15" hidden="false" customHeight="true" outlineLevel="0" collapsed="false">
      <c r="A410" s="96" t="s">
        <v>1816</v>
      </c>
      <c r="B410" s="96" t="s">
        <v>2342</v>
      </c>
      <c r="C410" s="96" t="s">
        <v>602</v>
      </c>
      <c r="D410" s="96" t="s">
        <v>2349</v>
      </c>
      <c r="E410" s="96" t="s">
        <v>541</v>
      </c>
      <c r="F410" s="115" t="n">
        <v>15000</v>
      </c>
      <c r="G410" s="96" t="s">
        <v>257</v>
      </c>
      <c r="H410" s="116"/>
      <c r="I410" s="117" t="s">
        <v>1819</v>
      </c>
    </row>
    <row r="411" customFormat="false" ht="15" hidden="false" customHeight="true" outlineLevel="0" collapsed="false">
      <c r="A411" s="96" t="s">
        <v>1816</v>
      </c>
      <c r="B411" s="96" t="s">
        <v>2342</v>
      </c>
      <c r="C411" s="96" t="s">
        <v>602</v>
      </c>
      <c r="D411" s="96" t="s">
        <v>2350</v>
      </c>
      <c r="E411" s="96" t="s">
        <v>474</v>
      </c>
      <c r="F411" s="115" t="n">
        <v>15000</v>
      </c>
      <c r="G411" s="96" t="s">
        <v>475</v>
      </c>
      <c r="H411" s="116"/>
      <c r="I411" s="117" t="s">
        <v>1819</v>
      </c>
    </row>
    <row r="412" customFormat="false" ht="15" hidden="false" customHeight="true" outlineLevel="0" collapsed="false">
      <c r="A412" s="96" t="s">
        <v>1816</v>
      </c>
      <c r="B412" s="96" t="s">
        <v>2342</v>
      </c>
      <c r="C412" s="96" t="s">
        <v>588</v>
      </c>
      <c r="D412" s="96" t="s">
        <v>2351</v>
      </c>
      <c r="E412" s="96" t="s">
        <v>1180</v>
      </c>
      <c r="F412" s="115" t="n">
        <v>15000</v>
      </c>
      <c r="G412" s="96" t="s">
        <v>2352</v>
      </c>
      <c r="H412" s="116"/>
      <c r="I412" s="117" t="s">
        <v>1819</v>
      </c>
    </row>
    <row r="413" customFormat="false" ht="15" hidden="false" customHeight="true" outlineLevel="0" collapsed="false">
      <c r="A413" s="96" t="s">
        <v>1816</v>
      </c>
      <c r="B413" s="96" t="s">
        <v>2342</v>
      </c>
      <c r="C413" s="96" t="s">
        <v>588</v>
      </c>
      <c r="D413" s="96" t="s">
        <v>2353</v>
      </c>
      <c r="E413" s="96" t="s">
        <v>541</v>
      </c>
      <c r="F413" s="115" t="n">
        <v>10000</v>
      </c>
      <c r="G413" s="96" t="s">
        <v>257</v>
      </c>
      <c r="H413" s="116"/>
      <c r="I413" s="117" t="s">
        <v>1819</v>
      </c>
    </row>
    <row r="414" customFormat="false" ht="15" hidden="false" customHeight="true" outlineLevel="0" collapsed="false">
      <c r="A414" s="96" t="s">
        <v>1816</v>
      </c>
      <c r="B414" s="96" t="s">
        <v>2342</v>
      </c>
      <c r="C414" s="96" t="s">
        <v>588</v>
      </c>
      <c r="D414" s="96" t="s">
        <v>2354</v>
      </c>
      <c r="E414" s="96" t="s">
        <v>236</v>
      </c>
      <c r="F414" s="115" t="n">
        <v>10000</v>
      </c>
      <c r="G414" s="96" t="s">
        <v>257</v>
      </c>
      <c r="H414" s="116"/>
      <c r="I414" s="117" t="s">
        <v>1819</v>
      </c>
    </row>
    <row r="415" customFormat="false" ht="15" hidden="false" customHeight="true" outlineLevel="0" collapsed="false">
      <c r="A415" s="96" t="s">
        <v>1816</v>
      </c>
      <c r="B415" s="96" t="s">
        <v>2342</v>
      </c>
      <c r="C415" s="96" t="s">
        <v>595</v>
      </c>
      <c r="D415" s="96" t="s">
        <v>2355</v>
      </c>
      <c r="E415" s="96" t="s">
        <v>198</v>
      </c>
      <c r="F415" s="115" t="n">
        <v>10000</v>
      </c>
      <c r="G415" s="96" t="s">
        <v>2356</v>
      </c>
      <c r="H415" s="116"/>
      <c r="I415" s="117" t="s">
        <v>1819</v>
      </c>
    </row>
    <row r="416" customFormat="false" ht="15" hidden="false" customHeight="true" outlineLevel="0" collapsed="false">
      <c r="A416" s="96" t="s">
        <v>1816</v>
      </c>
      <c r="B416" s="96" t="s">
        <v>2342</v>
      </c>
      <c r="C416" s="96" t="s">
        <v>588</v>
      </c>
      <c r="D416" s="96" t="s">
        <v>2357</v>
      </c>
      <c r="E416" s="96" t="s">
        <v>198</v>
      </c>
      <c r="F416" s="115" t="n">
        <v>10000</v>
      </c>
      <c r="G416" s="96" t="s">
        <v>2358</v>
      </c>
      <c r="H416" s="116"/>
      <c r="I416" s="117" t="s">
        <v>1819</v>
      </c>
    </row>
    <row r="417" customFormat="false" ht="15" hidden="false" customHeight="true" outlineLevel="0" collapsed="false">
      <c r="A417" s="96" t="s">
        <v>1816</v>
      </c>
      <c r="B417" s="96" t="s">
        <v>2342</v>
      </c>
      <c r="C417" s="96" t="s">
        <v>602</v>
      </c>
      <c r="D417" s="96" t="s">
        <v>2359</v>
      </c>
      <c r="E417" s="96" t="s">
        <v>198</v>
      </c>
      <c r="F417" s="115" t="n">
        <v>10000</v>
      </c>
      <c r="G417" s="96" t="s">
        <v>2360</v>
      </c>
      <c r="H417" s="116"/>
      <c r="I417" s="117" t="s">
        <v>1819</v>
      </c>
    </row>
    <row r="418" customFormat="false" ht="15" hidden="false" customHeight="true" outlineLevel="0" collapsed="false">
      <c r="A418" s="96" t="s">
        <v>1816</v>
      </c>
      <c r="B418" s="96" t="s">
        <v>2342</v>
      </c>
      <c r="C418" s="96" t="s">
        <v>588</v>
      </c>
      <c r="D418" s="96" t="s">
        <v>2361</v>
      </c>
      <c r="E418" s="96" t="s">
        <v>198</v>
      </c>
      <c r="F418" s="115" t="n">
        <v>10000</v>
      </c>
      <c r="G418" s="96" t="s">
        <v>2360</v>
      </c>
      <c r="H418" s="116"/>
      <c r="I418" s="117" t="s">
        <v>1819</v>
      </c>
    </row>
    <row r="419" customFormat="false" ht="15" hidden="false" customHeight="true" outlineLevel="0" collapsed="false">
      <c r="A419" s="96" t="s">
        <v>1816</v>
      </c>
      <c r="B419" s="96" t="s">
        <v>2342</v>
      </c>
      <c r="C419" s="96" t="s">
        <v>595</v>
      </c>
      <c r="D419" s="96" t="s">
        <v>2362</v>
      </c>
      <c r="E419" s="96" t="s">
        <v>474</v>
      </c>
      <c r="F419" s="115" t="n">
        <v>10000</v>
      </c>
      <c r="G419" s="96" t="s">
        <v>475</v>
      </c>
      <c r="H419" s="116"/>
      <c r="I419" s="117" t="s">
        <v>1819</v>
      </c>
    </row>
    <row r="420" customFormat="false" ht="15" hidden="false" customHeight="true" outlineLevel="0" collapsed="false">
      <c r="A420" s="96" t="s">
        <v>1816</v>
      </c>
      <c r="B420" s="96" t="s">
        <v>2342</v>
      </c>
      <c r="C420" s="96" t="s">
        <v>588</v>
      </c>
      <c r="D420" s="96" t="s">
        <v>2363</v>
      </c>
      <c r="E420" s="96" t="s">
        <v>205</v>
      </c>
      <c r="F420" s="115" t="n">
        <v>10000</v>
      </c>
      <c r="G420" s="96" t="s">
        <v>2348</v>
      </c>
      <c r="H420" s="116"/>
      <c r="I420" s="117" t="s">
        <v>1819</v>
      </c>
    </row>
    <row r="421" customFormat="false" ht="15" hidden="false" customHeight="true" outlineLevel="0" collapsed="false">
      <c r="A421" s="96" t="s">
        <v>1816</v>
      </c>
      <c r="B421" s="96" t="s">
        <v>2342</v>
      </c>
      <c r="C421" s="96" t="s">
        <v>588</v>
      </c>
      <c r="D421" s="96" t="s">
        <v>2364</v>
      </c>
      <c r="E421" s="96" t="s">
        <v>1176</v>
      </c>
      <c r="F421" s="115" t="n">
        <v>5000</v>
      </c>
      <c r="G421" s="96" t="s">
        <v>2365</v>
      </c>
      <c r="H421" s="116"/>
      <c r="I421" s="117" t="s">
        <v>1819</v>
      </c>
    </row>
    <row r="422" customFormat="false" ht="15" hidden="false" customHeight="true" outlineLevel="0" collapsed="false">
      <c r="A422" s="96" t="s">
        <v>1816</v>
      </c>
      <c r="B422" s="96" t="s">
        <v>1743</v>
      </c>
      <c r="C422" s="96" t="s">
        <v>588</v>
      </c>
      <c r="D422" s="96" t="s">
        <v>2366</v>
      </c>
      <c r="E422" s="96" t="s">
        <v>1118</v>
      </c>
      <c r="F422" s="115" t="n">
        <v>40000</v>
      </c>
      <c r="G422" s="96" t="s">
        <v>2367</v>
      </c>
      <c r="H422" s="116"/>
      <c r="I422" s="117" t="s">
        <v>1819</v>
      </c>
    </row>
    <row r="423" customFormat="false" ht="15" hidden="false" customHeight="true" outlineLevel="0" collapsed="false">
      <c r="A423" s="96" t="s">
        <v>1816</v>
      </c>
      <c r="B423" s="96" t="s">
        <v>1743</v>
      </c>
      <c r="C423" s="96" t="s">
        <v>588</v>
      </c>
      <c r="D423" s="96" t="s">
        <v>2368</v>
      </c>
      <c r="E423" s="96" t="s">
        <v>246</v>
      </c>
      <c r="F423" s="115" t="n">
        <v>40000</v>
      </c>
      <c r="G423" s="96" t="s">
        <v>2369</v>
      </c>
      <c r="H423" s="116"/>
      <c r="I423" s="117" t="s">
        <v>1819</v>
      </c>
    </row>
    <row r="424" customFormat="false" ht="15" hidden="false" customHeight="true" outlineLevel="0" collapsed="false">
      <c r="A424" s="96" t="s">
        <v>1816</v>
      </c>
      <c r="B424" s="96" t="s">
        <v>1743</v>
      </c>
      <c r="C424" s="96" t="s">
        <v>602</v>
      </c>
      <c r="D424" s="96" t="s">
        <v>2370</v>
      </c>
      <c r="E424" s="96" t="s">
        <v>310</v>
      </c>
      <c r="F424" s="115" t="n">
        <v>40000</v>
      </c>
      <c r="G424" s="96" t="s">
        <v>479</v>
      </c>
      <c r="H424" s="116"/>
      <c r="I424" s="117" t="s">
        <v>1819</v>
      </c>
    </row>
    <row r="425" customFormat="false" ht="15" hidden="false" customHeight="true" outlineLevel="0" collapsed="false">
      <c r="A425" s="96" t="s">
        <v>1816</v>
      </c>
      <c r="B425" s="96" t="s">
        <v>1743</v>
      </c>
      <c r="C425" s="96" t="s">
        <v>602</v>
      </c>
      <c r="D425" s="96" t="s">
        <v>2371</v>
      </c>
      <c r="E425" s="96" t="s">
        <v>1118</v>
      </c>
      <c r="F425" s="115" t="n">
        <v>30000</v>
      </c>
      <c r="G425" s="96" t="s">
        <v>2367</v>
      </c>
      <c r="H425" s="116"/>
      <c r="I425" s="117" t="s">
        <v>1819</v>
      </c>
    </row>
    <row r="426" customFormat="false" ht="15" hidden="false" customHeight="true" outlineLevel="0" collapsed="false">
      <c r="A426" s="96" t="s">
        <v>1816</v>
      </c>
      <c r="B426" s="96" t="s">
        <v>1743</v>
      </c>
      <c r="C426" s="96" t="s">
        <v>602</v>
      </c>
      <c r="D426" s="96" t="s">
        <v>2372</v>
      </c>
      <c r="E426" s="96" t="s">
        <v>278</v>
      </c>
      <c r="F426" s="115" t="n">
        <v>30000</v>
      </c>
      <c r="G426" s="96" t="s">
        <v>2373</v>
      </c>
      <c r="H426" s="116"/>
      <c r="I426" s="117" t="s">
        <v>1819</v>
      </c>
    </row>
    <row r="427" customFormat="false" ht="15" hidden="false" customHeight="true" outlineLevel="0" collapsed="false">
      <c r="A427" s="96" t="s">
        <v>1816</v>
      </c>
      <c r="B427" s="96" t="s">
        <v>1743</v>
      </c>
      <c r="C427" s="96" t="s">
        <v>595</v>
      </c>
      <c r="D427" s="96" t="s">
        <v>2374</v>
      </c>
      <c r="E427" s="96" t="s">
        <v>216</v>
      </c>
      <c r="F427" s="115" t="n">
        <v>25000</v>
      </c>
      <c r="G427" s="96" t="s">
        <v>392</v>
      </c>
      <c r="H427" s="116"/>
      <c r="I427" s="117" t="s">
        <v>1819</v>
      </c>
    </row>
    <row r="428" customFormat="false" ht="15" hidden="false" customHeight="true" outlineLevel="0" collapsed="false">
      <c r="A428" s="96" t="s">
        <v>1816</v>
      </c>
      <c r="B428" s="96" t="s">
        <v>1743</v>
      </c>
      <c r="C428" s="96" t="s">
        <v>588</v>
      </c>
      <c r="D428" s="96" t="s">
        <v>2375</v>
      </c>
      <c r="E428" s="96" t="s">
        <v>278</v>
      </c>
      <c r="F428" s="115" t="n">
        <v>25000</v>
      </c>
      <c r="G428" s="96" t="s">
        <v>2373</v>
      </c>
      <c r="H428" s="116"/>
      <c r="I428" s="117" t="s">
        <v>1819</v>
      </c>
    </row>
    <row r="429" customFormat="false" ht="15" hidden="false" customHeight="true" outlineLevel="0" collapsed="false">
      <c r="A429" s="96" t="s">
        <v>1816</v>
      </c>
      <c r="B429" s="96" t="s">
        <v>1743</v>
      </c>
      <c r="C429" s="96" t="s">
        <v>588</v>
      </c>
      <c r="D429" s="96" t="s">
        <v>2376</v>
      </c>
      <c r="E429" s="96" t="s">
        <v>278</v>
      </c>
      <c r="F429" s="115" t="n">
        <v>25000</v>
      </c>
      <c r="G429" s="96" t="s">
        <v>2373</v>
      </c>
      <c r="H429" s="116"/>
      <c r="I429" s="117" t="s">
        <v>1819</v>
      </c>
    </row>
    <row r="430" customFormat="false" ht="15" hidden="false" customHeight="true" outlineLevel="0" collapsed="false">
      <c r="A430" s="96" t="s">
        <v>1816</v>
      </c>
      <c r="B430" s="96" t="s">
        <v>1743</v>
      </c>
      <c r="C430" s="96" t="s">
        <v>602</v>
      </c>
      <c r="D430" s="96" t="s">
        <v>2377</v>
      </c>
      <c r="E430" s="96" t="s">
        <v>1140</v>
      </c>
      <c r="F430" s="115" t="n">
        <v>20000</v>
      </c>
      <c r="G430" s="96" t="s">
        <v>2378</v>
      </c>
      <c r="H430" s="116"/>
      <c r="I430" s="117" t="s">
        <v>1819</v>
      </c>
    </row>
    <row r="431" customFormat="false" ht="15" hidden="false" customHeight="true" outlineLevel="0" collapsed="false">
      <c r="A431" s="96" t="s">
        <v>1816</v>
      </c>
      <c r="B431" s="96" t="s">
        <v>1743</v>
      </c>
      <c r="C431" s="96" t="s">
        <v>602</v>
      </c>
      <c r="D431" s="96" t="s">
        <v>2379</v>
      </c>
      <c r="E431" s="96" t="s">
        <v>236</v>
      </c>
      <c r="F431" s="115" t="n">
        <v>20000</v>
      </c>
      <c r="G431" s="96" t="s">
        <v>2380</v>
      </c>
      <c r="H431" s="116"/>
      <c r="I431" s="117" t="s">
        <v>1819</v>
      </c>
    </row>
    <row r="432" customFormat="false" ht="15" hidden="false" customHeight="true" outlineLevel="0" collapsed="false">
      <c r="A432" s="96" t="s">
        <v>1816</v>
      </c>
      <c r="B432" s="96" t="s">
        <v>1743</v>
      </c>
      <c r="C432" s="96" t="s">
        <v>595</v>
      </c>
      <c r="D432" s="96" t="s">
        <v>2381</v>
      </c>
      <c r="E432" s="96" t="s">
        <v>391</v>
      </c>
      <c r="F432" s="115" t="n">
        <v>20000</v>
      </c>
      <c r="G432" s="96" t="s">
        <v>392</v>
      </c>
      <c r="H432" s="116"/>
      <c r="I432" s="117" t="s">
        <v>1819</v>
      </c>
    </row>
    <row r="433" customFormat="false" ht="15" hidden="false" customHeight="true" outlineLevel="0" collapsed="false">
      <c r="A433" s="96" t="s">
        <v>1816</v>
      </c>
      <c r="B433" s="96" t="s">
        <v>1743</v>
      </c>
      <c r="C433" s="96" t="s">
        <v>595</v>
      </c>
      <c r="D433" s="96" t="s">
        <v>2382</v>
      </c>
      <c r="E433" s="96" t="s">
        <v>236</v>
      </c>
      <c r="F433" s="115" t="n">
        <v>15000</v>
      </c>
      <c r="G433" s="96" t="s">
        <v>2380</v>
      </c>
      <c r="H433" s="116"/>
      <c r="I433" s="117" t="s">
        <v>1819</v>
      </c>
    </row>
    <row r="434" customFormat="false" ht="15" hidden="false" customHeight="true" outlineLevel="0" collapsed="false">
      <c r="A434" s="96" t="s">
        <v>1816</v>
      </c>
      <c r="B434" s="96" t="s">
        <v>1743</v>
      </c>
      <c r="C434" s="96" t="s">
        <v>595</v>
      </c>
      <c r="D434" s="96" t="s">
        <v>2383</v>
      </c>
      <c r="E434" s="96" t="s">
        <v>236</v>
      </c>
      <c r="F434" s="115" t="n">
        <v>15000</v>
      </c>
      <c r="G434" s="96" t="s">
        <v>2380</v>
      </c>
      <c r="H434" s="116"/>
      <c r="I434" s="117" t="s">
        <v>1819</v>
      </c>
    </row>
    <row r="435" customFormat="false" ht="15" hidden="false" customHeight="true" outlineLevel="0" collapsed="false">
      <c r="A435" s="96" t="s">
        <v>1816</v>
      </c>
      <c r="B435" s="96" t="s">
        <v>1743</v>
      </c>
      <c r="C435" s="96" t="s">
        <v>595</v>
      </c>
      <c r="D435" s="96" t="s">
        <v>2384</v>
      </c>
      <c r="E435" s="96" t="s">
        <v>216</v>
      </c>
      <c r="F435" s="115" t="n">
        <v>15000</v>
      </c>
      <c r="G435" s="96" t="s">
        <v>392</v>
      </c>
      <c r="H435" s="116"/>
      <c r="I435" s="117" t="s">
        <v>1819</v>
      </c>
    </row>
    <row r="436" customFormat="false" ht="15" hidden="false" customHeight="true" outlineLevel="0" collapsed="false">
      <c r="A436" s="96" t="s">
        <v>1816</v>
      </c>
      <c r="B436" s="96" t="s">
        <v>1743</v>
      </c>
      <c r="C436" s="96" t="s">
        <v>595</v>
      </c>
      <c r="D436" s="96" t="s">
        <v>2385</v>
      </c>
      <c r="E436" s="96" t="s">
        <v>246</v>
      </c>
      <c r="F436" s="115" t="n">
        <v>15000</v>
      </c>
      <c r="G436" s="96" t="s">
        <v>2369</v>
      </c>
      <c r="H436" s="116"/>
      <c r="I436" s="117" t="s">
        <v>1819</v>
      </c>
    </row>
    <row r="437" customFormat="false" ht="15" hidden="false" customHeight="true" outlineLevel="0" collapsed="false">
      <c r="A437" s="96" t="s">
        <v>1816</v>
      </c>
      <c r="B437" s="96" t="s">
        <v>1743</v>
      </c>
      <c r="C437" s="96" t="s">
        <v>595</v>
      </c>
      <c r="D437" s="96" t="s">
        <v>2386</v>
      </c>
      <c r="E437" s="96" t="s">
        <v>278</v>
      </c>
      <c r="F437" s="115" t="n">
        <v>15000</v>
      </c>
      <c r="G437" s="96" t="s">
        <v>2373</v>
      </c>
      <c r="H437" s="116"/>
      <c r="I437" s="117" t="s">
        <v>1819</v>
      </c>
    </row>
    <row r="438" customFormat="false" ht="15" hidden="false" customHeight="true" outlineLevel="0" collapsed="false">
      <c r="A438" s="96" t="s">
        <v>1816</v>
      </c>
      <c r="B438" s="96" t="s">
        <v>1743</v>
      </c>
      <c r="C438" s="96" t="s">
        <v>595</v>
      </c>
      <c r="D438" s="96" t="s">
        <v>2387</v>
      </c>
      <c r="E438" s="96" t="s">
        <v>322</v>
      </c>
      <c r="F438" s="115" t="n">
        <v>10000</v>
      </c>
      <c r="G438" s="96" t="s">
        <v>2380</v>
      </c>
      <c r="H438" s="116"/>
      <c r="I438" s="117" t="s">
        <v>1819</v>
      </c>
    </row>
    <row r="439" customFormat="false" ht="15" hidden="false" customHeight="true" outlineLevel="0" collapsed="false">
      <c r="A439" s="96" t="s">
        <v>1816</v>
      </c>
      <c r="B439" s="96" t="s">
        <v>1743</v>
      </c>
      <c r="C439" s="96" t="s">
        <v>588</v>
      </c>
      <c r="D439" s="96" t="s">
        <v>2388</v>
      </c>
      <c r="E439" s="96" t="s">
        <v>216</v>
      </c>
      <c r="F439" s="115" t="n">
        <v>10000</v>
      </c>
      <c r="G439" s="96" t="s">
        <v>392</v>
      </c>
      <c r="H439" s="116"/>
      <c r="I439" s="117" t="s">
        <v>1819</v>
      </c>
    </row>
    <row r="440" customFormat="false" ht="15" hidden="false" customHeight="true" outlineLevel="0" collapsed="false">
      <c r="A440" s="96" t="s">
        <v>1816</v>
      </c>
      <c r="B440" s="96" t="s">
        <v>1743</v>
      </c>
      <c r="C440" s="96" t="s">
        <v>588</v>
      </c>
      <c r="D440" s="96" t="s">
        <v>2389</v>
      </c>
      <c r="E440" s="96" t="s">
        <v>246</v>
      </c>
      <c r="F440" s="115" t="n">
        <v>10000</v>
      </c>
      <c r="G440" s="96" t="s">
        <v>2369</v>
      </c>
      <c r="H440" s="116"/>
      <c r="I440" s="117" t="s">
        <v>1819</v>
      </c>
    </row>
    <row r="441" customFormat="false" ht="15" hidden="false" customHeight="true" outlineLevel="0" collapsed="false">
      <c r="A441" s="96" t="s">
        <v>1816</v>
      </c>
      <c r="B441" s="96" t="s">
        <v>1743</v>
      </c>
      <c r="C441" s="96" t="s">
        <v>595</v>
      </c>
      <c r="D441" s="96" t="s">
        <v>2390</v>
      </c>
      <c r="E441" s="96" t="s">
        <v>310</v>
      </c>
      <c r="F441" s="115" t="n">
        <v>10000</v>
      </c>
      <c r="G441" s="96" t="s">
        <v>479</v>
      </c>
      <c r="H441" s="116"/>
      <c r="I441" s="117" t="s">
        <v>1819</v>
      </c>
    </row>
    <row r="442" customFormat="false" ht="15" hidden="false" customHeight="true" outlineLevel="0" collapsed="false">
      <c r="A442" s="96" t="s">
        <v>1816</v>
      </c>
      <c r="B442" s="96" t="s">
        <v>1743</v>
      </c>
      <c r="C442" s="96" t="s">
        <v>595</v>
      </c>
      <c r="D442" s="96" t="s">
        <v>2391</v>
      </c>
      <c r="E442" s="96" t="s">
        <v>478</v>
      </c>
      <c r="F442" s="115" t="n">
        <v>10000</v>
      </c>
      <c r="G442" s="96" t="s">
        <v>479</v>
      </c>
      <c r="H442" s="116"/>
      <c r="I442" s="117" t="s">
        <v>1819</v>
      </c>
    </row>
    <row r="443" customFormat="false" ht="15" hidden="false" customHeight="true" outlineLevel="0" collapsed="false">
      <c r="A443" s="96" t="s">
        <v>1816</v>
      </c>
      <c r="B443" s="96" t="s">
        <v>1743</v>
      </c>
      <c r="C443" s="96" t="s">
        <v>602</v>
      </c>
      <c r="D443" s="96" t="s">
        <v>1095</v>
      </c>
      <c r="E443" s="96" t="s">
        <v>278</v>
      </c>
      <c r="F443" s="115" t="n">
        <v>10000</v>
      </c>
      <c r="G443" s="96" t="s">
        <v>2373</v>
      </c>
      <c r="H443" s="116"/>
      <c r="I443" s="117" t="s">
        <v>1819</v>
      </c>
    </row>
    <row r="444" customFormat="false" ht="15" hidden="false" customHeight="true" outlineLevel="0" collapsed="false">
      <c r="A444" s="96" t="s">
        <v>1816</v>
      </c>
      <c r="B444" s="96" t="s">
        <v>1741</v>
      </c>
      <c r="C444" s="96" t="s">
        <v>588</v>
      </c>
      <c r="D444" s="96" t="s">
        <v>2392</v>
      </c>
      <c r="E444" s="96" t="s">
        <v>1852</v>
      </c>
      <c r="F444" s="115" t="n">
        <v>30000</v>
      </c>
      <c r="G444" s="96" t="s">
        <v>2393</v>
      </c>
      <c r="H444" s="116"/>
      <c r="I444" s="117" t="s">
        <v>1819</v>
      </c>
    </row>
    <row r="445" customFormat="false" ht="15" hidden="false" customHeight="true" outlineLevel="0" collapsed="false">
      <c r="A445" s="96" t="s">
        <v>1816</v>
      </c>
      <c r="B445" s="96" t="s">
        <v>1741</v>
      </c>
      <c r="C445" s="96" t="s">
        <v>588</v>
      </c>
      <c r="D445" s="96" t="s">
        <v>2394</v>
      </c>
      <c r="E445" s="96" t="s">
        <v>2196</v>
      </c>
      <c r="F445" s="115" t="n">
        <v>30000</v>
      </c>
      <c r="G445" s="96" t="s">
        <v>2395</v>
      </c>
      <c r="H445" s="116"/>
      <c r="I445" s="117" t="s">
        <v>1819</v>
      </c>
    </row>
    <row r="446" customFormat="false" ht="15" hidden="false" customHeight="true" outlineLevel="0" collapsed="false">
      <c r="A446" s="96" t="s">
        <v>1816</v>
      </c>
      <c r="B446" s="96" t="s">
        <v>1741</v>
      </c>
      <c r="C446" s="96" t="s">
        <v>595</v>
      </c>
      <c r="D446" s="96" t="s">
        <v>2396</v>
      </c>
      <c r="E446" s="96" t="s">
        <v>1887</v>
      </c>
      <c r="F446" s="115" t="n">
        <v>20000</v>
      </c>
      <c r="G446" s="96" t="s">
        <v>2397</v>
      </c>
      <c r="H446" s="116"/>
      <c r="I446" s="117" t="s">
        <v>1819</v>
      </c>
    </row>
    <row r="447" customFormat="false" ht="15" hidden="false" customHeight="true" outlineLevel="0" collapsed="false">
      <c r="A447" s="96" t="s">
        <v>1816</v>
      </c>
      <c r="B447" s="96" t="s">
        <v>1741</v>
      </c>
      <c r="C447" s="96" t="s">
        <v>602</v>
      </c>
      <c r="D447" s="96" t="s">
        <v>485</v>
      </c>
      <c r="E447" s="96" t="s">
        <v>2176</v>
      </c>
      <c r="F447" s="115" t="n">
        <v>20000</v>
      </c>
      <c r="G447" s="96" t="s">
        <v>487</v>
      </c>
      <c r="H447" s="116"/>
      <c r="I447" s="117" t="s">
        <v>1819</v>
      </c>
    </row>
    <row r="448" customFormat="false" ht="15" hidden="false" customHeight="true" outlineLevel="0" collapsed="false">
      <c r="A448" s="96" t="s">
        <v>1816</v>
      </c>
      <c r="B448" s="96" t="s">
        <v>1741</v>
      </c>
      <c r="C448" s="96" t="s">
        <v>588</v>
      </c>
      <c r="D448" s="96" t="s">
        <v>1920</v>
      </c>
      <c r="E448" s="96" t="s">
        <v>1852</v>
      </c>
      <c r="F448" s="115" t="n">
        <v>17500</v>
      </c>
      <c r="G448" s="96" t="s">
        <v>2393</v>
      </c>
      <c r="H448" s="116"/>
      <c r="I448" s="117" t="s">
        <v>1819</v>
      </c>
    </row>
    <row r="449" customFormat="false" ht="15" hidden="false" customHeight="true" outlineLevel="0" collapsed="false">
      <c r="A449" s="96" t="s">
        <v>1816</v>
      </c>
      <c r="B449" s="96" t="s">
        <v>1741</v>
      </c>
      <c r="C449" s="96" t="s">
        <v>602</v>
      </c>
      <c r="D449" s="96" t="s">
        <v>2398</v>
      </c>
      <c r="E449" s="96" t="s">
        <v>2108</v>
      </c>
      <c r="F449" s="115" t="n">
        <v>15000</v>
      </c>
      <c r="G449" s="96" t="s">
        <v>483</v>
      </c>
      <c r="H449" s="116"/>
      <c r="I449" s="117" t="s">
        <v>1819</v>
      </c>
    </row>
    <row r="450" customFormat="false" ht="15" hidden="false" customHeight="true" outlineLevel="0" collapsed="false">
      <c r="A450" s="96" t="s">
        <v>1816</v>
      </c>
      <c r="B450" s="96" t="s">
        <v>1741</v>
      </c>
      <c r="C450" s="96" t="s">
        <v>595</v>
      </c>
      <c r="D450" s="96" t="s">
        <v>2399</v>
      </c>
      <c r="E450" s="96" t="s">
        <v>2184</v>
      </c>
      <c r="F450" s="115" t="n">
        <v>15000</v>
      </c>
      <c r="G450" s="96" t="s">
        <v>414</v>
      </c>
      <c r="H450" s="116"/>
      <c r="I450" s="117" t="s">
        <v>1819</v>
      </c>
    </row>
    <row r="451" customFormat="false" ht="15" hidden="false" customHeight="true" outlineLevel="0" collapsed="false">
      <c r="A451" s="96" t="s">
        <v>1816</v>
      </c>
      <c r="B451" s="96" t="s">
        <v>1741</v>
      </c>
      <c r="C451" s="96" t="s">
        <v>602</v>
      </c>
      <c r="D451" s="96" t="s">
        <v>987</v>
      </c>
      <c r="E451" s="96" t="s">
        <v>2189</v>
      </c>
      <c r="F451" s="115" t="n">
        <v>15000</v>
      </c>
      <c r="G451" s="96" t="s">
        <v>2400</v>
      </c>
      <c r="H451" s="116"/>
      <c r="I451" s="117" t="s">
        <v>1819</v>
      </c>
    </row>
    <row r="452" customFormat="false" ht="15" hidden="false" customHeight="true" outlineLevel="0" collapsed="false">
      <c r="A452" s="96" t="s">
        <v>1816</v>
      </c>
      <c r="B452" s="96" t="s">
        <v>1741</v>
      </c>
      <c r="C452" s="96" t="s">
        <v>595</v>
      </c>
      <c r="D452" s="96" t="s">
        <v>2401</v>
      </c>
      <c r="E452" s="96" t="s">
        <v>2402</v>
      </c>
      <c r="F452" s="115" t="n">
        <v>15000</v>
      </c>
      <c r="G452" s="96" t="s">
        <v>422</v>
      </c>
      <c r="H452" s="116"/>
      <c r="I452" s="117" t="s">
        <v>1819</v>
      </c>
    </row>
    <row r="453" customFormat="false" ht="15" hidden="false" customHeight="true" outlineLevel="0" collapsed="false">
      <c r="A453" s="96" t="s">
        <v>1816</v>
      </c>
      <c r="B453" s="96" t="s">
        <v>1741</v>
      </c>
      <c r="C453" s="96" t="s">
        <v>602</v>
      </c>
      <c r="D453" s="96" t="s">
        <v>2403</v>
      </c>
      <c r="E453" s="96" t="s">
        <v>1849</v>
      </c>
      <c r="F453" s="115" t="n">
        <v>14000</v>
      </c>
      <c r="G453" s="96" t="s">
        <v>2404</v>
      </c>
      <c r="H453" s="116"/>
      <c r="I453" s="117" t="s">
        <v>1819</v>
      </c>
    </row>
    <row r="454" customFormat="false" ht="15" hidden="false" customHeight="true" outlineLevel="0" collapsed="false">
      <c r="A454" s="96" t="s">
        <v>1816</v>
      </c>
      <c r="B454" s="96" t="s">
        <v>1741</v>
      </c>
      <c r="C454" s="96" t="s">
        <v>588</v>
      </c>
      <c r="D454" s="96" t="s">
        <v>2405</v>
      </c>
      <c r="E454" s="96" t="s">
        <v>2406</v>
      </c>
      <c r="F454" s="115" t="n">
        <v>12500</v>
      </c>
      <c r="G454" s="96" t="s">
        <v>422</v>
      </c>
      <c r="H454" s="116"/>
      <c r="I454" s="117" t="s">
        <v>1819</v>
      </c>
    </row>
    <row r="455" customFormat="false" ht="15" hidden="false" customHeight="true" outlineLevel="0" collapsed="false">
      <c r="A455" s="96" t="s">
        <v>1816</v>
      </c>
      <c r="B455" s="96" t="s">
        <v>1741</v>
      </c>
      <c r="C455" s="96" t="s">
        <v>602</v>
      </c>
      <c r="D455" s="96" t="s">
        <v>625</v>
      </c>
      <c r="E455" s="96" t="s">
        <v>2269</v>
      </c>
      <c r="F455" s="115" t="n">
        <v>10500</v>
      </c>
      <c r="G455" s="96" t="s">
        <v>422</v>
      </c>
      <c r="H455" s="116"/>
      <c r="I455" s="117" t="s">
        <v>1819</v>
      </c>
    </row>
    <row r="456" customFormat="false" ht="15" hidden="false" customHeight="true" outlineLevel="0" collapsed="false">
      <c r="A456" s="96" t="s">
        <v>1816</v>
      </c>
      <c r="B456" s="96" t="s">
        <v>1741</v>
      </c>
      <c r="C456" s="96" t="s">
        <v>595</v>
      </c>
      <c r="D456" s="96" t="s">
        <v>2407</v>
      </c>
      <c r="E456" s="96" t="s">
        <v>2408</v>
      </c>
      <c r="F456" s="115" t="n">
        <v>10000</v>
      </c>
      <c r="G456" s="96" t="s">
        <v>2409</v>
      </c>
      <c r="H456" s="116"/>
      <c r="I456" s="117" t="s">
        <v>1819</v>
      </c>
    </row>
    <row r="457" customFormat="false" ht="15" hidden="false" customHeight="true" outlineLevel="0" collapsed="false">
      <c r="A457" s="96" t="s">
        <v>1816</v>
      </c>
      <c r="B457" s="96" t="s">
        <v>1741</v>
      </c>
      <c r="C457" s="96" t="s">
        <v>595</v>
      </c>
      <c r="D457" s="96" t="s">
        <v>2410</v>
      </c>
      <c r="E457" s="96" t="s">
        <v>2411</v>
      </c>
      <c r="F457" s="115" t="n">
        <v>10000</v>
      </c>
      <c r="G457" s="96" t="s">
        <v>483</v>
      </c>
      <c r="H457" s="116"/>
      <c r="I457" s="117" t="s">
        <v>1819</v>
      </c>
    </row>
    <row r="458" customFormat="false" ht="15" hidden="false" customHeight="true" outlineLevel="0" collapsed="false">
      <c r="A458" s="96" t="s">
        <v>1816</v>
      </c>
      <c r="B458" s="96" t="s">
        <v>1741</v>
      </c>
      <c r="C458" s="96" t="s">
        <v>588</v>
      </c>
      <c r="D458" s="96" t="s">
        <v>1183</v>
      </c>
      <c r="E458" s="96" t="s">
        <v>2412</v>
      </c>
      <c r="F458" s="115" t="n">
        <v>10000</v>
      </c>
      <c r="G458" s="96" t="s">
        <v>2413</v>
      </c>
      <c r="H458" s="116"/>
      <c r="I458" s="117" t="s">
        <v>1819</v>
      </c>
    </row>
    <row r="459" customFormat="false" ht="15" hidden="false" customHeight="true" outlineLevel="0" collapsed="false">
      <c r="A459" s="96" t="s">
        <v>1816</v>
      </c>
      <c r="B459" s="96" t="s">
        <v>1741</v>
      </c>
      <c r="C459" s="96" t="s">
        <v>595</v>
      </c>
      <c r="D459" s="96" t="s">
        <v>2414</v>
      </c>
      <c r="E459" s="96" t="s">
        <v>2176</v>
      </c>
      <c r="F459" s="115" t="n">
        <v>10000</v>
      </c>
      <c r="G459" s="96" t="s">
        <v>487</v>
      </c>
      <c r="H459" s="116"/>
      <c r="I459" s="117" t="s">
        <v>1819</v>
      </c>
    </row>
    <row r="460" customFormat="false" ht="15" hidden="false" customHeight="true" outlineLevel="0" collapsed="false">
      <c r="A460" s="96" t="s">
        <v>1816</v>
      </c>
      <c r="B460" s="96" t="s">
        <v>1741</v>
      </c>
      <c r="C460" s="96" t="s">
        <v>588</v>
      </c>
      <c r="D460" s="96" t="s">
        <v>2415</v>
      </c>
      <c r="E460" s="96" t="s">
        <v>1849</v>
      </c>
      <c r="F460" s="115" t="n">
        <v>10000</v>
      </c>
      <c r="G460" s="96" t="s">
        <v>2404</v>
      </c>
      <c r="H460" s="116"/>
      <c r="I460" s="117" t="s">
        <v>1819</v>
      </c>
    </row>
    <row r="461" customFormat="false" ht="15" hidden="false" customHeight="true" outlineLevel="0" collapsed="false">
      <c r="A461" s="96" t="s">
        <v>1816</v>
      </c>
      <c r="B461" s="96" t="s">
        <v>1741</v>
      </c>
      <c r="C461" s="96" t="s">
        <v>588</v>
      </c>
      <c r="D461" s="96" t="s">
        <v>2416</v>
      </c>
      <c r="E461" s="96" t="s">
        <v>1849</v>
      </c>
      <c r="F461" s="115" t="n">
        <v>10000</v>
      </c>
      <c r="G461" s="96" t="s">
        <v>2404</v>
      </c>
      <c r="H461" s="116"/>
      <c r="I461" s="117" t="s">
        <v>1819</v>
      </c>
    </row>
    <row r="462" customFormat="false" ht="15" hidden="false" customHeight="true" outlineLevel="0" collapsed="false">
      <c r="A462" s="96" t="s">
        <v>1816</v>
      </c>
      <c r="B462" s="96" t="s">
        <v>1741</v>
      </c>
      <c r="C462" s="96" t="s">
        <v>595</v>
      </c>
      <c r="D462" s="96" t="s">
        <v>2417</v>
      </c>
      <c r="E462" s="96" t="s">
        <v>2418</v>
      </c>
      <c r="F462" s="115" t="n">
        <v>10000</v>
      </c>
      <c r="G462" s="96" t="s">
        <v>2419</v>
      </c>
      <c r="H462" s="116"/>
      <c r="I462" s="117" t="s">
        <v>1819</v>
      </c>
    </row>
    <row r="463" customFormat="false" ht="15" hidden="false" customHeight="true" outlineLevel="0" collapsed="false">
      <c r="A463" s="96" t="s">
        <v>1816</v>
      </c>
      <c r="B463" s="96" t="s">
        <v>1741</v>
      </c>
      <c r="C463" s="96" t="s">
        <v>588</v>
      </c>
      <c r="D463" s="96" t="s">
        <v>2420</v>
      </c>
      <c r="E463" s="96" t="s">
        <v>2196</v>
      </c>
      <c r="F463" s="115" t="n">
        <v>10000</v>
      </c>
      <c r="G463" s="96" t="s">
        <v>2395</v>
      </c>
      <c r="H463" s="116"/>
      <c r="I463" s="117" t="s">
        <v>1819</v>
      </c>
    </row>
    <row r="464" customFormat="false" ht="15" hidden="false" customHeight="true" outlineLevel="0" collapsed="false">
      <c r="A464" s="96" t="s">
        <v>1816</v>
      </c>
      <c r="B464" s="96" t="s">
        <v>1741</v>
      </c>
      <c r="C464" s="96" t="s">
        <v>602</v>
      </c>
      <c r="D464" s="96" t="s">
        <v>326</v>
      </c>
      <c r="E464" s="96" t="s">
        <v>1912</v>
      </c>
      <c r="F464" s="115" t="n">
        <v>10000</v>
      </c>
      <c r="G464" s="96" t="s">
        <v>2421</v>
      </c>
      <c r="H464" s="116"/>
      <c r="I464" s="117" t="s">
        <v>1819</v>
      </c>
    </row>
    <row r="465" customFormat="false" ht="15" hidden="false" customHeight="true" outlineLevel="0" collapsed="false">
      <c r="A465" s="96" t="s">
        <v>1816</v>
      </c>
      <c r="B465" s="96" t="s">
        <v>1741</v>
      </c>
      <c r="C465" s="96" t="s">
        <v>595</v>
      </c>
      <c r="D465" s="96" t="s">
        <v>2422</v>
      </c>
      <c r="E465" s="96" t="s">
        <v>2423</v>
      </c>
      <c r="F465" s="115" t="n">
        <v>10000</v>
      </c>
      <c r="G465" s="96" t="s">
        <v>417</v>
      </c>
      <c r="H465" s="116"/>
      <c r="I465" s="117" t="s">
        <v>1819</v>
      </c>
    </row>
    <row r="466" customFormat="false" ht="15" hidden="false" customHeight="true" outlineLevel="0" collapsed="false">
      <c r="A466" s="96" t="s">
        <v>1816</v>
      </c>
      <c r="B466" s="96" t="s">
        <v>1741</v>
      </c>
      <c r="C466" s="96" t="s">
        <v>602</v>
      </c>
      <c r="D466" s="96" t="s">
        <v>2424</v>
      </c>
      <c r="E466" s="96" t="s">
        <v>1936</v>
      </c>
      <c r="F466" s="115" t="n">
        <v>10000</v>
      </c>
      <c r="G466" s="96" t="s">
        <v>568</v>
      </c>
      <c r="H466" s="116"/>
      <c r="I466" s="117" t="s">
        <v>1819</v>
      </c>
    </row>
    <row r="467" customFormat="false" ht="15" hidden="false" customHeight="true" outlineLevel="0" collapsed="false">
      <c r="A467" s="96" t="s">
        <v>1816</v>
      </c>
      <c r="B467" s="96" t="s">
        <v>1741</v>
      </c>
      <c r="C467" s="96" t="s">
        <v>602</v>
      </c>
      <c r="D467" s="96" t="s">
        <v>528</v>
      </c>
      <c r="E467" s="96" t="s">
        <v>2133</v>
      </c>
      <c r="F467" s="115" t="n">
        <v>8000</v>
      </c>
      <c r="G467" s="96" t="s">
        <v>422</v>
      </c>
      <c r="H467" s="116"/>
      <c r="I467" s="117" t="s">
        <v>1819</v>
      </c>
    </row>
    <row r="468" customFormat="false" ht="15" hidden="false" customHeight="true" outlineLevel="0" collapsed="false">
      <c r="A468" s="96" t="s">
        <v>1816</v>
      </c>
      <c r="B468" s="96" t="s">
        <v>1741</v>
      </c>
      <c r="C468" s="96" t="s">
        <v>602</v>
      </c>
      <c r="D468" s="96" t="s">
        <v>2425</v>
      </c>
      <c r="E468" s="96" t="s">
        <v>2108</v>
      </c>
      <c r="F468" s="115" t="n">
        <v>7500</v>
      </c>
      <c r="G468" s="96" t="s">
        <v>483</v>
      </c>
      <c r="H468" s="116"/>
      <c r="I468" s="117" t="s">
        <v>1819</v>
      </c>
    </row>
    <row r="469" customFormat="false" ht="15" hidden="false" customHeight="true" outlineLevel="0" collapsed="false">
      <c r="A469" s="96" t="s">
        <v>1816</v>
      </c>
      <c r="B469" s="96" t="s">
        <v>1741</v>
      </c>
      <c r="C469" s="96" t="s">
        <v>602</v>
      </c>
      <c r="D469" s="96" t="s">
        <v>1268</v>
      </c>
      <c r="E469" s="96" t="s">
        <v>2426</v>
      </c>
      <c r="F469" s="115" t="n">
        <v>5000</v>
      </c>
      <c r="G469" s="96" t="s">
        <v>2427</v>
      </c>
      <c r="H469" s="116"/>
      <c r="I469" s="117" t="s">
        <v>1819</v>
      </c>
    </row>
    <row r="470" customFormat="false" ht="15" hidden="false" customHeight="true" outlineLevel="0" collapsed="false">
      <c r="A470" s="96" t="s">
        <v>1816</v>
      </c>
      <c r="B470" s="96" t="s">
        <v>1741</v>
      </c>
      <c r="C470" s="96" t="s">
        <v>595</v>
      </c>
      <c r="D470" s="96" t="s">
        <v>2428</v>
      </c>
      <c r="E470" s="96" t="s">
        <v>2429</v>
      </c>
      <c r="F470" s="115" t="n">
        <v>5000</v>
      </c>
      <c r="G470" s="96" t="s">
        <v>542</v>
      </c>
      <c r="H470" s="116"/>
      <c r="I470" s="117" t="s">
        <v>1819</v>
      </c>
    </row>
    <row r="471" customFormat="false" ht="15" hidden="false" customHeight="true" outlineLevel="0" collapsed="false">
      <c r="A471" s="96" t="s">
        <v>1816</v>
      </c>
      <c r="B471" s="96" t="s">
        <v>1741</v>
      </c>
      <c r="C471" s="96" t="s">
        <v>595</v>
      </c>
      <c r="D471" s="96" t="s">
        <v>2107</v>
      </c>
      <c r="E471" s="96" t="s">
        <v>2108</v>
      </c>
      <c r="F471" s="115" t="n">
        <v>5000</v>
      </c>
      <c r="G471" s="96" t="s">
        <v>483</v>
      </c>
      <c r="H471" s="116"/>
      <c r="I471" s="117" t="s">
        <v>1819</v>
      </c>
    </row>
    <row r="472" customFormat="false" ht="15" hidden="false" customHeight="true" outlineLevel="0" collapsed="false">
      <c r="A472" s="96" t="s">
        <v>1816</v>
      </c>
      <c r="B472" s="96" t="s">
        <v>1741</v>
      </c>
      <c r="C472" s="96" t="s">
        <v>602</v>
      </c>
      <c r="D472" s="96" t="s">
        <v>2430</v>
      </c>
      <c r="E472" s="96" t="s">
        <v>2431</v>
      </c>
      <c r="F472" s="115" t="n">
        <v>5000</v>
      </c>
      <c r="G472" s="96" t="s">
        <v>2432</v>
      </c>
      <c r="H472" s="116"/>
      <c r="I472" s="117" t="s">
        <v>1819</v>
      </c>
    </row>
    <row r="473" customFormat="false" ht="15" hidden="false" customHeight="true" outlineLevel="0" collapsed="false">
      <c r="A473" s="96" t="s">
        <v>1816</v>
      </c>
      <c r="B473" s="96" t="s">
        <v>1741</v>
      </c>
      <c r="C473" s="96" t="s">
        <v>602</v>
      </c>
      <c r="D473" s="96" t="s">
        <v>1183</v>
      </c>
      <c r="E473" s="96" t="s">
        <v>2412</v>
      </c>
      <c r="F473" s="115" t="n">
        <v>5000</v>
      </c>
      <c r="G473" s="96" t="s">
        <v>2413</v>
      </c>
      <c r="H473" s="116"/>
      <c r="I473" s="117" t="s">
        <v>1819</v>
      </c>
    </row>
    <row r="474" customFormat="false" ht="15" hidden="false" customHeight="true" outlineLevel="0" collapsed="false">
      <c r="A474" s="96" t="s">
        <v>1816</v>
      </c>
      <c r="B474" s="96" t="s">
        <v>1741</v>
      </c>
      <c r="C474" s="96" t="s">
        <v>595</v>
      </c>
      <c r="D474" s="96" t="s">
        <v>2433</v>
      </c>
      <c r="E474" s="96" t="s">
        <v>2434</v>
      </c>
      <c r="F474" s="115" t="n">
        <v>5000</v>
      </c>
      <c r="G474" s="96" t="s">
        <v>547</v>
      </c>
      <c r="H474" s="116"/>
      <c r="I474" s="117" t="s">
        <v>1819</v>
      </c>
    </row>
    <row r="475" customFormat="false" ht="15" hidden="false" customHeight="true" outlineLevel="0" collapsed="false">
      <c r="A475" s="96" t="s">
        <v>1816</v>
      </c>
      <c r="B475" s="96" t="s">
        <v>1741</v>
      </c>
      <c r="C475" s="96" t="s">
        <v>588</v>
      </c>
      <c r="D475" s="96" t="s">
        <v>2435</v>
      </c>
      <c r="E475" s="96" t="s">
        <v>2176</v>
      </c>
      <c r="F475" s="115" t="n">
        <v>5000</v>
      </c>
      <c r="G475" s="96" t="s">
        <v>487</v>
      </c>
      <c r="H475" s="116"/>
      <c r="I475" s="117" t="s">
        <v>1819</v>
      </c>
    </row>
    <row r="476" customFormat="false" ht="15" hidden="false" customHeight="true" outlineLevel="0" collapsed="false">
      <c r="A476" s="96" t="s">
        <v>1816</v>
      </c>
      <c r="B476" s="96" t="s">
        <v>1741</v>
      </c>
      <c r="C476" s="96" t="s">
        <v>602</v>
      </c>
      <c r="D476" s="96" t="s">
        <v>1151</v>
      </c>
      <c r="E476" s="96" t="s">
        <v>2184</v>
      </c>
      <c r="F476" s="115" t="n">
        <v>5000</v>
      </c>
      <c r="G476" s="96" t="s">
        <v>2419</v>
      </c>
      <c r="H476" s="116"/>
      <c r="I476" s="117" t="s">
        <v>1819</v>
      </c>
    </row>
    <row r="477" customFormat="false" ht="15" hidden="false" customHeight="true" outlineLevel="0" collapsed="false">
      <c r="A477" s="96" t="s">
        <v>1816</v>
      </c>
      <c r="B477" s="96" t="s">
        <v>1741</v>
      </c>
      <c r="C477" s="96" t="s">
        <v>602</v>
      </c>
      <c r="D477" s="96" t="s">
        <v>1272</v>
      </c>
      <c r="E477" s="96" t="s">
        <v>2436</v>
      </c>
      <c r="F477" s="115" t="n">
        <v>5000</v>
      </c>
      <c r="G477" s="96" t="s">
        <v>2400</v>
      </c>
      <c r="H477" s="116"/>
      <c r="I477" s="117" t="s">
        <v>1819</v>
      </c>
    </row>
    <row r="478" customFormat="false" ht="15" hidden="false" customHeight="true" outlineLevel="0" collapsed="false">
      <c r="A478" s="96" t="s">
        <v>1816</v>
      </c>
      <c r="B478" s="96" t="s">
        <v>1741</v>
      </c>
      <c r="C478" s="96" t="s">
        <v>588</v>
      </c>
      <c r="D478" s="96" t="s">
        <v>1212</v>
      </c>
      <c r="E478" s="96" t="s">
        <v>2191</v>
      </c>
      <c r="F478" s="115" t="n">
        <v>5000</v>
      </c>
      <c r="G478" s="96" t="s">
        <v>2437</v>
      </c>
      <c r="H478" s="116"/>
      <c r="I478" s="117" t="s">
        <v>1819</v>
      </c>
    </row>
    <row r="479" customFormat="false" ht="15" hidden="false" customHeight="true" outlineLevel="0" collapsed="false">
      <c r="A479" s="96" t="s">
        <v>1816</v>
      </c>
      <c r="B479" s="96" t="s">
        <v>1741</v>
      </c>
      <c r="C479" s="96" t="s">
        <v>602</v>
      </c>
      <c r="D479" s="96" t="s">
        <v>293</v>
      </c>
      <c r="E479" s="96" t="s">
        <v>2438</v>
      </c>
      <c r="F479" s="115" t="n">
        <v>5000</v>
      </c>
      <c r="G479" s="96" t="s">
        <v>2439</v>
      </c>
      <c r="H479" s="116"/>
      <c r="I479" s="117" t="s">
        <v>1819</v>
      </c>
    </row>
    <row r="480" customFormat="false" ht="15" hidden="false" customHeight="true" outlineLevel="0" collapsed="false">
      <c r="A480" s="96" t="s">
        <v>1816</v>
      </c>
      <c r="B480" s="96" t="s">
        <v>1741</v>
      </c>
      <c r="C480" s="96" t="s">
        <v>595</v>
      </c>
      <c r="D480" s="96" t="s">
        <v>2440</v>
      </c>
      <c r="E480" s="96" t="s">
        <v>2441</v>
      </c>
      <c r="F480" s="115" t="n">
        <v>5000</v>
      </c>
      <c r="G480" s="96" t="s">
        <v>417</v>
      </c>
      <c r="H480" s="116"/>
      <c r="I480" s="117" t="s">
        <v>1819</v>
      </c>
    </row>
    <row r="481" customFormat="false" ht="15" hidden="false" customHeight="true" outlineLevel="0" collapsed="false">
      <c r="A481" s="96" t="s">
        <v>1816</v>
      </c>
      <c r="B481" s="96" t="s">
        <v>1741</v>
      </c>
      <c r="C481" s="96" t="s">
        <v>602</v>
      </c>
      <c r="D481" s="96" t="s">
        <v>2442</v>
      </c>
      <c r="E481" s="96" t="s">
        <v>2441</v>
      </c>
      <c r="F481" s="115" t="n">
        <v>5000</v>
      </c>
      <c r="G481" s="96" t="s">
        <v>417</v>
      </c>
      <c r="H481" s="116"/>
      <c r="I481" s="117" t="s">
        <v>1819</v>
      </c>
    </row>
    <row r="482" customFormat="false" ht="15" hidden="false" customHeight="true" outlineLevel="0" collapsed="false">
      <c r="A482" s="96" t="s">
        <v>1816</v>
      </c>
      <c r="B482" s="96" t="s">
        <v>1741</v>
      </c>
      <c r="C482" s="96" t="s">
        <v>595</v>
      </c>
      <c r="D482" s="96" t="s">
        <v>2443</v>
      </c>
      <c r="E482" s="96" t="s">
        <v>2423</v>
      </c>
      <c r="F482" s="115" t="n">
        <v>5000</v>
      </c>
      <c r="G482" s="96" t="s">
        <v>417</v>
      </c>
      <c r="H482" s="116"/>
      <c r="I482" s="117" t="s">
        <v>1819</v>
      </c>
    </row>
    <row r="483" customFormat="false" ht="15" hidden="false" customHeight="true" outlineLevel="0" collapsed="false">
      <c r="A483" s="96" t="s">
        <v>1816</v>
      </c>
      <c r="B483" s="96" t="s">
        <v>1741</v>
      </c>
      <c r="C483" s="96" t="s">
        <v>595</v>
      </c>
      <c r="D483" s="96" t="s">
        <v>2444</v>
      </c>
      <c r="E483" s="96" t="s">
        <v>2445</v>
      </c>
      <c r="F483" s="115" t="n">
        <v>5000</v>
      </c>
      <c r="G483" s="96" t="s">
        <v>554</v>
      </c>
      <c r="H483" s="116"/>
      <c r="I483" s="117" t="s">
        <v>1819</v>
      </c>
    </row>
    <row r="484" customFormat="false" ht="15" hidden="false" customHeight="true" outlineLevel="0" collapsed="false">
      <c r="A484" s="96" t="s">
        <v>1816</v>
      </c>
      <c r="B484" s="96" t="s">
        <v>1741</v>
      </c>
      <c r="C484" s="96" t="s">
        <v>595</v>
      </c>
      <c r="D484" s="96" t="s">
        <v>2446</v>
      </c>
      <c r="E484" s="96" t="s">
        <v>2447</v>
      </c>
      <c r="F484" s="115" t="n">
        <v>5000</v>
      </c>
      <c r="G484" s="96" t="s">
        <v>558</v>
      </c>
      <c r="H484" s="116"/>
      <c r="I484" s="117" t="s">
        <v>1819</v>
      </c>
    </row>
    <row r="485" customFormat="false" ht="15" hidden="false" customHeight="true" outlineLevel="0" collapsed="false">
      <c r="A485" s="96" t="s">
        <v>1816</v>
      </c>
      <c r="B485" s="96" t="s">
        <v>1741</v>
      </c>
      <c r="C485" s="96" t="s">
        <v>588</v>
      </c>
      <c r="D485" s="96" t="s">
        <v>2448</v>
      </c>
      <c r="E485" s="96" t="s">
        <v>2213</v>
      </c>
      <c r="F485" s="115" t="n">
        <v>5000</v>
      </c>
      <c r="G485" s="96" t="s">
        <v>422</v>
      </c>
      <c r="H485" s="116"/>
      <c r="I485" s="117" t="s">
        <v>1819</v>
      </c>
    </row>
    <row r="486" customFormat="false" ht="15" hidden="false" customHeight="true" outlineLevel="0" collapsed="false">
      <c r="A486" s="96" t="s">
        <v>1816</v>
      </c>
      <c r="B486" s="96" t="s">
        <v>1741</v>
      </c>
      <c r="C486" s="96" t="s">
        <v>595</v>
      </c>
      <c r="D486" s="96" t="s">
        <v>2449</v>
      </c>
      <c r="E486" s="96" t="s">
        <v>2450</v>
      </c>
      <c r="F486" s="115" t="n">
        <v>5000</v>
      </c>
      <c r="G486" s="96" t="s">
        <v>422</v>
      </c>
      <c r="H486" s="116"/>
      <c r="I486" s="117" t="s">
        <v>1819</v>
      </c>
    </row>
    <row r="487" customFormat="false" ht="15" hidden="false" customHeight="true" outlineLevel="0" collapsed="false">
      <c r="A487" s="96" t="s">
        <v>1816</v>
      </c>
      <c r="B487" s="96" t="s">
        <v>1741</v>
      </c>
      <c r="C487" s="96" t="s">
        <v>602</v>
      </c>
      <c r="D487" s="96" t="s">
        <v>989</v>
      </c>
      <c r="E487" s="96" t="s">
        <v>2451</v>
      </c>
      <c r="F487" s="115" t="n">
        <v>5000</v>
      </c>
      <c r="G487" s="96" t="s">
        <v>2452</v>
      </c>
      <c r="H487" s="116"/>
      <c r="I487" s="117" t="s">
        <v>1819</v>
      </c>
    </row>
    <row r="488" customFormat="false" ht="15" hidden="false" customHeight="true" outlineLevel="0" collapsed="false">
      <c r="A488" s="96" t="s">
        <v>1816</v>
      </c>
      <c r="B488" s="96" t="s">
        <v>1741</v>
      </c>
      <c r="C488" s="96" t="s">
        <v>595</v>
      </c>
      <c r="D488" s="96" t="s">
        <v>2453</v>
      </c>
      <c r="E488" s="96" t="s">
        <v>2454</v>
      </c>
      <c r="F488" s="115" t="n">
        <v>5000</v>
      </c>
      <c r="G488" s="96" t="s">
        <v>565</v>
      </c>
      <c r="H488" s="116"/>
      <c r="I488" s="117" t="s">
        <v>1819</v>
      </c>
    </row>
    <row r="489" customFormat="false" ht="15" hidden="false" customHeight="true" outlineLevel="0" collapsed="false">
      <c r="A489" s="96" t="s">
        <v>1816</v>
      </c>
      <c r="B489" s="96" t="s">
        <v>1741</v>
      </c>
      <c r="C489" s="96" t="s">
        <v>595</v>
      </c>
      <c r="D489" s="96" t="s">
        <v>2455</v>
      </c>
      <c r="E489" s="96" t="s">
        <v>1936</v>
      </c>
      <c r="F489" s="115" t="n">
        <v>5000</v>
      </c>
      <c r="G489" s="96" t="s">
        <v>568</v>
      </c>
      <c r="H489" s="116"/>
      <c r="I489" s="117" t="s">
        <v>1819</v>
      </c>
    </row>
    <row r="490" customFormat="false" ht="15" hidden="false" customHeight="true" outlineLevel="0" collapsed="false">
      <c r="A490" s="96" t="s">
        <v>1816</v>
      </c>
      <c r="B490" s="96" t="s">
        <v>1741</v>
      </c>
      <c r="C490" s="96" t="s">
        <v>588</v>
      </c>
      <c r="D490" s="96" t="s">
        <v>2456</v>
      </c>
      <c r="E490" s="96" t="s">
        <v>2234</v>
      </c>
      <c r="F490" s="115" t="n">
        <v>5000</v>
      </c>
      <c r="G490" s="96" t="s">
        <v>2457</v>
      </c>
      <c r="H490" s="116"/>
      <c r="I490" s="117" t="s">
        <v>1819</v>
      </c>
    </row>
    <row r="491" customFormat="false" ht="15" hidden="false" customHeight="true" outlineLevel="0" collapsed="false">
      <c r="A491" s="96" t="s">
        <v>2458</v>
      </c>
      <c r="B491" s="96" t="s">
        <v>2459</v>
      </c>
      <c r="C491" s="96" t="s">
        <v>2460</v>
      </c>
      <c r="D491" s="96" t="s">
        <v>2461</v>
      </c>
      <c r="E491" s="96" t="s">
        <v>2462</v>
      </c>
      <c r="F491" s="115" t="n">
        <v>40000</v>
      </c>
      <c r="G491" s="96" t="s">
        <v>223</v>
      </c>
      <c r="H491" s="116"/>
      <c r="I491" s="117" t="s">
        <v>1819</v>
      </c>
    </row>
    <row r="492" customFormat="false" ht="15" hidden="false" customHeight="true" outlineLevel="0" collapsed="false">
      <c r="A492" s="118" t="s">
        <v>2458</v>
      </c>
      <c r="B492" s="118" t="s">
        <v>2459</v>
      </c>
      <c r="C492" s="118" t="s">
        <v>2463</v>
      </c>
      <c r="D492" s="118" t="s">
        <v>1121</v>
      </c>
      <c r="E492" s="118" t="s">
        <v>1120</v>
      </c>
      <c r="F492" s="119" t="n">
        <v>15000</v>
      </c>
      <c r="G492" s="118" t="s">
        <v>433</v>
      </c>
      <c r="H492" s="120" t="s">
        <v>2464</v>
      </c>
      <c r="I492" s="117" t="s">
        <v>1819</v>
      </c>
    </row>
    <row r="493" customFormat="false" ht="15" hidden="false" customHeight="true" outlineLevel="0" collapsed="false">
      <c r="A493" s="118" t="s">
        <v>2458</v>
      </c>
      <c r="B493" s="118" t="s">
        <v>2459</v>
      </c>
      <c r="C493" s="118" t="s">
        <v>2460</v>
      </c>
      <c r="D493" s="118" t="s">
        <v>1121</v>
      </c>
      <c r="E493" s="118" t="s">
        <v>1120</v>
      </c>
      <c r="F493" s="119" t="n">
        <v>10000</v>
      </c>
      <c r="G493" s="118" t="s">
        <v>433</v>
      </c>
      <c r="H493" s="120" t="s">
        <v>2464</v>
      </c>
      <c r="I493" s="117" t="s">
        <v>1819</v>
      </c>
    </row>
    <row r="494" customFormat="false" ht="15" hidden="false" customHeight="true" outlineLevel="0" collapsed="false">
      <c r="A494" s="118" t="s">
        <v>2458</v>
      </c>
      <c r="B494" s="118" t="s">
        <v>1736</v>
      </c>
      <c r="C494" s="118" t="s">
        <v>2460</v>
      </c>
      <c r="D494" s="118" t="s">
        <v>2465</v>
      </c>
      <c r="E494" s="118" t="s">
        <v>2462</v>
      </c>
      <c r="F494" s="119" t="n">
        <v>15000</v>
      </c>
      <c r="G494" s="118" t="s">
        <v>2085</v>
      </c>
      <c r="H494" s="120" t="s">
        <v>2464</v>
      </c>
      <c r="I494" s="117" t="s">
        <v>1819</v>
      </c>
    </row>
    <row r="495" customFormat="false" ht="15" hidden="false" customHeight="true" outlineLevel="0" collapsed="false">
      <c r="A495" s="96" t="s">
        <v>2458</v>
      </c>
      <c r="B495" s="96" t="s">
        <v>1741</v>
      </c>
      <c r="C495" s="96" t="s">
        <v>2466</v>
      </c>
      <c r="D495" s="96" t="s">
        <v>2467</v>
      </c>
      <c r="E495" s="96" t="s">
        <v>1849</v>
      </c>
      <c r="F495" s="115" t="n">
        <v>7000</v>
      </c>
      <c r="G495" s="96" t="s">
        <v>2404</v>
      </c>
      <c r="H495" s="116"/>
      <c r="I495" s="117" t="s">
        <v>1819</v>
      </c>
    </row>
    <row r="496" customFormat="false" ht="15" hidden="false" customHeight="true" outlineLevel="0" collapsed="false">
      <c r="A496" s="118" t="s">
        <v>2458</v>
      </c>
      <c r="B496" s="118" t="s">
        <v>1741</v>
      </c>
      <c r="C496" s="118" t="s">
        <v>2460</v>
      </c>
      <c r="D496" s="118" t="s">
        <v>2468</v>
      </c>
      <c r="E496" s="118" t="s">
        <v>2462</v>
      </c>
      <c r="F496" s="119" t="n">
        <v>5000</v>
      </c>
      <c r="G496" s="118" t="s">
        <v>2437</v>
      </c>
      <c r="H496" s="120" t="s">
        <v>2464</v>
      </c>
      <c r="I496" s="117" t="s">
        <v>1819</v>
      </c>
    </row>
    <row r="497" customFormat="false" ht="15" hidden="false" customHeight="true" outlineLevel="0" collapsed="false">
      <c r="A497" s="96" t="s">
        <v>1186</v>
      </c>
      <c r="B497" s="96" t="s">
        <v>2469</v>
      </c>
      <c r="C497" s="96" t="s">
        <v>1186</v>
      </c>
      <c r="D497" s="96" t="s">
        <v>2470</v>
      </c>
      <c r="E497" s="96" t="s">
        <v>1923</v>
      </c>
      <c r="F497" s="115" t="n">
        <v>20000</v>
      </c>
      <c r="G497" s="96" t="s">
        <v>2471</v>
      </c>
      <c r="H497" s="116"/>
      <c r="I497" s="117" t="s">
        <v>1819</v>
      </c>
    </row>
    <row r="498" customFormat="false" ht="15" hidden="false" customHeight="true" outlineLevel="0" collapsed="false">
      <c r="A498" s="96" t="s">
        <v>1186</v>
      </c>
      <c r="B498" s="96" t="s">
        <v>2469</v>
      </c>
      <c r="C498" s="96" t="s">
        <v>1186</v>
      </c>
      <c r="D498" s="96" t="s">
        <v>404</v>
      </c>
      <c r="E498" s="96" t="s">
        <v>2108</v>
      </c>
      <c r="F498" s="115" t="n">
        <v>15000</v>
      </c>
      <c r="G498" s="96" t="s">
        <v>2472</v>
      </c>
      <c r="H498" s="116"/>
      <c r="I498" s="117" t="s">
        <v>1819</v>
      </c>
    </row>
    <row r="499" customFormat="false" ht="15" hidden="false" customHeight="true" outlineLevel="0" collapsed="false">
      <c r="A499" s="96" t="s">
        <v>1186</v>
      </c>
      <c r="B499" s="96" t="s">
        <v>2469</v>
      </c>
      <c r="C499" s="96" t="s">
        <v>1186</v>
      </c>
      <c r="D499" s="96" t="s">
        <v>1185</v>
      </c>
      <c r="E499" s="96" t="s">
        <v>2473</v>
      </c>
      <c r="F499" s="115" t="n">
        <v>15000</v>
      </c>
      <c r="G499" s="96" t="s">
        <v>2474</v>
      </c>
      <c r="H499" s="116"/>
      <c r="I499" s="117" t="s">
        <v>1819</v>
      </c>
    </row>
    <row r="500" customFormat="false" ht="15" hidden="false" customHeight="true" outlineLevel="0" collapsed="false">
      <c r="A500" s="96" t="s">
        <v>1186</v>
      </c>
      <c r="B500" s="96" t="s">
        <v>2469</v>
      </c>
      <c r="C500" s="96" t="s">
        <v>1186</v>
      </c>
      <c r="D500" s="96" t="s">
        <v>718</v>
      </c>
      <c r="E500" s="96" t="s">
        <v>2230</v>
      </c>
      <c r="F500" s="115" t="n">
        <v>13000</v>
      </c>
      <c r="G500" s="96" t="s">
        <v>2475</v>
      </c>
      <c r="H500" s="116"/>
      <c r="I500" s="117" t="s">
        <v>1819</v>
      </c>
    </row>
    <row r="501" customFormat="false" ht="15" hidden="false" customHeight="true" outlineLevel="0" collapsed="false">
      <c r="A501" s="96" t="s">
        <v>1186</v>
      </c>
      <c r="B501" s="96" t="s">
        <v>2469</v>
      </c>
      <c r="C501" s="96" t="s">
        <v>1186</v>
      </c>
      <c r="D501" s="96" t="s">
        <v>183</v>
      </c>
      <c r="E501" s="96" t="s">
        <v>2476</v>
      </c>
      <c r="F501" s="115" t="n">
        <v>10000</v>
      </c>
      <c r="G501" s="96" t="s">
        <v>2471</v>
      </c>
      <c r="H501" s="116"/>
      <c r="I501" s="117" t="s">
        <v>1819</v>
      </c>
    </row>
    <row r="502" customFormat="false" ht="15" hidden="false" customHeight="true" outlineLevel="0" collapsed="false">
      <c r="A502" s="96" t="s">
        <v>1186</v>
      </c>
      <c r="B502" s="96" t="s">
        <v>2469</v>
      </c>
      <c r="C502" s="96" t="s">
        <v>1186</v>
      </c>
      <c r="D502" s="96" t="s">
        <v>1127</v>
      </c>
      <c r="E502" s="96" t="s">
        <v>2155</v>
      </c>
      <c r="F502" s="115" t="n">
        <v>10000</v>
      </c>
      <c r="G502" s="96" t="s">
        <v>2471</v>
      </c>
      <c r="H502" s="116"/>
      <c r="I502" s="117" t="s">
        <v>1819</v>
      </c>
    </row>
    <row r="503" customFormat="false" ht="15" hidden="false" customHeight="true" outlineLevel="0" collapsed="false">
      <c r="A503" s="96" t="s">
        <v>1186</v>
      </c>
      <c r="B503" s="96" t="s">
        <v>2469</v>
      </c>
      <c r="C503" s="96" t="s">
        <v>1186</v>
      </c>
      <c r="D503" s="96" t="s">
        <v>2477</v>
      </c>
      <c r="E503" s="96" t="s">
        <v>2155</v>
      </c>
      <c r="F503" s="115" t="n">
        <v>10000</v>
      </c>
      <c r="G503" s="96" t="s">
        <v>2471</v>
      </c>
      <c r="H503" s="116"/>
      <c r="I503" s="117" t="s">
        <v>1819</v>
      </c>
    </row>
    <row r="504" customFormat="false" ht="15" hidden="false" customHeight="true" outlineLevel="0" collapsed="false">
      <c r="A504" s="96" t="s">
        <v>1186</v>
      </c>
      <c r="B504" s="96" t="s">
        <v>2469</v>
      </c>
      <c r="C504" s="96" t="s">
        <v>1186</v>
      </c>
      <c r="D504" s="96" t="s">
        <v>380</v>
      </c>
      <c r="E504" s="96" t="s">
        <v>1899</v>
      </c>
      <c r="F504" s="115" t="n">
        <v>10000</v>
      </c>
      <c r="G504" s="96" t="s">
        <v>2478</v>
      </c>
      <c r="H504" s="116"/>
      <c r="I504" s="117" t="s">
        <v>1819</v>
      </c>
    </row>
    <row r="505" customFormat="false" ht="15" hidden="false" customHeight="true" outlineLevel="0" collapsed="false">
      <c r="A505" s="96" t="s">
        <v>1186</v>
      </c>
      <c r="B505" s="96" t="s">
        <v>2469</v>
      </c>
      <c r="C505" s="96" t="s">
        <v>1186</v>
      </c>
      <c r="D505" s="96" t="s">
        <v>326</v>
      </c>
      <c r="E505" s="96" t="s">
        <v>1912</v>
      </c>
      <c r="F505" s="115" t="n">
        <v>9000</v>
      </c>
      <c r="G505" s="96" t="s">
        <v>2474</v>
      </c>
      <c r="H505" s="116"/>
      <c r="I505" s="117" t="s">
        <v>1819</v>
      </c>
    </row>
    <row r="506" customFormat="false" ht="15" hidden="false" customHeight="true" outlineLevel="0" collapsed="false">
      <c r="A506" s="96" t="s">
        <v>1186</v>
      </c>
      <c r="B506" s="96" t="s">
        <v>2469</v>
      </c>
      <c r="C506" s="96" t="s">
        <v>1186</v>
      </c>
      <c r="D506" s="96" t="s">
        <v>317</v>
      </c>
      <c r="E506" s="96" t="s">
        <v>2479</v>
      </c>
      <c r="F506" s="115" t="n">
        <v>5000</v>
      </c>
      <c r="G506" s="96" t="s">
        <v>2474</v>
      </c>
      <c r="H506" s="116"/>
      <c r="I506" s="117" t="s">
        <v>1819</v>
      </c>
    </row>
    <row r="507" customFormat="false" ht="15" hidden="false" customHeight="true" outlineLevel="0" collapsed="false">
      <c r="A507" s="96" t="s">
        <v>1186</v>
      </c>
      <c r="B507" s="96" t="s">
        <v>2469</v>
      </c>
      <c r="C507" s="96" t="s">
        <v>1186</v>
      </c>
      <c r="D507" s="96" t="s">
        <v>1188</v>
      </c>
      <c r="E507" s="96" t="s">
        <v>2213</v>
      </c>
      <c r="F507" s="115" t="n">
        <v>3000</v>
      </c>
      <c r="G507" s="96" t="s">
        <v>2480</v>
      </c>
      <c r="H507" s="116"/>
      <c r="I507" s="117" t="s">
        <v>1819</v>
      </c>
    </row>
    <row r="508" customFormat="false" ht="15" hidden="false" customHeight="true" outlineLevel="0" collapsed="false">
      <c r="A508" s="96" t="s">
        <v>84</v>
      </c>
      <c r="B508" s="96" t="s">
        <v>2481</v>
      </c>
      <c r="C508" s="96" t="s">
        <v>1782</v>
      </c>
      <c r="D508" s="96" t="s">
        <v>2482</v>
      </c>
      <c r="E508" s="96" t="s">
        <v>2062</v>
      </c>
      <c r="F508" s="115" t="n">
        <v>140000</v>
      </c>
      <c r="G508" s="96" t="s">
        <v>647</v>
      </c>
      <c r="H508" s="116"/>
      <c r="I508" s="117" t="s">
        <v>1819</v>
      </c>
    </row>
    <row r="509" customFormat="false" ht="15" hidden="false" customHeight="true" outlineLevel="0" collapsed="false">
      <c r="A509" s="96" t="s">
        <v>84</v>
      </c>
      <c r="B509" s="96" t="s">
        <v>2481</v>
      </c>
      <c r="C509" s="96" t="s">
        <v>595</v>
      </c>
      <c r="D509" s="96" t="s">
        <v>2483</v>
      </c>
      <c r="E509" s="96" t="s">
        <v>2077</v>
      </c>
      <c r="F509" s="115" t="n">
        <v>110000</v>
      </c>
      <c r="G509" s="96" t="s">
        <v>454</v>
      </c>
      <c r="H509" s="116"/>
      <c r="I509" s="117" t="s">
        <v>1819</v>
      </c>
    </row>
    <row r="510" customFormat="false" ht="15" hidden="false" customHeight="true" outlineLevel="0" collapsed="false">
      <c r="A510" s="96" t="s">
        <v>84</v>
      </c>
      <c r="B510" s="96" t="s">
        <v>2481</v>
      </c>
      <c r="C510" s="96" t="s">
        <v>602</v>
      </c>
      <c r="D510" s="96" t="s">
        <v>2484</v>
      </c>
      <c r="E510" s="96" t="s">
        <v>1931</v>
      </c>
      <c r="F510" s="115" t="n">
        <v>100000</v>
      </c>
      <c r="G510" s="96" t="s">
        <v>1795</v>
      </c>
      <c r="H510" s="116"/>
      <c r="I510" s="117" t="s">
        <v>1819</v>
      </c>
    </row>
    <row r="511" customFormat="false" ht="15" hidden="false" customHeight="true" outlineLevel="0" collapsed="false">
      <c r="A511" s="96" t="s">
        <v>84</v>
      </c>
      <c r="B511" s="96" t="s">
        <v>2481</v>
      </c>
      <c r="C511" s="96" t="s">
        <v>1186</v>
      </c>
      <c r="D511" s="96" t="s">
        <v>2485</v>
      </c>
      <c r="E511" s="96" t="s">
        <v>2125</v>
      </c>
      <c r="F511" s="115" t="n">
        <v>100000</v>
      </c>
      <c r="G511" s="96" t="s">
        <v>386</v>
      </c>
      <c r="H511" s="116"/>
      <c r="I511" s="117" t="s">
        <v>1819</v>
      </c>
    </row>
    <row r="512" customFormat="false" ht="15" hidden="false" customHeight="true" outlineLevel="0" collapsed="false">
      <c r="A512" s="96" t="s">
        <v>84</v>
      </c>
      <c r="B512" s="96" t="s">
        <v>2481</v>
      </c>
      <c r="C512" s="96" t="s">
        <v>1782</v>
      </c>
      <c r="D512" s="96" t="s">
        <v>2486</v>
      </c>
      <c r="E512" s="96" t="s">
        <v>1899</v>
      </c>
      <c r="F512" s="115" t="n">
        <v>50000</v>
      </c>
      <c r="G512" s="96" t="s">
        <v>382</v>
      </c>
      <c r="H512" s="116"/>
      <c r="I512" s="117" t="s">
        <v>1819</v>
      </c>
    </row>
    <row r="513" customFormat="false" ht="15" hidden="false" customHeight="true" outlineLevel="0" collapsed="false">
      <c r="A513" s="96" t="s">
        <v>84</v>
      </c>
      <c r="B513" s="96" t="s">
        <v>2481</v>
      </c>
      <c r="C513" s="96" t="s">
        <v>1778</v>
      </c>
      <c r="D513" s="96" t="s">
        <v>2487</v>
      </c>
      <c r="E513" s="96" t="s">
        <v>2074</v>
      </c>
      <c r="F513" s="115" t="n">
        <v>50000</v>
      </c>
      <c r="G513" s="96" t="s">
        <v>647</v>
      </c>
      <c r="H513" s="116"/>
      <c r="I513" s="117" t="s">
        <v>1819</v>
      </c>
    </row>
    <row r="514" customFormat="false" ht="15" hidden="false" customHeight="true" outlineLevel="0" collapsed="false">
      <c r="A514" s="96" t="s">
        <v>84</v>
      </c>
      <c r="B514" s="96" t="s">
        <v>2481</v>
      </c>
      <c r="C514" s="96" t="s">
        <v>595</v>
      </c>
      <c r="D514" s="96" t="s">
        <v>2488</v>
      </c>
      <c r="E514" s="96" t="s">
        <v>2489</v>
      </c>
      <c r="F514" s="115" t="n">
        <v>50000</v>
      </c>
      <c r="G514" s="96" t="s">
        <v>647</v>
      </c>
      <c r="H514" s="116"/>
      <c r="I514" s="117" t="s">
        <v>1819</v>
      </c>
    </row>
    <row r="515" customFormat="false" ht="15" hidden="false" customHeight="true" outlineLevel="0" collapsed="false">
      <c r="A515" s="96" t="s">
        <v>84</v>
      </c>
      <c r="B515" s="96" t="s">
        <v>2481</v>
      </c>
      <c r="C515" s="96" t="s">
        <v>1780</v>
      </c>
      <c r="D515" s="96" t="s">
        <v>2490</v>
      </c>
      <c r="E515" s="96" t="s">
        <v>2491</v>
      </c>
      <c r="F515" s="115" t="n">
        <v>45000</v>
      </c>
      <c r="G515" s="96" t="s">
        <v>1799</v>
      </c>
      <c r="H515" s="116"/>
      <c r="I515" s="117" t="s">
        <v>1819</v>
      </c>
    </row>
    <row r="516" customFormat="false" ht="15" hidden="false" customHeight="true" outlineLevel="0" collapsed="false">
      <c r="A516" s="96" t="s">
        <v>84</v>
      </c>
      <c r="B516" s="96" t="s">
        <v>2481</v>
      </c>
      <c r="C516" s="96" t="s">
        <v>595</v>
      </c>
      <c r="D516" s="96" t="s">
        <v>2492</v>
      </c>
      <c r="E516" s="96" t="s">
        <v>1849</v>
      </c>
      <c r="F516" s="115" t="n">
        <v>25000</v>
      </c>
      <c r="G516" s="96" t="s">
        <v>1793</v>
      </c>
      <c r="H516" s="116"/>
      <c r="I516" s="117" t="s">
        <v>1819</v>
      </c>
    </row>
    <row r="517" customFormat="false" ht="15" hidden="false" customHeight="true" outlineLevel="0" collapsed="false">
      <c r="A517" s="96" t="s">
        <v>84</v>
      </c>
      <c r="B517" s="96" t="s">
        <v>2493</v>
      </c>
      <c r="C517" s="96" t="s">
        <v>583</v>
      </c>
      <c r="D517" s="96" t="s">
        <v>1810</v>
      </c>
      <c r="E517" s="96" t="s">
        <v>1849</v>
      </c>
      <c r="F517" s="115" t="n">
        <v>15000</v>
      </c>
      <c r="G517" s="96" t="s">
        <v>1793</v>
      </c>
      <c r="H517" s="116"/>
      <c r="I517" s="117" t="s">
        <v>1819</v>
      </c>
    </row>
    <row r="518" customFormat="false" ht="15" hidden="false" customHeight="true" outlineLevel="0" collapsed="false">
      <c r="A518" s="96" t="s">
        <v>84</v>
      </c>
      <c r="B518" s="96" t="s">
        <v>2494</v>
      </c>
      <c r="C518" s="96" t="s">
        <v>595</v>
      </c>
      <c r="D518" s="96" t="s">
        <v>2495</v>
      </c>
      <c r="E518" s="96" t="s">
        <v>1907</v>
      </c>
      <c r="F518" s="115" t="n">
        <v>500000</v>
      </c>
      <c r="G518" s="96" t="s">
        <v>609</v>
      </c>
      <c r="H518" s="116"/>
      <c r="I518" s="117" t="s">
        <v>1819</v>
      </c>
    </row>
    <row r="519" customFormat="false" ht="15" hidden="false" customHeight="true" outlineLevel="0" collapsed="false">
      <c r="A519" s="96" t="s">
        <v>84</v>
      </c>
      <c r="B519" s="96" t="s">
        <v>2494</v>
      </c>
      <c r="C519" s="96" t="s">
        <v>1778</v>
      </c>
      <c r="D519" s="96" t="s">
        <v>2496</v>
      </c>
      <c r="E519" s="96" t="s">
        <v>1889</v>
      </c>
      <c r="F519" s="115" t="n">
        <v>260000</v>
      </c>
      <c r="G519" s="96" t="s">
        <v>618</v>
      </c>
      <c r="H519" s="116"/>
      <c r="I519" s="117" t="s">
        <v>1819</v>
      </c>
    </row>
    <row r="520" customFormat="false" ht="15" hidden="false" customHeight="true" outlineLevel="0" collapsed="false">
      <c r="A520" s="96" t="s">
        <v>84</v>
      </c>
      <c r="B520" s="96" t="s">
        <v>2493</v>
      </c>
      <c r="C520" s="96" t="s">
        <v>583</v>
      </c>
      <c r="D520" s="96" t="s">
        <v>2497</v>
      </c>
      <c r="E520" s="96" t="s">
        <v>2125</v>
      </c>
      <c r="F520" s="115" t="n">
        <v>250000</v>
      </c>
      <c r="G520" s="96" t="s">
        <v>616</v>
      </c>
      <c r="H520" s="116"/>
      <c r="I520" s="117" t="s">
        <v>1819</v>
      </c>
    </row>
    <row r="521" customFormat="false" ht="15" hidden="false" customHeight="true" outlineLevel="0" collapsed="false">
      <c r="A521" s="96" t="s">
        <v>84</v>
      </c>
      <c r="B521" s="96" t="s">
        <v>2494</v>
      </c>
      <c r="C521" s="96" t="s">
        <v>1780</v>
      </c>
      <c r="D521" s="96" t="s">
        <v>2498</v>
      </c>
      <c r="E521" s="96" t="s">
        <v>2062</v>
      </c>
      <c r="F521" s="115" t="n">
        <v>200000</v>
      </c>
      <c r="G521" s="96" t="s">
        <v>618</v>
      </c>
      <c r="H521" s="116"/>
      <c r="I521" s="117" t="s">
        <v>1819</v>
      </c>
    </row>
    <row r="522" customFormat="false" ht="15" hidden="false" customHeight="true" outlineLevel="0" collapsed="false">
      <c r="A522" s="96" t="s">
        <v>84</v>
      </c>
      <c r="B522" s="96" t="s">
        <v>2493</v>
      </c>
      <c r="C522" s="96" t="s">
        <v>583</v>
      </c>
      <c r="D522" s="96" t="s">
        <v>1805</v>
      </c>
      <c r="E522" s="96" t="s">
        <v>1889</v>
      </c>
      <c r="F522" s="115" t="n">
        <v>157880</v>
      </c>
      <c r="G522" s="96" t="s">
        <v>628</v>
      </c>
      <c r="H522" s="116"/>
      <c r="I522" s="117" t="s">
        <v>1819</v>
      </c>
    </row>
    <row r="523" customFormat="false" ht="15" hidden="false" customHeight="true" outlineLevel="0" collapsed="false">
      <c r="A523" s="96" t="s">
        <v>84</v>
      </c>
      <c r="B523" s="96" t="s">
        <v>2494</v>
      </c>
      <c r="C523" s="96" t="s">
        <v>1186</v>
      </c>
      <c r="D523" s="96" t="s">
        <v>2499</v>
      </c>
      <c r="E523" s="96" t="s">
        <v>1922</v>
      </c>
      <c r="F523" s="115" t="n">
        <v>75000</v>
      </c>
      <c r="G523" s="96" t="s">
        <v>1777</v>
      </c>
      <c r="H523" s="116"/>
      <c r="I523" s="117" t="s">
        <v>1819</v>
      </c>
    </row>
    <row r="524" customFormat="false" ht="15" hidden="false" customHeight="true" outlineLevel="0" collapsed="false">
      <c r="A524" s="99" t="s">
        <v>84</v>
      </c>
      <c r="B524" s="99" t="s">
        <v>2493</v>
      </c>
      <c r="C524" s="99" t="s">
        <v>2500</v>
      </c>
      <c r="D524" s="99" t="s">
        <v>1806</v>
      </c>
      <c r="E524" s="99" t="s">
        <v>2064</v>
      </c>
      <c r="F524" s="121" t="n">
        <v>75000</v>
      </c>
      <c r="G524" s="99" t="s">
        <v>618</v>
      </c>
      <c r="H524" s="122"/>
      <c r="I524" s="117" t="s">
        <v>1819</v>
      </c>
    </row>
    <row r="525" customFormat="false" ht="15" hidden="false" customHeight="true" outlineLevel="0" collapsed="false">
      <c r="A525" s="96" t="s">
        <v>84</v>
      </c>
      <c r="B525" s="96" t="s">
        <v>2494</v>
      </c>
      <c r="C525" s="96" t="s">
        <v>602</v>
      </c>
      <c r="D525" s="96" t="s">
        <v>142</v>
      </c>
      <c r="E525" s="96" t="s">
        <v>2122</v>
      </c>
      <c r="F525" s="115" t="n">
        <v>50000</v>
      </c>
      <c r="G525" s="96" t="s">
        <v>611</v>
      </c>
      <c r="H525" s="116"/>
      <c r="I525" s="117" t="s">
        <v>1819</v>
      </c>
    </row>
    <row r="526" customFormat="false" ht="15" hidden="false" customHeight="true" outlineLevel="0" collapsed="false">
      <c r="A526" s="96" t="s">
        <v>84</v>
      </c>
      <c r="B526" s="96" t="s">
        <v>2494</v>
      </c>
      <c r="C526" s="96" t="s">
        <v>595</v>
      </c>
      <c r="D526" s="96" t="s">
        <v>2501</v>
      </c>
      <c r="E526" s="96" t="s">
        <v>2502</v>
      </c>
      <c r="F526" s="115" t="n">
        <v>50000</v>
      </c>
      <c r="G526" s="96" t="s">
        <v>637</v>
      </c>
      <c r="H526" s="116"/>
      <c r="I526" s="117" t="s">
        <v>1819</v>
      </c>
    </row>
    <row r="527" customFormat="false" ht="15" hidden="false" customHeight="true" outlineLevel="0" collapsed="false">
      <c r="A527" s="96" t="s">
        <v>84</v>
      </c>
      <c r="B527" s="96" t="s">
        <v>2493</v>
      </c>
      <c r="C527" s="96" t="s">
        <v>583</v>
      </c>
      <c r="D527" s="96" t="s">
        <v>2503</v>
      </c>
      <c r="E527" s="96" t="s">
        <v>2504</v>
      </c>
      <c r="F527" s="115" t="n">
        <v>50000</v>
      </c>
      <c r="G527" s="96" t="s">
        <v>579</v>
      </c>
      <c r="H527" s="116"/>
      <c r="I527" s="117" t="s">
        <v>1819</v>
      </c>
    </row>
    <row r="528" customFormat="false" ht="15" hidden="false" customHeight="true" outlineLevel="0" collapsed="false">
      <c r="A528" s="96" t="s">
        <v>84</v>
      </c>
      <c r="B528" s="96" t="s">
        <v>2493</v>
      </c>
      <c r="C528" s="96" t="s">
        <v>583</v>
      </c>
      <c r="D528" s="96" t="s">
        <v>2505</v>
      </c>
      <c r="E528" s="96" t="s">
        <v>1931</v>
      </c>
      <c r="F528" s="115" t="n">
        <v>50000</v>
      </c>
      <c r="G528" s="96" t="s">
        <v>590</v>
      </c>
      <c r="H528" s="116"/>
      <c r="I528" s="117" t="s">
        <v>1819</v>
      </c>
    </row>
    <row r="529" customFormat="false" ht="15" hidden="false" customHeight="true" outlineLevel="0" collapsed="false">
      <c r="A529" s="96" t="s">
        <v>84</v>
      </c>
      <c r="B529" s="96" t="s">
        <v>2493</v>
      </c>
      <c r="C529" s="96" t="s">
        <v>583</v>
      </c>
      <c r="D529" s="96" t="s">
        <v>2506</v>
      </c>
      <c r="E529" s="96" t="s">
        <v>2507</v>
      </c>
      <c r="F529" s="115" t="n">
        <v>50000</v>
      </c>
      <c r="G529" s="96" t="s">
        <v>604</v>
      </c>
      <c r="H529" s="116"/>
      <c r="I529" s="117" t="s">
        <v>1819</v>
      </c>
    </row>
    <row r="530" customFormat="false" ht="15" hidden="false" customHeight="true" outlineLevel="0" collapsed="false">
      <c r="A530" s="96" t="s">
        <v>84</v>
      </c>
      <c r="B530" s="96" t="s">
        <v>2494</v>
      </c>
      <c r="C530" s="96" t="s">
        <v>1782</v>
      </c>
      <c r="D530" s="96" t="s">
        <v>2508</v>
      </c>
      <c r="E530" s="96" t="s">
        <v>1917</v>
      </c>
      <c r="F530" s="115" t="n">
        <v>50000</v>
      </c>
      <c r="G530" s="96" t="s">
        <v>637</v>
      </c>
      <c r="H530" s="116"/>
      <c r="I530" s="117" t="s">
        <v>1819</v>
      </c>
    </row>
    <row r="531" customFormat="false" ht="15" hidden="false" customHeight="true" outlineLevel="0" collapsed="false">
      <c r="A531" s="96" t="s">
        <v>84</v>
      </c>
      <c r="B531" s="96" t="s">
        <v>2494</v>
      </c>
      <c r="C531" s="96" t="s">
        <v>588</v>
      </c>
      <c r="D531" s="96" t="s">
        <v>2509</v>
      </c>
      <c r="E531" s="96" t="s">
        <v>1923</v>
      </c>
      <c r="F531" s="115" t="n">
        <v>40000</v>
      </c>
      <c r="G531" s="96" t="s">
        <v>1777</v>
      </c>
      <c r="H531" s="116"/>
      <c r="I531" s="117" t="s">
        <v>1819</v>
      </c>
    </row>
    <row r="532" customFormat="false" ht="15" hidden="false" customHeight="true" outlineLevel="0" collapsed="false">
      <c r="A532" s="96" t="s">
        <v>84</v>
      </c>
      <c r="B532" s="96" t="s">
        <v>2494</v>
      </c>
      <c r="C532" s="96" t="s">
        <v>602</v>
      </c>
      <c r="D532" s="96" t="s">
        <v>2510</v>
      </c>
      <c r="E532" s="96" t="s">
        <v>1865</v>
      </c>
      <c r="F532" s="115" t="n">
        <v>35000</v>
      </c>
      <c r="G532" s="96" t="s">
        <v>607</v>
      </c>
      <c r="H532" s="116"/>
      <c r="I532" s="117" t="s">
        <v>1819</v>
      </c>
    </row>
    <row r="533" customFormat="false" ht="15" hidden="false" customHeight="true" outlineLevel="0" collapsed="false">
      <c r="A533" s="96" t="s">
        <v>84</v>
      </c>
      <c r="B533" s="96" t="s">
        <v>2494</v>
      </c>
      <c r="C533" s="96" t="s">
        <v>595</v>
      </c>
      <c r="D533" s="96" t="s">
        <v>2511</v>
      </c>
      <c r="E533" s="96" t="s">
        <v>1912</v>
      </c>
      <c r="F533" s="115" t="n">
        <v>35000</v>
      </c>
      <c r="G533" s="96" t="s">
        <v>1768</v>
      </c>
      <c r="H533" s="116"/>
      <c r="I533" s="117" t="s">
        <v>1819</v>
      </c>
    </row>
    <row r="534" customFormat="false" ht="15" hidden="false" customHeight="true" outlineLevel="0" collapsed="false">
      <c r="A534" s="96" t="s">
        <v>84</v>
      </c>
      <c r="B534" s="96" t="s">
        <v>2494</v>
      </c>
      <c r="C534" s="96" t="s">
        <v>595</v>
      </c>
      <c r="D534" s="96" t="s">
        <v>2512</v>
      </c>
      <c r="E534" s="96" t="s">
        <v>1887</v>
      </c>
      <c r="F534" s="115" t="n">
        <v>30000</v>
      </c>
      <c r="G534" s="96" t="s">
        <v>1770</v>
      </c>
      <c r="H534" s="116"/>
      <c r="I534" s="117" t="s">
        <v>1819</v>
      </c>
    </row>
    <row r="535" customFormat="false" ht="15" hidden="false" customHeight="true" outlineLevel="0" collapsed="false">
      <c r="A535" s="96" t="s">
        <v>84</v>
      </c>
      <c r="B535" s="96" t="s">
        <v>2493</v>
      </c>
      <c r="C535" s="96" t="s">
        <v>583</v>
      </c>
      <c r="D535" s="96" t="s">
        <v>142</v>
      </c>
      <c r="E535" s="96" t="s">
        <v>2122</v>
      </c>
      <c r="F535" s="115" t="n">
        <v>30000</v>
      </c>
      <c r="G535" s="96" t="s">
        <v>611</v>
      </c>
      <c r="H535" s="116"/>
      <c r="I535" s="117" t="s">
        <v>1819</v>
      </c>
    </row>
    <row r="536" customFormat="false" ht="15" hidden="false" customHeight="true" outlineLevel="0" collapsed="false">
      <c r="A536" s="96" t="s">
        <v>84</v>
      </c>
      <c r="B536" s="96" t="s">
        <v>2494</v>
      </c>
      <c r="C536" s="96" t="s">
        <v>595</v>
      </c>
      <c r="D536" s="96" t="s">
        <v>592</v>
      </c>
      <c r="E536" s="96" t="s">
        <v>2513</v>
      </c>
      <c r="F536" s="115" t="n">
        <v>25000</v>
      </c>
      <c r="G536" s="96" t="s">
        <v>593</v>
      </c>
      <c r="H536" s="116"/>
      <c r="I536" s="117" t="s">
        <v>1819</v>
      </c>
    </row>
    <row r="537" customFormat="false" ht="15" hidden="false" customHeight="true" outlineLevel="0" collapsed="false">
      <c r="A537" s="96" t="s">
        <v>84</v>
      </c>
      <c r="B537" s="96" t="s">
        <v>2494</v>
      </c>
      <c r="C537" s="96" t="s">
        <v>602</v>
      </c>
      <c r="D537" s="96" t="s">
        <v>2514</v>
      </c>
      <c r="E537" s="96" t="s">
        <v>1849</v>
      </c>
      <c r="F537" s="115" t="n">
        <v>25000</v>
      </c>
      <c r="G537" s="96" t="s">
        <v>604</v>
      </c>
      <c r="H537" s="116"/>
      <c r="I537" s="117" t="s">
        <v>1819</v>
      </c>
    </row>
    <row r="538" customFormat="false" ht="15" hidden="false" customHeight="true" outlineLevel="0" collapsed="false">
      <c r="A538" s="96" t="s">
        <v>84</v>
      </c>
      <c r="B538" s="96" t="s">
        <v>2494</v>
      </c>
      <c r="C538" s="96" t="s">
        <v>602</v>
      </c>
      <c r="D538" s="96" t="s">
        <v>625</v>
      </c>
      <c r="E538" s="96" t="s">
        <v>2269</v>
      </c>
      <c r="F538" s="115" t="n">
        <v>25000</v>
      </c>
      <c r="G538" s="96" t="s">
        <v>618</v>
      </c>
      <c r="H538" s="116"/>
      <c r="I538" s="117" t="s">
        <v>1819</v>
      </c>
    </row>
    <row r="539" customFormat="false" ht="15" hidden="false" customHeight="true" outlineLevel="0" collapsed="false">
      <c r="A539" s="96" t="s">
        <v>84</v>
      </c>
      <c r="B539" s="96" t="s">
        <v>2494</v>
      </c>
      <c r="C539" s="96" t="s">
        <v>1784</v>
      </c>
      <c r="D539" s="96" t="s">
        <v>2515</v>
      </c>
      <c r="E539" s="96" t="s">
        <v>2108</v>
      </c>
      <c r="F539" s="115" t="n">
        <v>25000</v>
      </c>
      <c r="G539" s="96" t="s">
        <v>1770</v>
      </c>
      <c r="H539" s="116"/>
      <c r="I539" s="117" t="s">
        <v>1819</v>
      </c>
    </row>
    <row r="540" customFormat="false" ht="15" hidden="false" customHeight="true" outlineLevel="0" collapsed="false">
      <c r="A540" s="96" t="s">
        <v>84</v>
      </c>
      <c r="B540" s="96" t="s">
        <v>2494</v>
      </c>
      <c r="C540" s="96" t="s">
        <v>1186</v>
      </c>
      <c r="D540" s="96" t="s">
        <v>617</v>
      </c>
      <c r="E540" s="96" t="s">
        <v>2064</v>
      </c>
      <c r="F540" s="115" t="n">
        <v>25000</v>
      </c>
      <c r="G540" s="96" t="s">
        <v>618</v>
      </c>
      <c r="H540" s="116"/>
      <c r="I540" s="117" t="s">
        <v>1819</v>
      </c>
    </row>
    <row r="541" customFormat="false" ht="15" hidden="false" customHeight="true" outlineLevel="0" collapsed="false">
      <c r="A541" s="96" t="s">
        <v>84</v>
      </c>
      <c r="B541" s="96" t="s">
        <v>2493</v>
      </c>
      <c r="C541" s="96" t="s">
        <v>583</v>
      </c>
      <c r="D541" s="96" t="s">
        <v>343</v>
      </c>
      <c r="E541" s="96" t="s">
        <v>1894</v>
      </c>
      <c r="F541" s="115" t="n">
        <v>20000</v>
      </c>
      <c r="G541" s="96" t="s">
        <v>618</v>
      </c>
      <c r="H541" s="116"/>
      <c r="I541" s="117" t="s">
        <v>1819</v>
      </c>
    </row>
    <row r="542" customFormat="false" ht="15" hidden="false" customHeight="true" outlineLevel="0" collapsed="false">
      <c r="A542" s="96" t="s">
        <v>2516</v>
      </c>
      <c r="B542" s="96" t="s">
        <v>654</v>
      </c>
      <c r="C542" s="96"/>
      <c r="D542" s="96" t="s">
        <v>2517</v>
      </c>
      <c r="E542" s="96" t="s">
        <v>1108</v>
      </c>
      <c r="F542" s="115" t="n">
        <v>50000</v>
      </c>
      <c r="G542" s="96" t="s">
        <v>655</v>
      </c>
      <c r="H542" s="116"/>
      <c r="I542" s="117" t="s">
        <v>1819</v>
      </c>
    </row>
    <row r="543" customFormat="false" ht="15" hidden="false" customHeight="true" outlineLevel="0" collapsed="false">
      <c r="A543" s="96" t="s">
        <v>2516</v>
      </c>
      <c r="B543" s="96" t="s">
        <v>658</v>
      </c>
      <c r="C543" s="96"/>
      <c r="D543" s="96" t="s">
        <v>657</v>
      </c>
      <c r="E543" s="96" t="s">
        <v>246</v>
      </c>
      <c r="F543" s="115" t="n">
        <v>400628</v>
      </c>
      <c r="G543" s="96" t="s">
        <v>659</v>
      </c>
      <c r="H543" s="116"/>
      <c r="I543" s="117" t="s">
        <v>1819</v>
      </c>
    </row>
    <row r="544" customFormat="false" ht="15" hidden="false" customHeight="true" outlineLevel="0" collapsed="false">
      <c r="A544" s="96" t="s">
        <v>2516</v>
      </c>
      <c r="B544" s="96" t="s">
        <v>2518</v>
      </c>
      <c r="C544" s="96"/>
      <c r="D544" s="96" t="s">
        <v>657</v>
      </c>
      <c r="E544" s="96" t="s">
        <v>246</v>
      </c>
      <c r="F544" s="115" t="n">
        <v>36000</v>
      </c>
      <c r="G544" s="96" t="s">
        <v>662</v>
      </c>
      <c r="H544" s="116"/>
      <c r="I544" s="117" t="s">
        <v>1819</v>
      </c>
    </row>
    <row r="545" customFormat="false" ht="15" hidden="false" customHeight="true" outlineLevel="0" collapsed="false">
      <c r="A545" s="96" t="s">
        <v>2516</v>
      </c>
      <c r="B545" s="96" t="s">
        <v>663</v>
      </c>
      <c r="C545" s="96"/>
      <c r="D545" s="96" t="s">
        <v>404</v>
      </c>
      <c r="E545" s="96" t="s">
        <v>405</v>
      </c>
      <c r="F545" s="115" t="n">
        <v>109012</v>
      </c>
      <c r="G545" s="96" t="s">
        <v>664</v>
      </c>
      <c r="H545" s="116"/>
      <c r="I545" s="117" t="s">
        <v>1819</v>
      </c>
    </row>
    <row r="546" customFormat="false" ht="15" hidden="false" customHeight="true" outlineLevel="0" collapsed="false">
      <c r="A546" s="96" t="s">
        <v>2516</v>
      </c>
      <c r="B546" s="96" t="s">
        <v>663</v>
      </c>
      <c r="C546" s="96"/>
      <c r="D546" s="96" t="s">
        <v>657</v>
      </c>
      <c r="E546" s="96" t="s">
        <v>246</v>
      </c>
      <c r="F546" s="115" t="n">
        <v>50000</v>
      </c>
      <c r="G546" s="96" t="s">
        <v>664</v>
      </c>
      <c r="H546" s="116"/>
      <c r="I546" s="117" t="s">
        <v>1819</v>
      </c>
    </row>
    <row r="547" customFormat="false" ht="15" hidden="false" customHeight="true" outlineLevel="0" collapsed="false">
      <c r="A547" s="96" t="s">
        <v>2516</v>
      </c>
      <c r="B547" s="96" t="s">
        <v>663</v>
      </c>
      <c r="C547" s="96"/>
      <c r="D547" s="96" t="s">
        <v>326</v>
      </c>
      <c r="E547" s="96" t="s">
        <v>327</v>
      </c>
      <c r="F547" s="115" t="n">
        <v>25000</v>
      </c>
      <c r="G547" s="96" t="s">
        <v>664</v>
      </c>
      <c r="H547" s="116"/>
      <c r="I547" s="117" t="s">
        <v>1819</v>
      </c>
    </row>
    <row r="548" customFormat="false" ht="15" hidden="false" customHeight="true" outlineLevel="0" collapsed="false">
      <c r="A548" s="96" t="s">
        <v>2516</v>
      </c>
      <c r="B548" s="96" t="s">
        <v>179</v>
      </c>
      <c r="C548" s="96"/>
      <c r="D548" s="96" t="s">
        <v>149</v>
      </c>
      <c r="E548" s="96" t="s">
        <v>1081</v>
      </c>
      <c r="F548" s="115" t="n">
        <v>49375</v>
      </c>
      <c r="G548" s="96" t="s">
        <v>665</v>
      </c>
      <c r="H548" s="116"/>
      <c r="I548" s="117" t="s">
        <v>1819</v>
      </c>
    </row>
    <row r="549" customFormat="false" ht="15" hidden="false" customHeight="true" outlineLevel="0" collapsed="false">
      <c r="A549" s="96" t="s">
        <v>2516</v>
      </c>
      <c r="B549" s="96" t="s">
        <v>2519</v>
      </c>
      <c r="C549" s="96"/>
      <c r="D549" s="96" t="s">
        <v>617</v>
      </c>
      <c r="E549" s="96" t="s">
        <v>205</v>
      </c>
      <c r="F549" s="115" t="n">
        <v>130265</v>
      </c>
      <c r="G549" s="96" t="s">
        <v>667</v>
      </c>
      <c r="H549" s="116"/>
      <c r="I549" s="117" t="s">
        <v>1819</v>
      </c>
    </row>
    <row r="550" customFormat="false" ht="15" hidden="false" customHeight="true" outlineLevel="0" collapsed="false">
      <c r="A550" s="96" t="s">
        <v>2516</v>
      </c>
      <c r="B550" s="96" t="s">
        <v>2520</v>
      </c>
      <c r="C550" s="96"/>
      <c r="D550" s="96" t="s">
        <v>617</v>
      </c>
      <c r="E550" s="96" t="s">
        <v>205</v>
      </c>
      <c r="F550" s="115" t="n">
        <v>200000</v>
      </c>
      <c r="G550" s="96" t="s">
        <v>669</v>
      </c>
      <c r="H550" s="116"/>
      <c r="I550" s="117" t="s">
        <v>1819</v>
      </c>
    </row>
    <row r="551" customFormat="false" ht="15" hidden="false" customHeight="true" outlineLevel="0" collapsed="false">
      <c r="A551" s="96" t="s">
        <v>2516</v>
      </c>
      <c r="B551" s="96" t="s">
        <v>670</v>
      </c>
      <c r="C551" s="96"/>
      <c r="D551" s="96" t="s">
        <v>300</v>
      </c>
      <c r="E551" s="96" t="s">
        <v>301</v>
      </c>
      <c r="F551" s="115" t="n">
        <v>70000</v>
      </c>
      <c r="G551" s="96" t="s">
        <v>671</v>
      </c>
      <c r="H551" s="116"/>
      <c r="I551" s="117" t="s">
        <v>1819</v>
      </c>
    </row>
    <row r="552" customFormat="false" ht="15" hidden="false" customHeight="true" outlineLevel="0" collapsed="false">
      <c r="A552" s="96" t="s">
        <v>2516</v>
      </c>
      <c r="B552" s="96" t="s">
        <v>2521</v>
      </c>
      <c r="C552" s="96"/>
      <c r="D552" s="96" t="s">
        <v>672</v>
      </c>
      <c r="E552" s="96" t="s">
        <v>251</v>
      </c>
      <c r="F552" s="115" t="n">
        <v>335000</v>
      </c>
      <c r="G552" s="96" t="s">
        <v>674</v>
      </c>
      <c r="H552" s="116"/>
      <c r="I552" s="117" t="s">
        <v>1819</v>
      </c>
    </row>
    <row r="553" customFormat="false" ht="15" hidden="false" customHeight="true" outlineLevel="0" collapsed="false">
      <c r="A553" s="96" t="s">
        <v>2516</v>
      </c>
      <c r="B553" s="96" t="s">
        <v>2522</v>
      </c>
      <c r="C553" s="96"/>
      <c r="D553" s="96" t="s">
        <v>675</v>
      </c>
      <c r="E553" s="96" t="s">
        <v>947</v>
      </c>
      <c r="F553" s="115" t="n">
        <v>61000</v>
      </c>
      <c r="G553" s="96" t="s">
        <v>677</v>
      </c>
      <c r="H553" s="116"/>
      <c r="I553" s="117" t="s">
        <v>1819</v>
      </c>
    </row>
    <row r="554" customFormat="false" ht="15" hidden="false" customHeight="true" outlineLevel="0" collapsed="false">
      <c r="A554" s="96" t="s">
        <v>2516</v>
      </c>
      <c r="B554" s="96" t="s">
        <v>2522</v>
      </c>
      <c r="C554" s="96"/>
      <c r="D554" s="96" t="s">
        <v>678</v>
      </c>
      <c r="E554" s="96" t="s">
        <v>947</v>
      </c>
      <c r="F554" s="115" t="n">
        <v>54257</v>
      </c>
      <c r="G554" s="96" t="s">
        <v>677</v>
      </c>
      <c r="H554" s="116"/>
      <c r="I554" s="117" t="s">
        <v>1819</v>
      </c>
    </row>
    <row r="555" customFormat="false" ht="15" hidden="false" customHeight="true" outlineLevel="0" collapsed="false">
      <c r="A555" s="96" t="s">
        <v>2516</v>
      </c>
      <c r="B555" s="96" t="s">
        <v>680</v>
      </c>
      <c r="C555" s="96"/>
      <c r="D555" s="96" t="s">
        <v>679</v>
      </c>
      <c r="E555" s="96" t="s">
        <v>1079</v>
      </c>
      <c r="F555" s="115" t="n">
        <v>100000</v>
      </c>
      <c r="G555" s="96" t="s">
        <v>681</v>
      </c>
      <c r="H555" s="116"/>
      <c r="I555" s="117" t="s">
        <v>1819</v>
      </c>
    </row>
    <row r="556" customFormat="false" ht="15" hidden="false" customHeight="true" outlineLevel="0" collapsed="false">
      <c r="A556" s="96" t="s">
        <v>2516</v>
      </c>
      <c r="B556" s="96" t="s">
        <v>680</v>
      </c>
      <c r="C556" s="96"/>
      <c r="D556" s="96" t="s">
        <v>2523</v>
      </c>
      <c r="E556" s="96" t="s">
        <v>1112</v>
      </c>
      <c r="F556" s="115" t="n">
        <v>50000</v>
      </c>
      <c r="G556" s="96" t="s">
        <v>681</v>
      </c>
      <c r="H556" s="116"/>
      <c r="I556" s="117" t="s">
        <v>1819</v>
      </c>
    </row>
    <row r="557" customFormat="false" ht="15" hidden="false" customHeight="true" outlineLevel="0" collapsed="false">
      <c r="A557" s="96" t="s">
        <v>2516</v>
      </c>
      <c r="B557" s="96" t="s">
        <v>680</v>
      </c>
      <c r="C557" s="96"/>
      <c r="D557" s="96" t="s">
        <v>2524</v>
      </c>
      <c r="E557" s="96" t="s">
        <v>1136</v>
      </c>
      <c r="F557" s="115" t="n">
        <v>50000</v>
      </c>
      <c r="G557" s="96" t="s">
        <v>681</v>
      </c>
      <c r="H557" s="116"/>
      <c r="I557" s="117" t="s">
        <v>1819</v>
      </c>
    </row>
    <row r="558" customFormat="false" ht="15" hidden="false" customHeight="true" outlineLevel="0" collapsed="false">
      <c r="A558" s="96" t="s">
        <v>2516</v>
      </c>
      <c r="B558" s="96" t="s">
        <v>164</v>
      </c>
      <c r="C558" s="96"/>
      <c r="D558" s="96" t="s">
        <v>163</v>
      </c>
      <c r="E558" s="96" t="s">
        <v>947</v>
      </c>
      <c r="F558" s="115" t="n">
        <v>98250</v>
      </c>
      <c r="G558" s="96" t="s">
        <v>685</v>
      </c>
      <c r="H558" s="116"/>
      <c r="I558" s="117" t="s">
        <v>1819</v>
      </c>
    </row>
    <row r="559" customFormat="false" ht="15" hidden="false" customHeight="true" outlineLevel="0" collapsed="false">
      <c r="A559" s="96" t="s">
        <v>2516</v>
      </c>
      <c r="B559" s="96" t="s">
        <v>2525</v>
      </c>
      <c r="C559" s="96"/>
      <c r="D559" s="96" t="s">
        <v>679</v>
      </c>
      <c r="E559" s="96" t="s">
        <v>1079</v>
      </c>
      <c r="F559" s="115" t="n">
        <v>125000</v>
      </c>
      <c r="G559" s="96" t="s">
        <v>687</v>
      </c>
      <c r="H559" s="116"/>
      <c r="I559" s="117" t="s">
        <v>1819</v>
      </c>
    </row>
    <row r="560" customFormat="false" ht="15" hidden="false" customHeight="true" outlineLevel="0" collapsed="false">
      <c r="A560" s="96" t="s">
        <v>2516</v>
      </c>
      <c r="B560" s="96" t="s">
        <v>2526</v>
      </c>
      <c r="C560" s="96"/>
      <c r="D560" s="96" t="s">
        <v>149</v>
      </c>
      <c r="E560" s="96" t="s">
        <v>1081</v>
      </c>
      <c r="F560" s="115" t="n">
        <v>259000</v>
      </c>
      <c r="G560" s="96" t="s">
        <v>689</v>
      </c>
      <c r="H560" s="116"/>
      <c r="I560" s="117" t="s">
        <v>1819</v>
      </c>
    </row>
    <row r="561" customFormat="false" ht="15" hidden="false" customHeight="true" outlineLevel="0" collapsed="false">
      <c r="A561" s="96" t="s">
        <v>2516</v>
      </c>
      <c r="B561" s="96" t="s">
        <v>691</v>
      </c>
      <c r="C561" s="96"/>
      <c r="D561" s="96" t="s">
        <v>2527</v>
      </c>
      <c r="E561" s="96" t="s">
        <v>1216</v>
      </c>
      <c r="F561" s="115" t="n">
        <v>10000</v>
      </c>
      <c r="G561" s="96" t="s">
        <v>437</v>
      </c>
      <c r="H561" s="116"/>
      <c r="I561" s="117" t="s">
        <v>1819</v>
      </c>
    </row>
    <row r="562" customFormat="false" ht="15" hidden="false" customHeight="true" outlineLevel="0" collapsed="false">
      <c r="A562" s="96" t="s">
        <v>2516</v>
      </c>
      <c r="B562" s="96" t="s">
        <v>2528</v>
      </c>
      <c r="C562" s="96"/>
      <c r="D562" s="96" t="s">
        <v>155</v>
      </c>
      <c r="E562" s="96" t="s">
        <v>1079</v>
      </c>
      <c r="F562" s="115" t="n">
        <v>100000</v>
      </c>
      <c r="G562" s="96" t="s">
        <v>694</v>
      </c>
      <c r="H562" s="116"/>
      <c r="I562" s="117" t="s">
        <v>1819</v>
      </c>
    </row>
    <row r="563" customFormat="false" ht="15" hidden="false" customHeight="true" outlineLevel="0" collapsed="false">
      <c r="A563" s="96" t="s">
        <v>2516</v>
      </c>
      <c r="B563" s="96" t="s">
        <v>162</v>
      </c>
      <c r="C563" s="96"/>
      <c r="D563" s="96" t="s">
        <v>695</v>
      </c>
      <c r="E563" s="96" t="s">
        <v>1079</v>
      </c>
      <c r="F563" s="115" t="n">
        <v>646666</v>
      </c>
      <c r="G563" s="96" t="s">
        <v>696</v>
      </c>
      <c r="H563" s="116"/>
      <c r="I563" s="117" t="s">
        <v>1819</v>
      </c>
    </row>
    <row r="564" customFormat="false" ht="15" hidden="false" customHeight="true" outlineLevel="0" collapsed="false">
      <c r="A564" s="96" t="s">
        <v>2516</v>
      </c>
      <c r="B564" s="96" t="s">
        <v>162</v>
      </c>
      <c r="C564" s="96"/>
      <c r="D564" s="96" t="s">
        <v>161</v>
      </c>
      <c r="E564" s="96" t="s">
        <v>952</v>
      </c>
      <c r="F564" s="115" t="n">
        <v>100000</v>
      </c>
      <c r="G564" s="96" t="s">
        <v>696</v>
      </c>
      <c r="H564" s="116"/>
      <c r="I564" s="117" t="s">
        <v>1819</v>
      </c>
    </row>
    <row r="565" customFormat="false" ht="15" hidden="false" customHeight="true" outlineLevel="0" collapsed="false">
      <c r="A565" s="96" t="s">
        <v>2516</v>
      </c>
      <c r="B565" s="96" t="s">
        <v>2529</v>
      </c>
      <c r="C565" s="96"/>
      <c r="D565" s="96" t="s">
        <v>149</v>
      </c>
      <c r="E565" s="96" t="s">
        <v>1081</v>
      </c>
      <c r="F565" s="115" t="n">
        <v>107103</v>
      </c>
      <c r="G565" s="96" t="s">
        <v>689</v>
      </c>
      <c r="H565" s="116"/>
      <c r="I565" s="117" t="s">
        <v>1819</v>
      </c>
    </row>
    <row r="566" customFormat="false" ht="15" hidden="false" customHeight="true" outlineLevel="0" collapsed="false">
      <c r="A566" s="96" t="s">
        <v>2516</v>
      </c>
      <c r="B566" s="96" t="s">
        <v>698</v>
      </c>
      <c r="C566" s="96"/>
      <c r="D566" s="96" t="s">
        <v>657</v>
      </c>
      <c r="E566" s="96" t="s">
        <v>246</v>
      </c>
      <c r="F566" s="115" t="n">
        <v>56100</v>
      </c>
      <c r="G566" s="96" t="s">
        <v>699</v>
      </c>
      <c r="H566" s="116"/>
      <c r="I566" s="117" t="s">
        <v>1819</v>
      </c>
    </row>
    <row r="567" customFormat="false" ht="15" hidden="false" customHeight="true" outlineLevel="0" collapsed="false">
      <c r="A567" s="96" t="s">
        <v>2516</v>
      </c>
      <c r="B567" s="96" t="s">
        <v>700</v>
      </c>
      <c r="C567" s="96"/>
      <c r="D567" s="96" t="s">
        <v>617</v>
      </c>
      <c r="E567" s="96" t="s">
        <v>205</v>
      </c>
      <c r="F567" s="115" t="n">
        <v>62500</v>
      </c>
      <c r="G567" s="96" t="s">
        <v>701</v>
      </c>
      <c r="H567" s="116"/>
      <c r="I567" s="117" t="s">
        <v>1819</v>
      </c>
    </row>
    <row r="568" customFormat="false" ht="15" hidden="false" customHeight="true" outlineLevel="0" collapsed="false">
      <c r="A568" s="96" t="s">
        <v>2516</v>
      </c>
      <c r="B568" s="96" t="s">
        <v>146</v>
      </c>
      <c r="C568" s="96"/>
      <c r="D568" s="96" t="s">
        <v>145</v>
      </c>
      <c r="E568" s="96" t="s">
        <v>369</v>
      </c>
      <c r="F568" s="115" t="n">
        <v>363752</v>
      </c>
      <c r="G568" s="96" t="s">
        <v>702</v>
      </c>
      <c r="H568" s="116"/>
      <c r="I568" s="117" t="s">
        <v>1819</v>
      </c>
    </row>
    <row r="569" customFormat="false" ht="15" hidden="false" customHeight="true" outlineLevel="0" collapsed="false">
      <c r="A569" s="96" t="s">
        <v>2516</v>
      </c>
      <c r="B569" s="96" t="s">
        <v>146</v>
      </c>
      <c r="C569" s="96"/>
      <c r="D569" s="96" t="s">
        <v>657</v>
      </c>
      <c r="E569" s="96" t="s">
        <v>246</v>
      </c>
      <c r="F569" s="115" t="n">
        <v>101338</v>
      </c>
      <c r="G569" s="96" t="s">
        <v>702</v>
      </c>
      <c r="H569" s="116"/>
      <c r="I569" s="117" t="s">
        <v>1819</v>
      </c>
    </row>
    <row r="570" customFormat="false" ht="15" hidden="false" customHeight="true" outlineLevel="0" collapsed="false">
      <c r="A570" s="96" t="s">
        <v>2516</v>
      </c>
      <c r="B570" s="96" t="s">
        <v>152</v>
      </c>
      <c r="C570" s="96"/>
      <c r="D570" s="96" t="s">
        <v>149</v>
      </c>
      <c r="E570" s="96" t="s">
        <v>1081</v>
      </c>
      <c r="F570" s="115" t="n">
        <v>76319</v>
      </c>
      <c r="G570" s="96" t="s">
        <v>703</v>
      </c>
      <c r="H570" s="116"/>
      <c r="I570" s="117" t="s">
        <v>1819</v>
      </c>
    </row>
    <row r="571" customFormat="false" ht="15" hidden="false" customHeight="true" outlineLevel="0" collapsed="false">
      <c r="A571" s="96" t="s">
        <v>2516</v>
      </c>
      <c r="B571" s="96" t="s">
        <v>704</v>
      </c>
      <c r="C571" s="96"/>
      <c r="D571" s="96" t="s">
        <v>679</v>
      </c>
      <c r="E571" s="96" t="s">
        <v>1079</v>
      </c>
      <c r="F571" s="115" t="n">
        <v>50000</v>
      </c>
      <c r="G571" s="96" t="s">
        <v>705</v>
      </c>
      <c r="H571" s="116"/>
      <c r="I571" s="117" t="s">
        <v>1819</v>
      </c>
    </row>
    <row r="572" customFormat="false" ht="15" hidden="false" customHeight="true" outlineLevel="0" collapsed="false">
      <c r="A572" s="96" t="s">
        <v>2516</v>
      </c>
      <c r="B572" s="96" t="s">
        <v>159</v>
      </c>
      <c r="C572" s="96"/>
      <c r="D572" s="96" t="s">
        <v>149</v>
      </c>
      <c r="E572" s="96" t="s">
        <v>1081</v>
      </c>
      <c r="F572" s="115" t="n">
        <v>100000</v>
      </c>
      <c r="G572" s="96" t="s">
        <v>707</v>
      </c>
      <c r="H572" s="116"/>
      <c r="I572" s="117" t="s">
        <v>1819</v>
      </c>
    </row>
    <row r="573" customFormat="false" ht="15" hidden="false" customHeight="true" outlineLevel="0" collapsed="false">
      <c r="A573" s="96" t="s">
        <v>2516</v>
      </c>
      <c r="B573" s="96" t="s">
        <v>143</v>
      </c>
      <c r="C573" s="96"/>
      <c r="D573" s="96" t="s">
        <v>142</v>
      </c>
      <c r="E573" s="96" t="s">
        <v>441</v>
      </c>
      <c r="F573" s="115" t="n">
        <v>444375</v>
      </c>
      <c r="G573" s="96" t="s">
        <v>708</v>
      </c>
      <c r="H573" s="116"/>
      <c r="I573" s="117" t="s">
        <v>1819</v>
      </c>
    </row>
    <row r="574" customFormat="false" ht="15" hidden="false" customHeight="true" outlineLevel="0" collapsed="false">
      <c r="A574" s="96" t="s">
        <v>2516</v>
      </c>
      <c r="B574" s="96" t="s">
        <v>2530</v>
      </c>
      <c r="C574" s="96"/>
      <c r="D574" s="96" t="s">
        <v>142</v>
      </c>
      <c r="E574" s="96" t="s">
        <v>441</v>
      </c>
      <c r="F574" s="115" t="n">
        <v>100000</v>
      </c>
      <c r="G574" s="96" t="s">
        <v>710</v>
      </c>
      <c r="H574" s="116"/>
      <c r="I574" s="117" t="s">
        <v>1819</v>
      </c>
    </row>
    <row r="575" customFormat="false" ht="15" hidden="false" customHeight="true" outlineLevel="0" collapsed="false">
      <c r="A575" s="96" t="s">
        <v>2516</v>
      </c>
      <c r="B575" s="96" t="s">
        <v>153</v>
      </c>
      <c r="C575" s="96"/>
      <c r="D575" s="96" t="s">
        <v>142</v>
      </c>
      <c r="E575" s="96" t="s">
        <v>441</v>
      </c>
      <c r="F575" s="115" t="n">
        <v>130000</v>
      </c>
      <c r="G575" s="96" t="s">
        <v>712</v>
      </c>
      <c r="H575" s="116"/>
      <c r="I575" s="117" t="s">
        <v>1819</v>
      </c>
    </row>
    <row r="576" customFormat="false" ht="15" hidden="false" customHeight="true" outlineLevel="0" collapsed="false">
      <c r="A576" s="96" t="s">
        <v>2516</v>
      </c>
      <c r="B576" s="96" t="s">
        <v>2531</v>
      </c>
      <c r="C576" s="96"/>
      <c r="D576" s="96" t="s">
        <v>2517</v>
      </c>
      <c r="E576" s="96" t="s">
        <v>1108</v>
      </c>
      <c r="F576" s="115" t="n">
        <v>75000</v>
      </c>
      <c r="G576" s="96" t="s">
        <v>714</v>
      </c>
      <c r="H576" s="116"/>
      <c r="I576" s="117" t="s">
        <v>1819</v>
      </c>
    </row>
    <row r="577" customFormat="false" ht="15" hidden="false" customHeight="true" outlineLevel="0" collapsed="false">
      <c r="A577" s="96" t="s">
        <v>2516</v>
      </c>
      <c r="B577" s="96" t="s">
        <v>2532</v>
      </c>
      <c r="C577" s="96"/>
      <c r="D577" s="96" t="s">
        <v>679</v>
      </c>
      <c r="E577" s="96" t="s">
        <v>1079</v>
      </c>
      <c r="F577" s="115" t="n">
        <v>150000</v>
      </c>
      <c r="G577" s="96" t="s">
        <v>716</v>
      </c>
      <c r="H577" s="116"/>
      <c r="I577" s="117" t="s">
        <v>1819</v>
      </c>
    </row>
    <row r="578" customFormat="false" ht="15" hidden="false" customHeight="true" outlineLevel="0" collapsed="false">
      <c r="A578" s="96" t="s">
        <v>2516</v>
      </c>
      <c r="B578" s="96" t="s">
        <v>167</v>
      </c>
      <c r="C578" s="96"/>
      <c r="D578" s="96" t="s">
        <v>657</v>
      </c>
      <c r="E578" s="96" t="s">
        <v>246</v>
      </c>
      <c r="F578" s="115" t="n">
        <v>82000</v>
      </c>
      <c r="G578" s="96" t="s">
        <v>717</v>
      </c>
      <c r="H578" s="116"/>
      <c r="I578" s="117" t="s">
        <v>1819</v>
      </c>
    </row>
    <row r="579" customFormat="false" ht="15" hidden="false" customHeight="true" outlineLevel="0" collapsed="false">
      <c r="A579" s="96" t="s">
        <v>2516</v>
      </c>
      <c r="B579" s="96" t="s">
        <v>719</v>
      </c>
      <c r="C579" s="96"/>
      <c r="D579" s="96" t="s">
        <v>718</v>
      </c>
      <c r="E579" s="96" t="s">
        <v>269</v>
      </c>
      <c r="F579" s="115" t="n">
        <v>73070</v>
      </c>
      <c r="G579" s="96" t="s">
        <v>720</v>
      </c>
      <c r="H579" s="116"/>
      <c r="I579" s="117" t="s">
        <v>1819</v>
      </c>
    </row>
    <row r="580" customFormat="false" ht="15" hidden="false" customHeight="true" outlineLevel="0" collapsed="false">
      <c r="A580" s="96" t="s">
        <v>2516</v>
      </c>
      <c r="B580" s="96" t="s">
        <v>2533</v>
      </c>
      <c r="C580" s="96"/>
      <c r="D580" s="96" t="s">
        <v>2534</v>
      </c>
      <c r="E580" s="96" t="s">
        <v>246</v>
      </c>
      <c r="F580" s="115" t="n">
        <v>96421</v>
      </c>
      <c r="G580" s="96" t="s">
        <v>723</v>
      </c>
      <c r="H580" s="116"/>
      <c r="I580" s="117" t="s">
        <v>1819</v>
      </c>
    </row>
    <row r="581" customFormat="false" ht="15" hidden="false" customHeight="true" outlineLevel="0" collapsed="false">
      <c r="A581" s="96" t="s">
        <v>2516</v>
      </c>
      <c r="B581" s="96" t="s">
        <v>2535</v>
      </c>
      <c r="C581" s="96"/>
      <c r="D581" s="96" t="s">
        <v>2536</v>
      </c>
      <c r="E581" s="96" t="s">
        <v>246</v>
      </c>
      <c r="F581" s="115" t="n">
        <v>8333</v>
      </c>
      <c r="G581" s="96" t="s">
        <v>725</v>
      </c>
      <c r="H581" s="116"/>
      <c r="I581" s="117" t="s">
        <v>1819</v>
      </c>
    </row>
    <row r="582" customFormat="false" ht="15" hidden="false" customHeight="true" outlineLevel="0" collapsed="false">
      <c r="A582" s="96" t="s">
        <v>2516</v>
      </c>
      <c r="B582" s="96" t="s">
        <v>178</v>
      </c>
      <c r="C582" s="96"/>
      <c r="D582" s="96" t="s">
        <v>657</v>
      </c>
      <c r="E582" s="96" t="s">
        <v>246</v>
      </c>
      <c r="F582" s="115" t="n">
        <v>50000</v>
      </c>
      <c r="G582" s="96" t="s">
        <v>726</v>
      </c>
      <c r="H582" s="116"/>
      <c r="I582" s="117" t="s">
        <v>1819</v>
      </c>
    </row>
    <row r="583" customFormat="false" ht="15" hidden="false" customHeight="true" outlineLevel="0" collapsed="false">
      <c r="A583" s="96" t="s">
        <v>2516</v>
      </c>
      <c r="B583" s="96" t="s">
        <v>147</v>
      </c>
      <c r="C583" s="96"/>
      <c r="D583" s="96" t="s">
        <v>145</v>
      </c>
      <c r="E583" s="96" t="s">
        <v>369</v>
      </c>
      <c r="F583" s="115" t="n">
        <v>350000</v>
      </c>
      <c r="G583" s="96" t="s">
        <v>727</v>
      </c>
      <c r="H583" s="116"/>
      <c r="I583" s="117" t="s">
        <v>1819</v>
      </c>
    </row>
    <row r="584" customFormat="false" ht="15" hidden="false" customHeight="true" outlineLevel="0" collapsed="false">
      <c r="A584" s="96" t="s">
        <v>2516</v>
      </c>
      <c r="B584" s="96" t="s">
        <v>728</v>
      </c>
      <c r="C584" s="96"/>
      <c r="D584" s="96" t="s">
        <v>657</v>
      </c>
      <c r="E584" s="96" t="s">
        <v>246</v>
      </c>
      <c r="F584" s="115" t="n">
        <v>167284</v>
      </c>
      <c r="G584" s="96" t="s">
        <v>729</v>
      </c>
      <c r="H584" s="116"/>
      <c r="I584" s="117" t="s">
        <v>1819</v>
      </c>
    </row>
    <row r="585" customFormat="false" ht="15" hidden="false" customHeight="true" outlineLevel="0" collapsed="false">
      <c r="A585" s="96" t="s">
        <v>2516</v>
      </c>
      <c r="B585" s="96" t="s">
        <v>2537</v>
      </c>
      <c r="C585" s="96"/>
      <c r="D585" s="96" t="s">
        <v>317</v>
      </c>
      <c r="E585" s="96" t="s">
        <v>318</v>
      </c>
      <c r="F585" s="115" t="n">
        <v>52935</v>
      </c>
      <c r="G585" s="96" t="s">
        <v>731</v>
      </c>
      <c r="H585" s="116"/>
      <c r="I585" s="117" t="s">
        <v>1819</v>
      </c>
    </row>
    <row r="586" customFormat="false" ht="15" hidden="false" customHeight="true" outlineLevel="0" collapsed="false">
      <c r="A586" s="96" t="s">
        <v>2516</v>
      </c>
      <c r="B586" s="96" t="s">
        <v>148</v>
      </c>
      <c r="C586" s="96"/>
      <c r="D586" s="96" t="s">
        <v>142</v>
      </c>
      <c r="E586" s="96" t="s">
        <v>441</v>
      </c>
      <c r="F586" s="115" t="n">
        <v>320000</v>
      </c>
      <c r="G586" s="96" t="s">
        <v>732</v>
      </c>
      <c r="H586" s="116"/>
      <c r="I586" s="117" t="s">
        <v>1819</v>
      </c>
    </row>
    <row r="587" customFormat="false" ht="15" hidden="false" customHeight="true" outlineLevel="0" collapsed="false">
      <c r="A587" s="96" t="s">
        <v>2516</v>
      </c>
      <c r="B587" s="96" t="s">
        <v>2538</v>
      </c>
      <c r="C587" s="96"/>
      <c r="D587" s="96" t="s">
        <v>168</v>
      </c>
      <c r="E587" s="96" t="s">
        <v>222</v>
      </c>
      <c r="F587" s="115" t="n">
        <v>80000</v>
      </c>
      <c r="G587" s="96" t="s">
        <v>734</v>
      </c>
      <c r="H587" s="116"/>
      <c r="I587" s="117" t="s">
        <v>1819</v>
      </c>
    </row>
    <row r="588" customFormat="false" ht="15" hidden="false" customHeight="true" outlineLevel="0" collapsed="false">
      <c r="A588" s="96" t="s">
        <v>2516</v>
      </c>
      <c r="B588" s="96" t="s">
        <v>2538</v>
      </c>
      <c r="C588" s="96"/>
      <c r="D588" s="96" t="s">
        <v>2539</v>
      </c>
      <c r="E588" s="96" t="s">
        <v>291</v>
      </c>
      <c r="F588" s="115" t="n">
        <v>40000</v>
      </c>
      <c r="G588" s="96" t="s">
        <v>734</v>
      </c>
      <c r="H588" s="116"/>
      <c r="I588" s="117" t="s">
        <v>1819</v>
      </c>
    </row>
    <row r="589" customFormat="false" ht="15" hidden="false" customHeight="true" outlineLevel="0" collapsed="false">
      <c r="A589" s="96" t="s">
        <v>2516</v>
      </c>
      <c r="B589" s="96" t="s">
        <v>2538</v>
      </c>
      <c r="C589" s="96"/>
      <c r="D589" s="96" t="s">
        <v>2540</v>
      </c>
      <c r="E589" s="96" t="s">
        <v>291</v>
      </c>
      <c r="F589" s="115" t="n">
        <v>40000</v>
      </c>
      <c r="G589" s="96" t="s">
        <v>734</v>
      </c>
      <c r="H589" s="116"/>
      <c r="I589" s="117" t="s">
        <v>1819</v>
      </c>
    </row>
    <row r="590" customFormat="false" ht="15" hidden="false" customHeight="true" outlineLevel="0" collapsed="false">
      <c r="A590" s="96" t="s">
        <v>2516</v>
      </c>
      <c r="B590" s="96" t="s">
        <v>2538</v>
      </c>
      <c r="C590" s="96"/>
      <c r="D590" s="96" t="s">
        <v>737</v>
      </c>
      <c r="E590" s="96" t="s">
        <v>351</v>
      </c>
      <c r="F590" s="115" t="n">
        <v>18000</v>
      </c>
      <c r="G590" s="96" t="s">
        <v>738</v>
      </c>
      <c r="H590" s="116"/>
      <c r="I590" s="117" t="s">
        <v>1819</v>
      </c>
    </row>
    <row r="591" customFormat="false" ht="15" hidden="false" customHeight="true" outlineLevel="0" collapsed="false">
      <c r="A591" s="96" t="s">
        <v>2516</v>
      </c>
      <c r="B591" s="96" t="s">
        <v>2538</v>
      </c>
      <c r="C591" s="96"/>
      <c r="D591" s="96" t="s">
        <v>2541</v>
      </c>
      <c r="E591" s="96" t="s">
        <v>351</v>
      </c>
      <c r="F591" s="115" t="n">
        <v>18000</v>
      </c>
      <c r="G591" s="96" t="s">
        <v>738</v>
      </c>
      <c r="H591" s="116"/>
      <c r="I591" s="117" t="s">
        <v>1819</v>
      </c>
    </row>
    <row r="592" customFormat="false" ht="15" hidden="false" customHeight="true" outlineLevel="0" collapsed="false">
      <c r="A592" s="96" t="s">
        <v>2516</v>
      </c>
      <c r="B592" s="96" t="s">
        <v>2538</v>
      </c>
      <c r="C592" s="96"/>
      <c r="D592" s="96" t="s">
        <v>350</v>
      </c>
      <c r="E592" s="96" t="s">
        <v>351</v>
      </c>
      <c r="F592" s="115" t="n">
        <v>6000</v>
      </c>
      <c r="G592" s="96" t="s">
        <v>738</v>
      </c>
      <c r="H592" s="116"/>
      <c r="I592" s="117" t="s">
        <v>1819</v>
      </c>
    </row>
    <row r="593" customFormat="false" ht="15" hidden="false" customHeight="true" outlineLevel="0" collapsed="false">
      <c r="A593" s="96" t="s">
        <v>2516</v>
      </c>
      <c r="B593" s="96" t="s">
        <v>166</v>
      </c>
      <c r="C593" s="96"/>
      <c r="D593" s="96" t="s">
        <v>145</v>
      </c>
      <c r="E593" s="96" t="s">
        <v>369</v>
      </c>
      <c r="F593" s="115" t="n">
        <v>85801</v>
      </c>
      <c r="G593" s="96" t="s">
        <v>740</v>
      </c>
      <c r="H593" s="116"/>
      <c r="I593" s="117" t="s">
        <v>1819</v>
      </c>
    </row>
    <row r="594" customFormat="false" ht="15" hidden="false" customHeight="true" outlineLevel="0" collapsed="false">
      <c r="A594" s="96" t="s">
        <v>2516</v>
      </c>
      <c r="B594" s="96" t="s">
        <v>741</v>
      </c>
      <c r="C594" s="96"/>
      <c r="D594" s="96" t="s">
        <v>679</v>
      </c>
      <c r="E594" s="96" t="s">
        <v>1079</v>
      </c>
      <c r="F594" s="115" t="n">
        <v>50000</v>
      </c>
      <c r="G594" s="96" t="s">
        <v>742</v>
      </c>
      <c r="H594" s="116"/>
      <c r="I594" s="117" t="s">
        <v>1819</v>
      </c>
    </row>
    <row r="595" customFormat="false" ht="15" hidden="false" customHeight="true" outlineLevel="0" collapsed="false">
      <c r="A595" s="96" t="s">
        <v>2516</v>
      </c>
      <c r="B595" s="96" t="s">
        <v>172</v>
      </c>
      <c r="C595" s="96"/>
      <c r="D595" s="96" t="s">
        <v>171</v>
      </c>
      <c r="E595" s="96" t="s">
        <v>938</v>
      </c>
      <c r="F595" s="115" t="n">
        <v>64576</v>
      </c>
      <c r="G595" s="96" t="s">
        <v>744</v>
      </c>
      <c r="H595" s="116"/>
      <c r="I595" s="117" t="s">
        <v>1819</v>
      </c>
    </row>
    <row r="596" customFormat="false" ht="15" hidden="false" customHeight="true" outlineLevel="0" collapsed="false">
      <c r="E596" s="90" t="s">
        <v>2542</v>
      </c>
      <c r="F596" s="103" t="n">
        <f aca="false">SUM(F4:F595)</f>
        <v>16196240</v>
      </c>
    </row>
    <row r="597" customFormat="false" ht="15.75" hidden="false" customHeight="true" outlineLevel="0" collapsed="false">
      <c r="A597" s="17" t="s">
        <v>2516</v>
      </c>
      <c r="B597" s="17" t="s">
        <v>741</v>
      </c>
      <c r="C597" s="17" t="s">
        <v>2543</v>
      </c>
      <c r="D597" s="17" t="s">
        <v>745</v>
      </c>
      <c r="E597" s="17" t="s">
        <v>1045</v>
      </c>
      <c r="F597" s="18" t="n">
        <v>25000</v>
      </c>
      <c r="G597" s="17" t="s">
        <v>746</v>
      </c>
      <c r="H597" s="17" t="s">
        <v>1046</v>
      </c>
      <c r="I597" s="17" t="s">
        <v>2544</v>
      </c>
    </row>
    <row r="598" customFormat="false" ht="15.75" hidden="false" customHeight="true" outlineLevel="0" collapsed="false">
      <c r="A598" s="17" t="s">
        <v>2516</v>
      </c>
      <c r="B598" s="17" t="s">
        <v>741</v>
      </c>
      <c r="C598" s="17" t="s">
        <v>2543</v>
      </c>
      <c r="D598" s="17" t="s">
        <v>748</v>
      </c>
      <c r="E598" s="17" t="s">
        <v>1047</v>
      </c>
      <c r="F598" s="18" t="n">
        <v>25000</v>
      </c>
      <c r="G598" s="17" t="s">
        <v>749</v>
      </c>
      <c r="H598" s="17" t="s">
        <v>1048</v>
      </c>
      <c r="I598" s="17" t="s">
        <v>2544</v>
      </c>
    </row>
    <row r="599" customFormat="false" ht="15.75" hidden="false" customHeight="true" outlineLevel="0" collapsed="false">
      <c r="A599" s="17" t="s">
        <v>2516</v>
      </c>
      <c r="B599" s="17" t="s">
        <v>153</v>
      </c>
      <c r="C599" s="17" t="s">
        <v>2543</v>
      </c>
      <c r="D599" s="17" t="s">
        <v>158</v>
      </c>
      <c r="E599" s="17" t="s">
        <v>1049</v>
      </c>
      <c r="F599" s="18" t="n">
        <v>100000</v>
      </c>
      <c r="G599" s="17" t="s">
        <v>750</v>
      </c>
      <c r="H599" s="17" t="s">
        <v>1050</v>
      </c>
      <c r="I599" s="17" t="s">
        <v>2544</v>
      </c>
    </row>
    <row r="600" customFormat="false" ht="15.75" hidden="false" customHeight="true" outlineLevel="0" collapsed="false">
      <c r="A600" s="17" t="s">
        <v>2516</v>
      </c>
      <c r="B600" s="17" t="s">
        <v>177</v>
      </c>
      <c r="C600" s="17" t="s">
        <v>2543</v>
      </c>
      <c r="D600" s="17" t="s">
        <v>158</v>
      </c>
      <c r="E600" s="17" t="s">
        <v>1049</v>
      </c>
      <c r="F600" s="18" t="n">
        <v>50000</v>
      </c>
      <c r="G600" s="17" t="s">
        <v>751</v>
      </c>
      <c r="H600" s="17" t="s">
        <v>1051</v>
      </c>
      <c r="I600" s="17" t="s">
        <v>2544</v>
      </c>
    </row>
    <row r="601" customFormat="false" ht="15.75" hidden="false" customHeight="true" outlineLevel="0" collapsed="false">
      <c r="A601" s="17" t="s">
        <v>2516</v>
      </c>
      <c r="B601" s="17" t="s">
        <v>170</v>
      </c>
      <c r="C601" s="17" t="s">
        <v>2543</v>
      </c>
      <c r="D601" s="17" t="s">
        <v>158</v>
      </c>
      <c r="E601" s="17" t="s">
        <v>1049</v>
      </c>
      <c r="F601" s="18" t="n">
        <v>74000</v>
      </c>
      <c r="G601" s="17" t="s">
        <v>753</v>
      </c>
      <c r="H601" s="17" t="s">
        <v>1051</v>
      </c>
      <c r="I601" s="17" t="s">
        <v>2544</v>
      </c>
    </row>
    <row r="602" customFormat="false" ht="15.75" hidden="false" customHeight="true" outlineLevel="0" collapsed="false">
      <c r="A602" s="17" t="s">
        <v>2516</v>
      </c>
      <c r="B602" s="17" t="s">
        <v>165</v>
      </c>
      <c r="C602" s="17" t="s">
        <v>2543</v>
      </c>
      <c r="D602" s="17" t="s">
        <v>151</v>
      </c>
      <c r="E602" s="17" t="s">
        <v>1045</v>
      </c>
      <c r="F602" s="18" t="n">
        <v>93834</v>
      </c>
      <c r="G602" s="17" t="s">
        <v>754</v>
      </c>
      <c r="H602" s="17" t="s">
        <v>1050</v>
      </c>
      <c r="I602" s="17" t="s">
        <v>2544</v>
      </c>
    </row>
    <row r="603" customFormat="false" ht="15.75" hidden="false" customHeight="true" outlineLevel="0" collapsed="false">
      <c r="A603" s="17" t="s">
        <v>2516</v>
      </c>
      <c r="B603" s="17" t="s">
        <v>152</v>
      </c>
      <c r="C603" s="17" t="s">
        <v>2543</v>
      </c>
      <c r="D603" s="17" t="s">
        <v>151</v>
      </c>
      <c r="E603" s="17" t="s">
        <v>1045</v>
      </c>
      <c r="F603" s="18" t="n">
        <v>233523</v>
      </c>
      <c r="G603" s="17" t="s">
        <v>755</v>
      </c>
      <c r="H603" s="17" t="s">
        <v>1050</v>
      </c>
      <c r="I603" s="17" t="s">
        <v>2544</v>
      </c>
    </row>
    <row r="604" customFormat="false" ht="15.75" hidden="false" customHeight="true" outlineLevel="0" collapsed="false">
      <c r="A604" s="17" t="s">
        <v>2516</v>
      </c>
      <c r="B604" s="17" t="s">
        <v>167</v>
      </c>
      <c r="C604" s="17" t="s">
        <v>2543</v>
      </c>
      <c r="D604" s="17" t="s">
        <v>151</v>
      </c>
      <c r="E604" s="17" t="s">
        <v>1045</v>
      </c>
      <c r="F604" s="18" t="n">
        <v>82000</v>
      </c>
      <c r="G604" s="17" t="s">
        <v>756</v>
      </c>
      <c r="H604" s="17" t="s">
        <v>1050</v>
      </c>
      <c r="I604" s="17" t="s">
        <v>2544</v>
      </c>
    </row>
    <row r="605" customFormat="false" ht="15.75" hidden="false" customHeight="true" outlineLevel="0" collapsed="false">
      <c r="A605" s="17" t="s">
        <v>2516</v>
      </c>
      <c r="B605" s="17" t="s">
        <v>178</v>
      </c>
      <c r="C605" s="17" t="s">
        <v>2543</v>
      </c>
      <c r="D605" s="17" t="s">
        <v>151</v>
      </c>
      <c r="E605" s="17" t="s">
        <v>1045</v>
      </c>
      <c r="F605" s="18" t="n">
        <v>50000</v>
      </c>
      <c r="G605" s="17" t="s">
        <v>757</v>
      </c>
      <c r="H605" s="17" t="s">
        <v>1050</v>
      </c>
      <c r="I605" s="17" t="s">
        <v>2544</v>
      </c>
    </row>
    <row r="606" customFormat="false" ht="15.75" hidden="false" customHeight="true" outlineLevel="0" collapsed="false">
      <c r="A606" s="17" t="s">
        <v>2516</v>
      </c>
      <c r="B606" s="17" t="s">
        <v>759</v>
      </c>
      <c r="C606" s="17" t="s">
        <v>2543</v>
      </c>
      <c r="D606" s="17" t="s">
        <v>758</v>
      </c>
      <c r="E606" s="17" t="s">
        <v>453</v>
      </c>
      <c r="F606" s="18" t="n">
        <v>500000</v>
      </c>
      <c r="G606" s="17" t="s">
        <v>760</v>
      </c>
      <c r="H606" s="17" t="s">
        <v>2545</v>
      </c>
      <c r="I606" s="17" t="s">
        <v>2544</v>
      </c>
    </row>
    <row r="607" customFormat="false" ht="15.75" hidden="false" customHeight="true" outlineLevel="0" collapsed="false">
      <c r="A607" s="17" t="s">
        <v>2516</v>
      </c>
      <c r="B607" s="17" t="s">
        <v>663</v>
      </c>
      <c r="C607" s="17" t="s">
        <v>2543</v>
      </c>
      <c r="D607" s="17" t="s">
        <v>380</v>
      </c>
      <c r="E607" s="17" t="s">
        <v>381</v>
      </c>
      <c r="F607" s="18" t="n">
        <v>107372</v>
      </c>
      <c r="G607" s="17" t="s">
        <v>761</v>
      </c>
      <c r="H607" s="17" t="s">
        <v>1050</v>
      </c>
      <c r="I607" s="17" t="s">
        <v>2544</v>
      </c>
    </row>
    <row r="608" customFormat="false" ht="15.75" hidden="false" customHeight="true" outlineLevel="0" collapsed="false">
      <c r="A608" s="17" t="s">
        <v>2516</v>
      </c>
      <c r="B608" s="17" t="s">
        <v>670</v>
      </c>
      <c r="C608" s="17" t="s">
        <v>2543</v>
      </c>
      <c r="D608" s="17" t="s">
        <v>427</v>
      </c>
      <c r="E608" s="17" t="s">
        <v>428</v>
      </c>
      <c r="F608" s="18" t="n">
        <v>70000</v>
      </c>
      <c r="G608" s="17" t="s">
        <v>762</v>
      </c>
      <c r="H608" s="17" t="s">
        <v>1050</v>
      </c>
      <c r="I608" s="17" t="s">
        <v>2544</v>
      </c>
    </row>
    <row r="609" customFormat="false" ht="15.75" hidden="false" customHeight="true" outlineLevel="0" collapsed="false">
      <c r="A609" s="17" t="s">
        <v>2516</v>
      </c>
      <c r="B609" s="17" t="s">
        <v>1054</v>
      </c>
      <c r="C609" s="17" t="s">
        <v>2543</v>
      </c>
      <c r="D609" s="17" t="s">
        <v>427</v>
      </c>
      <c r="E609" s="17" t="s">
        <v>428</v>
      </c>
      <c r="F609" s="18" t="n">
        <v>37500</v>
      </c>
      <c r="G609" s="17" t="s">
        <v>764</v>
      </c>
      <c r="H609" s="17" t="s">
        <v>1050</v>
      </c>
      <c r="I609" s="17" t="s">
        <v>2544</v>
      </c>
    </row>
    <row r="610" customFormat="false" ht="15.75" hidden="false" customHeight="true" outlineLevel="0" collapsed="false">
      <c r="A610" s="17" t="s">
        <v>2516</v>
      </c>
      <c r="B610" s="17" t="s">
        <v>1055</v>
      </c>
      <c r="C610" s="17" t="s">
        <v>2543</v>
      </c>
      <c r="D610" s="17" t="s">
        <v>1056</v>
      </c>
      <c r="E610" s="17" t="s">
        <v>278</v>
      </c>
      <c r="F610" s="18" t="n">
        <v>8333</v>
      </c>
      <c r="G610" s="17" t="s">
        <v>725</v>
      </c>
      <c r="H610" s="17" t="s">
        <v>1050</v>
      </c>
      <c r="I610" s="17" t="s">
        <v>2544</v>
      </c>
    </row>
    <row r="611" customFormat="false" ht="15.75" hidden="false" customHeight="true" outlineLevel="0" collapsed="false">
      <c r="A611" s="17" t="s">
        <v>2516</v>
      </c>
      <c r="B611" s="17" t="s">
        <v>1055</v>
      </c>
      <c r="C611" s="17" t="s">
        <v>2543</v>
      </c>
      <c r="D611" s="17" t="s">
        <v>1057</v>
      </c>
      <c r="E611" s="17" t="s">
        <v>278</v>
      </c>
      <c r="F611" s="18" t="n">
        <v>8333</v>
      </c>
      <c r="G611" s="17" t="s">
        <v>725</v>
      </c>
      <c r="H611" s="17" t="s">
        <v>1050</v>
      </c>
      <c r="I611" s="17" t="s">
        <v>2544</v>
      </c>
    </row>
    <row r="612" customFormat="false" ht="15.75" hidden="false" customHeight="true" outlineLevel="0" collapsed="false">
      <c r="A612" s="17" t="s">
        <v>2516</v>
      </c>
      <c r="B612" s="17" t="s">
        <v>1055</v>
      </c>
      <c r="C612" s="17" t="s">
        <v>2543</v>
      </c>
      <c r="D612" s="17" t="s">
        <v>1058</v>
      </c>
      <c r="E612" s="17" t="s">
        <v>278</v>
      </c>
      <c r="F612" s="18" t="n">
        <v>8333</v>
      </c>
      <c r="G612" s="17" t="s">
        <v>725</v>
      </c>
      <c r="H612" s="17" t="s">
        <v>1050</v>
      </c>
      <c r="I612" s="17" t="s">
        <v>2544</v>
      </c>
    </row>
    <row r="613" customFormat="false" ht="15.75" hidden="false" customHeight="true" outlineLevel="0" collapsed="false">
      <c r="A613" s="17" t="s">
        <v>2516</v>
      </c>
      <c r="B613" s="17" t="s">
        <v>1055</v>
      </c>
      <c r="C613" s="17" t="s">
        <v>2543</v>
      </c>
      <c r="D613" s="17" t="s">
        <v>1059</v>
      </c>
      <c r="E613" s="17" t="s">
        <v>278</v>
      </c>
      <c r="F613" s="18" t="n">
        <v>8333</v>
      </c>
      <c r="G613" s="17" t="s">
        <v>725</v>
      </c>
      <c r="H613" s="17" t="s">
        <v>1050</v>
      </c>
      <c r="I613" s="17" t="s">
        <v>2544</v>
      </c>
    </row>
    <row r="614" customFormat="false" ht="15.75" hidden="false" customHeight="true" outlineLevel="0" collapsed="false">
      <c r="A614" s="17" t="s">
        <v>2516</v>
      </c>
      <c r="B614" s="17" t="s">
        <v>1055</v>
      </c>
      <c r="C614" s="17" t="s">
        <v>2543</v>
      </c>
      <c r="D614" s="17" t="s">
        <v>1060</v>
      </c>
      <c r="E614" s="17" t="s">
        <v>278</v>
      </c>
      <c r="F614" s="18" t="n">
        <v>8333</v>
      </c>
      <c r="G614" s="17" t="s">
        <v>725</v>
      </c>
      <c r="H614" s="17" t="s">
        <v>1050</v>
      </c>
      <c r="I614" s="17" t="s">
        <v>2544</v>
      </c>
    </row>
    <row r="615" customFormat="false" ht="15.75" hidden="false" customHeight="true" outlineLevel="0" collapsed="false">
      <c r="A615" s="17" t="s">
        <v>2516</v>
      </c>
      <c r="B615" s="17" t="s">
        <v>1061</v>
      </c>
      <c r="C615" s="17" t="s">
        <v>2543</v>
      </c>
      <c r="D615" s="17" t="s">
        <v>225</v>
      </c>
      <c r="E615" s="17" t="s">
        <v>226</v>
      </c>
      <c r="F615" s="18" t="n">
        <v>10000</v>
      </c>
      <c r="G615" s="17" t="s">
        <v>767</v>
      </c>
      <c r="H615" s="17" t="s">
        <v>1050</v>
      </c>
      <c r="I615" s="17" t="s">
        <v>2544</v>
      </c>
    </row>
    <row r="616" customFormat="false" ht="15.75" hidden="false" customHeight="true" outlineLevel="0" collapsed="false">
      <c r="A616" s="17" t="s">
        <v>2516</v>
      </c>
      <c r="B616" s="17" t="s">
        <v>1061</v>
      </c>
      <c r="C616" s="17" t="s">
        <v>2543</v>
      </c>
      <c r="D616" s="17" t="s">
        <v>225</v>
      </c>
      <c r="E616" s="17" t="s">
        <v>226</v>
      </c>
      <c r="F616" s="18" t="n">
        <v>25000</v>
      </c>
      <c r="G616" s="17" t="s">
        <v>767</v>
      </c>
      <c r="H616" s="17" t="s">
        <v>1050</v>
      </c>
      <c r="I616" s="17" t="s">
        <v>2544</v>
      </c>
    </row>
    <row r="617" customFormat="false" ht="15.75" hidden="false" customHeight="true" outlineLevel="0" collapsed="false">
      <c r="A617" s="17" t="s">
        <v>2516</v>
      </c>
      <c r="B617" s="17" t="s">
        <v>147</v>
      </c>
      <c r="C617" s="17" t="s">
        <v>2543</v>
      </c>
      <c r="D617" s="17" t="s">
        <v>290</v>
      </c>
      <c r="E617" s="17" t="s">
        <v>291</v>
      </c>
      <c r="F617" s="18" t="n">
        <v>50000</v>
      </c>
      <c r="G617" s="17" t="s">
        <v>768</v>
      </c>
      <c r="H617" s="17" t="s">
        <v>1050</v>
      </c>
      <c r="I617" s="17" t="s">
        <v>2544</v>
      </c>
    </row>
    <row r="618" customFormat="false" ht="15.75" hidden="false" customHeight="true" outlineLevel="0" collapsed="false">
      <c r="A618" s="17" t="s">
        <v>2516</v>
      </c>
      <c r="B618" s="17" t="s">
        <v>769</v>
      </c>
      <c r="C618" s="17" t="s">
        <v>2543</v>
      </c>
      <c r="D618" s="17" t="s">
        <v>290</v>
      </c>
      <c r="E618" s="17" t="s">
        <v>291</v>
      </c>
      <c r="F618" s="18" t="n">
        <v>25000</v>
      </c>
      <c r="G618" s="17" t="s">
        <v>770</v>
      </c>
      <c r="H618" s="17" t="s">
        <v>1050</v>
      </c>
      <c r="I618" s="17" t="s">
        <v>2544</v>
      </c>
    </row>
    <row r="619" customFormat="false" ht="15.75" hidden="false" customHeight="true" outlineLevel="0" collapsed="false">
      <c r="A619" s="17" t="s">
        <v>2516</v>
      </c>
      <c r="B619" s="17" t="s">
        <v>769</v>
      </c>
      <c r="C619" s="17" t="s">
        <v>2543</v>
      </c>
      <c r="D619" s="17" t="s">
        <v>563</v>
      </c>
      <c r="E619" s="17" t="s">
        <v>564</v>
      </c>
      <c r="F619" s="18" t="n">
        <v>25000</v>
      </c>
      <c r="G619" s="17" t="s">
        <v>770</v>
      </c>
      <c r="H619" s="17" t="s">
        <v>1050</v>
      </c>
      <c r="I619" s="17" t="s">
        <v>2544</v>
      </c>
    </row>
    <row r="620" customFormat="false" ht="15.75" hidden="false" customHeight="true" outlineLevel="0" collapsed="false">
      <c r="A620" s="17" t="s">
        <v>2516</v>
      </c>
      <c r="B620" s="17" t="s">
        <v>772</v>
      </c>
      <c r="C620" s="17" t="s">
        <v>2543</v>
      </c>
      <c r="D620" s="17" t="s">
        <v>771</v>
      </c>
      <c r="E620" s="17" t="s">
        <v>512</v>
      </c>
      <c r="F620" s="18" t="n">
        <v>35000</v>
      </c>
      <c r="G620" s="17" t="s">
        <v>773</v>
      </c>
      <c r="H620" s="17" t="s">
        <v>1050</v>
      </c>
      <c r="I620" s="17" t="s">
        <v>2544</v>
      </c>
    </row>
    <row r="621" customFormat="false" ht="15.75" hidden="false" customHeight="true" outlineLevel="0" collapsed="false">
      <c r="A621" s="17" t="s">
        <v>2516</v>
      </c>
      <c r="B621" s="17" t="s">
        <v>772</v>
      </c>
      <c r="C621" s="17" t="s">
        <v>2543</v>
      </c>
      <c r="D621" s="17" t="s">
        <v>774</v>
      </c>
      <c r="E621" s="17" t="s">
        <v>1045</v>
      </c>
      <c r="F621" s="18" t="n">
        <v>18213</v>
      </c>
      <c r="G621" s="17" t="s">
        <v>773</v>
      </c>
      <c r="H621" s="17" t="s">
        <v>1050</v>
      </c>
      <c r="I621" s="17" t="s">
        <v>2544</v>
      </c>
    </row>
    <row r="622" customFormat="false" ht="15.75" hidden="false" customHeight="true" outlineLevel="0" collapsed="false">
      <c r="A622" s="17" t="s">
        <v>2516</v>
      </c>
      <c r="B622" s="17" t="s">
        <v>181</v>
      </c>
      <c r="C622" s="17" t="s">
        <v>2543</v>
      </c>
      <c r="D622" s="17" t="s">
        <v>180</v>
      </c>
      <c r="E622" s="17" t="s">
        <v>1045</v>
      </c>
      <c r="F622" s="18" t="n">
        <v>25000</v>
      </c>
      <c r="G622" s="17" t="s">
        <v>776</v>
      </c>
      <c r="H622" s="17" t="s">
        <v>1050</v>
      </c>
      <c r="I622" s="17" t="s">
        <v>2544</v>
      </c>
    </row>
    <row r="623" customFormat="false" ht="15.75" hidden="false" customHeight="true" outlineLevel="0" collapsed="false">
      <c r="D623" s="12" t="s">
        <v>2546</v>
      </c>
      <c r="F623" s="13" t="n">
        <f aca="false">SUM(F597:F622)</f>
        <v>1703107</v>
      </c>
    </row>
    <row r="624" customFormat="false" ht="15.75" hidden="false" customHeight="true" outlineLevel="0" collapsed="false">
      <c r="D624" s="12" t="s">
        <v>2547</v>
      </c>
      <c r="F624" s="13" t="n">
        <f aca="false">F596+F623</f>
        <v>17899347</v>
      </c>
    </row>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5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54"/>
    <col collapsed="false" customWidth="true" hidden="false" outlineLevel="0" max="2" min="2" style="1" width="83"/>
    <col collapsed="false" customWidth="true" hidden="false" outlineLevel="0" max="3" min="3" style="1" width="26.71"/>
    <col collapsed="false" customWidth="true" hidden="false" outlineLevel="0" max="4" min="4" style="1" width="56"/>
    <col collapsed="false" customWidth="true" hidden="false" outlineLevel="0" max="5" min="5" style="1" width="16"/>
    <col collapsed="false" customWidth="true" hidden="false" outlineLevel="0" max="26" min="6" style="1" width="8.71"/>
  </cols>
  <sheetData>
    <row r="1" customFormat="false" ht="15.75" hidden="false" customHeight="true" outlineLevel="0" collapsed="false">
      <c r="A1" s="123" t="s">
        <v>2548</v>
      </c>
      <c r="B1" s="123"/>
      <c r="C1" s="123"/>
      <c r="D1" s="124"/>
      <c r="E1" s="124"/>
      <c r="F1" s="124"/>
    </row>
    <row r="2" customFormat="false" ht="15" hidden="false" customHeight="true" outlineLevel="0" collapsed="false">
      <c r="A2" s="125" t="s">
        <v>2549</v>
      </c>
      <c r="B2" s="125"/>
      <c r="C2" s="125"/>
      <c r="D2" s="125"/>
      <c r="E2" s="125"/>
      <c r="F2" s="125"/>
    </row>
    <row r="3" customFormat="false" ht="15" hidden="false" customHeight="true" outlineLevel="0" collapsed="false">
      <c r="A3" s="126" t="s">
        <v>2550</v>
      </c>
      <c r="B3" s="126"/>
      <c r="C3" s="126"/>
      <c r="D3" s="126"/>
      <c r="E3" s="126"/>
      <c r="F3" s="126"/>
    </row>
    <row r="4" customFormat="false" ht="15" hidden="false" customHeight="true" outlineLevel="0" collapsed="false">
      <c r="A4" s="127" t="s">
        <v>131</v>
      </c>
      <c r="B4" s="127" t="s">
        <v>573</v>
      </c>
      <c r="C4" s="128" t="s">
        <v>190</v>
      </c>
      <c r="D4" s="127" t="s">
        <v>72</v>
      </c>
      <c r="E4" s="127" t="s">
        <v>2551</v>
      </c>
      <c r="F4" s="127" t="s">
        <v>1730</v>
      </c>
    </row>
    <row r="5" customFormat="false" ht="15" hidden="false" customHeight="true" outlineLevel="0" collapsed="false">
      <c r="A5" s="129" t="s">
        <v>162</v>
      </c>
      <c r="B5" s="129" t="s">
        <v>695</v>
      </c>
      <c r="C5" s="130" t="s">
        <v>1079</v>
      </c>
      <c r="D5" s="131" t="n">
        <v>646666</v>
      </c>
      <c r="E5" s="129" t="s">
        <v>660</v>
      </c>
      <c r="F5" s="132" t="s">
        <v>696</v>
      </c>
    </row>
    <row r="6" customFormat="false" ht="15" hidden="false" customHeight="true" outlineLevel="0" collapsed="false">
      <c r="A6" s="129" t="s">
        <v>162</v>
      </c>
      <c r="B6" s="129" t="s">
        <v>161</v>
      </c>
      <c r="C6" s="130" t="s">
        <v>952</v>
      </c>
      <c r="D6" s="131" t="n">
        <v>100000</v>
      </c>
      <c r="E6" s="129" t="s">
        <v>660</v>
      </c>
      <c r="F6" s="132" t="s">
        <v>696</v>
      </c>
    </row>
    <row r="7" customFormat="false" ht="15" hidden="false" customHeight="true" outlineLevel="0" collapsed="false">
      <c r="A7" s="133"/>
      <c r="B7" s="134" t="s">
        <v>2552</v>
      </c>
      <c r="C7" s="135"/>
      <c r="D7" s="136" t="n">
        <v>746666</v>
      </c>
      <c r="E7" s="133"/>
      <c r="F7" s="133"/>
    </row>
    <row r="8" customFormat="false" ht="15" hidden="false" customHeight="true" outlineLevel="0" collapsed="false">
      <c r="A8" s="129" t="s">
        <v>146</v>
      </c>
      <c r="B8" s="129" t="s">
        <v>145</v>
      </c>
      <c r="C8" s="130" t="s">
        <v>369</v>
      </c>
      <c r="D8" s="131" t="n">
        <v>363752</v>
      </c>
      <c r="E8" s="129" t="s">
        <v>660</v>
      </c>
      <c r="F8" s="132" t="s">
        <v>702</v>
      </c>
    </row>
    <row r="9" customFormat="false" ht="15" hidden="false" customHeight="true" outlineLevel="0" collapsed="false">
      <c r="A9" s="129" t="s">
        <v>146</v>
      </c>
      <c r="B9" s="129" t="s">
        <v>657</v>
      </c>
      <c r="C9" s="130" t="s">
        <v>246</v>
      </c>
      <c r="D9" s="131" t="n">
        <v>101338</v>
      </c>
      <c r="E9" s="129" t="s">
        <v>660</v>
      </c>
      <c r="F9" s="132" t="s">
        <v>702</v>
      </c>
    </row>
    <row r="10" customFormat="false" ht="15" hidden="false" customHeight="true" outlineLevel="0" collapsed="false">
      <c r="A10" s="133"/>
      <c r="B10" s="134" t="s">
        <v>2553</v>
      </c>
      <c r="C10" s="135"/>
      <c r="D10" s="136" t="n">
        <v>465090</v>
      </c>
      <c r="E10" s="133"/>
      <c r="F10" s="133"/>
    </row>
    <row r="11" customFormat="false" ht="15" hidden="false" customHeight="true" outlineLevel="0" collapsed="false">
      <c r="A11" s="129" t="s">
        <v>143</v>
      </c>
      <c r="B11" s="129" t="s">
        <v>142</v>
      </c>
      <c r="C11" s="130" t="s">
        <v>441</v>
      </c>
      <c r="D11" s="131" t="n">
        <v>444375</v>
      </c>
      <c r="E11" s="129" t="s">
        <v>660</v>
      </c>
      <c r="F11" s="132" t="s">
        <v>708</v>
      </c>
    </row>
    <row r="12" customFormat="false" ht="15" hidden="false" customHeight="true" outlineLevel="0" collapsed="false">
      <c r="A12" s="133"/>
      <c r="B12" s="134" t="s">
        <v>2554</v>
      </c>
      <c r="C12" s="135"/>
      <c r="D12" s="136" t="n">
        <v>444375</v>
      </c>
      <c r="E12" s="133"/>
      <c r="F12" s="133"/>
    </row>
    <row r="13" customFormat="false" ht="15" hidden="false" customHeight="true" outlineLevel="0" collapsed="false">
      <c r="A13" s="129" t="s">
        <v>658</v>
      </c>
      <c r="B13" s="129" t="s">
        <v>657</v>
      </c>
      <c r="C13" s="130" t="s">
        <v>246</v>
      </c>
      <c r="D13" s="131" t="n">
        <v>400628</v>
      </c>
      <c r="E13" s="129" t="s">
        <v>660</v>
      </c>
      <c r="F13" s="132" t="s">
        <v>659</v>
      </c>
    </row>
    <row r="14" customFormat="false" ht="15" hidden="false" customHeight="true" outlineLevel="0" collapsed="false">
      <c r="A14" s="133"/>
      <c r="B14" s="134" t="s">
        <v>2555</v>
      </c>
      <c r="C14" s="135"/>
      <c r="D14" s="136" t="n">
        <v>400628</v>
      </c>
      <c r="E14" s="133"/>
      <c r="F14" s="133"/>
    </row>
    <row r="15" customFormat="false" ht="15" hidden="false" customHeight="true" outlineLevel="0" collapsed="false">
      <c r="A15" s="129" t="s">
        <v>147</v>
      </c>
      <c r="B15" s="129" t="s">
        <v>145</v>
      </c>
      <c r="C15" s="130" t="s">
        <v>369</v>
      </c>
      <c r="D15" s="131" t="n">
        <v>350000</v>
      </c>
      <c r="E15" s="129" t="s">
        <v>660</v>
      </c>
      <c r="F15" s="132" t="s">
        <v>727</v>
      </c>
    </row>
    <row r="16" customFormat="false" ht="15" hidden="false" customHeight="true" outlineLevel="0" collapsed="false">
      <c r="A16" s="133"/>
      <c r="B16" s="134" t="s">
        <v>2556</v>
      </c>
      <c r="C16" s="135"/>
      <c r="D16" s="136" t="n">
        <v>350000</v>
      </c>
      <c r="E16" s="133"/>
      <c r="F16" s="133"/>
    </row>
    <row r="17" customFormat="false" ht="15" hidden="false" customHeight="true" outlineLevel="0" collapsed="false">
      <c r="A17" s="129" t="s">
        <v>2557</v>
      </c>
      <c r="B17" s="129" t="s">
        <v>672</v>
      </c>
      <c r="C17" s="130" t="s">
        <v>251</v>
      </c>
      <c r="D17" s="131" t="n">
        <v>335000</v>
      </c>
      <c r="E17" s="129" t="s">
        <v>660</v>
      </c>
      <c r="F17" s="132" t="s">
        <v>674</v>
      </c>
    </row>
    <row r="18" customFormat="false" ht="15" hidden="false" customHeight="true" outlineLevel="0" collapsed="false">
      <c r="A18" s="133"/>
      <c r="B18" s="137" t="s">
        <v>2558</v>
      </c>
      <c r="C18" s="137"/>
      <c r="D18" s="136" t="n">
        <v>335000</v>
      </c>
      <c r="E18" s="133"/>
      <c r="F18" s="133"/>
    </row>
    <row r="19" customFormat="false" ht="15" hidden="false" customHeight="true" outlineLevel="0" collapsed="false">
      <c r="A19" s="129" t="s">
        <v>148</v>
      </c>
      <c r="B19" s="129" t="s">
        <v>142</v>
      </c>
      <c r="C19" s="130" t="s">
        <v>441</v>
      </c>
      <c r="D19" s="131" t="n">
        <v>320000</v>
      </c>
      <c r="E19" s="129" t="s">
        <v>660</v>
      </c>
      <c r="F19" s="132" t="s">
        <v>732</v>
      </c>
    </row>
    <row r="20" customFormat="false" ht="15" hidden="false" customHeight="true" outlineLevel="0" collapsed="false">
      <c r="A20" s="133"/>
      <c r="B20" s="134" t="s">
        <v>2559</v>
      </c>
      <c r="C20" s="135"/>
      <c r="D20" s="136" t="n">
        <v>320000</v>
      </c>
      <c r="E20" s="133"/>
      <c r="F20" s="133"/>
    </row>
    <row r="21" customFormat="false" ht="15" hidden="false" customHeight="true" outlineLevel="0" collapsed="false">
      <c r="A21" s="129" t="s">
        <v>150</v>
      </c>
      <c r="B21" s="129" t="s">
        <v>149</v>
      </c>
      <c r="C21" s="130" t="s">
        <v>1081</v>
      </c>
      <c r="D21" s="131" t="n">
        <v>259000</v>
      </c>
      <c r="E21" s="129" t="s">
        <v>660</v>
      </c>
      <c r="F21" s="132" t="s">
        <v>689</v>
      </c>
    </row>
    <row r="22" customFormat="false" ht="15" hidden="false" customHeight="true" outlineLevel="0" collapsed="false">
      <c r="A22" s="133"/>
      <c r="B22" s="137" t="s">
        <v>2560</v>
      </c>
      <c r="C22" s="137"/>
      <c r="D22" s="136" t="n">
        <v>259000</v>
      </c>
      <c r="E22" s="133"/>
      <c r="F22" s="133"/>
    </row>
    <row r="23" customFormat="false" ht="15" hidden="false" customHeight="true" outlineLevel="0" collapsed="false">
      <c r="A23" s="129" t="s">
        <v>2561</v>
      </c>
      <c r="B23" s="129" t="s">
        <v>168</v>
      </c>
      <c r="C23" s="130" t="s">
        <v>222</v>
      </c>
      <c r="D23" s="131" t="n">
        <v>80000</v>
      </c>
      <c r="E23" s="129" t="s">
        <v>660</v>
      </c>
      <c r="F23" s="132" t="s">
        <v>734</v>
      </c>
    </row>
    <row r="24" customFormat="false" ht="15" hidden="false" customHeight="true" outlineLevel="0" collapsed="false">
      <c r="A24" s="129" t="s">
        <v>2561</v>
      </c>
      <c r="B24" s="129" t="s">
        <v>2539</v>
      </c>
      <c r="C24" s="130" t="s">
        <v>291</v>
      </c>
      <c r="D24" s="131" t="n">
        <v>40000</v>
      </c>
      <c r="E24" s="129" t="s">
        <v>660</v>
      </c>
      <c r="F24" s="132" t="s">
        <v>734</v>
      </c>
    </row>
    <row r="25" customFormat="false" ht="15" hidden="false" customHeight="true" outlineLevel="0" collapsed="false">
      <c r="A25" s="129" t="s">
        <v>2561</v>
      </c>
      <c r="B25" s="129" t="s">
        <v>2540</v>
      </c>
      <c r="C25" s="130" t="s">
        <v>291</v>
      </c>
      <c r="D25" s="131" t="n">
        <v>40000</v>
      </c>
      <c r="E25" s="129" t="s">
        <v>660</v>
      </c>
      <c r="F25" s="132" t="s">
        <v>734</v>
      </c>
    </row>
    <row r="26" customFormat="false" ht="15" hidden="false" customHeight="true" outlineLevel="0" collapsed="false">
      <c r="A26" s="129" t="s">
        <v>2561</v>
      </c>
      <c r="B26" s="129" t="s">
        <v>737</v>
      </c>
      <c r="C26" s="130" t="s">
        <v>351</v>
      </c>
      <c r="D26" s="131" t="n">
        <v>18000</v>
      </c>
      <c r="E26" s="129" t="s">
        <v>660</v>
      </c>
      <c r="F26" s="132" t="s">
        <v>738</v>
      </c>
    </row>
    <row r="27" customFormat="false" ht="15" hidden="false" customHeight="true" outlineLevel="0" collapsed="false">
      <c r="A27" s="129" t="s">
        <v>2561</v>
      </c>
      <c r="B27" s="129" t="s">
        <v>2541</v>
      </c>
      <c r="C27" s="130" t="s">
        <v>351</v>
      </c>
      <c r="D27" s="131" t="n">
        <v>18000</v>
      </c>
      <c r="E27" s="129" t="s">
        <v>660</v>
      </c>
      <c r="F27" s="132" t="s">
        <v>738</v>
      </c>
    </row>
    <row r="28" customFormat="false" ht="15" hidden="false" customHeight="true" outlineLevel="0" collapsed="false">
      <c r="A28" s="129" t="s">
        <v>2561</v>
      </c>
      <c r="B28" s="129" t="s">
        <v>350</v>
      </c>
      <c r="C28" s="130" t="s">
        <v>351</v>
      </c>
      <c r="D28" s="131" t="n">
        <v>6000</v>
      </c>
      <c r="E28" s="129" t="s">
        <v>660</v>
      </c>
      <c r="F28" s="132" t="s">
        <v>738</v>
      </c>
    </row>
    <row r="29" customFormat="false" ht="15" hidden="false" customHeight="true" outlineLevel="0" collapsed="false">
      <c r="A29" s="133"/>
      <c r="B29" s="137" t="s">
        <v>2562</v>
      </c>
      <c r="C29" s="137"/>
      <c r="D29" s="136" t="n">
        <v>202000</v>
      </c>
      <c r="E29" s="133"/>
      <c r="F29" s="133"/>
    </row>
    <row r="30" customFormat="false" ht="15" hidden="false" customHeight="true" outlineLevel="0" collapsed="false">
      <c r="A30" s="129" t="s">
        <v>2563</v>
      </c>
      <c r="B30" s="129" t="s">
        <v>617</v>
      </c>
      <c r="C30" s="130" t="s">
        <v>205</v>
      </c>
      <c r="D30" s="131" t="n">
        <v>200000</v>
      </c>
      <c r="E30" s="129" t="s">
        <v>660</v>
      </c>
      <c r="F30" s="132" t="s">
        <v>669</v>
      </c>
    </row>
    <row r="31" customFormat="false" ht="15" hidden="false" customHeight="true" outlineLevel="0" collapsed="false">
      <c r="A31" s="133"/>
      <c r="B31" s="137" t="s">
        <v>2564</v>
      </c>
      <c r="C31" s="137"/>
      <c r="D31" s="136" t="n">
        <v>200000</v>
      </c>
      <c r="E31" s="133"/>
      <c r="F31" s="133"/>
    </row>
    <row r="32" customFormat="false" ht="15" hidden="false" customHeight="true" outlineLevel="0" collapsed="false">
      <c r="A32" s="129" t="s">
        <v>680</v>
      </c>
      <c r="B32" s="129" t="s">
        <v>679</v>
      </c>
      <c r="C32" s="130" t="s">
        <v>1079</v>
      </c>
      <c r="D32" s="131" t="n">
        <v>100000</v>
      </c>
      <c r="E32" s="129" t="s">
        <v>660</v>
      </c>
      <c r="F32" s="132" t="s">
        <v>681</v>
      </c>
    </row>
    <row r="33" customFormat="false" ht="15" hidden="false" customHeight="true" outlineLevel="0" collapsed="false">
      <c r="A33" s="129" t="s">
        <v>680</v>
      </c>
      <c r="B33" s="129" t="s">
        <v>2523</v>
      </c>
      <c r="C33" s="130" t="s">
        <v>1112</v>
      </c>
      <c r="D33" s="131" t="n">
        <v>50000</v>
      </c>
      <c r="E33" s="129" t="s">
        <v>660</v>
      </c>
      <c r="F33" s="132" t="s">
        <v>681</v>
      </c>
    </row>
    <row r="34" customFormat="false" ht="15" hidden="false" customHeight="true" outlineLevel="0" collapsed="false">
      <c r="A34" s="138" t="s">
        <v>680</v>
      </c>
      <c r="B34" s="138" t="s">
        <v>2524</v>
      </c>
      <c r="C34" s="139" t="s">
        <v>1136</v>
      </c>
      <c r="D34" s="140" t="n">
        <v>50000</v>
      </c>
      <c r="E34" s="141" t="s">
        <v>684</v>
      </c>
      <c r="F34" s="142" t="s">
        <v>681</v>
      </c>
    </row>
    <row r="35" customFormat="false" ht="15" hidden="false" customHeight="true" outlineLevel="0" collapsed="false">
      <c r="A35" s="133"/>
      <c r="B35" s="134" t="s">
        <v>2565</v>
      </c>
      <c r="C35" s="135"/>
      <c r="D35" s="136" t="n">
        <v>200000</v>
      </c>
      <c r="E35" s="133"/>
      <c r="F35" s="133"/>
    </row>
    <row r="36" customFormat="false" ht="15" hidden="false" customHeight="true" outlineLevel="0" collapsed="false">
      <c r="A36" s="129" t="s">
        <v>663</v>
      </c>
      <c r="B36" s="129" t="s">
        <v>404</v>
      </c>
      <c r="C36" s="130" t="s">
        <v>405</v>
      </c>
      <c r="D36" s="131" t="n">
        <v>109012</v>
      </c>
      <c r="E36" s="129" t="s">
        <v>660</v>
      </c>
      <c r="F36" s="132" t="s">
        <v>664</v>
      </c>
    </row>
    <row r="37" customFormat="false" ht="15" hidden="false" customHeight="true" outlineLevel="0" collapsed="false">
      <c r="A37" s="129" t="s">
        <v>663</v>
      </c>
      <c r="B37" s="129" t="s">
        <v>657</v>
      </c>
      <c r="C37" s="130" t="s">
        <v>246</v>
      </c>
      <c r="D37" s="131" t="n">
        <v>50000</v>
      </c>
      <c r="E37" s="129" t="s">
        <v>660</v>
      </c>
      <c r="F37" s="132" t="s">
        <v>664</v>
      </c>
    </row>
    <row r="38" customFormat="false" ht="15" hidden="false" customHeight="true" outlineLevel="0" collapsed="false">
      <c r="A38" s="129" t="s">
        <v>663</v>
      </c>
      <c r="B38" s="129" t="s">
        <v>326</v>
      </c>
      <c r="C38" s="130" t="s">
        <v>327</v>
      </c>
      <c r="D38" s="131" t="n">
        <v>25000</v>
      </c>
      <c r="E38" s="129" t="s">
        <v>660</v>
      </c>
      <c r="F38" s="132" t="s">
        <v>664</v>
      </c>
    </row>
    <row r="39" customFormat="false" ht="15" hidden="false" customHeight="true" outlineLevel="0" collapsed="false">
      <c r="A39" s="133"/>
      <c r="B39" s="134" t="s">
        <v>2566</v>
      </c>
      <c r="C39" s="135"/>
      <c r="D39" s="136" t="n">
        <v>184012</v>
      </c>
      <c r="E39" s="133"/>
      <c r="F39" s="133"/>
    </row>
    <row r="40" customFormat="false" ht="15" hidden="false" customHeight="true" outlineLevel="0" collapsed="false">
      <c r="A40" s="129" t="s">
        <v>728</v>
      </c>
      <c r="B40" s="129" t="s">
        <v>657</v>
      </c>
      <c r="C40" s="130" t="s">
        <v>246</v>
      </c>
      <c r="D40" s="131" t="n">
        <v>167284</v>
      </c>
      <c r="E40" s="129" t="s">
        <v>660</v>
      </c>
      <c r="F40" s="132" t="s">
        <v>729</v>
      </c>
    </row>
    <row r="41" customFormat="false" ht="15" hidden="false" customHeight="true" outlineLevel="0" collapsed="false">
      <c r="A41" s="133"/>
      <c r="B41" s="134" t="s">
        <v>2567</v>
      </c>
      <c r="C41" s="135"/>
      <c r="D41" s="136" t="n">
        <v>167284</v>
      </c>
      <c r="E41" s="133"/>
      <c r="F41" s="133"/>
    </row>
    <row r="42" customFormat="false" ht="15" hidden="false" customHeight="true" outlineLevel="0" collapsed="false">
      <c r="A42" s="129" t="s">
        <v>2568</v>
      </c>
      <c r="B42" s="129" t="s">
        <v>679</v>
      </c>
      <c r="C42" s="130" t="s">
        <v>1079</v>
      </c>
      <c r="D42" s="131" t="n">
        <v>150000</v>
      </c>
      <c r="E42" s="129" t="s">
        <v>660</v>
      </c>
      <c r="F42" s="132" t="s">
        <v>716</v>
      </c>
    </row>
    <row r="43" customFormat="false" ht="15" hidden="false" customHeight="true" outlineLevel="0" collapsed="false">
      <c r="A43" s="133"/>
      <c r="B43" s="137" t="s">
        <v>2569</v>
      </c>
      <c r="C43" s="137"/>
      <c r="D43" s="136" t="n">
        <v>150000</v>
      </c>
      <c r="E43" s="133"/>
      <c r="F43" s="133"/>
    </row>
    <row r="44" customFormat="false" ht="15" hidden="false" customHeight="true" outlineLevel="0" collapsed="false">
      <c r="A44" s="129" t="s">
        <v>2570</v>
      </c>
      <c r="B44" s="129" t="s">
        <v>617</v>
      </c>
      <c r="C44" s="130" t="s">
        <v>205</v>
      </c>
      <c r="D44" s="131" t="n">
        <v>130265</v>
      </c>
      <c r="E44" s="129" t="s">
        <v>660</v>
      </c>
      <c r="F44" s="132" t="s">
        <v>667</v>
      </c>
    </row>
    <row r="45" customFormat="false" ht="15" hidden="false" customHeight="true" outlineLevel="0" collapsed="false">
      <c r="A45" s="133"/>
      <c r="B45" s="137" t="s">
        <v>2571</v>
      </c>
      <c r="C45" s="137"/>
      <c r="D45" s="136" t="n">
        <v>130265</v>
      </c>
      <c r="E45" s="133"/>
      <c r="F45" s="133"/>
    </row>
    <row r="46" customFormat="false" ht="15" hidden="false" customHeight="true" outlineLevel="0" collapsed="false">
      <c r="A46" s="129" t="s">
        <v>153</v>
      </c>
      <c r="B46" s="129" t="s">
        <v>142</v>
      </c>
      <c r="C46" s="130" t="s">
        <v>441</v>
      </c>
      <c r="D46" s="131" t="n">
        <v>130000</v>
      </c>
      <c r="E46" s="129" t="s">
        <v>660</v>
      </c>
      <c r="F46" s="132" t="s">
        <v>712</v>
      </c>
    </row>
    <row r="47" customFormat="false" ht="15.75" hidden="false" customHeight="true" outlineLevel="0" collapsed="false">
      <c r="A47" s="133"/>
      <c r="B47" s="134" t="s">
        <v>2572</v>
      </c>
      <c r="C47" s="133"/>
      <c r="D47" s="136" t="n">
        <v>130000</v>
      </c>
      <c r="E47" s="133"/>
      <c r="F47" s="133"/>
    </row>
    <row r="48" customFormat="false" ht="15.75" hidden="false" customHeight="true" outlineLevel="0" collapsed="false">
      <c r="A48" s="129" t="s">
        <v>2525</v>
      </c>
      <c r="B48" s="129" t="s">
        <v>679</v>
      </c>
      <c r="C48" s="129" t="s">
        <v>1079</v>
      </c>
      <c r="D48" s="131" t="n">
        <v>125000</v>
      </c>
      <c r="E48" s="129" t="s">
        <v>660</v>
      </c>
      <c r="F48" s="132" t="s">
        <v>687</v>
      </c>
    </row>
    <row r="49" customFormat="false" ht="15.75" hidden="false" customHeight="true" outlineLevel="0" collapsed="false">
      <c r="A49" s="133"/>
      <c r="B49" s="134" t="s">
        <v>2573</v>
      </c>
      <c r="C49" s="133"/>
      <c r="D49" s="136" t="n">
        <v>125000</v>
      </c>
      <c r="E49" s="133"/>
      <c r="F49" s="133"/>
    </row>
    <row r="50" customFormat="false" ht="15.75" hidden="false" customHeight="true" outlineLevel="0" collapsed="false">
      <c r="A50" s="129" t="s">
        <v>175</v>
      </c>
      <c r="B50" s="129" t="s">
        <v>675</v>
      </c>
      <c r="C50" s="129" t="s">
        <v>947</v>
      </c>
      <c r="D50" s="131" t="n">
        <v>61000</v>
      </c>
      <c r="E50" s="129" t="s">
        <v>660</v>
      </c>
      <c r="F50" s="132" t="s">
        <v>677</v>
      </c>
    </row>
    <row r="51" customFormat="false" ht="15.75" hidden="false" customHeight="true" outlineLevel="0" collapsed="false">
      <c r="A51" s="129" t="s">
        <v>175</v>
      </c>
      <c r="B51" s="129" t="s">
        <v>678</v>
      </c>
      <c r="C51" s="129" t="s">
        <v>947</v>
      </c>
      <c r="D51" s="131" t="n">
        <v>54257</v>
      </c>
      <c r="E51" s="129" t="s">
        <v>660</v>
      </c>
      <c r="F51" s="132" t="s">
        <v>677</v>
      </c>
    </row>
    <row r="52" customFormat="false" ht="15.75" hidden="false" customHeight="true" outlineLevel="0" collapsed="false">
      <c r="A52" s="133"/>
      <c r="B52" s="137" t="s">
        <v>2574</v>
      </c>
      <c r="C52" s="137"/>
      <c r="D52" s="136" t="n">
        <v>115257</v>
      </c>
      <c r="E52" s="133"/>
      <c r="F52" s="133"/>
    </row>
    <row r="53" customFormat="false" ht="15.75" hidden="false" customHeight="true" outlineLevel="0" collapsed="false">
      <c r="A53" s="129" t="s">
        <v>154</v>
      </c>
      <c r="B53" s="129" t="s">
        <v>149</v>
      </c>
      <c r="C53" s="129" t="s">
        <v>1081</v>
      </c>
      <c r="D53" s="131" t="n">
        <v>107103</v>
      </c>
      <c r="E53" s="129" t="s">
        <v>660</v>
      </c>
      <c r="F53" s="132" t="s">
        <v>689</v>
      </c>
    </row>
    <row r="54" customFormat="false" ht="15.75" hidden="false" customHeight="true" outlineLevel="0" collapsed="false">
      <c r="A54" s="133"/>
      <c r="B54" s="137" t="s">
        <v>2575</v>
      </c>
      <c r="C54" s="137"/>
      <c r="D54" s="136" t="n">
        <v>107103</v>
      </c>
      <c r="E54" s="133"/>
      <c r="F54" s="133"/>
    </row>
    <row r="55" customFormat="false" ht="15.75" hidden="false" customHeight="true" outlineLevel="0" collapsed="false">
      <c r="A55" s="129" t="s">
        <v>2576</v>
      </c>
      <c r="B55" s="129" t="s">
        <v>155</v>
      </c>
      <c r="C55" s="129" t="s">
        <v>1079</v>
      </c>
      <c r="D55" s="131" t="n">
        <v>100000</v>
      </c>
      <c r="E55" s="129" t="s">
        <v>660</v>
      </c>
      <c r="F55" s="132" t="s">
        <v>694</v>
      </c>
    </row>
    <row r="56" customFormat="false" ht="15.75" hidden="false" customHeight="true" outlineLevel="0" collapsed="false">
      <c r="A56" s="133"/>
      <c r="B56" s="137" t="s">
        <v>2577</v>
      </c>
      <c r="C56" s="137"/>
      <c r="D56" s="136" t="n">
        <v>100000</v>
      </c>
      <c r="E56" s="133"/>
      <c r="F56" s="133"/>
    </row>
    <row r="57" customFormat="false" ht="15.75" hidden="false" customHeight="true" outlineLevel="0" collapsed="false">
      <c r="A57" s="129" t="s">
        <v>159</v>
      </c>
      <c r="B57" s="129" t="s">
        <v>149</v>
      </c>
      <c r="C57" s="129" t="s">
        <v>1081</v>
      </c>
      <c r="D57" s="131" t="n">
        <v>100000</v>
      </c>
      <c r="E57" s="129" t="s">
        <v>660</v>
      </c>
      <c r="F57" s="132" t="s">
        <v>707</v>
      </c>
    </row>
    <row r="58" customFormat="false" ht="15.75" hidden="false" customHeight="true" outlineLevel="0" collapsed="false">
      <c r="A58" s="133"/>
      <c r="B58" s="134" t="s">
        <v>2578</v>
      </c>
      <c r="C58" s="133"/>
      <c r="D58" s="136" t="n">
        <v>100000</v>
      </c>
      <c r="E58" s="133"/>
      <c r="F58" s="133"/>
    </row>
    <row r="59" customFormat="false" ht="15.75" hidden="false" customHeight="true" outlineLevel="0" collapsed="false">
      <c r="A59" s="129" t="s">
        <v>160</v>
      </c>
      <c r="B59" s="129" t="s">
        <v>142</v>
      </c>
      <c r="C59" s="129" t="s">
        <v>441</v>
      </c>
      <c r="D59" s="131" t="n">
        <v>100000</v>
      </c>
      <c r="E59" s="129" t="s">
        <v>660</v>
      </c>
      <c r="F59" s="132" t="s">
        <v>710</v>
      </c>
    </row>
    <row r="60" customFormat="false" ht="15.75" hidden="false" customHeight="true" outlineLevel="0" collapsed="false">
      <c r="A60" s="133"/>
      <c r="B60" s="137" t="s">
        <v>2579</v>
      </c>
      <c r="C60" s="137"/>
      <c r="D60" s="136" t="n">
        <v>100000</v>
      </c>
      <c r="E60" s="133"/>
      <c r="F60" s="133"/>
    </row>
    <row r="61" customFormat="false" ht="15.75" hidden="false" customHeight="true" outlineLevel="0" collapsed="false">
      <c r="A61" s="129" t="s">
        <v>164</v>
      </c>
      <c r="B61" s="129" t="s">
        <v>163</v>
      </c>
      <c r="C61" s="129" t="s">
        <v>947</v>
      </c>
      <c r="D61" s="131" t="n">
        <v>98250</v>
      </c>
      <c r="E61" s="129" t="s">
        <v>660</v>
      </c>
      <c r="F61" s="132" t="s">
        <v>685</v>
      </c>
    </row>
    <row r="62" customFormat="false" ht="15.75" hidden="false" customHeight="true" outlineLevel="0" collapsed="false">
      <c r="A62" s="133"/>
      <c r="B62" s="134" t="s">
        <v>2580</v>
      </c>
      <c r="C62" s="133"/>
      <c r="D62" s="136" t="n">
        <v>98250</v>
      </c>
      <c r="E62" s="133"/>
      <c r="F62" s="133"/>
    </row>
    <row r="63" customFormat="false" ht="15.75" hidden="false" customHeight="true" outlineLevel="0" collapsed="false">
      <c r="A63" s="129" t="s">
        <v>2581</v>
      </c>
      <c r="B63" s="129" t="s">
        <v>2534</v>
      </c>
      <c r="C63" s="129" t="s">
        <v>246</v>
      </c>
      <c r="D63" s="131" t="n">
        <v>96421</v>
      </c>
      <c r="E63" s="129" t="s">
        <v>660</v>
      </c>
      <c r="F63" s="132" t="s">
        <v>723</v>
      </c>
    </row>
    <row r="64" customFormat="false" ht="15.75" hidden="false" customHeight="true" outlineLevel="0" collapsed="false">
      <c r="A64" s="133"/>
      <c r="B64" s="137" t="s">
        <v>2582</v>
      </c>
      <c r="C64" s="137"/>
      <c r="D64" s="136" t="n">
        <v>96421</v>
      </c>
      <c r="E64" s="133"/>
      <c r="F64" s="133"/>
    </row>
    <row r="65" customFormat="false" ht="15.75" hidden="false" customHeight="true" outlineLevel="0" collapsed="false">
      <c r="A65" s="129" t="s">
        <v>166</v>
      </c>
      <c r="B65" s="129" t="s">
        <v>145</v>
      </c>
      <c r="C65" s="129" t="s">
        <v>369</v>
      </c>
      <c r="D65" s="131" t="n">
        <v>85801</v>
      </c>
      <c r="E65" s="129" t="s">
        <v>660</v>
      </c>
      <c r="F65" s="132" t="s">
        <v>740</v>
      </c>
    </row>
    <row r="66" customFormat="false" ht="15.75" hidden="false" customHeight="true" outlineLevel="0" collapsed="false">
      <c r="A66" s="133"/>
      <c r="B66" s="134" t="s">
        <v>2583</v>
      </c>
      <c r="C66" s="133"/>
      <c r="D66" s="136" t="n">
        <v>85801</v>
      </c>
      <c r="E66" s="133"/>
      <c r="F66" s="133"/>
    </row>
    <row r="67" customFormat="false" ht="15.75" hidden="false" customHeight="true" outlineLevel="0" collapsed="false">
      <c r="A67" s="129" t="s">
        <v>167</v>
      </c>
      <c r="B67" s="129" t="s">
        <v>657</v>
      </c>
      <c r="C67" s="129" t="s">
        <v>246</v>
      </c>
      <c r="D67" s="131" t="n">
        <v>82000</v>
      </c>
      <c r="E67" s="129" t="s">
        <v>660</v>
      </c>
      <c r="F67" s="132" t="s">
        <v>717</v>
      </c>
    </row>
    <row r="68" customFormat="false" ht="15.75" hidden="false" customHeight="true" outlineLevel="0" collapsed="false">
      <c r="A68" s="133"/>
      <c r="B68" s="134" t="s">
        <v>2584</v>
      </c>
      <c r="C68" s="133"/>
      <c r="D68" s="136" t="n">
        <v>82000</v>
      </c>
      <c r="E68" s="133"/>
      <c r="F68" s="133"/>
    </row>
    <row r="69" customFormat="false" ht="15.75" hidden="false" customHeight="true" outlineLevel="0" collapsed="false">
      <c r="A69" s="129" t="s">
        <v>152</v>
      </c>
      <c r="B69" s="129" t="s">
        <v>149</v>
      </c>
      <c r="C69" s="129" t="s">
        <v>1081</v>
      </c>
      <c r="D69" s="131" t="n">
        <v>76319</v>
      </c>
      <c r="E69" s="129" t="s">
        <v>660</v>
      </c>
      <c r="F69" s="132" t="s">
        <v>703</v>
      </c>
    </row>
    <row r="70" customFormat="false" ht="15.75" hidden="false" customHeight="true" outlineLevel="0" collapsed="false">
      <c r="A70" s="133"/>
      <c r="B70" s="134" t="s">
        <v>2585</v>
      </c>
      <c r="C70" s="133"/>
      <c r="D70" s="136" t="n">
        <v>76319</v>
      </c>
      <c r="E70" s="133"/>
      <c r="F70" s="133"/>
    </row>
    <row r="71" customFormat="false" ht="15.75" hidden="false" customHeight="true" outlineLevel="0" collapsed="false">
      <c r="A71" s="138" t="s">
        <v>2531</v>
      </c>
      <c r="B71" s="138" t="s">
        <v>2517</v>
      </c>
      <c r="C71" s="138" t="s">
        <v>1108</v>
      </c>
      <c r="D71" s="140" t="n">
        <v>75000</v>
      </c>
      <c r="E71" s="141" t="s">
        <v>656</v>
      </c>
      <c r="F71" s="142" t="s">
        <v>714</v>
      </c>
    </row>
    <row r="72" customFormat="false" ht="15.75" hidden="false" customHeight="true" outlineLevel="0" collapsed="false">
      <c r="A72" s="133"/>
      <c r="B72" s="134" t="s">
        <v>2586</v>
      </c>
      <c r="C72" s="133"/>
      <c r="D72" s="136" t="n">
        <v>75000</v>
      </c>
      <c r="E72" s="133"/>
      <c r="F72" s="133"/>
    </row>
    <row r="73" customFormat="false" ht="15.75" hidden="false" customHeight="true" outlineLevel="0" collapsed="false">
      <c r="A73" s="129" t="s">
        <v>741</v>
      </c>
      <c r="B73" s="129" t="s">
        <v>679</v>
      </c>
      <c r="C73" s="129" t="s">
        <v>1079</v>
      </c>
      <c r="D73" s="131" t="n">
        <v>50000</v>
      </c>
      <c r="E73" s="129" t="s">
        <v>660</v>
      </c>
      <c r="F73" s="132" t="s">
        <v>742</v>
      </c>
    </row>
    <row r="74" customFormat="false" ht="15.75" hidden="false" customHeight="true" outlineLevel="0" collapsed="false">
      <c r="A74" s="143" t="s">
        <v>741</v>
      </c>
      <c r="B74" s="143" t="s">
        <v>2587</v>
      </c>
      <c r="C74" s="143" t="s">
        <v>1047</v>
      </c>
      <c r="D74" s="144" t="n">
        <v>25000</v>
      </c>
      <c r="E74" s="143" t="s">
        <v>660</v>
      </c>
      <c r="F74" s="145" t="s">
        <v>742</v>
      </c>
    </row>
    <row r="75" customFormat="false" ht="15.75" hidden="false" customHeight="true" outlineLevel="0" collapsed="false">
      <c r="A75" s="133"/>
      <c r="B75" s="134" t="s">
        <v>2588</v>
      </c>
      <c r="C75" s="133"/>
      <c r="D75" s="136" t="n">
        <v>75000</v>
      </c>
      <c r="E75" s="133"/>
      <c r="F75" s="133"/>
    </row>
    <row r="76" customFormat="false" ht="15.75" hidden="false" customHeight="true" outlineLevel="0" collapsed="false">
      <c r="A76" s="129" t="s">
        <v>719</v>
      </c>
      <c r="B76" s="129" t="s">
        <v>718</v>
      </c>
      <c r="C76" s="129" t="s">
        <v>269</v>
      </c>
      <c r="D76" s="131" t="n">
        <v>73070</v>
      </c>
      <c r="E76" s="129" t="s">
        <v>660</v>
      </c>
      <c r="F76" s="132" t="s">
        <v>720</v>
      </c>
    </row>
    <row r="77" customFormat="false" ht="15.75" hidden="false" customHeight="true" outlineLevel="0" collapsed="false">
      <c r="A77" s="133"/>
      <c r="B77" s="134" t="s">
        <v>2589</v>
      </c>
      <c r="C77" s="133"/>
      <c r="D77" s="136" t="n">
        <v>73070</v>
      </c>
      <c r="E77" s="133"/>
      <c r="F77" s="133"/>
    </row>
    <row r="78" customFormat="false" ht="15.75" hidden="false" customHeight="true" outlineLevel="0" collapsed="false">
      <c r="A78" s="129" t="s">
        <v>670</v>
      </c>
      <c r="B78" s="129" t="s">
        <v>300</v>
      </c>
      <c r="C78" s="129" t="s">
        <v>301</v>
      </c>
      <c r="D78" s="131" t="n">
        <v>70000</v>
      </c>
      <c r="E78" s="129" t="s">
        <v>660</v>
      </c>
      <c r="F78" s="132" t="s">
        <v>671</v>
      </c>
    </row>
    <row r="79" customFormat="false" ht="15.75" hidden="false" customHeight="true" outlineLevel="0" collapsed="false">
      <c r="A79" s="133"/>
      <c r="B79" s="134" t="s">
        <v>2590</v>
      </c>
      <c r="C79" s="133"/>
      <c r="D79" s="136" t="n">
        <v>70000</v>
      </c>
      <c r="E79" s="133"/>
      <c r="F79" s="133"/>
    </row>
    <row r="80" customFormat="false" ht="15.75" hidden="false" customHeight="true" outlineLevel="0" collapsed="false">
      <c r="A80" s="129" t="s">
        <v>172</v>
      </c>
      <c r="B80" s="129" t="s">
        <v>171</v>
      </c>
      <c r="C80" s="129" t="s">
        <v>938</v>
      </c>
      <c r="D80" s="131" t="n">
        <v>64576</v>
      </c>
      <c r="E80" s="129" t="s">
        <v>660</v>
      </c>
      <c r="F80" s="132" t="s">
        <v>744</v>
      </c>
    </row>
    <row r="81" customFormat="false" ht="15.75" hidden="false" customHeight="true" outlineLevel="0" collapsed="false">
      <c r="A81" s="133"/>
      <c r="B81" s="134" t="s">
        <v>2591</v>
      </c>
      <c r="C81" s="133"/>
      <c r="D81" s="136" t="n">
        <v>64576</v>
      </c>
      <c r="E81" s="133"/>
      <c r="F81" s="133"/>
    </row>
    <row r="82" customFormat="false" ht="15.75" hidden="false" customHeight="true" outlineLevel="0" collapsed="false">
      <c r="A82" s="129" t="s">
        <v>700</v>
      </c>
      <c r="B82" s="129" t="s">
        <v>617</v>
      </c>
      <c r="C82" s="129" t="s">
        <v>205</v>
      </c>
      <c r="D82" s="131" t="n">
        <v>62500</v>
      </c>
      <c r="E82" s="129" t="s">
        <v>660</v>
      </c>
      <c r="F82" s="132" t="s">
        <v>701</v>
      </c>
    </row>
    <row r="83" customFormat="false" ht="15.75" hidden="false" customHeight="true" outlineLevel="0" collapsed="false">
      <c r="A83" s="133"/>
      <c r="B83" s="134" t="s">
        <v>2592</v>
      </c>
      <c r="C83" s="133"/>
      <c r="D83" s="136" t="n">
        <v>62500</v>
      </c>
      <c r="E83" s="133"/>
      <c r="F83" s="133"/>
    </row>
    <row r="84" customFormat="false" ht="15.75" hidden="false" customHeight="true" outlineLevel="0" collapsed="false">
      <c r="A84" s="129" t="s">
        <v>698</v>
      </c>
      <c r="B84" s="129" t="s">
        <v>657</v>
      </c>
      <c r="C84" s="129" t="s">
        <v>246</v>
      </c>
      <c r="D84" s="131" t="n">
        <v>56100</v>
      </c>
      <c r="E84" s="129" t="s">
        <v>660</v>
      </c>
      <c r="F84" s="132" t="s">
        <v>699</v>
      </c>
    </row>
    <row r="85" customFormat="false" ht="15.75" hidden="false" customHeight="true" outlineLevel="0" collapsed="false">
      <c r="A85" s="133"/>
      <c r="B85" s="134" t="s">
        <v>2593</v>
      </c>
      <c r="C85" s="133"/>
      <c r="D85" s="136" t="n">
        <v>56100</v>
      </c>
      <c r="E85" s="133"/>
      <c r="F85" s="133"/>
    </row>
    <row r="86" customFormat="false" ht="15.75" hidden="false" customHeight="true" outlineLevel="0" collapsed="false">
      <c r="A86" s="129" t="s">
        <v>2537</v>
      </c>
      <c r="B86" s="129" t="s">
        <v>317</v>
      </c>
      <c r="C86" s="129" t="s">
        <v>318</v>
      </c>
      <c r="D86" s="131" t="n">
        <v>52935</v>
      </c>
      <c r="E86" s="129" t="s">
        <v>660</v>
      </c>
      <c r="F86" s="132" t="s">
        <v>731</v>
      </c>
    </row>
    <row r="87" customFormat="false" ht="15.75" hidden="false" customHeight="true" outlineLevel="0" collapsed="false">
      <c r="A87" s="133"/>
      <c r="B87" s="134" t="s">
        <v>2594</v>
      </c>
      <c r="C87" s="133"/>
      <c r="D87" s="136" t="n">
        <v>52935</v>
      </c>
      <c r="E87" s="133"/>
      <c r="F87" s="133"/>
    </row>
    <row r="88" customFormat="false" ht="15.75" hidden="false" customHeight="true" outlineLevel="0" collapsed="false">
      <c r="A88" s="138" t="s">
        <v>654</v>
      </c>
      <c r="B88" s="138" t="s">
        <v>2517</v>
      </c>
      <c r="C88" s="138" t="s">
        <v>1108</v>
      </c>
      <c r="D88" s="140" t="n">
        <v>50000</v>
      </c>
      <c r="E88" s="141" t="s">
        <v>656</v>
      </c>
      <c r="F88" s="142" t="s">
        <v>655</v>
      </c>
    </row>
    <row r="89" customFormat="false" ht="15.75" hidden="false" customHeight="true" outlineLevel="0" collapsed="false">
      <c r="A89" s="133"/>
      <c r="B89" s="134" t="s">
        <v>2595</v>
      </c>
      <c r="C89" s="133"/>
      <c r="D89" s="136" t="n">
        <v>50000</v>
      </c>
      <c r="E89" s="133"/>
      <c r="F89" s="133"/>
    </row>
    <row r="90" customFormat="false" ht="15.75" hidden="false" customHeight="true" outlineLevel="0" collapsed="false">
      <c r="A90" s="129" t="s">
        <v>704</v>
      </c>
      <c r="B90" s="129" t="s">
        <v>679</v>
      </c>
      <c r="C90" s="129" t="s">
        <v>1079</v>
      </c>
      <c r="D90" s="131" t="n">
        <v>50000</v>
      </c>
      <c r="E90" s="129" t="s">
        <v>660</v>
      </c>
      <c r="F90" s="132" t="s">
        <v>705</v>
      </c>
    </row>
    <row r="91" customFormat="false" ht="15.75" hidden="false" customHeight="true" outlineLevel="0" collapsed="false">
      <c r="A91" s="133"/>
      <c r="B91" s="134" t="s">
        <v>2596</v>
      </c>
      <c r="C91" s="133"/>
      <c r="D91" s="136" t="n">
        <v>50000</v>
      </c>
      <c r="E91" s="133"/>
      <c r="F91" s="133"/>
    </row>
    <row r="92" customFormat="false" ht="15.75" hidden="false" customHeight="true" outlineLevel="0" collapsed="false">
      <c r="A92" s="129" t="s">
        <v>178</v>
      </c>
      <c r="B92" s="129" t="s">
        <v>657</v>
      </c>
      <c r="C92" s="129" t="s">
        <v>246</v>
      </c>
      <c r="D92" s="131" t="n">
        <v>50000</v>
      </c>
      <c r="E92" s="129" t="s">
        <v>660</v>
      </c>
      <c r="F92" s="132" t="s">
        <v>726</v>
      </c>
    </row>
    <row r="93" customFormat="false" ht="15.75" hidden="false" customHeight="true" outlineLevel="0" collapsed="false">
      <c r="A93" s="133"/>
      <c r="B93" s="134" t="s">
        <v>2597</v>
      </c>
      <c r="C93" s="133"/>
      <c r="D93" s="136" t="n">
        <v>50000</v>
      </c>
      <c r="E93" s="133"/>
      <c r="F93" s="133"/>
    </row>
    <row r="94" customFormat="false" ht="15.75" hidden="false" customHeight="true" outlineLevel="0" collapsed="false">
      <c r="A94" s="129" t="s">
        <v>179</v>
      </c>
      <c r="B94" s="129" t="s">
        <v>149</v>
      </c>
      <c r="C94" s="129" t="s">
        <v>1081</v>
      </c>
      <c r="D94" s="131" t="n">
        <v>49375</v>
      </c>
      <c r="E94" s="129" t="s">
        <v>660</v>
      </c>
      <c r="F94" s="132" t="s">
        <v>665</v>
      </c>
    </row>
    <row r="95" customFormat="false" ht="15.75" hidden="false" customHeight="true" outlineLevel="0" collapsed="false">
      <c r="A95" s="133"/>
      <c r="B95" s="134" t="s">
        <v>2598</v>
      </c>
      <c r="C95" s="133"/>
      <c r="D95" s="136" t="n">
        <v>49375</v>
      </c>
      <c r="E95" s="133"/>
      <c r="F95" s="133"/>
    </row>
    <row r="96" customFormat="false" ht="15.75" hidden="false" customHeight="true" outlineLevel="0" collapsed="false">
      <c r="A96" s="129" t="s">
        <v>2599</v>
      </c>
      <c r="B96" s="129" t="s">
        <v>657</v>
      </c>
      <c r="C96" s="129" t="s">
        <v>246</v>
      </c>
      <c r="D96" s="131" t="n">
        <v>36000</v>
      </c>
      <c r="E96" s="129" t="s">
        <v>660</v>
      </c>
      <c r="F96" s="132" t="s">
        <v>662</v>
      </c>
    </row>
    <row r="97" customFormat="false" ht="15.75" hidden="false" customHeight="true" outlineLevel="0" collapsed="false">
      <c r="A97" s="133"/>
      <c r="B97" s="146" t="s">
        <v>2600</v>
      </c>
      <c r="C97" s="146"/>
      <c r="D97" s="136" t="n">
        <v>36000</v>
      </c>
      <c r="E97" s="133"/>
      <c r="F97" s="133"/>
    </row>
    <row r="98" customFormat="false" ht="15.75" hidden="false" customHeight="true" outlineLevel="0" collapsed="false">
      <c r="A98" s="138" t="s">
        <v>691</v>
      </c>
      <c r="B98" s="138" t="s">
        <v>2527</v>
      </c>
      <c r="C98" s="138" t="s">
        <v>1216</v>
      </c>
      <c r="D98" s="140" t="n">
        <v>10000</v>
      </c>
      <c r="E98" s="141" t="s">
        <v>692</v>
      </c>
      <c r="F98" s="142" t="s">
        <v>437</v>
      </c>
    </row>
    <row r="99" customFormat="false" ht="15.75" hidden="false" customHeight="true" outlineLevel="0" collapsed="false">
      <c r="A99" s="133"/>
      <c r="B99" s="134" t="s">
        <v>2601</v>
      </c>
      <c r="C99" s="133"/>
      <c r="D99" s="136" t="n">
        <v>10000</v>
      </c>
      <c r="E99" s="133"/>
      <c r="F99" s="133"/>
    </row>
    <row r="100" customFormat="false" ht="15.75" hidden="false" customHeight="true" outlineLevel="0" collapsed="false">
      <c r="A100" s="129" t="s">
        <v>1055</v>
      </c>
      <c r="B100" s="129" t="s">
        <v>2536</v>
      </c>
      <c r="C100" s="129" t="s">
        <v>246</v>
      </c>
      <c r="D100" s="131" t="n">
        <v>8333</v>
      </c>
      <c r="E100" s="129" t="s">
        <v>660</v>
      </c>
      <c r="F100" s="132" t="s">
        <v>725</v>
      </c>
    </row>
    <row r="101" customFormat="false" ht="15.75" hidden="false" customHeight="true" outlineLevel="0" collapsed="false">
      <c r="A101" s="133"/>
      <c r="B101" s="137" t="s">
        <v>2602</v>
      </c>
      <c r="C101" s="137"/>
      <c r="D101" s="136" t="n">
        <v>8333</v>
      </c>
      <c r="E101" s="133"/>
      <c r="F101" s="133"/>
    </row>
    <row r="102" customFormat="false" ht="15.75" hidden="false" customHeight="true" outlineLevel="0" collapsed="false">
      <c r="A102" s="124"/>
      <c r="B102" s="124"/>
      <c r="C102" s="124"/>
      <c r="D102" s="147"/>
      <c r="E102" s="124"/>
      <c r="F102" s="124"/>
    </row>
    <row r="103" customFormat="false" ht="15.75" hidden="false" customHeight="true" outlineLevel="0" collapsed="false">
      <c r="A103" s="148"/>
      <c r="B103" s="149" t="s">
        <v>2603</v>
      </c>
      <c r="C103" s="148"/>
      <c r="D103" s="150" t="n">
        <v>6553360</v>
      </c>
      <c r="E103" s="148"/>
      <c r="F103" s="148"/>
    </row>
    <row r="104" customFormat="false" ht="15.75" hidden="false" customHeight="true" outlineLevel="0" collapsed="false"/>
    <row r="105" customFormat="false" ht="15.75" hidden="false" customHeight="true" outlineLevel="0" collapsed="false">
      <c r="A105" s="4" t="s">
        <v>2604</v>
      </c>
    </row>
    <row r="106" customFormat="false" ht="15.75" hidden="false" customHeight="true" outlineLevel="0" collapsed="false">
      <c r="A106" s="17" t="s">
        <v>741</v>
      </c>
      <c r="B106" s="17" t="s">
        <v>745</v>
      </c>
      <c r="C106" s="17" t="s">
        <v>1045</v>
      </c>
      <c r="D106" s="18" t="n">
        <v>25000</v>
      </c>
      <c r="E106" s="17" t="s">
        <v>2605</v>
      </c>
      <c r="F106" s="17" t="s">
        <v>746</v>
      </c>
    </row>
    <row r="107" customFormat="false" ht="15.75" hidden="false" customHeight="true" outlineLevel="0" collapsed="false">
      <c r="A107" s="17" t="s">
        <v>741</v>
      </c>
      <c r="B107" s="17" t="s">
        <v>748</v>
      </c>
      <c r="C107" s="17" t="s">
        <v>1047</v>
      </c>
      <c r="D107" s="18" t="n">
        <v>25000</v>
      </c>
      <c r="E107" s="17" t="s">
        <v>2606</v>
      </c>
      <c r="F107" s="17" t="s">
        <v>749</v>
      </c>
    </row>
    <row r="108" customFormat="false" ht="15.75" hidden="false" customHeight="true" outlineLevel="0" collapsed="false">
      <c r="A108" s="17" t="s">
        <v>153</v>
      </c>
      <c r="B108" s="17" t="s">
        <v>158</v>
      </c>
      <c r="C108" s="17" t="s">
        <v>1049</v>
      </c>
      <c r="D108" s="18" t="n">
        <v>100000</v>
      </c>
      <c r="E108" s="17" t="s">
        <v>2607</v>
      </c>
      <c r="F108" s="17" t="s">
        <v>750</v>
      </c>
    </row>
    <row r="109" customFormat="false" ht="15.75" hidden="false" customHeight="true" outlineLevel="0" collapsed="false">
      <c r="A109" s="17" t="s">
        <v>177</v>
      </c>
      <c r="B109" s="17" t="s">
        <v>158</v>
      </c>
      <c r="C109" s="17" t="s">
        <v>1049</v>
      </c>
      <c r="D109" s="18" t="n">
        <v>50000</v>
      </c>
      <c r="E109" s="17" t="s">
        <v>2608</v>
      </c>
      <c r="F109" s="17" t="s">
        <v>751</v>
      </c>
    </row>
    <row r="110" customFormat="false" ht="15.75" hidden="false" customHeight="true" outlineLevel="0" collapsed="false">
      <c r="A110" s="17" t="s">
        <v>170</v>
      </c>
      <c r="B110" s="17" t="s">
        <v>158</v>
      </c>
      <c r="C110" s="17" t="s">
        <v>1049</v>
      </c>
      <c r="D110" s="18" t="n">
        <v>74000</v>
      </c>
      <c r="E110" s="17" t="s">
        <v>2608</v>
      </c>
      <c r="F110" s="17" t="s">
        <v>753</v>
      </c>
    </row>
    <row r="111" customFormat="false" ht="15.75" hidden="false" customHeight="true" outlineLevel="0" collapsed="false">
      <c r="A111" s="17" t="s">
        <v>165</v>
      </c>
      <c r="B111" s="17" t="s">
        <v>151</v>
      </c>
      <c r="C111" s="17" t="s">
        <v>1045</v>
      </c>
      <c r="D111" s="18" t="n">
        <v>93834</v>
      </c>
      <c r="E111" s="17" t="s">
        <v>2607</v>
      </c>
      <c r="F111" s="17" t="s">
        <v>754</v>
      </c>
    </row>
    <row r="112" customFormat="false" ht="15.75" hidden="false" customHeight="true" outlineLevel="0" collapsed="false">
      <c r="A112" s="17" t="s">
        <v>152</v>
      </c>
      <c r="B112" s="17" t="s">
        <v>151</v>
      </c>
      <c r="C112" s="17" t="s">
        <v>1045</v>
      </c>
      <c r="D112" s="18" t="n">
        <v>233523</v>
      </c>
      <c r="E112" s="17" t="s">
        <v>2607</v>
      </c>
      <c r="F112" s="17" t="s">
        <v>755</v>
      </c>
    </row>
    <row r="113" customFormat="false" ht="15.75" hidden="false" customHeight="true" outlineLevel="0" collapsed="false">
      <c r="A113" s="17" t="s">
        <v>167</v>
      </c>
      <c r="B113" s="17" t="s">
        <v>151</v>
      </c>
      <c r="C113" s="17" t="s">
        <v>1045</v>
      </c>
      <c r="D113" s="18" t="n">
        <v>82000</v>
      </c>
      <c r="E113" s="17" t="s">
        <v>2607</v>
      </c>
      <c r="F113" s="17" t="s">
        <v>756</v>
      </c>
    </row>
    <row r="114" customFormat="false" ht="15.75" hidden="false" customHeight="true" outlineLevel="0" collapsed="false">
      <c r="A114" s="17" t="s">
        <v>178</v>
      </c>
      <c r="B114" s="17" t="s">
        <v>151</v>
      </c>
      <c r="C114" s="17" t="s">
        <v>1045</v>
      </c>
      <c r="D114" s="18" t="n">
        <v>50000</v>
      </c>
      <c r="E114" s="17" t="s">
        <v>2607</v>
      </c>
      <c r="F114" s="17" t="s">
        <v>757</v>
      </c>
    </row>
    <row r="115" customFormat="false" ht="15.75" hidden="false" customHeight="true" outlineLevel="0" collapsed="false">
      <c r="A115" s="17" t="s">
        <v>759</v>
      </c>
      <c r="B115" s="17" t="s">
        <v>758</v>
      </c>
      <c r="C115" s="17" t="s">
        <v>1052</v>
      </c>
      <c r="D115" s="18" t="n">
        <v>500000</v>
      </c>
      <c r="E115" s="17" t="s">
        <v>2609</v>
      </c>
      <c r="F115" s="17" t="s">
        <v>760</v>
      </c>
    </row>
    <row r="116" customFormat="false" ht="15.75" hidden="false" customHeight="true" outlineLevel="0" collapsed="false">
      <c r="A116" s="17" t="s">
        <v>663</v>
      </c>
      <c r="B116" s="17" t="s">
        <v>380</v>
      </c>
      <c r="C116" s="17" t="s">
        <v>381</v>
      </c>
      <c r="D116" s="18" t="n">
        <v>107372</v>
      </c>
      <c r="E116" s="17" t="s">
        <v>2607</v>
      </c>
      <c r="F116" s="17" t="s">
        <v>761</v>
      </c>
    </row>
    <row r="117" customFormat="false" ht="15.75" hidden="false" customHeight="true" outlineLevel="0" collapsed="false">
      <c r="A117" s="17" t="s">
        <v>670</v>
      </c>
      <c r="B117" s="17" t="s">
        <v>427</v>
      </c>
      <c r="C117" s="17" t="s">
        <v>428</v>
      </c>
      <c r="D117" s="18" t="n">
        <v>70000</v>
      </c>
      <c r="E117" s="17" t="s">
        <v>2607</v>
      </c>
      <c r="F117" s="17" t="s">
        <v>762</v>
      </c>
    </row>
    <row r="118" customFormat="false" ht="15.75" hidden="false" customHeight="true" outlineLevel="0" collapsed="false">
      <c r="A118" s="17" t="s">
        <v>1054</v>
      </c>
      <c r="B118" s="17" t="s">
        <v>427</v>
      </c>
      <c r="C118" s="17" t="s">
        <v>428</v>
      </c>
      <c r="D118" s="18" t="n">
        <v>37500</v>
      </c>
      <c r="E118" s="17" t="s">
        <v>2607</v>
      </c>
      <c r="F118" s="17" t="s">
        <v>764</v>
      </c>
    </row>
    <row r="119" customFormat="false" ht="15.75" hidden="false" customHeight="true" outlineLevel="0" collapsed="false">
      <c r="A119" s="17" t="s">
        <v>1055</v>
      </c>
      <c r="B119" s="17" t="s">
        <v>1056</v>
      </c>
      <c r="C119" s="17" t="s">
        <v>278</v>
      </c>
      <c r="D119" s="18" t="n">
        <v>8333</v>
      </c>
      <c r="E119" s="17" t="s">
        <v>2607</v>
      </c>
      <c r="F119" s="17" t="s">
        <v>725</v>
      </c>
    </row>
    <row r="120" customFormat="false" ht="15.75" hidden="false" customHeight="true" outlineLevel="0" collapsed="false">
      <c r="A120" s="17" t="s">
        <v>1055</v>
      </c>
      <c r="B120" s="17" t="s">
        <v>1057</v>
      </c>
      <c r="C120" s="17" t="s">
        <v>278</v>
      </c>
      <c r="D120" s="18" t="n">
        <v>8333</v>
      </c>
      <c r="E120" s="17" t="s">
        <v>2607</v>
      </c>
      <c r="F120" s="17" t="s">
        <v>725</v>
      </c>
    </row>
    <row r="121" customFormat="false" ht="15.75" hidden="false" customHeight="true" outlineLevel="0" collapsed="false">
      <c r="A121" s="17" t="s">
        <v>1055</v>
      </c>
      <c r="B121" s="17" t="s">
        <v>1058</v>
      </c>
      <c r="C121" s="17" t="s">
        <v>278</v>
      </c>
      <c r="D121" s="18" t="n">
        <v>8333</v>
      </c>
      <c r="E121" s="17" t="s">
        <v>2607</v>
      </c>
      <c r="F121" s="17" t="s">
        <v>725</v>
      </c>
    </row>
    <row r="122" customFormat="false" ht="15.75" hidden="false" customHeight="true" outlineLevel="0" collapsed="false">
      <c r="A122" s="17" t="s">
        <v>1055</v>
      </c>
      <c r="B122" s="17" t="s">
        <v>1059</v>
      </c>
      <c r="C122" s="17" t="s">
        <v>278</v>
      </c>
      <c r="D122" s="18" t="n">
        <v>8333</v>
      </c>
      <c r="E122" s="17" t="s">
        <v>2607</v>
      </c>
      <c r="F122" s="17" t="s">
        <v>725</v>
      </c>
    </row>
    <row r="123" customFormat="false" ht="15.75" hidden="false" customHeight="true" outlineLevel="0" collapsed="false">
      <c r="A123" s="17" t="s">
        <v>1055</v>
      </c>
      <c r="B123" s="17" t="s">
        <v>1060</v>
      </c>
      <c r="C123" s="17" t="s">
        <v>278</v>
      </c>
      <c r="D123" s="18" t="n">
        <v>8333</v>
      </c>
      <c r="E123" s="17" t="s">
        <v>2607</v>
      </c>
      <c r="F123" s="17" t="s">
        <v>725</v>
      </c>
    </row>
    <row r="124" customFormat="false" ht="15.75" hidden="false" customHeight="true" outlineLevel="0" collapsed="false">
      <c r="A124" s="17" t="s">
        <v>1061</v>
      </c>
      <c r="B124" s="17" t="s">
        <v>225</v>
      </c>
      <c r="C124" s="17" t="s">
        <v>226</v>
      </c>
      <c r="D124" s="18" t="n">
        <v>10000</v>
      </c>
      <c r="E124" s="17" t="s">
        <v>2607</v>
      </c>
      <c r="F124" s="17" t="s">
        <v>767</v>
      </c>
    </row>
    <row r="125" customFormat="false" ht="15.75" hidden="false" customHeight="true" outlineLevel="0" collapsed="false">
      <c r="A125" s="17" t="s">
        <v>1061</v>
      </c>
      <c r="B125" s="17" t="s">
        <v>225</v>
      </c>
      <c r="C125" s="17" t="s">
        <v>226</v>
      </c>
      <c r="D125" s="18" t="n">
        <v>25000</v>
      </c>
      <c r="E125" s="17" t="s">
        <v>2607</v>
      </c>
      <c r="F125" s="17" t="s">
        <v>767</v>
      </c>
    </row>
    <row r="126" customFormat="false" ht="15.75" hidden="false" customHeight="true" outlineLevel="0" collapsed="false">
      <c r="A126" s="17" t="s">
        <v>147</v>
      </c>
      <c r="B126" s="17" t="s">
        <v>290</v>
      </c>
      <c r="C126" s="17" t="s">
        <v>291</v>
      </c>
      <c r="D126" s="18" t="n">
        <v>50000</v>
      </c>
      <c r="E126" s="17" t="s">
        <v>2607</v>
      </c>
      <c r="F126" s="17" t="s">
        <v>768</v>
      </c>
    </row>
    <row r="127" customFormat="false" ht="15.75" hidden="false" customHeight="true" outlineLevel="0" collapsed="false">
      <c r="A127" s="17" t="s">
        <v>769</v>
      </c>
      <c r="B127" s="17" t="s">
        <v>290</v>
      </c>
      <c r="C127" s="17" t="s">
        <v>291</v>
      </c>
      <c r="D127" s="18" t="n">
        <v>25000</v>
      </c>
      <c r="E127" s="17" t="s">
        <v>2607</v>
      </c>
      <c r="F127" s="17" t="s">
        <v>770</v>
      </c>
    </row>
    <row r="128" customFormat="false" ht="15.75" hidden="false" customHeight="true" outlineLevel="0" collapsed="false">
      <c r="A128" s="17" t="s">
        <v>769</v>
      </c>
      <c r="B128" s="17" t="s">
        <v>563</v>
      </c>
      <c r="C128" s="17" t="s">
        <v>564</v>
      </c>
      <c r="D128" s="18" t="n">
        <v>25000</v>
      </c>
      <c r="E128" s="17" t="s">
        <v>2607</v>
      </c>
      <c r="F128" s="17" t="s">
        <v>770</v>
      </c>
    </row>
    <row r="129" customFormat="false" ht="15.75" hidden="false" customHeight="true" outlineLevel="0" collapsed="false">
      <c r="A129" s="17" t="s">
        <v>772</v>
      </c>
      <c r="B129" s="17" t="s">
        <v>771</v>
      </c>
      <c r="C129" s="17" t="s">
        <v>512</v>
      </c>
      <c r="D129" s="18" t="n">
        <v>35000</v>
      </c>
      <c r="E129" s="17" t="s">
        <v>2607</v>
      </c>
      <c r="F129" s="17" t="s">
        <v>773</v>
      </c>
    </row>
    <row r="130" customFormat="false" ht="15.75" hidden="false" customHeight="true" outlineLevel="0" collapsed="false">
      <c r="A130" s="17" t="s">
        <v>772</v>
      </c>
      <c r="B130" s="17" t="s">
        <v>774</v>
      </c>
      <c r="C130" s="17" t="s">
        <v>1045</v>
      </c>
      <c r="D130" s="18" t="n">
        <v>18213</v>
      </c>
      <c r="E130" s="17" t="s">
        <v>2607</v>
      </c>
      <c r="F130" s="17" t="s">
        <v>773</v>
      </c>
    </row>
    <row r="131" customFormat="false" ht="15.75" hidden="false" customHeight="true" outlineLevel="0" collapsed="false">
      <c r="A131" s="17" t="s">
        <v>181</v>
      </c>
      <c r="B131" s="17" t="s">
        <v>180</v>
      </c>
      <c r="C131" s="17" t="s">
        <v>1045</v>
      </c>
      <c r="D131" s="18" t="n">
        <v>25000</v>
      </c>
      <c r="E131" s="17" t="s">
        <v>2607</v>
      </c>
      <c r="F131" s="17" t="s">
        <v>776</v>
      </c>
    </row>
    <row r="132" customFormat="false" ht="15.75" hidden="false" customHeight="true" outlineLevel="0" collapsed="false">
      <c r="B132" s="12" t="s">
        <v>2610</v>
      </c>
      <c r="D132" s="13" t="n">
        <f aca="false">SUM(D106:D131)</f>
        <v>1703107</v>
      </c>
    </row>
    <row r="133" customFormat="false" ht="15.75" hidden="false" customHeight="true" outlineLevel="0" collapsed="false">
      <c r="B133" s="12" t="s">
        <v>2611</v>
      </c>
      <c r="D133" s="13" t="n">
        <f aca="false">6553360+D132-25000</f>
        <v>8231467</v>
      </c>
    </row>
    <row r="134" customFormat="false" ht="15.75" hidden="false" customHeight="true" outlineLevel="0" collapsed="false">
      <c r="B134" s="8" t="s">
        <v>2612</v>
      </c>
    </row>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A1:C1"/>
    <mergeCell ref="A2:F2"/>
    <mergeCell ref="A3:F3"/>
    <mergeCell ref="B18:C18"/>
    <mergeCell ref="B22:C22"/>
    <mergeCell ref="B29:C29"/>
    <mergeCell ref="B31:C31"/>
    <mergeCell ref="B43:C43"/>
    <mergeCell ref="B45:C45"/>
    <mergeCell ref="B52:C52"/>
    <mergeCell ref="B54:C54"/>
    <mergeCell ref="B56:C56"/>
    <mergeCell ref="B60:C60"/>
    <mergeCell ref="B64:C64"/>
    <mergeCell ref="B97:C97"/>
    <mergeCell ref="B101:C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6"/>
    <col collapsed="false" customWidth="true" hidden="false" outlineLevel="0" max="2" min="2" style="1" width="14"/>
    <col collapsed="false" customWidth="true" hidden="false" outlineLevel="0" max="3" min="3" style="1" width="12"/>
    <col collapsed="false" customWidth="true" hidden="false" outlineLevel="0" max="4" min="4" style="1" width="20"/>
    <col collapsed="false" customWidth="true" hidden="false" outlineLevel="0" max="26" min="5" style="1" width="8.71"/>
  </cols>
  <sheetData>
    <row r="1" customFormat="false" ht="15.75" hidden="false" customHeight="true" outlineLevel="0" collapsed="false">
      <c r="A1" s="42" t="s">
        <v>2613</v>
      </c>
    </row>
    <row r="2" customFormat="false" ht="15" hidden="false" customHeight="true" outlineLevel="0" collapsed="false"/>
    <row r="3" customFormat="false" ht="15" hidden="false" customHeight="true" outlineLevel="0" collapsed="false">
      <c r="A3" s="44" t="s">
        <v>140</v>
      </c>
      <c r="B3" s="45" t="s">
        <v>190</v>
      </c>
      <c r="C3" s="45" t="s">
        <v>72</v>
      </c>
      <c r="D3" s="45" t="s">
        <v>1730</v>
      </c>
    </row>
    <row r="4" customFormat="false" ht="15" hidden="false" customHeight="true" outlineLevel="0" collapsed="false">
      <c r="A4" s="107" t="s">
        <v>2470</v>
      </c>
      <c r="B4" s="107" t="s">
        <v>1923</v>
      </c>
      <c r="C4" s="108" t="n">
        <v>20000</v>
      </c>
      <c r="D4" s="96" t="s">
        <v>2614</v>
      </c>
    </row>
    <row r="5" customFormat="false" ht="15" hidden="false" customHeight="true" outlineLevel="0" collapsed="false">
      <c r="A5" s="107" t="s">
        <v>404</v>
      </c>
      <c r="B5" s="107" t="s">
        <v>2108</v>
      </c>
      <c r="C5" s="108" t="n">
        <v>15000</v>
      </c>
      <c r="D5" s="96" t="s">
        <v>2615</v>
      </c>
    </row>
    <row r="6" customFormat="false" ht="15" hidden="false" customHeight="true" outlineLevel="0" collapsed="false">
      <c r="A6" s="107" t="s">
        <v>1185</v>
      </c>
      <c r="B6" s="107" t="s">
        <v>2473</v>
      </c>
      <c r="C6" s="108" t="n">
        <v>15000</v>
      </c>
      <c r="D6" s="96" t="s">
        <v>2616</v>
      </c>
    </row>
    <row r="7" customFormat="false" ht="15" hidden="false" customHeight="true" outlineLevel="0" collapsed="false">
      <c r="A7" s="107" t="s">
        <v>718</v>
      </c>
      <c r="B7" s="107" t="s">
        <v>2230</v>
      </c>
      <c r="C7" s="108" t="n">
        <v>13000</v>
      </c>
      <c r="D7" s="96" t="s">
        <v>2617</v>
      </c>
    </row>
    <row r="8" customFormat="false" ht="15" hidden="false" customHeight="true" outlineLevel="0" collapsed="false">
      <c r="A8" s="107" t="s">
        <v>183</v>
      </c>
      <c r="B8" s="107" t="s">
        <v>2476</v>
      </c>
      <c r="C8" s="108" t="n">
        <v>10000</v>
      </c>
      <c r="D8" s="96" t="s">
        <v>2614</v>
      </c>
    </row>
    <row r="9" customFormat="false" ht="15" hidden="false" customHeight="true" outlineLevel="0" collapsed="false">
      <c r="A9" s="107" t="s">
        <v>1127</v>
      </c>
      <c r="B9" s="107" t="s">
        <v>2155</v>
      </c>
      <c r="C9" s="108" t="n">
        <v>10000</v>
      </c>
      <c r="D9" s="96" t="s">
        <v>2614</v>
      </c>
    </row>
    <row r="10" customFormat="false" ht="15" hidden="false" customHeight="true" outlineLevel="0" collapsed="false">
      <c r="A10" s="107" t="s">
        <v>2618</v>
      </c>
      <c r="B10" s="107" t="s">
        <v>2155</v>
      </c>
      <c r="C10" s="108" t="n">
        <v>10000</v>
      </c>
      <c r="D10" s="96" t="s">
        <v>2614</v>
      </c>
    </row>
    <row r="11" customFormat="false" ht="15" hidden="false" customHeight="true" outlineLevel="0" collapsed="false">
      <c r="A11" s="107" t="s">
        <v>380</v>
      </c>
      <c r="B11" s="107" t="s">
        <v>1899</v>
      </c>
      <c r="C11" s="108" t="n">
        <v>10000</v>
      </c>
      <c r="D11" s="96" t="s">
        <v>2619</v>
      </c>
    </row>
    <row r="12" customFormat="false" ht="15" hidden="false" customHeight="true" outlineLevel="0" collapsed="false">
      <c r="A12" s="107" t="s">
        <v>326</v>
      </c>
      <c r="B12" s="107" t="s">
        <v>1912</v>
      </c>
      <c r="C12" s="108" t="n">
        <v>9000</v>
      </c>
      <c r="D12" s="96" t="s">
        <v>2616</v>
      </c>
    </row>
    <row r="13" customFormat="false" ht="15" hidden="false" customHeight="true" outlineLevel="0" collapsed="false">
      <c r="A13" s="107" t="s">
        <v>317</v>
      </c>
      <c r="B13" s="107" t="s">
        <v>2479</v>
      </c>
      <c r="C13" s="108" t="n">
        <v>5000</v>
      </c>
      <c r="D13" s="96" t="s">
        <v>2616</v>
      </c>
    </row>
    <row r="14" customFormat="false" ht="15" hidden="false" customHeight="true" outlineLevel="0" collapsed="false">
      <c r="A14" s="107" t="s">
        <v>1188</v>
      </c>
      <c r="B14" s="107" t="s">
        <v>2213</v>
      </c>
      <c r="C14" s="108" t="n">
        <v>3000</v>
      </c>
      <c r="D14" s="96" t="s">
        <v>2620</v>
      </c>
    </row>
    <row r="15" customFormat="false" ht="15" hidden="false" customHeight="true" outlineLevel="0" collapsed="false">
      <c r="B15" s="90" t="s">
        <v>2542</v>
      </c>
      <c r="C15" s="103" t="n">
        <f aca="false">SUM(C4:C14)</f>
        <v>120000</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34"/>
    <col collapsed="false" customWidth="true" hidden="false" outlineLevel="0" max="2" min="2" style="1" width="64"/>
    <col collapsed="false" customWidth="true" hidden="false" outlineLevel="0" max="3" min="3" style="1" width="13"/>
    <col collapsed="false" customWidth="true" hidden="false" outlineLevel="0" max="4" min="4" style="1" width="12"/>
    <col collapsed="false" customWidth="true" hidden="false" outlineLevel="0" max="5" min="5" style="1" width="52"/>
    <col collapsed="false" customWidth="true" hidden="false" outlineLevel="0" max="26" min="6" style="1" width="8.71"/>
  </cols>
  <sheetData>
    <row r="1" customFormat="false" ht="15.75" hidden="false" customHeight="true" outlineLevel="0" collapsed="false">
      <c r="A1" s="42" t="s">
        <v>2621</v>
      </c>
    </row>
    <row r="2" customFormat="false" ht="15" hidden="false" customHeight="true" outlineLevel="0" collapsed="false">
      <c r="A2" s="43" t="s">
        <v>2622</v>
      </c>
    </row>
    <row r="3" customFormat="false" ht="15" hidden="false" customHeight="true" outlineLevel="0" collapsed="false"/>
    <row r="4" customFormat="false" ht="15" hidden="false" customHeight="true" outlineLevel="0" collapsed="false">
      <c r="A4" s="44" t="s">
        <v>1729</v>
      </c>
      <c r="B4" s="45" t="s">
        <v>2623</v>
      </c>
      <c r="C4" s="45" t="s">
        <v>190</v>
      </c>
      <c r="D4" s="45" t="s">
        <v>72</v>
      </c>
      <c r="E4" s="45" t="s">
        <v>2624</v>
      </c>
    </row>
    <row r="5" customFormat="false" ht="15" hidden="false" customHeight="true" outlineLevel="0" collapsed="false">
      <c r="A5" s="55" t="s">
        <v>2625</v>
      </c>
    </row>
    <row r="6" customFormat="false" ht="15" hidden="false" customHeight="true" outlineLevel="0" collapsed="false">
      <c r="A6" s="151"/>
      <c r="B6" s="152" t="s">
        <v>230</v>
      </c>
      <c r="C6" s="152" t="s">
        <v>2077</v>
      </c>
      <c r="D6" s="153" t="n">
        <v>25000</v>
      </c>
      <c r="E6" s="154" t="s">
        <v>2626</v>
      </c>
    </row>
    <row r="7" customFormat="false" ht="15" hidden="false" customHeight="true" outlineLevel="0" collapsed="false">
      <c r="A7" s="151"/>
      <c r="B7" s="152" t="s">
        <v>273</v>
      </c>
      <c r="C7" s="152" t="s">
        <v>1891</v>
      </c>
      <c r="D7" s="153" t="n">
        <v>20000</v>
      </c>
      <c r="E7" s="154" t="s">
        <v>2627</v>
      </c>
    </row>
    <row r="8" customFormat="false" ht="15" hidden="false" customHeight="true" outlineLevel="0" collapsed="false">
      <c r="A8" s="151"/>
      <c r="B8" s="152" t="s">
        <v>400</v>
      </c>
      <c r="C8" s="152" t="s">
        <v>2628</v>
      </c>
      <c r="D8" s="153" t="n">
        <v>15000</v>
      </c>
      <c r="E8" s="154" t="s">
        <v>2629</v>
      </c>
    </row>
    <row r="9" customFormat="false" ht="15" hidden="false" customHeight="true" outlineLevel="0" collapsed="false">
      <c r="A9" s="151"/>
      <c r="B9" s="152" t="s">
        <v>424</v>
      </c>
      <c r="C9" s="152" t="s">
        <v>2630</v>
      </c>
      <c r="D9" s="153" t="n">
        <v>10000</v>
      </c>
      <c r="E9" s="154" t="s">
        <v>2631</v>
      </c>
    </row>
    <row r="10" customFormat="false" ht="15" hidden="false" customHeight="true" outlineLevel="0" collapsed="false">
      <c r="A10" s="151"/>
      <c r="B10" s="152" t="s">
        <v>2632</v>
      </c>
      <c r="C10" s="152" t="s">
        <v>2633</v>
      </c>
      <c r="D10" s="153" t="n">
        <v>10000</v>
      </c>
      <c r="E10" s="154" t="s">
        <v>2634</v>
      </c>
    </row>
    <row r="11" customFormat="false" ht="15" hidden="false" customHeight="true" outlineLevel="0" collapsed="false">
      <c r="A11" s="151"/>
      <c r="B11" s="152" t="s">
        <v>657</v>
      </c>
      <c r="C11" s="152" t="s">
        <v>1849</v>
      </c>
      <c r="D11" s="153" t="n">
        <v>10000</v>
      </c>
      <c r="E11" s="154" t="s">
        <v>2635</v>
      </c>
    </row>
    <row r="12" customFormat="false" ht="15" hidden="false" customHeight="true" outlineLevel="0" collapsed="false">
      <c r="A12" s="151"/>
      <c r="B12" s="152" t="s">
        <v>395</v>
      </c>
      <c r="C12" s="152" t="s">
        <v>2196</v>
      </c>
      <c r="D12" s="153" t="n">
        <v>10000</v>
      </c>
      <c r="E12" s="154" t="s">
        <v>2636</v>
      </c>
    </row>
    <row r="13" customFormat="false" ht="15" hidden="false" customHeight="true" outlineLevel="0" collapsed="false">
      <c r="A13" s="55" t="s">
        <v>2637</v>
      </c>
    </row>
    <row r="14" customFormat="false" ht="15" hidden="false" customHeight="true" outlineLevel="0" collapsed="false">
      <c r="A14" s="151"/>
      <c r="B14" s="152" t="s">
        <v>215</v>
      </c>
      <c r="C14" s="152" t="s">
        <v>1856</v>
      </c>
      <c r="D14" s="153" t="n">
        <v>15000</v>
      </c>
      <c r="E14" s="154" t="s">
        <v>2638</v>
      </c>
    </row>
    <row r="15" customFormat="false" ht="15" hidden="false" customHeight="true" outlineLevel="0" collapsed="false">
      <c r="A15" s="151"/>
      <c r="B15" s="152" t="s">
        <v>215</v>
      </c>
      <c r="C15" s="152" t="s">
        <v>1856</v>
      </c>
      <c r="D15" s="153" t="n">
        <v>15000</v>
      </c>
      <c r="E15" s="154" t="s">
        <v>2639</v>
      </c>
    </row>
    <row r="16" customFormat="false" ht="15" hidden="false" customHeight="true" outlineLevel="0" collapsed="false">
      <c r="A16" s="151"/>
      <c r="B16" s="152" t="s">
        <v>657</v>
      </c>
      <c r="C16" s="152" t="s">
        <v>1849</v>
      </c>
      <c r="D16" s="153" t="n">
        <v>15000</v>
      </c>
      <c r="E16" s="154" t="s">
        <v>2640</v>
      </c>
    </row>
    <row r="17" customFormat="false" ht="15" hidden="false" customHeight="true" outlineLevel="0" collapsed="false">
      <c r="A17" s="151"/>
      <c r="B17" s="152" t="s">
        <v>1095</v>
      </c>
      <c r="C17" s="152" t="s">
        <v>1840</v>
      </c>
      <c r="D17" s="153" t="n">
        <v>15000</v>
      </c>
      <c r="E17" s="154" t="s">
        <v>2641</v>
      </c>
    </row>
    <row r="18" customFormat="false" ht="15" hidden="false" customHeight="true" outlineLevel="0" collapsed="false">
      <c r="A18" s="151"/>
      <c r="B18" s="152" t="s">
        <v>235</v>
      </c>
      <c r="C18" s="152" t="s">
        <v>1852</v>
      </c>
      <c r="D18" s="153" t="n">
        <v>15000</v>
      </c>
      <c r="E18" s="154" t="s">
        <v>2642</v>
      </c>
    </row>
    <row r="19" customFormat="false" ht="15" hidden="false" customHeight="true" outlineLevel="0" collapsed="false">
      <c r="A19" s="151"/>
      <c r="B19" s="152" t="s">
        <v>235</v>
      </c>
      <c r="C19" s="152" t="s">
        <v>1852</v>
      </c>
      <c r="D19" s="153" t="n">
        <v>15000</v>
      </c>
      <c r="E19" s="154" t="s">
        <v>2643</v>
      </c>
    </row>
    <row r="20" customFormat="false" ht="15" hidden="false" customHeight="true" outlineLevel="0" collapsed="false">
      <c r="A20" s="151"/>
      <c r="B20" s="152" t="s">
        <v>321</v>
      </c>
      <c r="C20" s="152" t="s">
        <v>1868</v>
      </c>
      <c r="D20" s="153" t="n">
        <v>10000</v>
      </c>
      <c r="E20" s="154" t="s">
        <v>2644</v>
      </c>
    </row>
    <row r="21" customFormat="false" ht="15" hidden="false" customHeight="true" outlineLevel="0" collapsed="false">
      <c r="A21" s="151"/>
      <c r="B21" s="152" t="s">
        <v>309</v>
      </c>
      <c r="C21" s="152" t="s">
        <v>1865</v>
      </c>
      <c r="D21" s="153" t="n">
        <v>10000</v>
      </c>
      <c r="E21" s="154" t="s">
        <v>2645</v>
      </c>
    </row>
    <row r="22" customFormat="false" ht="15" hidden="false" customHeight="true" outlineLevel="0" collapsed="false">
      <c r="A22" s="55" t="s">
        <v>2646</v>
      </c>
    </row>
    <row r="23" customFormat="false" ht="15" hidden="false" customHeight="true" outlineLevel="0" collapsed="false">
      <c r="A23" s="151"/>
      <c r="B23" s="152" t="s">
        <v>225</v>
      </c>
      <c r="C23" s="152" t="s">
        <v>1887</v>
      </c>
      <c r="D23" s="153" t="n">
        <v>30000</v>
      </c>
      <c r="E23" s="154" t="s">
        <v>2647</v>
      </c>
    </row>
    <row r="24" customFormat="false" ht="15" hidden="false" customHeight="true" outlineLevel="0" collapsed="false">
      <c r="A24" s="151"/>
      <c r="B24" s="152" t="s">
        <v>273</v>
      </c>
      <c r="C24" s="152" t="s">
        <v>1891</v>
      </c>
      <c r="D24" s="153" t="n">
        <v>10000</v>
      </c>
      <c r="E24" s="154" t="s">
        <v>2648</v>
      </c>
    </row>
    <row r="25" customFormat="false" ht="15" hidden="false" customHeight="true" outlineLevel="0" collapsed="false">
      <c r="A25" s="151"/>
      <c r="B25" s="152" t="s">
        <v>1228</v>
      </c>
      <c r="C25" s="152" t="s">
        <v>1904</v>
      </c>
      <c r="D25" s="153" t="n">
        <v>5000</v>
      </c>
      <c r="E25" s="154" t="s">
        <v>2649</v>
      </c>
    </row>
    <row r="26" customFormat="false" ht="15" hidden="false" customHeight="true" outlineLevel="0" collapsed="false">
      <c r="A26" s="151"/>
      <c r="B26" s="152" t="s">
        <v>489</v>
      </c>
      <c r="C26" s="152" t="s">
        <v>1902</v>
      </c>
      <c r="D26" s="153" t="n">
        <v>5000</v>
      </c>
      <c r="E26" s="154" t="s">
        <v>2648</v>
      </c>
    </row>
    <row r="27" customFormat="false" ht="15" hidden="false" customHeight="true" outlineLevel="0" collapsed="false">
      <c r="A27" s="55" t="s">
        <v>2650</v>
      </c>
    </row>
    <row r="28" customFormat="false" ht="15" hidden="false" customHeight="true" outlineLevel="0" collapsed="false">
      <c r="A28" s="151"/>
      <c r="B28" s="152" t="s">
        <v>168</v>
      </c>
      <c r="C28" s="152" t="s">
        <v>1907</v>
      </c>
      <c r="D28" s="153" t="n">
        <v>80000</v>
      </c>
      <c r="E28" s="154" t="s">
        <v>2627</v>
      </c>
    </row>
    <row r="29" customFormat="false" ht="15" hidden="false" customHeight="true" outlineLevel="0" collapsed="false">
      <c r="A29" s="151"/>
      <c r="B29" s="152" t="s">
        <v>225</v>
      </c>
      <c r="C29" s="152" t="s">
        <v>1887</v>
      </c>
      <c r="D29" s="153" t="n">
        <v>7500</v>
      </c>
      <c r="E29" s="154" t="s">
        <v>2648</v>
      </c>
    </row>
    <row r="30" customFormat="false" ht="15" hidden="false" customHeight="true" outlineLevel="0" collapsed="false">
      <c r="A30" s="151"/>
      <c r="B30" s="152" t="s">
        <v>225</v>
      </c>
      <c r="C30" s="152" t="s">
        <v>1887</v>
      </c>
      <c r="D30" s="153" t="n">
        <v>7500</v>
      </c>
      <c r="E30" s="154" t="s">
        <v>2648</v>
      </c>
    </row>
    <row r="31" customFormat="false" ht="15" hidden="false" customHeight="true" outlineLevel="0" collapsed="false">
      <c r="A31" s="151"/>
      <c r="B31" s="152" t="s">
        <v>933</v>
      </c>
      <c r="C31" s="152" t="s">
        <v>1925</v>
      </c>
      <c r="D31" s="153" t="n">
        <v>5000</v>
      </c>
      <c r="E31" s="154" t="s">
        <v>2651</v>
      </c>
    </row>
    <row r="32" customFormat="false" ht="15" hidden="false" customHeight="true" outlineLevel="0" collapsed="false">
      <c r="A32" s="55" t="s">
        <v>2652</v>
      </c>
    </row>
    <row r="33" customFormat="false" ht="15" hidden="false" customHeight="true" outlineLevel="0" collapsed="false">
      <c r="A33" s="151"/>
      <c r="B33" s="152" t="s">
        <v>296</v>
      </c>
      <c r="C33" s="152" t="s">
        <v>2127</v>
      </c>
      <c r="D33" s="153" t="n">
        <v>20000</v>
      </c>
      <c r="E33" s="154" t="s">
        <v>2653</v>
      </c>
    </row>
    <row r="34" customFormat="false" ht="15" hidden="false" customHeight="true" outlineLevel="0" collapsed="false">
      <c r="A34" s="151"/>
      <c r="B34" s="152" t="s">
        <v>902</v>
      </c>
      <c r="C34" s="152" t="s">
        <v>2215</v>
      </c>
      <c r="D34" s="153" t="n">
        <v>20000</v>
      </c>
      <c r="E34" s="154" t="s">
        <v>2654</v>
      </c>
    </row>
    <row r="35" customFormat="false" ht="15" hidden="false" customHeight="true" outlineLevel="0" collapsed="false">
      <c r="A35" s="151"/>
      <c r="B35" s="152" t="s">
        <v>285</v>
      </c>
      <c r="C35" s="152" t="s">
        <v>2408</v>
      </c>
      <c r="D35" s="153" t="n">
        <v>20000</v>
      </c>
      <c r="E35" s="154" t="s">
        <v>2655</v>
      </c>
    </row>
    <row r="36" customFormat="false" ht="15" hidden="false" customHeight="true" outlineLevel="0" collapsed="false">
      <c r="A36" s="151"/>
      <c r="B36" s="152" t="s">
        <v>293</v>
      </c>
      <c r="C36" s="152" t="s">
        <v>2438</v>
      </c>
      <c r="D36" s="153" t="n">
        <v>20000</v>
      </c>
      <c r="E36" s="154" t="s">
        <v>2656</v>
      </c>
    </row>
    <row r="37" customFormat="false" ht="15" hidden="false" customHeight="true" outlineLevel="0" collapsed="false">
      <c r="A37" s="151"/>
      <c r="B37" s="152" t="s">
        <v>290</v>
      </c>
      <c r="C37" s="152" t="s">
        <v>1909</v>
      </c>
      <c r="D37" s="153" t="n">
        <v>20000</v>
      </c>
      <c r="E37" s="154" t="s">
        <v>2657</v>
      </c>
    </row>
    <row r="38" customFormat="false" ht="15" hidden="false" customHeight="true" outlineLevel="0" collapsed="false">
      <c r="A38" s="151"/>
      <c r="B38" s="152" t="s">
        <v>340</v>
      </c>
      <c r="C38" s="152" t="s">
        <v>2658</v>
      </c>
      <c r="D38" s="153" t="n">
        <v>20000</v>
      </c>
      <c r="E38" s="154" t="s">
        <v>2659</v>
      </c>
    </row>
    <row r="39" customFormat="false" ht="15" hidden="false" customHeight="true" outlineLevel="0" collapsed="false">
      <c r="A39" s="151"/>
      <c r="B39" s="152" t="s">
        <v>328</v>
      </c>
      <c r="C39" s="152" t="s">
        <v>2660</v>
      </c>
      <c r="D39" s="153" t="n">
        <v>20000</v>
      </c>
      <c r="E39" s="154" t="s">
        <v>2661</v>
      </c>
    </row>
    <row r="40" customFormat="false" ht="15" hidden="false" customHeight="true" outlineLevel="0" collapsed="false">
      <c r="A40" s="151"/>
      <c r="B40" s="152" t="s">
        <v>281</v>
      </c>
      <c r="C40" s="152" t="s">
        <v>1922</v>
      </c>
      <c r="D40" s="153" t="n">
        <v>20000</v>
      </c>
      <c r="E40" s="154" t="s">
        <v>2662</v>
      </c>
    </row>
    <row r="41" customFormat="false" ht="15" hidden="false" customHeight="true" outlineLevel="0" collapsed="false">
      <c r="A41" s="151"/>
      <c r="B41" s="152" t="s">
        <v>2632</v>
      </c>
      <c r="C41" s="152" t="s">
        <v>2633</v>
      </c>
      <c r="D41" s="153" t="n">
        <v>20000</v>
      </c>
      <c r="E41" s="154" t="s">
        <v>2663</v>
      </c>
    </row>
    <row r="42" customFormat="false" ht="15" hidden="false" customHeight="true" outlineLevel="0" collapsed="false">
      <c r="A42" s="151"/>
      <c r="B42" s="152" t="s">
        <v>350</v>
      </c>
      <c r="C42" s="152" t="s">
        <v>1913</v>
      </c>
      <c r="D42" s="153" t="n">
        <v>20000</v>
      </c>
      <c r="E42" s="154" t="s">
        <v>2664</v>
      </c>
    </row>
    <row r="43" customFormat="false" ht="15" hidden="false" customHeight="true" outlineLevel="0" collapsed="false">
      <c r="A43" s="151"/>
      <c r="B43" s="152" t="s">
        <v>343</v>
      </c>
      <c r="C43" s="152" t="s">
        <v>1894</v>
      </c>
      <c r="D43" s="153" t="n">
        <v>20000</v>
      </c>
      <c r="E43" s="154" t="s">
        <v>2665</v>
      </c>
    </row>
    <row r="44" customFormat="false" ht="15" hidden="false" customHeight="true" outlineLevel="0" collapsed="false">
      <c r="A44" s="151"/>
      <c r="B44" s="152" t="s">
        <v>902</v>
      </c>
      <c r="C44" s="152" t="s">
        <v>2215</v>
      </c>
      <c r="D44" s="153" t="n">
        <v>20000</v>
      </c>
      <c r="E44" s="154" t="s">
        <v>2666</v>
      </c>
    </row>
    <row r="45" customFormat="false" ht="15" hidden="false" customHeight="true" outlineLevel="0" collapsed="false">
      <c r="A45" s="151"/>
      <c r="B45" s="152" t="s">
        <v>353</v>
      </c>
      <c r="C45" s="152" t="s">
        <v>2667</v>
      </c>
      <c r="D45" s="153" t="n">
        <v>20000</v>
      </c>
      <c r="E45" s="154" t="s">
        <v>2668</v>
      </c>
    </row>
    <row r="46" customFormat="false" ht="15" hidden="false" customHeight="true" outlineLevel="0" collapsed="false">
      <c r="A46" s="151"/>
      <c r="B46" s="152" t="s">
        <v>260</v>
      </c>
      <c r="C46" s="152" t="s">
        <v>2097</v>
      </c>
      <c r="D46" s="153" t="n">
        <v>20000</v>
      </c>
      <c r="E46" s="154" t="s">
        <v>2669</v>
      </c>
    </row>
    <row r="47" customFormat="false" ht="15" hidden="false" customHeight="true" outlineLevel="0" collapsed="false">
      <c r="A47" s="151"/>
      <c r="B47" s="152" t="s">
        <v>346</v>
      </c>
      <c r="C47" s="152" t="s">
        <v>2670</v>
      </c>
      <c r="D47" s="153" t="n">
        <v>20000</v>
      </c>
      <c r="E47" s="154" t="s">
        <v>2653</v>
      </c>
    </row>
    <row r="48" customFormat="false" ht="15" hidden="false" customHeight="true" outlineLevel="0" collapsed="false">
      <c r="A48" s="151"/>
      <c r="B48" s="152" t="s">
        <v>336</v>
      </c>
      <c r="C48" s="152" t="s">
        <v>2671</v>
      </c>
      <c r="D48" s="153" t="n">
        <v>20000</v>
      </c>
      <c r="E48" s="154" t="s">
        <v>2672</v>
      </c>
    </row>
    <row r="49" customFormat="false" ht="15" hidden="false" customHeight="true" outlineLevel="0" collapsed="false">
      <c r="A49" s="151"/>
      <c r="B49" s="152" t="s">
        <v>332</v>
      </c>
      <c r="C49" s="152" t="s">
        <v>2673</v>
      </c>
      <c r="D49" s="153" t="n">
        <v>20000</v>
      </c>
      <c r="E49" s="154" t="s">
        <v>2674</v>
      </c>
    </row>
    <row r="50" customFormat="false" ht="15" hidden="false" customHeight="true" outlineLevel="0" collapsed="false">
      <c r="A50" s="55" t="s">
        <v>2675</v>
      </c>
    </row>
    <row r="51" customFormat="false" ht="15" hidden="false" customHeight="true" outlineLevel="0" collapsed="false">
      <c r="A51" s="151"/>
      <c r="B51" s="152" t="s">
        <v>300</v>
      </c>
      <c r="C51" s="152" t="s">
        <v>2502</v>
      </c>
      <c r="D51" s="153" t="n">
        <v>30000</v>
      </c>
      <c r="E51" s="154" t="s">
        <v>2627</v>
      </c>
    </row>
    <row r="52" customFormat="false" ht="15" hidden="false" customHeight="true" outlineLevel="0" collapsed="false">
      <c r="A52" s="151"/>
      <c r="B52" s="152" t="s">
        <v>2632</v>
      </c>
      <c r="C52" s="152" t="s">
        <v>2633</v>
      </c>
      <c r="D52" s="153" t="n">
        <v>20000</v>
      </c>
      <c r="E52" s="154" t="s">
        <v>2676</v>
      </c>
    </row>
    <row r="53" customFormat="false" ht="15" hidden="false" customHeight="true" outlineLevel="0" collapsed="false">
      <c r="A53" s="151"/>
      <c r="B53" s="152" t="s">
        <v>1127</v>
      </c>
      <c r="C53" s="152" t="s">
        <v>2155</v>
      </c>
      <c r="D53" s="153" t="n">
        <v>15000</v>
      </c>
      <c r="E53" s="154" t="s">
        <v>2648</v>
      </c>
    </row>
    <row r="54" customFormat="false" ht="15" hidden="false" customHeight="true" outlineLevel="0" collapsed="false">
      <c r="A54" s="151"/>
      <c r="B54" s="152" t="s">
        <v>435</v>
      </c>
      <c r="C54" s="152" t="s">
        <v>1874</v>
      </c>
      <c r="D54" s="153" t="n">
        <v>10000</v>
      </c>
      <c r="E54" s="154" t="s">
        <v>2677</v>
      </c>
    </row>
    <row r="55" customFormat="false" ht="15" hidden="false" customHeight="true" outlineLevel="0" collapsed="false">
      <c r="A55" s="151"/>
      <c r="B55" s="152" t="s">
        <v>260</v>
      </c>
      <c r="C55" s="152" t="s">
        <v>2097</v>
      </c>
      <c r="D55" s="153" t="n">
        <v>10000</v>
      </c>
      <c r="E55" s="154" t="s">
        <v>2648</v>
      </c>
    </row>
    <row r="56" customFormat="false" ht="15" hidden="false" customHeight="true" outlineLevel="0" collapsed="false">
      <c r="A56" s="151"/>
      <c r="B56" s="152" t="s">
        <v>293</v>
      </c>
      <c r="C56" s="152" t="s">
        <v>2438</v>
      </c>
      <c r="D56" s="153" t="n">
        <v>10000</v>
      </c>
      <c r="E56" s="154" t="s">
        <v>2648</v>
      </c>
    </row>
    <row r="57" customFormat="false" ht="15" hidden="false" customHeight="true" outlineLevel="0" collapsed="false">
      <c r="A57" s="151"/>
      <c r="B57" s="152" t="s">
        <v>281</v>
      </c>
      <c r="C57" s="152" t="s">
        <v>1922</v>
      </c>
      <c r="D57" s="153" t="n">
        <v>10000</v>
      </c>
      <c r="E57" s="154" t="s">
        <v>2627</v>
      </c>
    </row>
    <row r="58" customFormat="false" ht="15" hidden="false" customHeight="true" outlineLevel="0" collapsed="false">
      <c r="A58" s="151"/>
      <c r="B58" s="152" t="s">
        <v>431</v>
      </c>
      <c r="C58" s="152" t="s">
        <v>2678</v>
      </c>
      <c r="D58" s="153" t="n">
        <v>10000</v>
      </c>
      <c r="E58" s="154" t="s">
        <v>2679</v>
      </c>
    </row>
    <row r="59" customFormat="false" ht="15" hidden="false" customHeight="true" outlineLevel="0" collapsed="false">
      <c r="A59" s="151"/>
      <c r="B59" s="152" t="s">
        <v>427</v>
      </c>
      <c r="C59" s="152" t="s">
        <v>2173</v>
      </c>
      <c r="D59" s="153" t="n">
        <v>10000</v>
      </c>
      <c r="E59" s="154" t="s">
        <v>2680</v>
      </c>
    </row>
    <row r="60" customFormat="false" ht="15" hidden="false" customHeight="true" outlineLevel="0" collapsed="false">
      <c r="A60" s="151"/>
      <c r="B60" s="152" t="s">
        <v>657</v>
      </c>
      <c r="C60" s="152" t="s">
        <v>1849</v>
      </c>
      <c r="D60" s="153" t="n">
        <v>10000</v>
      </c>
      <c r="E60" s="154" t="s">
        <v>2648</v>
      </c>
    </row>
    <row r="61" customFormat="false" ht="15" hidden="false" customHeight="true" outlineLevel="0" collapsed="false">
      <c r="A61" s="151"/>
      <c r="B61" s="152" t="s">
        <v>290</v>
      </c>
      <c r="C61" s="152" t="s">
        <v>1909</v>
      </c>
      <c r="D61" s="153" t="n">
        <v>10000</v>
      </c>
      <c r="E61" s="154" t="s">
        <v>2681</v>
      </c>
    </row>
    <row r="62" customFormat="false" ht="15" hidden="false" customHeight="true" outlineLevel="0" collapsed="false">
      <c r="A62" s="55" t="s">
        <v>2682</v>
      </c>
    </row>
    <row r="63" customFormat="false" ht="15" hidden="false" customHeight="true" outlineLevel="0" collapsed="false">
      <c r="A63" s="151"/>
      <c r="B63" s="152" t="s">
        <v>2029</v>
      </c>
      <c r="C63" s="152" t="s">
        <v>2683</v>
      </c>
      <c r="D63" s="153" t="n">
        <v>30000</v>
      </c>
      <c r="E63" s="154" t="s">
        <v>2684</v>
      </c>
    </row>
    <row r="64" customFormat="false" ht="15" hidden="false" customHeight="true" outlineLevel="0" collapsed="false">
      <c r="A64" s="151"/>
      <c r="B64" s="152" t="s">
        <v>360</v>
      </c>
      <c r="C64" s="152" t="s">
        <v>2685</v>
      </c>
      <c r="D64" s="153" t="n">
        <v>20000</v>
      </c>
      <c r="E64" s="154" t="s">
        <v>2686</v>
      </c>
    </row>
    <row r="65" customFormat="false" ht="15" hidden="false" customHeight="true" outlineLevel="0" collapsed="false">
      <c r="A65" s="151"/>
      <c r="B65" s="152" t="s">
        <v>364</v>
      </c>
      <c r="C65" s="152" t="s">
        <v>2687</v>
      </c>
      <c r="D65" s="153" t="n">
        <v>20000</v>
      </c>
      <c r="E65" s="154" t="s">
        <v>2663</v>
      </c>
    </row>
    <row r="66" customFormat="false" ht="15" hidden="false" customHeight="true" outlineLevel="0" collapsed="false">
      <c r="A66" s="151"/>
      <c r="B66" s="152" t="s">
        <v>718</v>
      </c>
      <c r="C66" s="152" t="s">
        <v>2230</v>
      </c>
      <c r="D66" s="153" t="n">
        <v>20000</v>
      </c>
      <c r="E66" s="154" t="s">
        <v>2688</v>
      </c>
    </row>
    <row r="67" customFormat="false" ht="15" hidden="false" customHeight="true" outlineLevel="0" collapsed="false">
      <c r="A67" s="55" t="s">
        <v>2689</v>
      </c>
    </row>
    <row r="68" customFormat="false" ht="15" hidden="false" customHeight="true" outlineLevel="0" collapsed="false">
      <c r="A68" s="151"/>
      <c r="B68" s="152" t="s">
        <v>240</v>
      </c>
      <c r="C68" s="152" t="s">
        <v>2418</v>
      </c>
      <c r="D68" s="153" t="n">
        <v>50000</v>
      </c>
      <c r="E68" s="154" t="s">
        <v>2627</v>
      </c>
    </row>
    <row r="69" customFormat="false" ht="15" hidden="false" customHeight="true" outlineLevel="0" collapsed="false">
      <c r="A69" s="151"/>
      <c r="B69" s="152" t="s">
        <v>313</v>
      </c>
      <c r="C69" s="152" t="s">
        <v>2690</v>
      </c>
      <c r="D69" s="153" t="n">
        <v>25000</v>
      </c>
      <c r="E69" s="154" t="s">
        <v>2627</v>
      </c>
    </row>
    <row r="70" customFormat="false" ht="15" hidden="false" customHeight="true" outlineLevel="0" collapsed="false">
      <c r="A70" s="151"/>
      <c r="B70" s="152" t="s">
        <v>145</v>
      </c>
      <c r="C70" s="152" t="s">
        <v>2691</v>
      </c>
      <c r="D70" s="153" t="n">
        <v>20000</v>
      </c>
      <c r="E70" s="154" t="s">
        <v>2627</v>
      </c>
    </row>
    <row r="71" customFormat="false" ht="15" hidden="false" customHeight="true" outlineLevel="0" collapsed="false">
      <c r="A71" s="151"/>
      <c r="B71" s="152" t="s">
        <v>1860</v>
      </c>
      <c r="C71" s="152" t="s">
        <v>1861</v>
      </c>
      <c r="D71" s="153" t="n">
        <v>20000</v>
      </c>
      <c r="E71" s="154" t="s">
        <v>2627</v>
      </c>
    </row>
    <row r="72" customFormat="false" ht="15" hidden="false" customHeight="true" outlineLevel="0" collapsed="false">
      <c r="A72" s="151"/>
      <c r="B72" s="152" t="s">
        <v>372</v>
      </c>
      <c r="C72" s="152" t="s">
        <v>2692</v>
      </c>
      <c r="D72" s="153" t="n">
        <v>20000</v>
      </c>
      <c r="E72" s="154" t="s">
        <v>2627</v>
      </c>
    </row>
    <row r="73" customFormat="false" ht="15" hidden="false" customHeight="true" outlineLevel="0" collapsed="false">
      <c r="A73" s="151"/>
      <c r="B73" s="152" t="s">
        <v>317</v>
      </c>
      <c r="C73" s="152" t="s">
        <v>2479</v>
      </c>
      <c r="D73" s="153" t="n">
        <v>15000</v>
      </c>
      <c r="E73" s="154" t="s">
        <v>2648</v>
      </c>
    </row>
    <row r="74" customFormat="false" ht="15" hidden="false" customHeight="true" outlineLevel="0" collapsed="false">
      <c r="A74" s="151"/>
      <c r="B74" s="152" t="s">
        <v>215</v>
      </c>
      <c r="C74" s="152" t="s">
        <v>1856</v>
      </c>
      <c r="D74" s="153" t="n">
        <v>10000</v>
      </c>
      <c r="E74" s="154" t="s">
        <v>2627</v>
      </c>
    </row>
    <row r="75" customFormat="false" ht="15" hidden="false" customHeight="true" outlineLevel="0" collapsed="false">
      <c r="A75" s="151"/>
      <c r="B75" s="152" t="s">
        <v>142</v>
      </c>
      <c r="C75" s="152" t="s">
        <v>2122</v>
      </c>
      <c r="D75" s="153" t="n">
        <v>10000</v>
      </c>
      <c r="E75" s="154" t="s">
        <v>2627</v>
      </c>
    </row>
    <row r="76" customFormat="false" ht="15" hidden="false" customHeight="true" outlineLevel="0" collapsed="false">
      <c r="A76" s="151"/>
      <c r="B76" s="152" t="s">
        <v>317</v>
      </c>
      <c r="C76" s="152" t="s">
        <v>2479</v>
      </c>
      <c r="D76" s="153" t="n">
        <v>10000</v>
      </c>
      <c r="E76" s="154" t="s">
        <v>2627</v>
      </c>
    </row>
    <row r="77" customFormat="false" ht="15" hidden="false" customHeight="true" outlineLevel="0" collapsed="false">
      <c r="A77" s="151"/>
      <c r="B77" s="152" t="s">
        <v>1202</v>
      </c>
      <c r="C77" s="152" t="s">
        <v>2693</v>
      </c>
      <c r="D77" s="153" t="n">
        <v>10000</v>
      </c>
      <c r="E77" s="154" t="s">
        <v>2694</v>
      </c>
    </row>
    <row r="78" customFormat="false" ht="15" hidden="false" customHeight="true" outlineLevel="0" collapsed="false">
      <c r="A78" s="151"/>
      <c r="B78" s="152" t="s">
        <v>2695</v>
      </c>
      <c r="C78" s="152" t="s">
        <v>2696</v>
      </c>
      <c r="D78" s="153" t="n">
        <v>5000</v>
      </c>
      <c r="E78" s="154" t="s">
        <v>2627</v>
      </c>
    </row>
    <row r="79" customFormat="false" ht="15" hidden="false" customHeight="true" outlineLevel="0" collapsed="false">
      <c r="A79" s="55" t="s">
        <v>2697</v>
      </c>
    </row>
    <row r="80" customFormat="false" ht="15" hidden="false" customHeight="true" outlineLevel="0" collapsed="false">
      <c r="A80" s="151"/>
      <c r="B80" s="152" t="s">
        <v>617</v>
      </c>
      <c r="C80" s="152" t="s">
        <v>2064</v>
      </c>
      <c r="D80" s="153" t="n">
        <v>30000</v>
      </c>
      <c r="E80" s="154" t="s">
        <v>2648</v>
      </c>
    </row>
    <row r="81" customFormat="false" ht="15" hidden="false" customHeight="true" outlineLevel="0" collapsed="false">
      <c r="A81" s="151"/>
      <c r="B81" s="152" t="s">
        <v>1084</v>
      </c>
      <c r="C81" s="152" t="s">
        <v>2062</v>
      </c>
      <c r="D81" s="153" t="n">
        <v>25000</v>
      </c>
      <c r="E81" s="154" t="s">
        <v>2627</v>
      </c>
    </row>
    <row r="82" customFormat="false" ht="15" hidden="false" customHeight="true" outlineLevel="0" collapsed="false">
      <c r="A82" s="151"/>
      <c r="B82" s="152" t="s">
        <v>1017</v>
      </c>
      <c r="C82" s="152" t="s">
        <v>2698</v>
      </c>
      <c r="D82" s="153" t="n">
        <v>24000</v>
      </c>
      <c r="E82" s="154" t="s">
        <v>2648</v>
      </c>
    </row>
    <row r="83" customFormat="false" ht="15" hidden="false" customHeight="true" outlineLevel="0" collapsed="false">
      <c r="A83" s="151"/>
      <c r="B83" s="152" t="s">
        <v>384</v>
      </c>
      <c r="C83" s="152" t="s">
        <v>2071</v>
      </c>
      <c r="D83" s="153" t="n">
        <v>20000</v>
      </c>
      <c r="E83" s="154" t="s">
        <v>2655</v>
      </c>
    </row>
    <row r="84" customFormat="false" ht="15" hidden="false" customHeight="true" outlineLevel="0" collapsed="false">
      <c r="A84" s="151"/>
      <c r="B84" s="152" t="s">
        <v>388</v>
      </c>
      <c r="C84" s="152" t="s">
        <v>1889</v>
      </c>
      <c r="D84" s="153" t="n">
        <v>20000</v>
      </c>
      <c r="E84" s="154" t="s">
        <v>2699</v>
      </c>
    </row>
    <row r="85" customFormat="false" ht="15" hidden="false" customHeight="true" outlineLevel="0" collapsed="false">
      <c r="A85" s="151"/>
      <c r="B85" s="152" t="s">
        <v>230</v>
      </c>
      <c r="C85" s="152" t="s">
        <v>2077</v>
      </c>
      <c r="D85" s="153" t="n">
        <v>16000</v>
      </c>
      <c r="E85" s="154" t="s">
        <v>2700</v>
      </c>
    </row>
    <row r="86" customFormat="false" ht="15" hidden="false" customHeight="true" outlineLevel="0" collapsed="false">
      <c r="A86" s="151"/>
      <c r="B86" s="152" t="s">
        <v>225</v>
      </c>
      <c r="C86" s="152" t="s">
        <v>1887</v>
      </c>
      <c r="D86" s="153" t="n">
        <v>15000</v>
      </c>
      <c r="E86" s="154" t="s">
        <v>2627</v>
      </c>
    </row>
    <row r="87" customFormat="false" ht="15" hidden="false" customHeight="true" outlineLevel="0" collapsed="false">
      <c r="A87" s="151"/>
      <c r="B87" s="152" t="s">
        <v>408</v>
      </c>
      <c r="C87" s="152" t="s">
        <v>2082</v>
      </c>
      <c r="D87" s="153" t="n">
        <v>15000</v>
      </c>
      <c r="E87" s="154" t="s">
        <v>2627</v>
      </c>
    </row>
    <row r="88" customFormat="false" ht="15" hidden="false" customHeight="true" outlineLevel="0" collapsed="false">
      <c r="A88" s="151"/>
      <c r="B88" s="152" t="s">
        <v>462</v>
      </c>
      <c r="C88" s="152" t="s">
        <v>2116</v>
      </c>
      <c r="D88" s="153" t="n">
        <v>15000</v>
      </c>
      <c r="E88" s="154" t="s">
        <v>2627</v>
      </c>
    </row>
    <row r="89" customFormat="false" ht="15" hidden="false" customHeight="true" outlineLevel="0" collapsed="false">
      <c r="A89" s="151"/>
      <c r="B89" s="152" t="s">
        <v>745</v>
      </c>
      <c r="C89" s="152" t="s">
        <v>2701</v>
      </c>
      <c r="D89" s="153" t="n">
        <v>15000</v>
      </c>
      <c r="E89" s="154" t="s">
        <v>2627</v>
      </c>
    </row>
    <row r="90" customFormat="false" ht="15" hidden="false" customHeight="true" outlineLevel="0" collapsed="false">
      <c r="A90" s="151"/>
      <c r="B90" s="152" t="s">
        <v>260</v>
      </c>
      <c r="C90" s="152" t="s">
        <v>2097</v>
      </c>
      <c r="D90" s="153" t="n">
        <v>10000</v>
      </c>
      <c r="E90" s="154" t="s">
        <v>2680</v>
      </c>
    </row>
    <row r="91" customFormat="false" ht="15" hidden="false" customHeight="true" outlineLevel="0" collapsed="false">
      <c r="A91" s="151"/>
      <c r="B91" s="152" t="s">
        <v>448</v>
      </c>
      <c r="C91" s="152" t="s">
        <v>2100</v>
      </c>
      <c r="D91" s="153" t="n">
        <v>10000</v>
      </c>
      <c r="E91" s="154" t="s">
        <v>2702</v>
      </c>
    </row>
    <row r="92" customFormat="false" ht="15" hidden="false" customHeight="true" outlineLevel="0" collapsed="false">
      <c r="A92" s="151"/>
      <c r="B92" s="152" t="s">
        <v>380</v>
      </c>
      <c r="C92" s="152" t="s">
        <v>1899</v>
      </c>
      <c r="D92" s="153" t="n">
        <v>10000</v>
      </c>
      <c r="E92" s="154" t="s">
        <v>2627</v>
      </c>
    </row>
    <row r="93" customFormat="false" ht="15" hidden="false" customHeight="true" outlineLevel="0" collapsed="false">
      <c r="A93" s="151"/>
      <c r="B93" s="152" t="s">
        <v>456</v>
      </c>
      <c r="C93" s="152" t="s">
        <v>2112</v>
      </c>
      <c r="D93" s="153" t="n">
        <v>10000</v>
      </c>
      <c r="E93" s="154" t="s">
        <v>2648</v>
      </c>
    </row>
    <row r="94" customFormat="false" ht="15" hidden="false" customHeight="true" outlineLevel="0" collapsed="false">
      <c r="A94" s="151"/>
      <c r="B94" s="152" t="s">
        <v>326</v>
      </c>
      <c r="C94" s="152" t="s">
        <v>1912</v>
      </c>
      <c r="D94" s="153" t="n">
        <v>10000</v>
      </c>
      <c r="E94" s="154" t="s">
        <v>2703</v>
      </c>
    </row>
    <row r="95" customFormat="false" ht="15" hidden="false" customHeight="true" outlineLevel="0" collapsed="false">
      <c r="A95" s="151"/>
      <c r="B95" s="152" t="s">
        <v>296</v>
      </c>
      <c r="C95" s="152" t="s">
        <v>2127</v>
      </c>
      <c r="D95" s="153" t="n">
        <v>10000</v>
      </c>
      <c r="E95" s="154" t="s">
        <v>2704</v>
      </c>
    </row>
    <row r="96" customFormat="false" ht="15" hidden="false" customHeight="true" outlineLevel="0" collapsed="false">
      <c r="A96" s="151"/>
      <c r="B96" s="152" t="s">
        <v>452</v>
      </c>
      <c r="C96" s="152" t="s">
        <v>2102</v>
      </c>
      <c r="D96" s="153" t="n">
        <v>10000</v>
      </c>
      <c r="E96" s="154" t="s">
        <v>2705</v>
      </c>
    </row>
    <row r="97" customFormat="false" ht="15" hidden="false" customHeight="true" outlineLevel="0" collapsed="false">
      <c r="A97" s="151"/>
      <c r="B97" s="152" t="s">
        <v>415</v>
      </c>
      <c r="C97" s="152" t="s">
        <v>2423</v>
      </c>
      <c r="D97" s="153" t="n">
        <v>10000</v>
      </c>
      <c r="E97" s="154" t="s">
        <v>2706</v>
      </c>
    </row>
    <row r="98" customFormat="false" ht="15" hidden="false" customHeight="true" outlineLevel="0" collapsed="false">
      <c r="A98" s="151"/>
      <c r="B98" s="152" t="s">
        <v>503</v>
      </c>
      <c r="C98" s="152" t="s">
        <v>2149</v>
      </c>
      <c r="D98" s="153" t="n">
        <v>5000</v>
      </c>
      <c r="E98" s="154" t="s">
        <v>2707</v>
      </c>
    </row>
    <row r="99" customFormat="false" ht="15" hidden="false" customHeight="true" outlineLevel="0" collapsed="false">
      <c r="A99" s="151"/>
      <c r="B99" s="152" t="s">
        <v>1127</v>
      </c>
      <c r="C99" s="152" t="s">
        <v>2155</v>
      </c>
      <c r="D99" s="153" t="n">
        <v>5000</v>
      </c>
      <c r="E99" s="154" t="s">
        <v>2708</v>
      </c>
    </row>
    <row r="100" customFormat="false" ht="15" hidden="false" customHeight="true" outlineLevel="0" collapsed="false">
      <c r="A100" s="151"/>
      <c r="B100" s="152" t="s">
        <v>893</v>
      </c>
      <c r="C100" s="152" t="s">
        <v>1931</v>
      </c>
      <c r="D100" s="153" t="n">
        <v>5000</v>
      </c>
      <c r="E100" s="154" t="s">
        <v>2709</v>
      </c>
    </row>
    <row r="101" customFormat="false" ht="15" hidden="false" customHeight="true" outlineLevel="0" collapsed="false">
      <c r="A101" s="151"/>
      <c r="B101" s="152" t="s">
        <v>893</v>
      </c>
      <c r="C101" s="152" t="s">
        <v>1931</v>
      </c>
      <c r="D101" s="153" t="n">
        <v>5000</v>
      </c>
      <c r="E101" s="154" t="s">
        <v>2653</v>
      </c>
    </row>
    <row r="102" customFormat="false" ht="15" hidden="false" customHeight="true" outlineLevel="0" collapsed="false">
      <c r="A102" s="151"/>
      <c r="B102" s="152" t="s">
        <v>893</v>
      </c>
      <c r="C102" s="152" t="s">
        <v>1931</v>
      </c>
      <c r="D102" s="153" t="n">
        <v>5000</v>
      </c>
      <c r="E102" s="154" t="s">
        <v>2710</v>
      </c>
    </row>
    <row r="103" customFormat="false" ht="15" hidden="false" customHeight="true" outlineLevel="0" collapsed="false">
      <c r="A103" s="151"/>
      <c r="B103" s="152" t="s">
        <v>893</v>
      </c>
      <c r="C103" s="152" t="s">
        <v>1931</v>
      </c>
      <c r="D103" s="153" t="n">
        <v>5000</v>
      </c>
      <c r="E103" s="154" t="s">
        <v>2711</v>
      </c>
    </row>
    <row r="104" customFormat="false" ht="15" hidden="false" customHeight="true" outlineLevel="0" collapsed="false">
      <c r="A104" s="151"/>
      <c r="B104" s="152" t="s">
        <v>771</v>
      </c>
      <c r="C104" s="152" t="s">
        <v>2171</v>
      </c>
      <c r="D104" s="153" t="n">
        <v>5000</v>
      </c>
      <c r="E104" s="154" t="s">
        <v>2627</v>
      </c>
    </row>
    <row r="105" customFormat="false" ht="15" hidden="false" customHeight="true" outlineLevel="0" collapsed="false">
      <c r="A105" s="151"/>
      <c r="B105" s="152" t="s">
        <v>515</v>
      </c>
      <c r="C105" s="152" t="s">
        <v>2110</v>
      </c>
      <c r="D105" s="153" t="n">
        <v>5000</v>
      </c>
      <c r="E105" s="154" t="s">
        <v>2648</v>
      </c>
    </row>
    <row r="106" customFormat="false" ht="15" hidden="false" customHeight="true" outlineLevel="0" collapsed="false">
      <c r="A106" s="151"/>
      <c r="B106" s="152" t="s">
        <v>523</v>
      </c>
      <c r="C106" s="152" t="s">
        <v>2204</v>
      </c>
      <c r="D106" s="153" t="n">
        <v>5000</v>
      </c>
      <c r="E106" s="154" t="s">
        <v>2627</v>
      </c>
    </row>
    <row r="107" customFormat="false" ht="15" hidden="false" customHeight="true" outlineLevel="0" collapsed="false">
      <c r="A107" s="151"/>
      <c r="B107" s="152" t="s">
        <v>528</v>
      </c>
      <c r="C107" s="152" t="s">
        <v>2133</v>
      </c>
      <c r="D107" s="153" t="n">
        <v>5000</v>
      </c>
      <c r="E107" s="154" t="s">
        <v>2648</v>
      </c>
    </row>
    <row r="108" customFormat="false" ht="15" hidden="false" customHeight="true" outlineLevel="0" collapsed="false">
      <c r="A108" s="151"/>
      <c r="B108" s="152" t="s">
        <v>531</v>
      </c>
      <c r="C108" s="152" t="s">
        <v>2226</v>
      </c>
      <c r="D108" s="153" t="n">
        <v>5000</v>
      </c>
      <c r="E108" s="154" t="s">
        <v>2712</v>
      </c>
    </row>
    <row r="109" customFormat="false" ht="15" hidden="false" customHeight="true" outlineLevel="0" collapsed="false">
      <c r="A109" s="151"/>
      <c r="B109" s="152" t="s">
        <v>718</v>
      </c>
      <c r="C109" s="152" t="s">
        <v>2230</v>
      </c>
      <c r="D109" s="153" t="n">
        <v>5000</v>
      </c>
      <c r="E109" s="154" t="s">
        <v>2713</v>
      </c>
    </row>
    <row r="110" customFormat="false" ht="15" hidden="false" customHeight="true" outlineLevel="0" collapsed="false">
      <c r="A110" s="151"/>
      <c r="B110" s="152" t="s">
        <v>518</v>
      </c>
      <c r="C110" s="152" t="s">
        <v>2200</v>
      </c>
      <c r="D110" s="153" t="n">
        <v>5000</v>
      </c>
      <c r="E110" s="154" t="s">
        <v>2648</v>
      </c>
    </row>
    <row r="111" customFormat="false" ht="15" hidden="false" customHeight="true" outlineLevel="0" collapsed="false">
      <c r="A111" s="151"/>
      <c r="B111" s="152" t="s">
        <v>535</v>
      </c>
      <c r="C111" s="152" t="s">
        <v>2232</v>
      </c>
      <c r="D111" s="153" t="n">
        <v>5000</v>
      </c>
      <c r="E111" s="154" t="s">
        <v>2648</v>
      </c>
    </row>
    <row r="112" customFormat="false" ht="15" hidden="false" customHeight="true" outlineLevel="0" collapsed="false">
      <c r="A112" s="151"/>
      <c r="B112" s="152" t="s">
        <v>309</v>
      </c>
      <c r="C112" s="152" t="s">
        <v>1865</v>
      </c>
      <c r="D112" s="153" t="n">
        <v>5000</v>
      </c>
      <c r="E112" s="154" t="s">
        <v>2714</v>
      </c>
    </row>
    <row r="113" customFormat="false" ht="15" hidden="false" customHeight="true" outlineLevel="0" collapsed="false">
      <c r="A113" s="151"/>
      <c r="B113" s="152" t="s">
        <v>404</v>
      </c>
      <c r="C113" s="152" t="s">
        <v>2108</v>
      </c>
      <c r="D113" s="153" t="n">
        <v>5000</v>
      </c>
      <c r="E113" s="154" t="s">
        <v>2714</v>
      </c>
    </row>
    <row r="114" customFormat="false" ht="15" hidden="false" customHeight="true" outlineLevel="0" collapsed="false">
      <c r="A114" s="151"/>
      <c r="B114" s="152" t="s">
        <v>925</v>
      </c>
      <c r="C114" s="152" t="s">
        <v>1931</v>
      </c>
      <c r="D114" s="153" t="n">
        <v>2000</v>
      </c>
      <c r="E114" s="154" t="s">
        <v>2715</v>
      </c>
    </row>
    <row r="115" customFormat="false" ht="15" hidden="false" customHeight="true" outlineLevel="0" collapsed="false">
      <c r="A115" s="151"/>
      <c r="B115" s="152" t="s">
        <v>925</v>
      </c>
      <c r="C115" s="152" t="s">
        <v>1931</v>
      </c>
      <c r="D115" s="153" t="n">
        <v>2000</v>
      </c>
      <c r="E115" s="154" t="s">
        <v>2716</v>
      </c>
    </row>
    <row r="116" customFormat="false" ht="15" hidden="false" customHeight="true" outlineLevel="0" collapsed="false">
      <c r="A116" s="151"/>
      <c r="B116" s="152" t="s">
        <v>925</v>
      </c>
      <c r="C116" s="152" t="s">
        <v>1931</v>
      </c>
      <c r="D116" s="153" t="n">
        <v>2000</v>
      </c>
      <c r="E116" s="154" t="s">
        <v>2717</v>
      </c>
    </row>
    <row r="117" customFormat="false" ht="15" hidden="false" customHeight="true" outlineLevel="0" collapsed="false">
      <c r="A117" s="151"/>
      <c r="B117" s="152" t="s">
        <v>925</v>
      </c>
      <c r="C117" s="152" t="s">
        <v>1931</v>
      </c>
      <c r="D117" s="153" t="n">
        <v>2000</v>
      </c>
      <c r="E117" s="154" t="s">
        <v>2718</v>
      </c>
    </row>
    <row r="118" customFormat="false" ht="15" hidden="false" customHeight="true" outlineLevel="0" collapsed="false">
      <c r="A118" s="151"/>
      <c r="B118" s="152" t="s">
        <v>925</v>
      </c>
      <c r="C118" s="152" t="s">
        <v>1931</v>
      </c>
      <c r="D118" s="153" t="n">
        <v>2000</v>
      </c>
      <c r="E118" s="154" t="s">
        <v>2719</v>
      </c>
    </row>
    <row r="119" customFormat="false" ht="15" hidden="false" customHeight="true" outlineLevel="0" collapsed="false">
      <c r="A119" s="151"/>
      <c r="B119" s="152" t="s">
        <v>925</v>
      </c>
      <c r="C119" s="152" t="s">
        <v>1931</v>
      </c>
      <c r="D119" s="153" t="n">
        <v>2000</v>
      </c>
      <c r="E119" s="154" t="s">
        <v>2720</v>
      </c>
    </row>
    <row r="120" customFormat="false" ht="15" hidden="false" customHeight="true" outlineLevel="0" collapsed="false">
      <c r="A120" s="151"/>
      <c r="B120" s="152" t="s">
        <v>925</v>
      </c>
      <c r="C120" s="152" t="s">
        <v>1931</v>
      </c>
      <c r="D120" s="153" t="n">
        <v>2000</v>
      </c>
      <c r="E120" s="154" t="s">
        <v>2721</v>
      </c>
    </row>
    <row r="121" customFormat="false" ht="15" hidden="false" customHeight="true" outlineLevel="0" collapsed="false">
      <c r="A121" s="151"/>
      <c r="B121" s="152" t="s">
        <v>925</v>
      </c>
      <c r="C121" s="152" t="s">
        <v>1931</v>
      </c>
      <c r="D121" s="153" t="n">
        <v>2000</v>
      </c>
      <c r="E121" s="154" t="s">
        <v>2722</v>
      </c>
    </row>
    <row r="122" customFormat="false" ht="15" hidden="false" customHeight="true" outlineLevel="0" collapsed="false">
      <c r="A122" s="151"/>
      <c r="B122" s="152" t="s">
        <v>893</v>
      </c>
      <c r="C122" s="152" t="s">
        <v>1931</v>
      </c>
      <c r="D122" s="153" t="n">
        <v>1000</v>
      </c>
      <c r="E122" s="154" t="s">
        <v>2723</v>
      </c>
    </row>
    <row r="123" customFormat="false" ht="15" hidden="false" customHeight="true" outlineLevel="0" collapsed="false">
      <c r="A123" s="151"/>
      <c r="B123" s="152" t="s">
        <v>893</v>
      </c>
      <c r="C123" s="152" t="s">
        <v>1931</v>
      </c>
      <c r="D123" s="153" t="n">
        <v>1000</v>
      </c>
      <c r="E123" s="154" t="s">
        <v>2655</v>
      </c>
    </row>
    <row r="124" customFormat="false" ht="15" hidden="false" customHeight="true" outlineLevel="0" collapsed="false">
      <c r="A124" s="151"/>
      <c r="B124" s="152" t="s">
        <v>893</v>
      </c>
      <c r="C124" s="152" t="s">
        <v>1931</v>
      </c>
      <c r="D124" s="153" t="n">
        <v>1000</v>
      </c>
      <c r="E124" s="154" t="s">
        <v>2724</v>
      </c>
    </row>
    <row r="125" customFormat="false" ht="15" hidden="false" customHeight="true" outlineLevel="0" collapsed="false">
      <c r="A125" s="151"/>
      <c r="B125" s="152" t="s">
        <v>893</v>
      </c>
      <c r="C125" s="152" t="s">
        <v>1931</v>
      </c>
      <c r="D125" s="153" t="n">
        <v>1000</v>
      </c>
      <c r="E125" s="154" t="s">
        <v>2725</v>
      </c>
    </row>
    <row r="126" customFormat="false" ht="15" hidden="false" customHeight="true" outlineLevel="0" collapsed="false">
      <c r="A126" s="151"/>
      <c r="B126" s="152" t="s">
        <v>893</v>
      </c>
      <c r="C126" s="152" t="s">
        <v>1931</v>
      </c>
      <c r="D126" s="153" t="n">
        <v>1000</v>
      </c>
      <c r="E126" s="154" t="s">
        <v>2726</v>
      </c>
    </row>
    <row r="127" customFormat="false" ht="15" hidden="false" customHeight="true" outlineLevel="0" collapsed="false">
      <c r="A127" s="151"/>
      <c r="B127" s="152" t="s">
        <v>893</v>
      </c>
      <c r="C127" s="152" t="s">
        <v>1931</v>
      </c>
      <c r="D127" s="153" t="n">
        <v>1000</v>
      </c>
      <c r="E127" s="154" t="s">
        <v>2727</v>
      </c>
    </row>
    <row r="128" customFormat="false" ht="15" hidden="false" customHeight="true" outlineLevel="0" collapsed="false">
      <c r="A128" s="151"/>
      <c r="B128" s="152" t="s">
        <v>893</v>
      </c>
      <c r="C128" s="152" t="s">
        <v>1931</v>
      </c>
      <c r="D128" s="153" t="n">
        <v>1000</v>
      </c>
      <c r="E128" s="154" t="s">
        <v>2728</v>
      </c>
    </row>
    <row r="129" customFormat="false" ht="15" hidden="false" customHeight="true" outlineLevel="0" collapsed="false">
      <c r="A129" s="151"/>
      <c r="B129" s="152" t="s">
        <v>893</v>
      </c>
      <c r="C129" s="152" t="s">
        <v>1931</v>
      </c>
      <c r="D129" s="153" t="n">
        <v>1000</v>
      </c>
      <c r="E129" s="154" t="s">
        <v>2653</v>
      </c>
    </row>
    <row r="130" customFormat="false" ht="15" hidden="false" customHeight="true" outlineLevel="0" collapsed="false">
      <c r="A130" s="151"/>
      <c r="B130" s="152" t="s">
        <v>893</v>
      </c>
      <c r="C130" s="152" t="s">
        <v>1931</v>
      </c>
      <c r="D130" s="153" t="n">
        <v>1000</v>
      </c>
      <c r="E130" s="154" t="s">
        <v>2729</v>
      </c>
    </row>
    <row r="131" customFormat="false" ht="15" hidden="false" customHeight="true" outlineLevel="0" collapsed="false">
      <c r="A131" s="151"/>
      <c r="B131" s="152" t="s">
        <v>893</v>
      </c>
      <c r="C131" s="152" t="s">
        <v>1931</v>
      </c>
      <c r="D131" s="153" t="n">
        <v>1000</v>
      </c>
      <c r="E131" s="154" t="s">
        <v>2730</v>
      </c>
    </row>
    <row r="132" customFormat="false" ht="15" hidden="false" customHeight="true" outlineLevel="0" collapsed="false">
      <c r="A132" s="151"/>
      <c r="B132" s="152" t="s">
        <v>893</v>
      </c>
      <c r="C132" s="152" t="s">
        <v>1931</v>
      </c>
      <c r="D132" s="153" t="n">
        <v>1000</v>
      </c>
      <c r="E132" s="154" t="s">
        <v>2731</v>
      </c>
    </row>
    <row r="133" customFormat="false" ht="15" hidden="false" customHeight="true" outlineLevel="0" collapsed="false">
      <c r="A133" s="151"/>
      <c r="B133" s="152" t="s">
        <v>893</v>
      </c>
      <c r="C133" s="152" t="s">
        <v>1931</v>
      </c>
      <c r="D133" s="153" t="n">
        <v>1000</v>
      </c>
      <c r="E133" s="154" t="s">
        <v>2732</v>
      </c>
    </row>
    <row r="134" customFormat="false" ht="15" hidden="false" customHeight="true" outlineLevel="0" collapsed="false">
      <c r="A134" s="151"/>
      <c r="B134" s="152" t="s">
        <v>893</v>
      </c>
      <c r="C134" s="152" t="s">
        <v>1931</v>
      </c>
      <c r="D134" s="153" t="n">
        <v>1000</v>
      </c>
      <c r="E134" s="154" t="s">
        <v>2733</v>
      </c>
    </row>
    <row r="135" customFormat="false" ht="15" hidden="false" customHeight="true" outlineLevel="0" collapsed="false">
      <c r="A135" s="151"/>
      <c r="B135" s="152" t="s">
        <v>893</v>
      </c>
      <c r="C135" s="152" t="s">
        <v>1931</v>
      </c>
      <c r="D135" s="153" t="n">
        <v>1000</v>
      </c>
      <c r="E135" s="154" t="s">
        <v>2734</v>
      </c>
    </row>
    <row r="136" customFormat="false" ht="15" hidden="false" customHeight="true" outlineLevel="0" collapsed="false">
      <c r="A136" s="151"/>
      <c r="B136" s="152" t="s">
        <v>893</v>
      </c>
      <c r="C136" s="152" t="s">
        <v>1931</v>
      </c>
      <c r="D136" s="153" t="n">
        <v>1000</v>
      </c>
      <c r="E136" s="154" t="s">
        <v>2735</v>
      </c>
    </row>
    <row r="137" customFormat="false" ht="15" hidden="false" customHeight="true" outlineLevel="0" collapsed="false">
      <c r="A137" s="151"/>
      <c r="B137" s="152" t="s">
        <v>893</v>
      </c>
      <c r="C137" s="152" t="s">
        <v>1931</v>
      </c>
      <c r="D137" s="153" t="n">
        <v>1000</v>
      </c>
      <c r="E137" s="154" t="s">
        <v>2736</v>
      </c>
    </row>
    <row r="138" customFormat="false" ht="15" hidden="false" customHeight="true" outlineLevel="0" collapsed="false">
      <c r="A138" s="151"/>
      <c r="B138" s="152" t="s">
        <v>893</v>
      </c>
      <c r="C138" s="152" t="s">
        <v>1931</v>
      </c>
      <c r="D138" s="153" t="n">
        <v>1000</v>
      </c>
      <c r="E138" s="154" t="s">
        <v>2737</v>
      </c>
    </row>
    <row r="139" customFormat="false" ht="15" hidden="false" customHeight="true" outlineLevel="0" collapsed="false">
      <c r="A139" s="151"/>
      <c r="B139" s="152" t="s">
        <v>893</v>
      </c>
      <c r="C139" s="152" t="s">
        <v>1931</v>
      </c>
      <c r="D139" s="153" t="n">
        <v>1000</v>
      </c>
      <c r="E139" s="154" t="s">
        <v>2738</v>
      </c>
    </row>
    <row r="140" customFormat="false" ht="15" hidden="false" customHeight="true" outlineLevel="0" collapsed="false">
      <c r="A140" s="151"/>
      <c r="B140" s="152" t="s">
        <v>893</v>
      </c>
      <c r="C140" s="152" t="s">
        <v>1931</v>
      </c>
      <c r="D140" s="153" t="n">
        <v>1000</v>
      </c>
      <c r="E140" s="154" t="s">
        <v>2739</v>
      </c>
    </row>
    <row r="141" customFormat="false" ht="15" hidden="false" customHeight="true" outlineLevel="0" collapsed="false">
      <c r="A141" s="151"/>
      <c r="B141" s="152" t="s">
        <v>893</v>
      </c>
      <c r="C141" s="152" t="s">
        <v>1931</v>
      </c>
      <c r="D141" s="153" t="n">
        <v>1000</v>
      </c>
      <c r="E141" s="154" t="s">
        <v>2740</v>
      </c>
    </row>
    <row r="142" customFormat="false" ht="15" hidden="false" customHeight="true" outlineLevel="0" collapsed="false">
      <c r="A142" s="151"/>
      <c r="B142" s="152" t="s">
        <v>893</v>
      </c>
      <c r="C142" s="152" t="s">
        <v>1931</v>
      </c>
      <c r="D142" s="153" t="n">
        <v>1000</v>
      </c>
      <c r="E142" s="154" t="s">
        <v>2741</v>
      </c>
    </row>
    <row r="143" customFormat="false" ht="15" hidden="false" customHeight="true" outlineLevel="0" collapsed="false">
      <c r="A143" s="151"/>
      <c r="B143" s="152" t="s">
        <v>893</v>
      </c>
      <c r="C143" s="152" t="s">
        <v>1931</v>
      </c>
      <c r="D143" s="153" t="n">
        <v>1000</v>
      </c>
      <c r="E143" s="154" t="s">
        <v>2742</v>
      </c>
    </row>
    <row r="144" customFormat="false" ht="15" hidden="false" customHeight="true" outlineLevel="0" collapsed="false">
      <c r="A144" s="151"/>
      <c r="B144" s="152" t="s">
        <v>893</v>
      </c>
      <c r="C144" s="152" t="s">
        <v>1931</v>
      </c>
      <c r="D144" s="153" t="n">
        <v>1000</v>
      </c>
      <c r="E144" s="154" t="s">
        <v>2743</v>
      </c>
    </row>
    <row r="145" customFormat="false" ht="15" hidden="false" customHeight="true" outlineLevel="0" collapsed="false">
      <c r="A145" s="151"/>
      <c r="B145" s="152" t="s">
        <v>893</v>
      </c>
      <c r="C145" s="152" t="s">
        <v>1931</v>
      </c>
      <c r="D145" s="153" t="n">
        <v>1000</v>
      </c>
      <c r="E145" s="154" t="s">
        <v>2744</v>
      </c>
    </row>
    <row r="146" customFormat="false" ht="15" hidden="false" customHeight="true" outlineLevel="0" collapsed="false">
      <c r="A146" s="151"/>
      <c r="B146" s="152" t="s">
        <v>893</v>
      </c>
      <c r="C146" s="152" t="s">
        <v>1931</v>
      </c>
      <c r="D146" s="153" t="n">
        <v>1000</v>
      </c>
      <c r="E146" s="154" t="s">
        <v>2745</v>
      </c>
    </row>
    <row r="147" customFormat="false" ht="15" hidden="false" customHeight="true" outlineLevel="0" collapsed="false">
      <c r="A147" s="151"/>
      <c r="B147" s="152" t="s">
        <v>893</v>
      </c>
      <c r="C147" s="152" t="s">
        <v>1931</v>
      </c>
      <c r="D147" s="153" t="n">
        <v>1000</v>
      </c>
      <c r="E147" s="154" t="s">
        <v>2746</v>
      </c>
    </row>
    <row r="148" customFormat="false" ht="15" hidden="false" customHeight="true" outlineLevel="0" collapsed="false">
      <c r="A148" s="151"/>
      <c r="B148" s="152" t="s">
        <v>893</v>
      </c>
      <c r="C148" s="152" t="s">
        <v>1931</v>
      </c>
      <c r="D148" s="153" t="n">
        <v>1000</v>
      </c>
      <c r="E148" s="154" t="s">
        <v>2747</v>
      </c>
    </row>
    <row r="149" customFormat="false" ht="15" hidden="false" customHeight="true" outlineLevel="0" collapsed="false">
      <c r="A149" s="151"/>
      <c r="B149" s="152" t="s">
        <v>893</v>
      </c>
      <c r="C149" s="152" t="s">
        <v>1931</v>
      </c>
      <c r="D149" s="153" t="n">
        <v>1000</v>
      </c>
      <c r="E149" s="154" t="s">
        <v>2748</v>
      </c>
    </row>
    <row r="150" customFormat="false" ht="15" hidden="false" customHeight="true" outlineLevel="0" collapsed="false">
      <c r="A150" s="151"/>
      <c r="B150" s="152" t="s">
        <v>893</v>
      </c>
      <c r="C150" s="152" t="s">
        <v>1931</v>
      </c>
      <c r="D150" s="153" t="n">
        <v>1000</v>
      </c>
      <c r="E150" s="154" t="s">
        <v>2656</v>
      </c>
    </row>
    <row r="151" customFormat="false" ht="15" hidden="false" customHeight="true" outlineLevel="0" collapsed="false">
      <c r="A151" s="55" t="s">
        <v>2749</v>
      </c>
    </row>
    <row r="152" customFormat="false" ht="15" hidden="false" customHeight="true" outlineLevel="0" collapsed="false">
      <c r="A152" s="151"/>
      <c r="B152" s="152" t="s">
        <v>640</v>
      </c>
      <c r="C152" s="152" t="s">
        <v>1931</v>
      </c>
      <c r="D152" s="153" t="n">
        <v>180000</v>
      </c>
      <c r="E152" s="154" t="s">
        <v>2750</v>
      </c>
    </row>
    <row r="153" customFormat="false" ht="15" hidden="false" customHeight="true" outlineLevel="0" collapsed="false">
      <c r="A153" s="151"/>
      <c r="B153" s="152" t="s">
        <v>617</v>
      </c>
      <c r="C153" s="152" t="s">
        <v>2064</v>
      </c>
      <c r="D153" s="153" t="n">
        <v>50000</v>
      </c>
      <c r="E153" s="154" t="s">
        <v>2648</v>
      </c>
    </row>
    <row r="154" customFormat="false" ht="15" hidden="false" customHeight="true" outlineLevel="0" collapsed="false">
      <c r="A154" s="151"/>
      <c r="B154" s="152" t="s">
        <v>617</v>
      </c>
      <c r="C154" s="152" t="s">
        <v>2064</v>
      </c>
      <c r="D154" s="153" t="n">
        <v>30000</v>
      </c>
      <c r="E154" s="154" t="s">
        <v>2648</v>
      </c>
    </row>
    <row r="155" customFormat="false" ht="15" hidden="false" customHeight="true" outlineLevel="0" collapsed="false">
      <c r="A155" s="151"/>
      <c r="B155" s="152" t="s">
        <v>466</v>
      </c>
      <c r="C155" s="152" t="s">
        <v>2751</v>
      </c>
      <c r="D155" s="153" t="n">
        <v>10000</v>
      </c>
      <c r="E155" s="154" t="s">
        <v>2627</v>
      </c>
    </row>
    <row r="156" customFormat="false" ht="15" hidden="false" customHeight="true" outlineLevel="0" collapsed="false">
      <c r="A156" s="151"/>
      <c r="B156" s="152" t="s">
        <v>470</v>
      </c>
      <c r="C156" s="152" t="s">
        <v>2752</v>
      </c>
      <c r="D156" s="153" t="n">
        <v>10000</v>
      </c>
      <c r="E156" s="154" t="s">
        <v>2648</v>
      </c>
    </row>
    <row r="157" customFormat="false" ht="15" hidden="false" customHeight="true" outlineLevel="0" collapsed="false">
      <c r="A157" s="55" t="s">
        <v>2753</v>
      </c>
    </row>
    <row r="158" customFormat="false" ht="15" hidden="false" customHeight="true" outlineLevel="0" collapsed="false">
      <c r="A158" s="151"/>
      <c r="B158" s="152" t="s">
        <v>1084</v>
      </c>
      <c r="C158" s="152" t="s">
        <v>2062</v>
      </c>
      <c r="D158" s="153" t="n">
        <v>15000</v>
      </c>
      <c r="E158" s="154" t="s">
        <v>2754</v>
      </c>
    </row>
    <row r="159" customFormat="false" ht="15" hidden="false" customHeight="true" outlineLevel="0" collapsed="false">
      <c r="A159" s="151"/>
      <c r="B159" s="152" t="s">
        <v>1084</v>
      </c>
      <c r="C159" s="152" t="s">
        <v>2062</v>
      </c>
      <c r="D159" s="153" t="n">
        <v>15000</v>
      </c>
      <c r="E159" s="154" t="s">
        <v>2755</v>
      </c>
    </row>
    <row r="160" customFormat="false" ht="15" hidden="false" customHeight="true" outlineLevel="0" collapsed="false">
      <c r="A160" s="151"/>
      <c r="B160" s="152" t="s">
        <v>718</v>
      </c>
      <c r="C160" s="152" t="s">
        <v>2230</v>
      </c>
      <c r="D160" s="153" t="n">
        <v>10000</v>
      </c>
      <c r="E160" s="154" t="s">
        <v>2756</v>
      </c>
    </row>
    <row r="161" customFormat="false" ht="15" hidden="false" customHeight="true" outlineLevel="0" collapsed="false">
      <c r="A161" s="151"/>
      <c r="B161" s="152" t="s">
        <v>617</v>
      </c>
      <c r="C161" s="152" t="s">
        <v>2064</v>
      </c>
      <c r="D161" s="153" t="n">
        <v>10000</v>
      </c>
      <c r="E161" s="154" t="s">
        <v>2757</v>
      </c>
    </row>
    <row r="162" customFormat="false" ht="15" hidden="false" customHeight="true" outlineLevel="0" collapsed="false">
      <c r="A162" s="55" t="s">
        <v>2758</v>
      </c>
    </row>
    <row r="163" customFormat="false" ht="15" hidden="false" customHeight="true" outlineLevel="0" collapsed="false">
      <c r="A163" s="151"/>
      <c r="B163" s="152" t="s">
        <v>2759</v>
      </c>
      <c r="C163" s="152" t="s">
        <v>2760</v>
      </c>
      <c r="D163" s="153" t="n">
        <v>30000</v>
      </c>
      <c r="E163" s="154" t="s">
        <v>2761</v>
      </c>
    </row>
    <row r="164" customFormat="false" ht="15" hidden="false" customHeight="true" outlineLevel="0" collapsed="false">
      <c r="A164" s="151"/>
      <c r="B164" s="152" t="s">
        <v>230</v>
      </c>
      <c r="C164" s="152" t="s">
        <v>2077</v>
      </c>
      <c r="D164" s="153" t="n">
        <v>20000</v>
      </c>
      <c r="E164" s="154" t="s">
        <v>2762</v>
      </c>
    </row>
    <row r="165" customFormat="false" ht="15" hidden="false" customHeight="true" outlineLevel="0" collapsed="false">
      <c r="A165" s="151"/>
      <c r="B165" s="152" t="s">
        <v>2759</v>
      </c>
      <c r="C165" s="152" t="s">
        <v>2760</v>
      </c>
      <c r="D165" s="153" t="n">
        <v>20000</v>
      </c>
      <c r="E165" s="154" t="s">
        <v>2763</v>
      </c>
    </row>
    <row r="166" customFormat="false" ht="15" hidden="false" customHeight="true" outlineLevel="0" collapsed="false">
      <c r="A166" s="151"/>
      <c r="B166" s="152" t="s">
        <v>197</v>
      </c>
      <c r="C166" s="152" t="s">
        <v>1931</v>
      </c>
      <c r="D166" s="153" t="n">
        <v>10000</v>
      </c>
      <c r="E166" s="154" t="s">
        <v>2627</v>
      </c>
    </row>
    <row r="167" customFormat="false" ht="15" hidden="false" customHeight="true" outlineLevel="0" collapsed="false">
      <c r="A167" s="151"/>
      <c r="B167" s="152" t="s">
        <v>473</v>
      </c>
      <c r="C167" s="152" t="s">
        <v>2764</v>
      </c>
      <c r="D167" s="153" t="n">
        <v>10000</v>
      </c>
      <c r="E167" s="154" t="s">
        <v>2765</v>
      </c>
    </row>
    <row r="168" customFormat="false" ht="15" hidden="false" customHeight="true" outlineLevel="0" collapsed="false">
      <c r="A168" s="55" t="s">
        <v>2766</v>
      </c>
    </row>
    <row r="169" customFormat="false" ht="15" hidden="false" customHeight="true" outlineLevel="0" collapsed="false">
      <c r="A169" s="155"/>
      <c r="B169" s="156" t="s">
        <v>290</v>
      </c>
      <c r="C169" s="156" t="s">
        <v>1909</v>
      </c>
      <c r="D169" s="157" t="n">
        <v>15000</v>
      </c>
      <c r="E169" s="158" t="s">
        <v>2767</v>
      </c>
    </row>
    <row r="170" customFormat="false" ht="15" hidden="false" customHeight="true" outlineLevel="0" collapsed="false">
      <c r="A170" s="155"/>
      <c r="B170" s="156" t="s">
        <v>2632</v>
      </c>
      <c r="C170" s="156" t="s">
        <v>2633</v>
      </c>
      <c r="D170" s="157" t="n">
        <v>15000</v>
      </c>
      <c r="E170" s="158" t="s">
        <v>2768</v>
      </c>
    </row>
    <row r="171" customFormat="false" ht="15" hidden="false" customHeight="true" outlineLevel="0" collapsed="false">
      <c r="A171" s="155"/>
      <c r="B171" s="156" t="s">
        <v>350</v>
      </c>
      <c r="C171" s="156" t="s">
        <v>1913</v>
      </c>
      <c r="D171" s="157" t="n">
        <v>15000</v>
      </c>
      <c r="E171" s="158" t="s">
        <v>2769</v>
      </c>
    </row>
    <row r="172" customFormat="false" ht="15" hidden="false" customHeight="true" outlineLevel="0" collapsed="false">
      <c r="A172" s="55" t="s">
        <v>2770</v>
      </c>
    </row>
    <row r="173" customFormat="false" ht="15" hidden="false" customHeight="true" outlineLevel="0" collapsed="false">
      <c r="A173" s="151"/>
      <c r="B173" s="152" t="s">
        <v>215</v>
      </c>
      <c r="C173" s="152" t="s">
        <v>1856</v>
      </c>
      <c r="D173" s="153" t="n">
        <v>25000</v>
      </c>
      <c r="E173" s="154" t="s">
        <v>2639</v>
      </c>
    </row>
    <row r="174" customFormat="false" ht="15" hidden="false" customHeight="true" outlineLevel="0" collapsed="false">
      <c r="A174" s="151"/>
      <c r="B174" s="152" t="s">
        <v>151</v>
      </c>
      <c r="C174" s="152" t="s">
        <v>2771</v>
      </c>
      <c r="D174" s="153" t="n">
        <v>20000</v>
      </c>
      <c r="E174" s="154" t="s">
        <v>2627</v>
      </c>
    </row>
    <row r="175" customFormat="false" ht="15" hidden="false" customHeight="true" outlineLevel="0" collapsed="false">
      <c r="A175" s="151"/>
      <c r="B175" s="152" t="s">
        <v>215</v>
      </c>
      <c r="C175" s="152" t="s">
        <v>1856</v>
      </c>
      <c r="D175" s="153" t="n">
        <v>15000</v>
      </c>
      <c r="E175" s="154" t="s">
        <v>2638</v>
      </c>
    </row>
    <row r="176" customFormat="false" ht="15" hidden="false" customHeight="true" outlineLevel="0" collapsed="false">
      <c r="A176" s="151"/>
      <c r="B176" s="152" t="s">
        <v>657</v>
      </c>
      <c r="C176" s="152" t="s">
        <v>1849</v>
      </c>
      <c r="D176" s="153" t="n">
        <v>15000</v>
      </c>
      <c r="E176" s="154" t="s">
        <v>2640</v>
      </c>
    </row>
    <row r="177" customFormat="false" ht="15" hidden="false" customHeight="true" outlineLevel="0" collapsed="false">
      <c r="A177" s="151"/>
      <c r="B177" s="152" t="s">
        <v>235</v>
      </c>
      <c r="C177" s="152" t="s">
        <v>1852</v>
      </c>
      <c r="D177" s="153" t="n">
        <v>15000</v>
      </c>
      <c r="E177" s="154" t="s">
        <v>2642</v>
      </c>
    </row>
    <row r="178" customFormat="false" ht="15" hidden="false" customHeight="true" outlineLevel="0" collapsed="false">
      <c r="A178" s="151"/>
      <c r="B178" s="152" t="s">
        <v>235</v>
      </c>
      <c r="C178" s="152" t="s">
        <v>1852</v>
      </c>
      <c r="D178" s="153" t="n">
        <v>15000</v>
      </c>
      <c r="E178" s="154" t="s">
        <v>2772</v>
      </c>
    </row>
    <row r="179" customFormat="false" ht="15" hidden="false" customHeight="true" outlineLevel="0" collapsed="false">
      <c r="A179" s="151"/>
      <c r="B179" s="152" t="s">
        <v>1095</v>
      </c>
      <c r="C179" s="152" t="s">
        <v>1840</v>
      </c>
      <c r="D179" s="153" t="n">
        <v>15000</v>
      </c>
      <c r="E179" s="154" t="s">
        <v>2641</v>
      </c>
    </row>
    <row r="180" customFormat="false" ht="15" hidden="false" customHeight="true" outlineLevel="0" collapsed="false">
      <c r="A180" s="151"/>
      <c r="B180" s="152" t="s">
        <v>309</v>
      </c>
      <c r="C180" s="152" t="s">
        <v>1865</v>
      </c>
      <c r="D180" s="153" t="n">
        <v>10000</v>
      </c>
      <c r="E180" s="154" t="s">
        <v>2773</v>
      </c>
    </row>
    <row r="181" customFormat="false" ht="15" hidden="false" customHeight="true" outlineLevel="0" collapsed="false">
      <c r="A181" s="151"/>
      <c r="B181" s="152" t="s">
        <v>477</v>
      </c>
      <c r="C181" s="152" t="s">
        <v>1872</v>
      </c>
      <c r="D181" s="153" t="n">
        <v>10000</v>
      </c>
      <c r="E181" s="154" t="s">
        <v>2627</v>
      </c>
    </row>
    <row r="182" customFormat="false" ht="15" hidden="false" customHeight="true" outlineLevel="0" collapsed="false">
      <c r="A182" s="151"/>
      <c r="B182" s="152" t="s">
        <v>321</v>
      </c>
      <c r="C182" s="152" t="s">
        <v>1868</v>
      </c>
      <c r="D182" s="153" t="n">
        <v>10000</v>
      </c>
      <c r="E182" s="154" t="s">
        <v>2644</v>
      </c>
    </row>
    <row r="183" customFormat="false" ht="15" hidden="false" customHeight="true" outlineLevel="0" collapsed="false">
      <c r="A183" s="55" t="s">
        <v>2774</v>
      </c>
    </row>
    <row r="184" customFormat="false" ht="15" hidden="false" customHeight="true" outlineLevel="0" collapsed="false">
      <c r="A184" s="151"/>
      <c r="B184" s="152" t="s">
        <v>225</v>
      </c>
      <c r="C184" s="152" t="s">
        <v>1887</v>
      </c>
      <c r="D184" s="153" t="n">
        <v>20000</v>
      </c>
      <c r="E184" s="154" t="s">
        <v>2775</v>
      </c>
    </row>
    <row r="185" customFormat="false" ht="15" hidden="false" customHeight="true" outlineLevel="0" collapsed="false">
      <c r="A185" s="151"/>
      <c r="B185" s="152" t="s">
        <v>927</v>
      </c>
      <c r="C185" s="152" t="s">
        <v>2402</v>
      </c>
      <c r="D185" s="153" t="n">
        <v>15000</v>
      </c>
      <c r="E185" s="154" t="s">
        <v>2627</v>
      </c>
    </row>
    <row r="186" customFormat="false" ht="15" hidden="false" customHeight="true" outlineLevel="0" collapsed="false">
      <c r="A186" s="151"/>
      <c r="B186" s="152" t="s">
        <v>592</v>
      </c>
      <c r="C186" s="152" t="s">
        <v>2513</v>
      </c>
      <c r="D186" s="153" t="n">
        <v>15000</v>
      </c>
      <c r="E186" s="154" t="s">
        <v>2627</v>
      </c>
    </row>
    <row r="187" customFormat="false" ht="15" hidden="false" customHeight="true" outlineLevel="0" collapsed="false">
      <c r="A187" s="151"/>
      <c r="B187" s="152" t="s">
        <v>285</v>
      </c>
      <c r="C187" s="152" t="s">
        <v>2408</v>
      </c>
      <c r="D187" s="153" t="n">
        <v>10000</v>
      </c>
      <c r="E187" s="154" t="s">
        <v>2776</v>
      </c>
    </row>
    <row r="188" customFormat="false" ht="15" hidden="false" customHeight="true" outlineLevel="0" collapsed="false">
      <c r="A188" s="151"/>
      <c r="B188" s="152" t="s">
        <v>481</v>
      </c>
      <c r="C188" s="152" t="s">
        <v>2411</v>
      </c>
      <c r="D188" s="153" t="n">
        <v>10000</v>
      </c>
      <c r="E188" s="154" t="s">
        <v>2777</v>
      </c>
    </row>
    <row r="189" customFormat="false" ht="15" hidden="false" customHeight="true" outlineLevel="0" collapsed="false">
      <c r="A189" s="151"/>
      <c r="B189" s="152" t="s">
        <v>240</v>
      </c>
      <c r="C189" s="152" t="s">
        <v>2418</v>
      </c>
      <c r="D189" s="153" t="n">
        <v>10000</v>
      </c>
      <c r="E189" s="154" t="s">
        <v>2778</v>
      </c>
    </row>
    <row r="190" customFormat="false" ht="15" hidden="false" customHeight="true" outlineLevel="0" collapsed="false">
      <c r="A190" s="151"/>
      <c r="B190" s="152" t="s">
        <v>2779</v>
      </c>
      <c r="C190" s="152" t="s">
        <v>2434</v>
      </c>
      <c r="D190" s="153" t="n">
        <v>10000</v>
      </c>
      <c r="E190" s="154" t="s">
        <v>2648</v>
      </c>
    </row>
    <row r="191" customFormat="false" ht="15" hidden="false" customHeight="true" outlineLevel="0" collapsed="false">
      <c r="A191" s="151"/>
      <c r="B191" s="152" t="s">
        <v>444</v>
      </c>
      <c r="C191" s="152" t="s">
        <v>2095</v>
      </c>
      <c r="D191" s="153" t="n">
        <v>10000</v>
      </c>
      <c r="E191" s="154" t="s">
        <v>2627</v>
      </c>
    </row>
    <row r="192" customFormat="false" ht="15" hidden="false" customHeight="true" outlineLevel="0" collapsed="false">
      <c r="A192" s="151"/>
      <c r="B192" s="152" t="s">
        <v>2780</v>
      </c>
      <c r="C192" s="152" t="s">
        <v>2429</v>
      </c>
      <c r="D192" s="153" t="n">
        <v>5000</v>
      </c>
      <c r="E192" s="154" t="s">
        <v>2781</v>
      </c>
    </row>
    <row r="193" customFormat="false" ht="15" hidden="false" customHeight="true" outlineLevel="0" collapsed="false">
      <c r="A193" s="151"/>
      <c r="B193" s="152" t="s">
        <v>404</v>
      </c>
      <c r="C193" s="152" t="s">
        <v>2108</v>
      </c>
      <c r="D193" s="153" t="n">
        <v>5000</v>
      </c>
      <c r="E193" s="154" t="s">
        <v>2782</v>
      </c>
    </row>
    <row r="194" customFormat="false" ht="15" hidden="false" customHeight="true" outlineLevel="0" collapsed="false">
      <c r="A194" s="151"/>
      <c r="B194" s="152" t="s">
        <v>549</v>
      </c>
      <c r="C194" s="152" t="s">
        <v>2441</v>
      </c>
      <c r="D194" s="153" t="n">
        <v>5000</v>
      </c>
      <c r="E194" s="154" t="s">
        <v>2783</v>
      </c>
    </row>
    <row r="195" customFormat="false" ht="15" hidden="false" customHeight="true" outlineLevel="0" collapsed="false">
      <c r="A195" s="151"/>
      <c r="B195" s="152" t="s">
        <v>415</v>
      </c>
      <c r="C195" s="152" t="s">
        <v>2423</v>
      </c>
      <c r="D195" s="153" t="n">
        <v>5000</v>
      </c>
      <c r="E195" s="154" t="s">
        <v>2784</v>
      </c>
    </row>
    <row r="196" customFormat="false" ht="15" hidden="false" customHeight="true" outlineLevel="0" collapsed="false">
      <c r="A196" s="151"/>
      <c r="B196" s="152" t="s">
        <v>552</v>
      </c>
      <c r="C196" s="152" t="s">
        <v>2445</v>
      </c>
      <c r="D196" s="153" t="n">
        <v>5000</v>
      </c>
      <c r="E196" s="154" t="s">
        <v>2785</v>
      </c>
    </row>
    <row r="197" customFormat="false" ht="15" hidden="false" customHeight="true" outlineLevel="0" collapsed="false">
      <c r="A197" s="151"/>
      <c r="B197" s="152" t="s">
        <v>560</v>
      </c>
      <c r="C197" s="152" t="s">
        <v>2450</v>
      </c>
      <c r="D197" s="153" t="n">
        <v>5000</v>
      </c>
      <c r="E197" s="154" t="s">
        <v>2786</v>
      </c>
    </row>
    <row r="198" customFormat="false" ht="15" hidden="false" customHeight="true" outlineLevel="0" collapsed="false">
      <c r="A198" s="151"/>
      <c r="B198" s="152" t="s">
        <v>563</v>
      </c>
      <c r="C198" s="152" t="s">
        <v>2454</v>
      </c>
      <c r="D198" s="153" t="n">
        <v>5000</v>
      </c>
      <c r="E198" s="154" t="s">
        <v>2787</v>
      </c>
    </row>
    <row r="199" customFormat="false" ht="15" hidden="false" customHeight="true" outlineLevel="0" collapsed="false">
      <c r="A199" s="151"/>
      <c r="B199" s="152" t="s">
        <v>1159</v>
      </c>
      <c r="C199" s="152" t="s">
        <v>1936</v>
      </c>
      <c r="D199" s="153" t="n">
        <v>5000</v>
      </c>
      <c r="E199" s="154" t="s">
        <v>2788</v>
      </c>
    </row>
    <row r="200" customFormat="false" ht="15" hidden="false" customHeight="true" outlineLevel="0" collapsed="false">
      <c r="A200" s="151"/>
      <c r="B200" s="152" t="s">
        <v>1273</v>
      </c>
      <c r="C200" s="152" t="s">
        <v>2447</v>
      </c>
      <c r="D200" s="153" t="n">
        <v>5000</v>
      </c>
      <c r="E200" s="154" t="s">
        <v>2789</v>
      </c>
    </row>
    <row r="201" customFormat="false" ht="15" hidden="false" customHeight="true" outlineLevel="0" collapsed="false">
      <c r="A201" s="151"/>
      <c r="B201" s="152" t="s">
        <v>485</v>
      </c>
      <c r="C201" s="152" t="s">
        <v>2176</v>
      </c>
      <c r="D201" s="153" t="n">
        <v>5000</v>
      </c>
      <c r="E201" s="154" t="s">
        <v>2648</v>
      </c>
    </row>
    <row r="202" customFormat="false" ht="15" hidden="false" customHeight="true" outlineLevel="0" collapsed="false">
      <c r="C202" s="90" t="s">
        <v>2542</v>
      </c>
      <c r="D202" s="103" t="n">
        <f aca="false">SUM(D5:D201)</f>
        <v>2295000</v>
      </c>
    </row>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34"/>
    <col collapsed="false" customWidth="true" hidden="false" outlineLevel="0" max="2" min="2" style="1" width="64"/>
    <col collapsed="false" customWidth="true" hidden="false" outlineLevel="0" max="3" min="3" style="1" width="13"/>
    <col collapsed="false" customWidth="true" hidden="false" outlineLevel="0" max="4" min="4" style="1" width="12"/>
    <col collapsed="false" customWidth="true" hidden="false" outlineLevel="0" max="5" min="5" style="1" width="52"/>
    <col collapsed="false" customWidth="true" hidden="false" outlineLevel="0" max="26" min="6" style="1" width="8.71"/>
  </cols>
  <sheetData>
    <row r="1" customFormat="false" ht="15.75" hidden="false" customHeight="true" outlineLevel="0" collapsed="false">
      <c r="A1" s="42" t="s">
        <v>2790</v>
      </c>
    </row>
    <row r="2" customFormat="false" ht="15" hidden="false" customHeight="true" outlineLevel="0" collapsed="false">
      <c r="A2" s="43" t="s">
        <v>2622</v>
      </c>
    </row>
    <row r="3" customFormat="false" ht="15" hidden="false" customHeight="true" outlineLevel="0" collapsed="false"/>
    <row r="4" customFormat="false" ht="15" hidden="false" customHeight="true" outlineLevel="0" collapsed="false">
      <c r="A4" s="44" t="s">
        <v>1729</v>
      </c>
      <c r="B4" s="45" t="s">
        <v>2623</v>
      </c>
      <c r="C4" s="45" t="s">
        <v>190</v>
      </c>
      <c r="D4" s="45" t="s">
        <v>72</v>
      </c>
      <c r="E4" s="45" t="s">
        <v>2624</v>
      </c>
    </row>
    <row r="5" customFormat="false" ht="15" hidden="false" customHeight="true" outlineLevel="0" collapsed="false">
      <c r="A5" s="55" t="s">
        <v>2625</v>
      </c>
    </row>
    <row r="6" customFormat="false" ht="15" hidden="false" customHeight="true" outlineLevel="0" collapsed="false">
      <c r="A6" s="151"/>
      <c r="B6" s="152" t="s">
        <v>1030</v>
      </c>
      <c r="C6" s="152" t="s">
        <v>2791</v>
      </c>
      <c r="D6" s="153" t="n">
        <v>40000</v>
      </c>
      <c r="E6" s="154" t="s">
        <v>2792</v>
      </c>
    </row>
    <row r="7" customFormat="false" ht="15" hidden="false" customHeight="true" outlineLevel="0" collapsed="false">
      <c r="A7" s="151"/>
      <c r="B7" s="152" t="s">
        <v>395</v>
      </c>
      <c r="C7" s="152" t="s">
        <v>2196</v>
      </c>
      <c r="D7" s="153" t="n">
        <v>15000</v>
      </c>
      <c r="E7" s="154" t="s">
        <v>2793</v>
      </c>
    </row>
    <row r="8" customFormat="false" ht="15" hidden="false" customHeight="true" outlineLevel="0" collapsed="false">
      <c r="A8" s="151"/>
      <c r="B8" s="152" t="s">
        <v>2632</v>
      </c>
      <c r="C8" s="152" t="s">
        <v>2633</v>
      </c>
      <c r="D8" s="153" t="n">
        <v>15000</v>
      </c>
      <c r="E8" s="154" t="s">
        <v>2794</v>
      </c>
    </row>
    <row r="9" customFormat="false" ht="15" hidden="false" customHeight="true" outlineLevel="0" collapsed="false">
      <c r="A9" s="151"/>
      <c r="B9" s="152" t="s">
        <v>1084</v>
      </c>
      <c r="C9" s="152" t="s">
        <v>2062</v>
      </c>
      <c r="D9" s="153" t="n">
        <v>15000</v>
      </c>
      <c r="E9" s="154" t="s">
        <v>2648</v>
      </c>
    </row>
    <row r="10" customFormat="false" ht="15" hidden="false" customHeight="true" outlineLevel="0" collapsed="false">
      <c r="A10" s="151"/>
      <c r="B10" s="152" t="s">
        <v>893</v>
      </c>
      <c r="C10" s="152" t="s">
        <v>1931</v>
      </c>
      <c r="D10" s="153" t="n">
        <v>15000</v>
      </c>
      <c r="E10" s="154" t="s">
        <v>2795</v>
      </c>
    </row>
    <row r="11" customFormat="false" ht="15" hidden="false" customHeight="true" outlineLevel="0" collapsed="false">
      <c r="A11" s="55" t="s">
        <v>2637</v>
      </c>
    </row>
    <row r="12" customFormat="false" ht="15" hidden="false" customHeight="true" outlineLevel="0" collapsed="false">
      <c r="A12" s="151"/>
      <c r="B12" s="152" t="s">
        <v>1095</v>
      </c>
      <c r="C12" s="152" t="s">
        <v>1840</v>
      </c>
      <c r="D12" s="153" t="n">
        <v>35000</v>
      </c>
      <c r="E12" s="154" t="s">
        <v>2796</v>
      </c>
    </row>
    <row r="13" customFormat="false" ht="15" hidden="false" customHeight="true" outlineLevel="0" collapsed="false">
      <c r="A13" s="151"/>
      <c r="B13" s="152" t="s">
        <v>1141</v>
      </c>
      <c r="C13" s="152" t="s">
        <v>1847</v>
      </c>
      <c r="D13" s="153" t="n">
        <v>17000</v>
      </c>
      <c r="E13" s="154" t="s">
        <v>2648</v>
      </c>
    </row>
    <row r="14" customFormat="false" ht="15" hidden="false" customHeight="true" outlineLevel="0" collapsed="false">
      <c r="A14" s="151"/>
      <c r="B14" s="152" t="s">
        <v>657</v>
      </c>
      <c r="C14" s="152" t="s">
        <v>1849</v>
      </c>
      <c r="D14" s="153" t="n">
        <v>16000</v>
      </c>
      <c r="E14" s="154" t="s">
        <v>2648</v>
      </c>
    </row>
    <row r="15" customFormat="false" ht="15" hidden="false" customHeight="true" outlineLevel="0" collapsed="false">
      <c r="A15" s="151"/>
      <c r="B15" s="152" t="s">
        <v>1195</v>
      </c>
      <c r="C15" s="152" t="s">
        <v>1869</v>
      </c>
      <c r="D15" s="153" t="n">
        <v>10000</v>
      </c>
      <c r="E15" s="154" t="s">
        <v>2648</v>
      </c>
    </row>
    <row r="16" customFormat="false" ht="15" hidden="false" customHeight="true" outlineLevel="0" collapsed="false">
      <c r="A16" s="151"/>
      <c r="B16" s="152" t="s">
        <v>477</v>
      </c>
      <c r="C16" s="152" t="s">
        <v>1872</v>
      </c>
      <c r="D16" s="153" t="n">
        <v>10000</v>
      </c>
      <c r="E16" s="154" t="s">
        <v>2648</v>
      </c>
    </row>
    <row r="17" customFormat="false" ht="15" hidden="false" customHeight="true" outlineLevel="0" collapsed="false">
      <c r="A17" s="151"/>
      <c r="B17" s="152" t="s">
        <v>1876</v>
      </c>
      <c r="C17" s="152" t="s">
        <v>1877</v>
      </c>
      <c r="D17" s="153" t="n">
        <v>9000</v>
      </c>
      <c r="E17" s="154" t="s">
        <v>2648</v>
      </c>
    </row>
    <row r="18" customFormat="false" ht="15" hidden="false" customHeight="true" outlineLevel="0" collapsed="false">
      <c r="A18" s="151"/>
      <c r="B18" s="152" t="s">
        <v>309</v>
      </c>
      <c r="C18" s="152" t="s">
        <v>1865</v>
      </c>
      <c r="D18" s="153" t="n">
        <v>8000</v>
      </c>
      <c r="E18" s="154" t="s">
        <v>2648</v>
      </c>
    </row>
    <row r="19" customFormat="false" ht="15" hidden="false" customHeight="true" outlineLevel="0" collapsed="false">
      <c r="A19" s="151"/>
      <c r="B19" s="152" t="s">
        <v>1227</v>
      </c>
      <c r="C19" s="152" t="s">
        <v>1884</v>
      </c>
      <c r="D19" s="153" t="n">
        <v>5000</v>
      </c>
      <c r="E19" s="154" t="s">
        <v>2648</v>
      </c>
    </row>
    <row r="20" customFormat="false" ht="15" hidden="false" customHeight="true" outlineLevel="0" collapsed="false">
      <c r="A20" s="55" t="s">
        <v>2646</v>
      </c>
    </row>
    <row r="21" customFormat="false" ht="15" hidden="false" customHeight="true" outlineLevel="0" collapsed="false">
      <c r="A21" s="151"/>
      <c r="B21" s="152" t="s">
        <v>388</v>
      </c>
      <c r="C21" s="152" t="s">
        <v>1889</v>
      </c>
      <c r="D21" s="153" t="n">
        <v>20000</v>
      </c>
      <c r="E21" s="154" t="s">
        <v>2648</v>
      </c>
    </row>
    <row r="22" customFormat="false" ht="15" hidden="false" customHeight="true" outlineLevel="0" collapsed="false">
      <c r="A22" s="151"/>
      <c r="B22" s="152" t="s">
        <v>380</v>
      </c>
      <c r="C22" s="152" t="s">
        <v>1899</v>
      </c>
      <c r="D22" s="153" t="n">
        <v>5000</v>
      </c>
      <c r="E22" s="154" t="s">
        <v>2648</v>
      </c>
    </row>
    <row r="23" customFormat="false" ht="15" hidden="false" customHeight="true" outlineLevel="0" collapsed="false">
      <c r="A23" s="55" t="s">
        <v>2650</v>
      </c>
    </row>
    <row r="24" customFormat="false" ht="15" hidden="false" customHeight="true" outlineLevel="0" collapsed="false">
      <c r="A24" s="151"/>
      <c r="B24" s="152" t="s">
        <v>225</v>
      </c>
      <c r="C24" s="152" t="s">
        <v>1887</v>
      </c>
      <c r="D24" s="153" t="n">
        <v>15000</v>
      </c>
      <c r="E24" s="154" t="s">
        <v>2648</v>
      </c>
    </row>
    <row r="25" customFormat="false" ht="15" hidden="false" customHeight="true" outlineLevel="0" collapsed="false">
      <c r="A25" s="151"/>
      <c r="B25" s="152" t="s">
        <v>1158</v>
      </c>
      <c r="C25" s="152" t="s">
        <v>1916</v>
      </c>
      <c r="D25" s="153" t="n">
        <v>15000</v>
      </c>
      <c r="E25" s="154" t="s">
        <v>2648</v>
      </c>
    </row>
    <row r="26" customFormat="false" ht="15" hidden="false" customHeight="true" outlineLevel="0" collapsed="false">
      <c r="A26" s="151"/>
      <c r="B26" s="152" t="s">
        <v>1179</v>
      </c>
      <c r="C26" s="152" t="s">
        <v>1918</v>
      </c>
      <c r="D26" s="153" t="n">
        <v>15000</v>
      </c>
      <c r="E26" s="154" t="s">
        <v>2648</v>
      </c>
    </row>
    <row r="27" customFormat="false" ht="15" hidden="false" customHeight="true" outlineLevel="0" collapsed="false">
      <c r="A27" s="151"/>
      <c r="B27" s="152" t="s">
        <v>1104</v>
      </c>
      <c r="C27" s="152" t="s">
        <v>1917</v>
      </c>
      <c r="D27" s="153" t="n">
        <v>15000</v>
      </c>
      <c r="E27" s="154" t="s">
        <v>2648</v>
      </c>
    </row>
    <row r="28" customFormat="false" ht="15" hidden="false" customHeight="true" outlineLevel="0" collapsed="false">
      <c r="A28" s="151"/>
      <c r="B28" s="152" t="s">
        <v>281</v>
      </c>
      <c r="C28" s="152" t="s">
        <v>1922</v>
      </c>
      <c r="D28" s="153" t="n">
        <v>10000</v>
      </c>
      <c r="E28" s="154" t="s">
        <v>2648</v>
      </c>
    </row>
    <row r="29" customFormat="false" ht="15" hidden="false" customHeight="true" outlineLevel="0" collapsed="false">
      <c r="A29" s="151"/>
      <c r="B29" s="152" t="s">
        <v>933</v>
      </c>
      <c r="C29" s="152" t="s">
        <v>1925</v>
      </c>
      <c r="D29" s="153" t="n">
        <v>10000</v>
      </c>
      <c r="E29" s="154" t="s">
        <v>2797</v>
      </c>
    </row>
    <row r="30" customFormat="false" ht="15" hidden="false" customHeight="true" outlineLevel="0" collapsed="false">
      <c r="A30" s="151"/>
      <c r="B30" s="152" t="s">
        <v>1876</v>
      </c>
      <c r="C30" s="152" t="s">
        <v>1877</v>
      </c>
      <c r="D30" s="153" t="n">
        <v>10000</v>
      </c>
      <c r="E30" s="154" t="s">
        <v>2648</v>
      </c>
    </row>
    <row r="31" customFormat="false" ht="15" hidden="false" customHeight="true" outlineLevel="0" collapsed="false">
      <c r="A31" s="151"/>
      <c r="B31" s="152" t="s">
        <v>1149</v>
      </c>
      <c r="C31" s="152" t="s">
        <v>1933</v>
      </c>
      <c r="D31" s="153" t="n">
        <v>10000</v>
      </c>
      <c r="E31" s="154" t="s">
        <v>2648</v>
      </c>
    </row>
    <row r="32" customFormat="false" ht="15" hidden="false" customHeight="true" outlineLevel="0" collapsed="false">
      <c r="A32" s="55" t="s">
        <v>2652</v>
      </c>
    </row>
    <row r="33" customFormat="false" ht="15" hidden="false" customHeight="true" outlineLevel="0" collapsed="false">
      <c r="A33" s="151"/>
      <c r="B33" s="152" t="s">
        <v>290</v>
      </c>
      <c r="C33" s="152" t="s">
        <v>1909</v>
      </c>
      <c r="D33" s="153" t="n">
        <v>20000</v>
      </c>
      <c r="E33" s="154" t="s">
        <v>2798</v>
      </c>
    </row>
    <row r="34" customFormat="false" ht="15" hidden="false" customHeight="true" outlineLevel="0" collapsed="false">
      <c r="A34" s="151"/>
      <c r="B34" s="152" t="s">
        <v>290</v>
      </c>
      <c r="C34" s="152" t="s">
        <v>1909</v>
      </c>
      <c r="D34" s="153" t="n">
        <v>20000</v>
      </c>
      <c r="E34" s="154" t="s">
        <v>2799</v>
      </c>
    </row>
    <row r="35" customFormat="false" ht="15" hidden="false" customHeight="true" outlineLevel="0" collapsed="false">
      <c r="A35" s="151"/>
      <c r="B35" s="152" t="s">
        <v>290</v>
      </c>
      <c r="C35" s="152" t="s">
        <v>1909</v>
      </c>
      <c r="D35" s="153" t="n">
        <v>20000</v>
      </c>
      <c r="E35" s="154" t="s">
        <v>2800</v>
      </c>
    </row>
    <row r="36" customFormat="false" ht="15" hidden="false" customHeight="true" outlineLevel="0" collapsed="false">
      <c r="A36" s="151"/>
      <c r="B36" s="152" t="s">
        <v>1169</v>
      </c>
      <c r="C36" s="152" t="s">
        <v>2801</v>
      </c>
      <c r="D36" s="153" t="n">
        <v>20000</v>
      </c>
      <c r="E36" s="154" t="s">
        <v>2802</v>
      </c>
    </row>
    <row r="37" customFormat="false" ht="15" hidden="false" customHeight="true" outlineLevel="0" collapsed="false">
      <c r="A37" s="151"/>
      <c r="B37" s="152" t="s">
        <v>2632</v>
      </c>
      <c r="C37" s="152" t="s">
        <v>2633</v>
      </c>
      <c r="D37" s="153" t="n">
        <v>20000</v>
      </c>
      <c r="E37" s="154" t="s">
        <v>2803</v>
      </c>
    </row>
    <row r="38" customFormat="false" ht="15" hidden="false" customHeight="true" outlineLevel="0" collapsed="false">
      <c r="A38" s="151"/>
      <c r="B38" s="152" t="s">
        <v>343</v>
      </c>
      <c r="C38" s="152" t="s">
        <v>1894</v>
      </c>
      <c r="D38" s="153" t="n">
        <v>20000</v>
      </c>
      <c r="E38" s="154" t="s">
        <v>2804</v>
      </c>
    </row>
    <row r="39" customFormat="false" ht="15" hidden="false" customHeight="true" outlineLevel="0" collapsed="false">
      <c r="A39" s="151"/>
      <c r="B39" s="152" t="s">
        <v>343</v>
      </c>
      <c r="C39" s="152" t="s">
        <v>1894</v>
      </c>
      <c r="D39" s="153" t="n">
        <v>20000</v>
      </c>
      <c r="E39" s="154" t="s">
        <v>2805</v>
      </c>
    </row>
    <row r="40" customFormat="false" ht="15" hidden="false" customHeight="true" outlineLevel="0" collapsed="false">
      <c r="A40" s="151"/>
      <c r="B40" s="152" t="s">
        <v>2073</v>
      </c>
      <c r="C40" s="152" t="s">
        <v>2074</v>
      </c>
      <c r="D40" s="153" t="n">
        <v>20000</v>
      </c>
      <c r="E40" s="154" t="s">
        <v>2806</v>
      </c>
    </row>
    <row r="41" customFormat="false" ht="15" hidden="false" customHeight="true" outlineLevel="0" collapsed="false">
      <c r="A41" s="151"/>
      <c r="B41" s="152" t="s">
        <v>902</v>
      </c>
      <c r="C41" s="152" t="s">
        <v>2215</v>
      </c>
      <c r="D41" s="153" t="n">
        <v>20000</v>
      </c>
      <c r="E41" s="154" t="s">
        <v>2807</v>
      </c>
    </row>
    <row r="42" customFormat="false" ht="15" hidden="false" customHeight="true" outlineLevel="0" collapsed="false">
      <c r="A42" s="151"/>
      <c r="B42" s="152" t="s">
        <v>388</v>
      </c>
      <c r="C42" s="152" t="s">
        <v>1889</v>
      </c>
      <c r="D42" s="153" t="n">
        <v>20000</v>
      </c>
      <c r="E42" s="154" t="s">
        <v>2808</v>
      </c>
    </row>
    <row r="43" customFormat="false" ht="15" hidden="false" customHeight="true" outlineLevel="0" collapsed="false">
      <c r="A43" s="151"/>
      <c r="B43" s="152" t="s">
        <v>388</v>
      </c>
      <c r="C43" s="152" t="s">
        <v>1889</v>
      </c>
      <c r="D43" s="153" t="n">
        <v>20000</v>
      </c>
      <c r="E43" s="154" t="s">
        <v>2809</v>
      </c>
    </row>
    <row r="44" customFormat="false" ht="15" hidden="false" customHeight="true" outlineLevel="0" collapsed="false">
      <c r="A44" s="151"/>
      <c r="B44" s="152" t="s">
        <v>388</v>
      </c>
      <c r="C44" s="152" t="s">
        <v>1889</v>
      </c>
      <c r="D44" s="153" t="n">
        <v>20000</v>
      </c>
      <c r="E44" s="154" t="s">
        <v>2810</v>
      </c>
    </row>
    <row r="45" customFormat="false" ht="15" hidden="false" customHeight="true" outlineLevel="0" collapsed="false">
      <c r="A45" s="151"/>
      <c r="B45" s="152" t="s">
        <v>388</v>
      </c>
      <c r="C45" s="152" t="s">
        <v>1889</v>
      </c>
      <c r="D45" s="153" t="n">
        <v>20000</v>
      </c>
      <c r="E45" s="154" t="s">
        <v>2811</v>
      </c>
    </row>
    <row r="46" customFormat="false" ht="15" hidden="false" customHeight="true" outlineLevel="0" collapsed="false">
      <c r="A46" s="151"/>
      <c r="B46" s="152" t="s">
        <v>350</v>
      </c>
      <c r="C46" s="152" t="s">
        <v>1913</v>
      </c>
      <c r="D46" s="153" t="n">
        <v>20000</v>
      </c>
      <c r="E46" s="154" t="s">
        <v>2812</v>
      </c>
    </row>
    <row r="47" customFormat="false" ht="15" hidden="false" customHeight="true" outlineLevel="0" collapsed="false">
      <c r="A47" s="151"/>
      <c r="B47" s="152" t="s">
        <v>350</v>
      </c>
      <c r="C47" s="152" t="s">
        <v>1913</v>
      </c>
      <c r="D47" s="153" t="n">
        <v>20000</v>
      </c>
      <c r="E47" s="154" t="s">
        <v>2813</v>
      </c>
    </row>
    <row r="48" customFormat="false" ht="15" hidden="false" customHeight="true" outlineLevel="0" collapsed="false">
      <c r="A48" s="151"/>
      <c r="B48" s="152" t="s">
        <v>350</v>
      </c>
      <c r="C48" s="152" t="s">
        <v>1913</v>
      </c>
      <c r="D48" s="153" t="n">
        <v>20000</v>
      </c>
      <c r="E48" s="154" t="s">
        <v>2814</v>
      </c>
    </row>
    <row r="49" customFormat="false" ht="15" hidden="false" customHeight="true" outlineLevel="0" collapsed="false">
      <c r="A49" s="151"/>
      <c r="B49" s="152" t="s">
        <v>350</v>
      </c>
      <c r="C49" s="152" t="s">
        <v>1913</v>
      </c>
      <c r="D49" s="153" t="n">
        <v>20000</v>
      </c>
      <c r="E49" s="154" t="s">
        <v>2815</v>
      </c>
    </row>
    <row r="50" customFormat="false" ht="15" hidden="false" customHeight="true" outlineLevel="0" collapsed="false">
      <c r="A50" s="55" t="s">
        <v>2675</v>
      </c>
    </row>
    <row r="51" customFormat="false" ht="15" hidden="false" customHeight="true" outlineLevel="0" collapsed="false">
      <c r="A51" s="151"/>
      <c r="B51" s="152" t="s">
        <v>350</v>
      </c>
      <c r="C51" s="152" t="s">
        <v>1913</v>
      </c>
      <c r="D51" s="153" t="n">
        <v>22500</v>
      </c>
      <c r="E51" s="154" t="s">
        <v>2648</v>
      </c>
    </row>
    <row r="52" customFormat="false" ht="15" hidden="false" customHeight="true" outlineLevel="0" collapsed="false">
      <c r="A52" s="151"/>
      <c r="B52" s="152" t="s">
        <v>2816</v>
      </c>
      <c r="C52" s="152" t="s">
        <v>2817</v>
      </c>
      <c r="D52" s="153" t="n">
        <v>20000</v>
      </c>
      <c r="E52" s="154" t="s">
        <v>2648</v>
      </c>
    </row>
    <row r="53" customFormat="false" ht="15" hidden="false" customHeight="true" outlineLevel="0" collapsed="false">
      <c r="A53" s="151"/>
      <c r="B53" s="152" t="s">
        <v>993</v>
      </c>
      <c r="C53" s="152" t="s">
        <v>2818</v>
      </c>
      <c r="D53" s="153" t="n">
        <v>18000</v>
      </c>
      <c r="E53" s="154" t="s">
        <v>2648</v>
      </c>
    </row>
    <row r="54" customFormat="false" ht="15" hidden="false" customHeight="true" outlineLevel="0" collapsed="false">
      <c r="A54" s="151"/>
      <c r="B54" s="152" t="s">
        <v>1127</v>
      </c>
      <c r="C54" s="152" t="s">
        <v>2155</v>
      </c>
      <c r="D54" s="153" t="n">
        <v>12500</v>
      </c>
      <c r="E54" s="154" t="s">
        <v>2648</v>
      </c>
    </row>
    <row r="55" customFormat="false" ht="15" hidden="false" customHeight="true" outlineLevel="0" collapsed="false">
      <c r="A55" s="151"/>
      <c r="B55" s="152" t="s">
        <v>346</v>
      </c>
      <c r="C55" s="152" t="s">
        <v>2670</v>
      </c>
      <c r="D55" s="153" t="n">
        <v>12000</v>
      </c>
      <c r="E55" s="154" t="s">
        <v>2648</v>
      </c>
    </row>
    <row r="56" customFormat="false" ht="15" hidden="false" customHeight="true" outlineLevel="0" collapsed="false">
      <c r="A56" s="151"/>
      <c r="B56" s="152" t="s">
        <v>427</v>
      </c>
      <c r="C56" s="152" t="s">
        <v>2173</v>
      </c>
      <c r="D56" s="153" t="n">
        <v>10000</v>
      </c>
      <c r="E56" s="154" t="s">
        <v>2648</v>
      </c>
    </row>
    <row r="57" customFormat="false" ht="15" hidden="false" customHeight="true" outlineLevel="0" collapsed="false">
      <c r="A57" s="151"/>
      <c r="B57" s="152" t="s">
        <v>290</v>
      </c>
      <c r="C57" s="152" t="s">
        <v>1909</v>
      </c>
      <c r="D57" s="153" t="n">
        <v>10000</v>
      </c>
      <c r="E57" s="154" t="s">
        <v>2648</v>
      </c>
    </row>
    <row r="58" customFormat="false" ht="15" hidden="false" customHeight="true" outlineLevel="0" collapsed="false">
      <c r="A58" s="151"/>
      <c r="B58" s="152" t="s">
        <v>2083</v>
      </c>
      <c r="C58" s="152" t="s">
        <v>2084</v>
      </c>
      <c r="D58" s="153" t="n">
        <v>10000</v>
      </c>
      <c r="E58" s="154" t="s">
        <v>2648</v>
      </c>
    </row>
    <row r="59" customFormat="false" ht="15" hidden="false" customHeight="true" outlineLevel="0" collapsed="false">
      <c r="A59" s="151"/>
      <c r="B59" s="152" t="s">
        <v>293</v>
      </c>
      <c r="C59" s="152" t="s">
        <v>2438</v>
      </c>
      <c r="D59" s="153" t="n">
        <v>10000</v>
      </c>
      <c r="E59" s="154" t="s">
        <v>2648</v>
      </c>
    </row>
    <row r="60" customFormat="false" ht="15" hidden="false" customHeight="true" outlineLevel="0" collapsed="false">
      <c r="A60" s="151"/>
      <c r="B60" s="152" t="s">
        <v>2819</v>
      </c>
      <c r="C60" s="152" t="s">
        <v>2820</v>
      </c>
      <c r="D60" s="153" t="n">
        <v>10000</v>
      </c>
      <c r="E60" s="154" t="s">
        <v>2648</v>
      </c>
    </row>
    <row r="61" customFormat="false" ht="15" hidden="false" customHeight="true" outlineLevel="0" collapsed="false">
      <c r="A61" s="151"/>
      <c r="B61" s="152" t="s">
        <v>515</v>
      </c>
      <c r="C61" s="152" t="s">
        <v>2110</v>
      </c>
      <c r="D61" s="153" t="n">
        <v>10000</v>
      </c>
      <c r="E61" s="154" t="s">
        <v>2648</v>
      </c>
    </row>
    <row r="62" customFormat="false" ht="15" hidden="false" customHeight="true" outlineLevel="0" collapsed="false">
      <c r="A62" s="55" t="s">
        <v>2682</v>
      </c>
    </row>
    <row r="63" customFormat="false" ht="15" hidden="false" customHeight="true" outlineLevel="0" collapsed="false">
      <c r="A63" s="151"/>
      <c r="B63" s="152" t="s">
        <v>657</v>
      </c>
      <c r="C63" s="152" t="s">
        <v>1849</v>
      </c>
      <c r="D63" s="153" t="n">
        <v>45000</v>
      </c>
      <c r="E63" s="154" t="s">
        <v>2821</v>
      </c>
    </row>
    <row r="64" customFormat="false" ht="15" hidden="false" customHeight="true" outlineLevel="0" collapsed="false">
      <c r="A64" s="151"/>
      <c r="B64" s="152" t="s">
        <v>1104</v>
      </c>
      <c r="C64" s="152" t="s">
        <v>1917</v>
      </c>
      <c r="D64" s="153" t="n">
        <v>45000</v>
      </c>
      <c r="E64" s="154" t="s">
        <v>2648</v>
      </c>
    </row>
    <row r="65" customFormat="false" ht="15" hidden="false" customHeight="true" outlineLevel="0" collapsed="false">
      <c r="A65" s="55" t="s">
        <v>2689</v>
      </c>
    </row>
    <row r="66" customFormat="false" ht="15" hidden="false" customHeight="true" outlineLevel="0" collapsed="false">
      <c r="A66" s="151"/>
      <c r="B66" s="152" t="s">
        <v>215</v>
      </c>
      <c r="C66" s="152" t="s">
        <v>1856</v>
      </c>
      <c r="D66" s="153" t="n">
        <v>55000</v>
      </c>
      <c r="E66" s="154" t="s">
        <v>2648</v>
      </c>
    </row>
    <row r="67" customFormat="false" ht="15" hidden="false" customHeight="true" outlineLevel="0" collapsed="false">
      <c r="A67" s="151"/>
      <c r="B67" s="152" t="s">
        <v>1860</v>
      </c>
      <c r="C67" s="152" t="s">
        <v>1861</v>
      </c>
      <c r="D67" s="153" t="n">
        <v>50000</v>
      </c>
      <c r="E67" s="154" t="s">
        <v>2821</v>
      </c>
    </row>
    <row r="68" customFormat="false" ht="15" hidden="false" customHeight="true" outlineLevel="0" collapsed="false">
      <c r="A68" s="151"/>
      <c r="B68" s="152" t="s">
        <v>145</v>
      </c>
      <c r="C68" s="152" t="s">
        <v>2691</v>
      </c>
      <c r="D68" s="153" t="n">
        <v>45000</v>
      </c>
      <c r="E68" s="154" t="s">
        <v>2648</v>
      </c>
    </row>
    <row r="69" customFormat="false" ht="15" hidden="false" customHeight="true" outlineLevel="0" collapsed="false">
      <c r="A69" s="151"/>
      <c r="B69" s="152" t="s">
        <v>313</v>
      </c>
      <c r="C69" s="152" t="s">
        <v>2690</v>
      </c>
      <c r="D69" s="153" t="n">
        <v>45000</v>
      </c>
      <c r="E69" s="154" t="s">
        <v>2648</v>
      </c>
    </row>
    <row r="70" customFormat="false" ht="15" hidden="false" customHeight="true" outlineLevel="0" collapsed="false">
      <c r="A70" s="55" t="s">
        <v>2697</v>
      </c>
    </row>
    <row r="71" customFormat="false" ht="15" hidden="false" customHeight="true" outlineLevel="0" collapsed="false">
      <c r="A71" s="151"/>
      <c r="B71" s="152" t="s">
        <v>1084</v>
      </c>
      <c r="C71" s="152" t="s">
        <v>2062</v>
      </c>
      <c r="D71" s="153" t="n">
        <v>25000</v>
      </c>
      <c r="E71" s="154" t="s">
        <v>2822</v>
      </c>
    </row>
    <row r="72" customFormat="false" ht="15" hidden="false" customHeight="true" outlineLevel="0" collapsed="false">
      <c r="A72" s="151"/>
      <c r="B72" s="152" t="s">
        <v>1084</v>
      </c>
      <c r="C72" s="152" t="s">
        <v>2062</v>
      </c>
      <c r="D72" s="153" t="n">
        <v>25000</v>
      </c>
      <c r="E72" s="154" t="s">
        <v>2823</v>
      </c>
    </row>
    <row r="73" customFormat="false" ht="15" hidden="false" customHeight="true" outlineLevel="0" collapsed="false">
      <c r="A73" s="151"/>
      <c r="B73" s="152" t="s">
        <v>1084</v>
      </c>
      <c r="C73" s="152" t="s">
        <v>2062</v>
      </c>
      <c r="D73" s="153" t="n">
        <v>20000</v>
      </c>
      <c r="E73" s="154" t="s">
        <v>2824</v>
      </c>
    </row>
    <row r="74" customFormat="false" ht="15" hidden="false" customHeight="true" outlineLevel="0" collapsed="false">
      <c r="A74" s="151"/>
      <c r="B74" s="152" t="s">
        <v>2073</v>
      </c>
      <c r="C74" s="152" t="s">
        <v>2074</v>
      </c>
      <c r="D74" s="153" t="n">
        <v>20000</v>
      </c>
      <c r="E74" s="154" t="s">
        <v>2648</v>
      </c>
    </row>
    <row r="75" customFormat="false" ht="15" hidden="false" customHeight="true" outlineLevel="0" collapsed="false">
      <c r="A75" s="151"/>
      <c r="B75" s="152" t="s">
        <v>435</v>
      </c>
      <c r="C75" s="152" t="s">
        <v>1874</v>
      </c>
      <c r="D75" s="153" t="n">
        <v>20000</v>
      </c>
      <c r="E75" s="154" t="s">
        <v>2648</v>
      </c>
    </row>
    <row r="76" customFormat="false" ht="15" hidden="false" customHeight="true" outlineLevel="0" collapsed="false">
      <c r="A76" s="151"/>
      <c r="B76" s="152" t="s">
        <v>2065</v>
      </c>
      <c r="C76" s="152" t="s">
        <v>2066</v>
      </c>
      <c r="D76" s="153" t="n">
        <v>15000</v>
      </c>
      <c r="E76" s="154" t="s">
        <v>2648</v>
      </c>
    </row>
    <row r="77" customFormat="false" ht="15" hidden="false" customHeight="true" outlineLevel="0" collapsed="false">
      <c r="A77" s="151"/>
      <c r="B77" s="152" t="s">
        <v>1876</v>
      </c>
      <c r="C77" s="152" t="s">
        <v>1877</v>
      </c>
      <c r="D77" s="153" t="n">
        <v>15000</v>
      </c>
      <c r="E77" s="154" t="s">
        <v>2825</v>
      </c>
    </row>
    <row r="78" customFormat="false" ht="15" hidden="false" customHeight="true" outlineLevel="0" collapsed="false">
      <c r="A78" s="151"/>
      <c r="B78" s="152" t="s">
        <v>1149</v>
      </c>
      <c r="C78" s="152" t="s">
        <v>1933</v>
      </c>
      <c r="D78" s="153" t="n">
        <v>15000</v>
      </c>
      <c r="E78" s="154" t="s">
        <v>2826</v>
      </c>
    </row>
    <row r="79" customFormat="false" ht="15" hidden="false" customHeight="true" outlineLevel="0" collapsed="false">
      <c r="A79" s="151"/>
      <c r="B79" s="152" t="s">
        <v>617</v>
      </c>
      <c r="C79" s="152" t="s">
        <v>2064</v>
      </c>
      <c r="D79" s="153" t="n">
        <v>15000</v>
      </c>
      <c r="E79" s="154" t="s">
        <v>2648</v>
      </c>
    </row>
    <row r="80" customFormat="false" ht="15" hidden="false" customHeight="true" outlineLevel="0" collapsed="false">
      <c r="A80" s="151"/>
      <c r="B80" s="152" t="s">
        <v>1084</v>
      </c>
      <c r="C80" s="152" t="s">
        <v>2062</v>
      </c>
      <c r="D80" s="153" t="n">
        <v>15000</v>
      </c>
      <c r="E80" s="154" t="s">
        <v>2827</v>
      </c>
    </row>
    <row r="81" customFormat="false" ht="15" hidden="false" customHeight="true" outlineLevel="0" collapsed="false">
      <c r="A81" s="151"/>
      <c r="B81" s="152" t="s">
        <v>1084</v>
      </c>
      <c r="C81" s="152" t="s">
        <v>2062</v>
      </c>
      <c r="D81" s="153" t="n">
        <v>15000</v>
      </c>
      <c r="E81" s="154" t="s">
        <v>2828</v>
      </c>
    </row>
    <row r="82" customFormat="false" ht="15" hidden="false" customHeight="true" outlineLevel="0" collapsed="false">
      <c r="A82" s="151"/>
      <c r="B82" s="152" t="s">
        <v>1206</v>
      </c>
      <c r="C82" s="152" t="s">
        <v>2103</v>
      </c>
      <c r="D82" s="153" t="n">
        <v>10000</v>
      </c>
      <c r="E82" s="154" t="s">
        <v>2648</v>
      </c>
    </row>
    <row r="83" customFormat="false" ht="15" hidden="false" customHeight="true" outlineLevel="0" collapsed="false">
      <c r="A83" s="151"/>
      <c r="B83" s="152" t="s">
        <v>893</v>
      </c>
      <c r="C83" s="152" t="s">
        <v>1931</v>
      </c>
      <c r="D83" s="153" t="n">
        <v>10000</v>
      </c>
      <c r="E83" s="154" t="s">
        <v>2829</v>
      </c>
    </row>
    <row r="84" customFormat="false" ht="15" hidden="false" customHeight="true" outlineLevel="0" collapsed="false">
      <c r="A84" s="151"/>
      <c r="B84" s="152" t="s">
        <v>515</v>
      </c>
      <c r="C84" s="152" t="s">
        <v>2110</v>
      </c>
      <c r="D84" s="153" t="n">
        <v>10000</v>
      </c>
      <c r="E84" s="154" t="s">
        <v>2648</v>
      </c>
    </row>
    <row r="85" customFormat="false" ht="15" hidden="false" customHeight="true" outlineLevel="0" collapsed="false">
      <c r="A85" s="151"/>
      <c r="B85" s="152" t="s">
        <v>168</v>
      </c>
      <c r="C85" s="152" t="s">
        <v>1907</v>
      </c>
      <c r="D85" s="153" t="n">
        <v>10000</v>
      </c>
      <c r="E85" s="154" t="s">
        <v>2648</v>
      </c>
    </row>
    <row r="86" customFormat="false" ht="15" hidden="false" customHeight="true" outlineLevel="0" collapsed="false">
      <c r="A86" s="151"/>
      <c r="B86" s="152" t="s">
        <v>142</v>
      </c>
      <c r="C86" s="152" t="s">
        <v>2122</v>
      </c>
      <c r="D86" s="153" t="n">
        <v>10000</v>
      </c>
      <c r="E86" s="154" t="s">
        <v>2830</v>
      </c>
    </row>
    <row r="87" customFormat="false" ht="15" hidden="false" customHeight="true" outlineLevel="0" collapsed="false">
      <c r="A87" s="151"/>
      <c r="B87" s="152" t="s">
        <v>149</v>
      </c>
      <c r="C87" s="152" t="s">
        <v>2125</v>
      </c>
      <c r="D87" s="153" t="n">
        <v>10000</v>
      </c>
      <c r="E87" s="154" t="s">
        <v>2831</v>
      </c>
    </row>
    <row r="88" customFormat="false" ht="15" hidden="false" customHeight="true" outlineLevel="0" collapsed="false">
      <c r="A88" s="151"/>
      <c r="B88" s="152" t="s">
        <v>987</v>
      </c>
      <c r="C88" s="152" t="s">
        <v>2189</v>
      </c>
      <c r="D88" s="153" t="n">
        <v>10000</v>
      </c>
      <c r="E88" s="154" t="s">
        <v>2648</v>
      </c>
    </row>
    <row r="89" customFormat="false" ht="15" hidden="false" customHeight="true" outlineLevel="0" collapsed="false">
      <c r="A89" s="151"/>
      <c r="B89" s="152" t="s">
        <v>1158</v>
      </c>
      <c r="C89" s="152" t="s">
        <v>1916</v>
      </c>
      <c r="D89" s="153" t="n">
        <v>10000</v>
      </c>
      <c r="E89" s="154" t="s">
        <v>2648</v>
      </c>
    </row>
    <row r="90" customFormat="false" ht="15" hidden="false" customHeight="true" outlineLevel="0" collapsed="false">
      <c r="A90" s="151"/>
      <c r="B90" s="152" t="s">
        <v>1233</v>
      </c>
      <c r="C90" s="152" t="s">
        <v>2151</v>
      </c>
      <c r="D90" s="153" t="n">
        <v>5000</v>
      </c>
      <c r="E90" s="154" t="s">
        <v>2821</v>
      </c>
    </row>
    <row r="91" customFormat="false" ht="15" hidden="false" customHeight="true" outlineLevel="0" collapsed="false">
      <c r="A91" s="151"/>
      <c r="B91" s="152" t="s">
        <v>281</v>
      </c>
      <c r="C91" s="152" t="s">
        <v>1922</v>
      </c>
      <c r="D91" s="153" t="n">
        <v>5000</v>
      </c>
      <c r="E91" s="154" t="s">
        <v>2648</v>
      </c>
    </row>
    <row r="92" customFormat="false" ht="15" hidden="false" customHeight="true" outlineLevel="0" collapsed="false">
      <c r="A92" s="151"/>
      <c r="B92" s="152" t="s">
        <v>893</v>
      </c>
      <c r="C92" s="152" t="s">
        <v>1931</v>
      </c>
      <c r="D92" s="153" t="n">
        <v>5000</v>
      </c>
      <c r="E92" s="154" t="s">
        <v>2832</v>
      </c>
    </row>
    <row r="93" customFormat="false" ht="15" hidden="false" customHeight="true" outlineLevel="0" collapsed="false">
      <c r="A93" s="151"/>
      <c r="B93" s="152" t="s">
        <v>893</v>
      </c>
      <c r="C93" s="152" t="s">
        <v>1931</v>
      </c>
      <c r="D93" s="153" t="n">
        <v>5000</v>
      </c>
      <c r="E93" s="154" t="s">
        <v>2833</v>
      </c>
    </row>
    <row r="94" customFormat="false" ht="15" hidden="false" customHeight="true" outlineLevel="0" collapsed="false">
      <c r="A94" s="151"/>
      <c r="B94" s="152" t="s">
        <v>197</v>
      </c>
      <c r="C94" s="152" t="s">
        <v>1931</v>
      </c>
      <c r="D94" s="153" t="n">
        <v>5000</v>
      </c>
      <c r="E94" s="154" t="s">
        <v>2834</v>
      </c>
    </row>
    <row r="95" customFormat="false" ht="15" hidden="false" customHeight="true" outlineLevel="0" collapsed="false">
      <c r="A95" s="151"/>
      <c r="B95" s="152" t="s">
        <v>1191</v>
      </c>
      <c r="C95" s="152" t="s">
        <v>2141</v>
      </c>
      <c r="D95" s="153" t="n">
        <v>5000</v>
      </c>
      <c r="E95" s="154" t="s">
        <v>2648</v>
      </c>
    </row>
    <row r="96" customFormat="false" ht="15" hidden="false" customHeight="true" outlineLevel="0" collapsed="false">
      <c r="A96" s="151"/>
      <c r="B96" s="152" t="s">
        <v>380</v>
      </c>
      <c r="C96" s="152" t="s">
        <v>1899</v>
      </c>
      <c r="D96" s="153" t="n">
        <v>5000</v>
      </c>
      <c r="E96" s="154" t="s">
        <v>2821</v>
      </c>
    </row>
    <row r="97" customFormat="false" ht="15" hidden="false" customHeight="true" outlineLevel="0" collapsed="false">
      <c r="A97" s="151"/>
      <c r="B97" s="152" t="s">
        <v>1237</v>
      </c>
      <c r="C97" s="152" t="s">
        <v>2178</v>
      </c>
      <c r="D97" s="153" t="n">
        <v>5000</v>
      </c>
      <c r="E97" s="154" t="s">
        <v>2648</v>
      </c>
    </row>
    <row r="98" customFormat="false" ht="15" hidden="false" customHeight="true" outlineLevel="0" collapsed="false">
      <c r="A98" s="151"/>
      <c r="B98" s="152" t="s">
        <v>657</v>
      </c>
      <c r="C98" s="152" t="s">
        <v>1849</v>
      </c>
      <c r="D98" s="153" t="n">
        <v>5000</v>
      </c>
      <c r="E98" s="154" t="s">
        <v>2648</v>
      </c>
    </row>
    <row r="99" customFormat="false" ht="15" hidden="false" customHeight="true" outlineLevel="0" collapsed="false">
      <c r="A99" s="151"/>
      <c r="B99" s="152" t="s">
        <v>1243</v>
      </c>
      <c r="C99" s="152" t="s">
        <v>2186</v>
      </c>
      <c r="D99" s="153" t="n">
        <v>5000</v>
      </c>
      <c r="E99" s="154" t="s">
        <v>2648</v>
      </c>
    </row>
    <row r="100" customFormat="false" ht="15" hidden="false" customHeight="true" outlineLevel="0" collapsed="false">
      <c r="A100" s="151"/>
      <c r="B100" s="152" t="s">
        <v>1245</v>
      </c>
      <c r="C100" s="152" t="s">
        <v>2187</v>
      </c>
      <c r="D100" s="153" t="n">
        <v>5000</v>
      </c>
      <c r="E100" s="154" t="s">
        <v>2648</v>
      </c>
    </row>
    <row r="101" customFormat="false" ht="15" hidden="false" customHeight="true" outlineLevel="0" collapsed="false">
      <c r="A101" s="151"/>
      <c r="B101" s="152" t="s">
        <v>1212</v>
      </c>
      <c r="C101" s="152" t="s">
        <v>2191</v>
      </c>
      <c r="D101" s="153" t="n">
        <v>5000</v>
      </c>
      <c r="E101" s="154" t="s">
        <v>2648</v>
      </c>
    </row>
    <row r="102" customFormat="false" ht="15" hidden="false" customHeight="true" outlineLevel="0" collapsed="false">
      <c r="A102" s="151"/>
      <c r="B102" s="152" t="s">
        <v>142</v>
      </c>
      <c r="C102" s="152" t="s">
        <v>2122</v>
      </c>
      <c r="D102" s="153" t="n">
        <v>5000</v>
      </c>
      <c r="E102" s="154" t="s">
        <v>2835</v>
      </c>
    </row>
    <row r="103" customFormat="false" ht="15" hidden="false" customHeight="true" outlineLevel="0" collapsed="false">
      <c r="A103" s="151"/>
      <c r="B103" s="152" t="s">
        <v>343</v>
      </c>
      <c r="C103" s="152" t="s">
        <v>1894</v>
      </c>
      <c r="D103" s="153" t="n">
        <v>5000</v>
      </c>
      <c r="E103" s="154" t="s">
        <v>2648</v>
      </c>
    </row>
    <row r="104" customFormat="false" ht="15" hidden="false" customHeight="true" outlineLevel="0" collapsed="false">
      <c r="A104" s="151"/>
      <c r="B104" s="152" t="s">
        <v>1257</v>
      </c>
      <c r="C104" s="152" t="s">
        <v>2216</v>
      </c>
      <c r="D104" s="153" t="n">
        <v>5000</v>
      </c>
      <c r="E104" s="154" t="s">
        <v>2648</v>
      </c>
    </row>
    <row r="105" customFormat="false" ht="15" hidden="false" customHeight="true" outlineLevel="0" collapsed="false">
      <c r="A105" s="151"/>
      <c r="B105" s="152" t="s">
        <v>1259</v>
      </c>
      <c r="C105" s="152" t="s">
        <v>2217</v>
      </c>
      <c r="D105" s="153" t="n">
        <v>5000</v>
      </c>
      <c r="E105" s="154" t="s">
        <v>2648</v>
      </c>
    </row>
    <row r="106" customFormat="false" ht="15" hidden="false" customHeight="true" outlineLevel="0" collapsed="false">
      <c r="A106" s="151"/>
      <c r="B106" s="152" t="s">
        <v>485</v>
      </c>
      <c r="C106" s="152" t="s">
        <v>2176</v>
      </c>
      <c r="D106" s="153" t="n">
        <v>5000</v>
      </c>
      <c r="E106" s="154" t="s">
        <v>2648</v>
      </c>
    </row>
    <row r="107" customFormat="false" ht="15" hidden="false" customHeight="true" outlineLevel="0" collapsed="false">
      <c r="A107" s="151"/>
      <c r="B107" s="152" t="s">
        <v>2456</v>
      </c>
      <c r="C107" s="152" t="s">
        <v>2234</v>
      </c>
      <c r="D107" s="153" t="n">
        <v>5000</v>
      </c>
      <c r="E107" s="154" t="s">
        <v>2648</v>
      </c>
    </row>
    <row r="108" customFormat="false" ht="15" hidden="false" customHeight="true" outlineLevel="0" collapsed="false">
      <c r="A108" s="151"/>
      <c r="B108" s="152" t="s">
        <v>1188</v>
      </c>
      <c r="C108" s="152" t="s">
        <v>2213</v>
      </c>
      <c r="D108" s="153" t="n">
        <v>5000</v>
      </c>
      <c r="E108" s="154" t="s">
        <v>2648</v>
      </c>
    </row>
    <row r="109" customFormat="false" ht="15" hidden="false" customHeight="true" outlineLevel="0" collapsed="false">
      <c r="A109" s="151"/>
      <c r="B109" s="152" t="s">
        <v>657</v>
      </c>
      <c r="C109" s="152" t="s">
        <v>1849</v>
      </c>
      <c r="D109" s="153" t="n">
        <v>5000</v>
      </c>
      <c r="E109" s="154" t="s">
        <v>2836</v>
      </c>
    </row>
    <row r="110" customFormat="false" ht="15" hidden="false" customHeight="true" outlineLevel="0" collapsed="false">
      <c r="A110" s="151"/>
      <c r="B110" s="152" t="s">
        <v>1231</v>
      </c>
      <c r="C110" s="152" t="s">
        <v>2147</v>
      </c>
      <c r="D110" s="153" t="n">
        <v>5000</v>
      </c>
      <c r="E110" s="154" t="s">
        <v>2648</v>
      </c>
    </row>
    <row r="111" customFormat="false" ht="15" hidden="false" customHeight="true" outlineLevel="0" collapsed="false">
      <c r="A111" s="151"/>
      <c r="B111" s="152" t="s">
        <v>1251</v>
      </c>
      <c r="C111" s="152" t="s">
        <v>2208</v>
      </c>
      <c r="D111" s="153" t="n">
        <v>5000</v>
      </c>
      <c r="E111" s="154" t="s">
        <v>2648</v>
      </c>
    </row>
    <row r="112" customFormat="false" ht="15" hidden="false" customHeight="true" outlineLevel="0" collapsed="false">
      <c r="A112" s="151"/>
      <c r="B112" s="152" t="s">
        <v>925</v>
      </c>
      <c r="C112" s="152" t="s">
        <v>1931</v>
      </c>
      <c r="D112" s="153" t="n">
        <v>3500</v>
      </c>
      <c r="E112" s="154" t="s">
        <v>2837</v>
      </c>
    </row>
    <row r="113" customFormat="false" ht="15" hidden="false" customHeight="true" outlineLevel="0" collapsed="false">
      <c r="A113" s="151"/>
      <c r="B113" s="152" t="s">
        <v>925</v>
      </c>
      <c r="C113" s="152" t="s">
        <v>1931</v>
      </c>
      <c r="D113" s="153" t="n">
        <v>3500</v>
      </c>
      <c r="E113" s="154" t="s">
        <v>2838</v>
      </c>
    </row>
    <row r="114" customFormat="false" ht="15" hidden="false" customHeight="true" outlineLevel="0" collapsed="false">
      <c r="A114" s="151"/>
      <c r="B114" s="152" t="s">
        <v>625</v>
      </c>
      <c r="C114" s="152" t="s">
        <v>2269</v>
      </c>
      <c r="D114" s="153" t="n">
        <v>3000</v>
      </c>
      <c r="E114" s="154" t="s">
        <v>2648</v>
      </c>
    </row>
    <row r="115" customFormat="false" ht="15" hidden="false" customHeight="true" outlineLevel="0" collapsed="false">
      <c r="A115" s="55" t="s">
        <v>2749</v>
      </c>
    </row>
    <row r="116" customFormat="false" ht="15" hidden="false" customHeight="true" outlineLevel="0" collapsed="false">
      <c r="A116" s="151"/>
      <c r="B116" s="152" t="s">
        <v>2314</v>
      </c>
      <c r="C116" s="152" t="s">
        <v>2839</v>
      </c>
      <c r="D116" s="153" t="n">
        <v>200000</v>
      </c>
      <c r="E116" s="154" t="s">
        <v>2648</v>
      </c>
    </row>
    <row r="117" customFormat="false" ht="15" hidden="false" customHeight="true" outlineLevel="0" collapsed="false">
      <c r="A117" s="151"/>
      <c r="B117" s="152" t="s">
        <v>640</v>
      </c>
      <c r="C117" s="152" t="s">
        <v>1931</v>
      </c>
      <c r="D117" s="153" t="n">
        <v>30000</v>
      </c>
      <c r="E117" s="154" t="s">
        <v>2821</v>
      </c>
    </row>
    <row r="118" customFormat="false" ht="15" hidden="false" customHeight="true" outlineLevel="0" collapsed="false">
      <c r="A118" s="151"/>
      <c r="B118" s="152" t="s">
        <v>466</v>
      </c>
      <c r="C118" s="152" t="s">
        <v>2751</v>
      </c>
      <c r="D118" s="153" t="n">
        <v>30000</v>
      </c>
      <c r="E118" s="154" t="s">
        <v>2821</v>
      </c>
    </row>
    <row r="119" customFormat="false" ht="15" hidden="false" customHeight="true" outlineLevel="0" collapsed="false">
      <c r="A119" s="151"/>
      <c r="B119" s="152" t="s">
        <v>1104</v>
      </c>
      <c r="C119" s="152" t="s">
        <v>1917</v>
      </c>
      <c r="D119" s="153" t="n">
        <v>15000</v>
      </c>
      <c r="E119" s="154" t="s">
        <v>2648</v>
      </c>
    </row>
    <row r="120" customFormat="false" ht="15" hidden="false" customHeight="true" outlineLevel="0" collapsed="false">
      <c r="A120" s="151"/>
      <c r="B120" s="152" t="s">
        <v>2840</v>
      </c>
      <c r="C120" s="152" t="s">
        <v>2841</v>
      </c>
      <c r="D120" s="153" t="n">
        <v>5000</v>
      </c>
      <c r="E120" s="154" t="s">
        <v>2648</v>
      </c>
    </row>
    <row r="121" customFormat="false" ht="15" hidden="false" customHeight="true" outlineLevel="0" collapsed="false">
      <c r="A121" s="55" t="s">
        <v>2753</v>
      </c>
    </row>
    <row r="122" customFormat="false" ht="15" hidden="false" customHeight="true" outlineLevel="0" collapsed="false">
      <c r="A122" s="151"/>
      <c r="B122" s="152" t="s">
        <v>1084</v>
      </c>
      <c r="C122" s="152" t="s">
        <v>2062</v>
      </c>
      <c r="D122" s="153" t="n">
        <v>20000</v>
      </c>
      <c r="E122" s="154" t="s">
        <v>2842</v>
      </c>
    </row>
    <row r="123" customFormat="false" ht="15" hidden="false" customHeight="true" outlineLevel="0" collapsed="false">
      <c r="A123" s="151"/>
      <c r="B123" s="152" t="s">
        <v>1084</v>
      </c>
      <c r="C123" s="152" t="s">
        <v>2062</v>
      </c>
      <c r="D123" s="153" t="n">
        <v>20000</v>
      </c>
      <c r="E123" s="154" t="s">
        <v>2843</v>
      </c>
    </row>
    <row r="124" customFormat="false" ht="15" hidden="false" customHeight="true" outlineLevel="0" collapsed="false">
      <c r="A124" s="151"/>
      <c r="B124" s="152" t="s">
        <v>1084</v>
      </c>
      <c r="C124" s="152" t="s">
        <v>2062</v>
      </c>
      <c r="D124" s="153" t="n">
        <v>10000</v>
      </c>
      <c r="E124" s="154" t="s">
        <v>2844</v>
      </c>
    </row>
    <row r="125" customFormat="false" ht="15" hidden="false" customHeight="true" outlineLevel="0" collapsed="false">
      <c r="A125" s="55" t="s">
        <v>2758</v>
      </c>
    </row>
    <row r="126" customFormat="false" ht="15" hidden="false" customHeight="true" outlineLevel="0" collapsed="false">
      <c r="A126" s="151"/>
      <c r="B126" s="152" t="s">
        <v>2845</v>
      </c>
      <c r="C126" s="152" t="s">
        <v>2846</v>
      </c>
      <c r="D126" s="153" t="n">
        <v>30000</v>
      </c>
      <c r="E126" s="154" t="s">
        <v>2821</v>
      </c>
    </row>
    <row r="127" customFormat="false" ht="15" hidden="false" customHeight="true" outlineLevel="0" collapsed="false">
      <c r="A127" s="151"/>
      <c r="B127" s="152" t="s">
        <v>2405</v>
      </c>
      <c r="C127" s="152" t="s">
        <v>2406</v>
      </c>
      <c r="D127" s="153" t="n">
        <v>20000</v>
      </c>
      <c r="E127" s="154" t="s">
        <v>2847</v>
      </c>
    </row>
    <row r="128" customFormat="false" ht="15" hidden="false" customHeight="true" outlineLevel="0" collapsed="false">
      <c r="A128" s="151"/>
      <c r="B128" s="152" t="s">
        <v>2780</v>
      </c>
      <c r="C128" s="152" t="s">
        <v>2429</v>
      </c>
      <c r="D128" s="153" t="n">
        <v>15000</v>
      </c>
      <c r="E128" s="154" t="s">
        <v>2848</v>
      </c>
    </row>
    <row r="129" customFormat="false" ht="15" hidden="false" customHeight="true" outlineLevel="0" collapsed="false">
      <c r="A129" s="151"/>
      <c r="B129" s="152" t="s">
        <v>473</v>
      </c>
      <c r="C129" s="152" t="s">
        <v>2764</v>
      </c>
      <c r="D129" s="153" t="n">
        <v>15000</v>
      </c>
      <c r="E129" s="154" t="s">
        <v>2849</v>
      </c>
    </row>
    <row r="130" customFormat="false" ht="15" hidden="false" customHeight="true" outlineLevel="0" collapsed="false">
      <c r="A130" s="151"/>
      <c r="B130" s="152" t="s">
        <v>197</v>
      </c>
      <c r="C130" s="152" t="s">
        <v>1931</v>
      </c>
      <c r="D130" s="153" t="n">
        <v>10000</v>
      </c>
      <c r="E130" s="154" t="s">
        <v>2850</v>
      </c>
    </row>
    <row r="131" customFormat="false" ht="15" hidden="false" customHeight="true" outlineLevel="0" collapsed="false">
      <c r="A131" s="55" t="s">
        <v>2766</v>
      </c>
    </row>
    <row r="132" customFormat="false" ht="15" hidden="false" customHeight="true" outlineLevel="0" collapsed="false">
      <c r="A132" s="155"/>
      <c r="B132" s="156" t="s">
        <v>2632</v>
      </c>
      <c r="C132" s="156" t="s">
        <v>2633</v>
      </c>
      <c r="D132" s="157" t="n">
        <v>15000</v>
      </c>
      <c r="E132" s="158" t="s">
        <v>2851</v>
      </c>
    </row>
    <row r="133" customFormat="false" ht="15" hidden="false" customHeight="true" outlineLevel="0" collapsed="false">
      <c r="A133" s="155"/>
      <c r="B133" s="156" t="s">
        <v>2073</v>
      </c>
      <c r="C133" s="156" t="s">
        <v>2074</v>
      </c>
      <c r="D133" s="157" t="n">
        <v>15000</v>
      </c>
      <c r="E133" s="158" t="s">
        <v>2852</v>
      </c>
    </row>
    <row r="134" customFormat="false" ht="15" hidden="false" customHeight="true" outlineLevel="0" collapsed="false">
      <c r="A134" s="155"/>
      <c r="B134" s="156" t="s">
        <v>350</v>
      </c>
      <c r="C134" s="156" t="s">
        <v>1913</v>
      </c>
      <c r="D134" s="157" t="n">
        <v>15000</v>
      </c>
      <c r="E134" s="158" t="s">
        <v>2853</v>
      </c>
    </row>
    <row r="135" customFormat="false" ht="15" hidden="false" customHeight="true" outlineLevel="0" collapsed="false">
      <c r="A135" s="55" t="s">
        <v>2770</v>
      </c>
    </row>
    <row r="136" customFormat="false" ht="15" hidden="false" customHeight="true" outlineLevel="0" collapsed="false">
      <c r="A136" s="151"/>
      <c r="B136" s="152" t="s">
        <v>309</v>
      </c>
      <c r="C136" s="152" t="s">
        <v>1865</v>
      </c>
      <c r="D136" s="153" t="n">
        <v>40000</v>
      </c>
      <c r="E136" s="154" t="s">
        <v>2648</v>
      </c>
    </row>
    <row r="137" customFormat="false" ht="15" hidden="false" customHeight="true" outlineLevel="0" collapsed="false">
      <c r="A137" s="151"/>
      <c r="B137" s="152" t="s">
        <v>1119</v>
      </c>
      <c r="C137" s="152" t="s">
        <v>1845</v>
      </c>
      <c r="D137" s="153" t="n">
        <v>30000</v>
      </c>
      <c r="E137" s="154" t="s">
        <v>2648</v>
      </c>
    </row>
    <row r="138" customFormat="false" ht="15" hidden="false" customHeight="true" outlineLevel="0" collapsed="false">
      <c r="A138" s="151"/>
      <c r="B138" s="152" t="s">
        <v>1095</v>
      </c>
      <c r="C138" s="152" t="s">
        <v>1840</v>
      </c>
      <c r="D138" s="153" t="n">
        <v>30000</v>
      </c>
      <c r="E138" s="154" t="s">
        <v>2648</v>
      </c>
    </row>
    <row r="139" customFormat="false" ht="15" hidden="false" customHeight="true" outlineLevel="0" collapsed="false">
      <c r="A139" s="151"/>
      <c r="B139" s="152" t="s">
        <v>1141</v>
      </c>
      <c r="C139" s="152" t="s">
        <v>1847</v>
      </c>
      <c r="D139" s="153" t="n">
        <v>20000</v>
      </c>
      <c r="E139" s="154" t="s">
        <v>2648</v>
      </c>
    </row>
    <row r="140" customFormat="false" ht="15" hidden="false" customHeight="true" outlineLevel="0" collapsed="false">
      <c r="A140" s="151"/>
      <c r="B140" s="152" t="s">
        <v>235</v>
      </c>
      <c r="C140" s="152" t="s">
        <v>1852</v>
      </c>
      <c r="D140" s="153" t="n">
        <v>20000</v>
      </c>
      <c r="E140" s="154" t="s">
        <v>2648</v>
      </c>
    </row>
    <row r="141" customFormat="false" ht="15" hidden="false" customHeight="true" outlineLevel="0" collapsed="false">
      <c r="A141" s="151"/>
      <c r="B141" s="152" t="s">
        <v>1095</v>
      </c>
      <c r="C141" s="152" t="s">
        <v>1840</v>
      </c>
      <c r="D141" s="153" t="n">
        <v>10000</v>
      </c>
      <c r="E141" s="154" t="s">
        <v>2648</v>
      </c>
    </row>
    <row r="142" customFormat="false" ht="15" hidden="false" customHeight="true" outlineLevel="0" collapsed="false">
      <c r="A142" s="55" t="s">
        <v>2774</v>
      </c>
    </row>
    <row r="143" customFormat="false" ht="15" hidden="false" customHeight="true" outlineLevel="0" collapsed="false">
      <c r="A143" s="151"/>
      <c r="B143" s="152" t="s">
        <v>485</v>
      </c>
      <c r="C143" s="152" t="s">
        <v>2176</v>
      </c>
      <c r="D143" s="153" t="n">
        <v>20000</v>
      </c>
      <c r="E143" s="154" t="s">
        <v>2648</v>
      </c>
    </row>
    <row r="144" customFormat="false" ht="15" hidden="false" customHeight="true" outlineLevel="0" collapsed="false">
      <c r="A144" s="151"/>
      <c r="B144" s="152" t="s">
        <v>404</v>
      </c>
      <c r="C144" s="152" t="s">
        <v>2108</v>
      </c>
      <c r="D144" s="153" t="n">
        <v>15000</v>
      </c>
      <c r="E144" s="154" t="s">
        <v>2854</v>
      </c>
    </row>
    <row r="145" customFormat="false" ht="15" hidden="false" customHeight="true" outlineLevel="0" collapsed="false">
      <c r="A145" s="151"/>
      <c r="B145" s="152" t="s">
        <v>987</v>
      </c>
      <c r="C145" s="152" t="s">
        <v>2189</v>
      </c>
      <c r="D145" s="153" t="n">
        <v>15000</v>
      </c>
      <c r="E145" s="154" t="s">
        <v>2855</v>
      </c>
    </row>
    <row r="146" customFormat="false" ht="15" hidden="false" customHeight="true" outlineLevel="0" collapsed="false">
      <c r="A146" s="151"/>
      <c r="B146" s="152" t="s">
        <v>657</v>
      </c>
      <c r="C146" s="152" t="s">
        <v>1849</v>
      </c>
      <c r="D146" s="153" t="n">
        <v>14000</v>
      </c>
      <c r="E146" s="154" t="s">
        <v>2856</v>
      </c>
    </row>
    <row r="147" customFormat="false" ht="15" hidden="false" customHeight="true" outlineLevel="0" collapsed="false">
      <c r="A147" s="151"/>
      <c r="B147" s="152" t="s">
        <v>625</v>
      </c>
      <c r="C147" s="152" t="s">
        <v>2269</v>
      </c>
      <c r="D147" s="153" t="n">
        <v>10500</v>
      </c>
      <c r="E147" s="154" t="s">
        <v>2648</v>
      </c>
    </row>
    <row r="148" customFormat="false" ht="15" hidden="false" customHeight="true" outlineLevel="0" collapsed="false">
      <c r="A148" s="151"/>
      <c r="B148" s="152" t="s">
        <v>326</v>
      </c>
      <c r="C148" s="152" t="s">
        <v>1912</v>
      </c>
      <c r="D148" s="153" t="n">
        <v>10000</v>
      </c>
      <c r="E148" s="154" t="s">
        <v>2648</v>
      </c>
    </row>
    <row r="149" customFormat="false" ht="15" hidden="false" customHeight="true" outlineLevel="0" collapsed="false">
      <c r="A149" s="151"/>
      <c r="B149" s="152" t="s">
        <v>1159</v>
      </c>
      <c r="C149" s="152" t="s">
        <v>1936</v>
      </c>
      <c r="D149" s="153" t="n">
        <v>10000</v>
      </c>
      <c r="E149" s="154" t="s">
        <v>2857</v>
      </c>
    </row>
    <row r="150" customFormat="false" ht="15" hidden="false" customHeight="true" outlineLevel="0" collapsed="false">
      <c r="A150" s="151"/>
      <c r="B150" s="152" t="s">
        <v>528</v>
      </c>
      <c r="C150" s="152" t="s">
        <v>2133</v>
      </c>
      <c r="D150" s="153" t="n">
        <v>8000</v>
      </c>
      <c r="E150" s="154" t="s">
        <v>2648</v>
      </c>
    </row>
    <row r="151" customFormat="false" ht="15" hidden="false" customHeight="true" outlineLevel="0" collapsed="false">
      <c r="A151" s="151"/>
      <c r="B151" s="152" t="s">
        <v>404</v>
      </c>
      <c r="C151" s="152" t="s">
        <v>2108</v>
      </c>
      <c r="D151" s="153" t="n">
        <v>7500</v>
      </c>
      <c r="E151" s="154" t="s">
        <v>2858</v>
      </c>
    </row>
    <row r="152" customFormat="false" ht="15" hidden="false" customHeight="true" outlineLevel="0" collapsed="false">
      <c r="A152" s="151"/>
      <c r="B152" s="152" t="s">
        <v>1270</v>
      </c>
      <c r="C152" s="152" t="s">
        <v>2431</v>
      </c>
      <c r="D152" s="153" t="n">
        <v>5000</v>
      </c>
      <c r="E152" s="154" t="s">
        <v>2821</v>
      </c>
    </row>
    <row r="153" customFormat="false" ht="15" hidden="false" customHeight="true" outlineLevel="0" collapsed="false">
      <c r="A153" s="151"/>
      <c r="B153" s="152" t="s">
        <v>293</v>
      </c>
      <c r="C153" s="152" t="s">
        <v>2438</v>
      </c>
      <c r="D153" s="153" t="n">
        <v>5000</v>
      </c>
      <c r="E153" s="154" t="s">
        <v>2648</v>
      </c>
    </row>
    <row r="154" customFormat="false" ht="15" hidden="false" customHeight="true" outlineLevel="0" collapsed="false">
      <c r="A154" s="151"/>
      <c r="B154" s="152" t="s">
        <v>549</v>
      </c>
      <c r="C154" s="152" t="s">
        <v>2441</v>
      </c>
      <c r="D154" s="153" t="n">
        <v>5000</v>
      </c>
      <c r="E154" s="154" t="s">
        <v>2821</v>
      </c>
    </row>
    <row r="155" customFormat="false" ht="15" hidden="false" customHeight="true" outlineLevel="0" collapsed="false">
      <c r="A155" s="151"/>
      <c r="B155" s="152" t="s">
        <v>1268</v>
      </c>
      <c r="C155" s="152" t="s">
        <v>2426</v>
      </c>
      <c r="D155" s="153" t="n">
        <v>5000</v>
      </c>
      <c r="E155" s="154" t="s">
        <v>2648</v>
      </c>
    </row>
    <row r="156" customFormat="false" ht="15" hidden="false" customHeight="true" outlineLevel="0" collapsed="false">
      <c r="A156" s="151"/>
      <c r="B156" s="152" t="s">
        <v>2859</v>
      </c>
      <c r="C156" s="152" t="s">
        <v>2184</v>
      </c>
      <c r="D156" s="153" t="n">
        <v>5000</v>
      </c>
      <c r="E156" s="154" t="s">
        <v>2648</v>
      </c>
    </row>
    <row r="157" customFormat="false" ht="15" hidden="false" customHeight="true" outlineLevel="0" collapsed="false">
      <c r="A157" s="151"/>
      <c r="B157" s="152" t="s">
        <v>1183</v>
      </c>
      <c r="C157" s="152" t="s">
        <v>2412</v>
      </c>
      <c r="D157" s="153" t="n">
        <v>5000</v>
      </c>
      <c r="E157" s="154" t="s">
        <v>2648</v>
      </c>
    </row>
    <row r="158" customFormat="false" ht="15" hidden="false" customHeight="true" outlineLevel="0" collapsed="false">
      <c r="A158" s="151"/>
      <c r="B158" s="152" t="s">
        <v>1272</v>
      </c>
      <c r="C158" s="152" t="s">
        <v>2436</v>
      </c>
      <c r="D158" s="153" t="n">
        <v>5000</v>
      </c>
      <c r="E158" s="154" t="s">
        <v>2648</v>
      </c>
    </row>
    <row r="159" customFormat="false" ht="15" hidden="false" customHeight="true" outlineLevel="0" collapsed="false">
      <c r="A159" s="151"/>
      <c r="B159" s="152" t="s">
        <v>989</v>
      </c>
      <c r="C159" s="152" t="s">
        <v>2451</v>
      </c>
      <c r="D159" s="153" t="n">
        <v>5000</v>
      </c>
      <c r="E159" s="154" t="s">
        <v>2648</v>
      </c>
    </row>
    <row r="160" customFormat="false" ht="15" hidden="false" customHeight="true" outlineLevel="0" collapsed="false">
      <c r="C160" s="90" t="s">
        <v>2542</v>
      </c>
      <c r="D160" s="103" t="n">
        <f aca="false">SUM(D5:D159)</f>
        <v>2270000</v>
      </c>
    </row>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34"/>
    <col collapsed="false" customWidth="true" hidden="false" outlineLevel="0" max="2" min="2" style="1" width="64"/>
    <col collapsed="false" customWidth="true" hidden="false" outlineLevel="0" max="3" min="3" style="1" width="13"/>
    <col collapsed="false" customWidth="true" hidden="false" outlineLevel="0" max="4" min="4" style="1" width="12"/>
    <col collapsed="false" customWidth="true" hidden="false" outlineLevel="0" max="5" min="5" style="1" width="52"/>
    <col collapsed="false" customWidth="true" hidden="false" outlineLevel="0" max="26" min="6" style="1" width="8.71"/>
  </cols>
  <sheetData>
    <row r="1" customFormat="false" ht="15.75" hidden="false" customHeight="true" outlineLevel="0" collapsed="false">
      <c r="A1" s="42" t="s">
        <v>2860</v>
      </c>
    </row>
    <row r="2" customFormat="false" ht="15" hidden="false" customHeight="true" outlineLevel="0" collapsed="false">
      <c r="A2" s="43" t="s">
        <v>2622</v>
      </c>
    </row>
    <row r="3" customFormat="false" ht="15" hidden="false" customHeight="true" outlineLevel="0" collapsed="false"/>
    <row r="4" customFormat="false" ht="15" hidden="false" customHeight="true" outlineLevel="0" collapsed="false">
      <c r="A4" s="44" t="s">
        <v>1729</v>
      </c>
      <c r="B4" s="45" t="s">
        <v>2623</v>
      </c>
      <c r="C4" s="45" t="s">
        <v>190</v>
      </c>
      <c r="D4" s="45" t="s">
        <v>72</v>
      </c>
      <c r="E4" s="45" t="s">
        <v>2624</v>
      </c>
    </row>
    <row r="5" customFormat="false" ht="15" hidden="false" customHeight="true" outlineLevel="0" collapsed="false">
      <c r="A5" s="55" t="s">
        <v>2625</v>
      </c>
    </row>
    <row r="6" customFormat="false" ht="15" hidden="false" customHeight="true" outlineLevel="0" collapsed="false">
      <c r="A6" s="151"/>
      <c r="B6" s="152" t="s">
        <v>395</v>
      </c>
      <c r="C6" s="152" t="s">
        <v>2196</v>
      </c>
      <c r="D6" s="153" t="n">
        <v>35000</v>
      </c>
      <c r="E6" s="154" t="s">
        <v>2861</v>
      </c>
    </row>
    <row r="7" customFormat="false" ht="15" hidden="false" customHeight="true" outlineLevel="0" collapsed="false">
      <c r="A7" s="151"/>
      <c r="B7" s="152" t="s">
        <v>309</v>
      </c>
      <c r="C7" s="152" t="s">
        <v>1865</v>
      </c>
      <c r="D7" s="153" t="n">
        <v>20000</v>
      </c>
      <c r="E7" s="154" t="s">
        <v>2862</v>
      </c>
    </row>
    <row r="8" customFormat="false" ht="15" hidden="false" customHeight="true" outlineLevel="0" collapsed="false">
      <c r="A8" s="151"/>
      <c r="B8" s="152" t="s">
        <v>2073</v>
      </c>
      <c r="C8" s="152" t="s">
        <v>2074</v>
      </c>
      <c r="D8" s="153" t="n">
        <v>15000</v>
      </c>
      <c r="E8" s="154" t="s">
        <v>2863</v>
      </c>
    </row>
    <row r="9" customFormat="false" ht="15" hidden="false" customHeight="true" outlineLevel="0" collapsed="false">
      <c r="A9" s="151"/>
      <c r="B9" s="152" t="s">
        <v>424</v>
      </c>
      <c r="C9" s="152" t="s">
        <v>2630</v>
      </c>
      <c r="D9" s="153" t="n">
        <v>10000</v>
      </c>
      <c r="E9" s="154" t="s">
        <v>2864</v>
      </c>
    </row>
    <row r="10" customFormat="false" ht="15" hidden="false" customHeight="true" outlineLevel="0" collapsed="false">
      <c r="A10" s="151"/>
      <c r="B10" s="152" t="s">
        <v>2865</v>
      </c>
      <c r="C10" s="152" t="s">
        <v>2866</v>
      </c>
      <c r="D10" s="153" t="n">
        <v>10000</v>
      </c>
      <c r="E10" s="154" t="s">
        <v>2867</v>
      </c>
    </row>
    <row r="11" customFormat="false" ht="15" hidden="false" customHeight="true" outlineLevel="0" collapsed="false">
      <c r="A11" s="151"/>
      <c r="B11" s="152" t="s">
        <v>2026</v>
      </c>
      <c r="C11" s="152" t="s">
        <v>2868</v>
      </c>
      <c r="D11" s="153" t="n">
        <v>10000</v>
      </c>
      <c r="E11" s="154" t="s">
        <v>2648</v>
      </c>
    </row>
    <row r="12" customFormat="false" ht="15" hidden="false" customHeight="true" outlineLevel="0" collapsed="false">
      <c r="A12" s="55" t="s">
        <v>2637</v>
      </c>
    </row>
    <row r="13" customFormat="false" ht="15" hidden="false" customHeight="true" outlineLevel="0" collapsed="false">
      <c r="A13" s="151"/>
      <c r="B13" s="152" t="s">
        <v>1095</v>
      </c>
      <c r="C13" s="152" t="s">
        <v>1840</v>
      </c>
      <c r="D13" s="153" t="n">
        <v>20000</v>
      </c>
      <c r="E13" s="154" t="s">
        <v>2869</v>
      </c>
    </row>
    <row r="14" customFormat="false" ht="15" hidden="false" customHeight="true" outlineLevel="0" collapsed="false">
      <c r="A14" s="151"/>
      <c r="B14" s="152" t="s">
        <v>1095</v>
      </c>
      <c r="C14" s="152" t="s">
        <v>1840</v>
      </c>
      <c r="D14" s="153" t="n">
        <v>20000</v>
      </c>
      <c r="E14" s="154" t="s">
        <v>2870</v>
      </c>
    </row>
    <row r="15" customFormat="false" ht="15" hidden="false" customHeight="true" outlineLevel="0" collapsed="false">
      <c r="A15" s="151"/>
      <c r="B15" s="152" t="s">
        <v>1119</v>
      </c>
      <c r="C15" s="152" t="s">
        <v>1845</v>
      </c>
      <c r="D15" s="153" t="n">
        <v>17500</v>
      </c>
      <c r="E15" s="154" t="s">
        <v>2871</v>
      </c>
    </row>
    <row r="16" customFormat="false" ht="15" hidden="false" customHeight="true" outlineLevel="0" collapsed="false">
      <c r="A16" s="151"/>
      <c r="B16" s="152" t="s">
        <v>1860</v>
      </c>
      <c r="C16" s="152" t="s">
        <v>1861</v>
      </c>
      <c r="D16" s="153" t="n">
        <v>15000</v>
      </c>
      <c r="E16" s="154" t="s">
        <v>2648</v>
      </c>
    </row>
    <row r="17" customFormat="false" ht="15" hidden="false" customHeight="true" outlineLevel="0" collapsed="false">
      <c r="A17" s="151"/>
      <c r="B17" s="152" t="s">
        <v>309</v>
      </c>
      <c r="C17" s="152" t="s">
        <v>1865</v>
      </c>
      <c r="D17" s="153" t="n">
        <v>12500</v>
      </c>
      <c r="E17" s="154" t="s">
        <v>2872</v>
      </c>
    </row>
    <row r="18" customFormat="false" ht="15" hidden="false" customHeight="true" outlineLevel="0" collapsed="false">
      <c r="A18" s="151"/>
      <c r="B18" s="152" t="s">
        <v>435</v>
      </c>
      <c r="C18" s="152" t="s">
        <v>1874</v>
      </c>
      <c r="D18" s="153" t="n">
        <v>10000</v>
      </c>
      <c r="E18" s="154" t="s">
        <v>2873</v>
      </c>
    </row>
    <row r="19" customFormat="false" ht="15" hidden="false" customHeight="true" outlineLevel="0" collapsed="false">
      <c r="A19" s="151"/>
      <c r="B19" s="152" t="s">
        <v>657</v>
      </c>
      <c r="C19" s="152" t="s">
        <v>1849</v>
      </c>
      <c r="D19" s="153" t="n">
        <v>5000</v>
      </c>
      <c r="E19" s="154" t="s">
        <v>2874</v>
      </c>
    </row>
    <row r="20" customFormat="false" ht="15" hidden="false" customHeight="true" outlineLevel="0" collapsed="false">
      <c r="A20" s="151"/>
      <c r="B20" s="152" t="s">
        <v>1225</v>
      </c>
      <c r="C20" s="152" t="s">
        <v>1881</v>
      </c>
      <c r="D20" s="153" t="n">
        <v>5000</v>
      </c>
      <c r="E20" s="154" t="s">
        <v>2875</v>
      </c>
    </row>
    <row r="21" customFormat="false" ht="15" hidden="false" customHeight="true" outlineLevel="0" collapsed="false">
      <c r="A21" s="151"/>
      <c r="B21" s="152" t="s">
        <v>1197</v>
      </c>
      <c r="C21" s="152" t="s">
        <v>1882</v>
      </c>
      <c r="D21" s="153" t="n">
        <v>5000</v>
      </c>
      <c r="E21" s="154" t="s">
        <v>2648</v>
      </c>
    </row>
    <row r="22" customFormat="false" ht="15" hidden="false" customHeight="true" outlineLevel="0" collapsed="false">
      <c r="A22" s="55" t="s">
        <v>2646</v>
      </c>
    </row>
    <row r="23" customFormat="false" ht="15" hidden="false" customHeight="true" outlineLevel="0" collapsed="false">
      <c r="A23" s="151"/>
      <c r="B23" s="152" t="s">
        <v>343</v>
      </c>
      <c r="C23" s="152" t="s">
        <v>1894</v>
      </c>
      <c r="D23" s="153" t="n">
        <v>10000</v>
      </c>
      <c r="E23" s="154" t="s">
        <v>2876</v>
      </c>
    </row>
    <row r="24" customFormat="false" ht="15" hidden="false" customHeight="true" outlineLevel="0" collapsed="false">
      <c r="A24" s="151"/>
      <c r="B24" s="152" t="s">
        <v>1221</v>
      </c>
      <c r="C24" s="152" t="s">
        <v>1895</v>
      </c>
      <c r="D24" s="153" t="n">
        <v>7500</v>
      </c>
      <c r="E24" s="154" t="s">
        <v>2648</v>
      </c>
    </row>
    <row r="25" customFormat="false" ht="15" hidden="false" customHeight="true" outlineLevel="0" collapsed="false">
      <c r="A25" s="151"/>
      <c r="B25" s="152" t="s">
        <v>1860</v>
      </c>
      <c r="C25" s="152" t="s">
        <v>1861</v>
      </c>
      <c r="D25" s="153" t="n">
        <v>7500</v>
      </c>
      <c r="E25" s="154" t="s">
        <v>2873</v>
      </c>
    </row>
    <row r="26" customFormat="false" ht="15" hidden="false" customHeight="true" outlineLevel="0" collapsed="false">
      <c r="A26" s="55" t="s">
        <v>2650</v>
      </c>
    </row>
    <row r="27" customFormat="false" ht="15" hidden="false" customHeight="true" outlineLevel="0" collapsed="false">
      <c r="A27" s="151"/>
      <c r="B27" s="152" t="s">
        <v>290</v>
      </c>
      <c r="C27" s="152" t="s">
        <v>1909</v>
      </c>
      <c r="D27" s="153" t="n">
        <v>20000</v>
      </c>
      <c r="E27" s="154" t="s">
        <v>2873</v>
      </c>
    </row>
    <row r="28" customFormat="false" ht="15" hidden="false" customHeight="true" outlineLevel="0" collapsed="false">
      <c r="A28" s="151"/>
      <c r="B28" s="152" t="s">
        <v>350</v>
      </c>
      <c r="C28" s="152" t="s">
        <v>1913</v>
      </c>
      <c r="D28" s="153" t="n">
        <v>17500</v>
      </c>
      <c r="E28" s="154" t="s">
        <v>2648</v>
      </c>
    </row>
    <row r="29" customFormat="false" ht="15" hidden="false" customHeight="true" outlineLevel="0" collapsed="false">
      <c r="A29" s="151"/>
      <c r="B29" s="152" t="s">
        <v>235</v>
      </c>
      <c r="C29" s="152" t="s">
        <v>1852</v>
      </c>
      <c r="D29" s="153" t="n">
        <v>12500</v>
      </c>
      <c r="E29" s="154" t="s">
        <v>2877</v>
      </c>
    </row>
    <row r="30" customFormat="false" ht="15" hidden="false" customHeight="true" outlineLevel="0" collapsed="false">
      <c r="A30" s="151"/>
      <c r="B30" s="152" t="s">
        <v>933</v>
      </c>
      <c r="C30" s="152" t="s">
        <v>1925</v>
      </c>
      <c r="D30" s="153" t="n">
        <v>10000</v>
      </c>
      <c r="E30" s="154" t="s">
        <v>2797</v>
      </c>
    </row>
    <row r="31" customFormat="false" ht="15" hidden="false" customHeight="true" outlineLevel="0" collapsed="false">
      <c r="A31" s="151"/>
      <c r="B31" s="152" t="s">
        <v>1159</v>
      </c>
      <c r="C31" s="152" t="s">
        <v>1936</v>
      </c>
      <c r="D31" s="153" t="n">
        <v>10000</v>
      </c>
      <c r="E31" s="154" t="s">
        <v>2878</v>
      </c>
    </row>
    <row r="32" customFormat="false" ht="15" hidden="false" customHeight="true" outlineLevel="0" collapsed="false">
      <c r="A32" s="151"/>
      <c r="B32" s="152" t="s">
        <v>2879</v>
      </c>
      <c r="C32" s="152" t="s">
        <v>1931</v>
      </c>
      <c r="D32" s="153" t="n">
        <v>10000</v>
      </c>
      <c r="E32" s="154" t="s">
        <v>2880</v>
      </c>
    </row>
    <row r="33" customFormat="false" ht="15" hidden="false" customHeight="true" outlineLevel="0" collapsed="false">
      <c r="A33" s="151"/>
      <c r="B33" s="152" t="s">
        <v>1199</v>
      </c>
      <c r="C33" s="152" t="s">
        <v>1929</v>
      </c>
      <c r="D33" s="153" t="n">
        <v>10000</v>
      </c>
      <c r="E33" s="154" t="s">
        <v>2881</v>
      </c>
    </row>
    <row r="34" customFormat="false" ht="15" hidden="false" customHeight="true" outlineLevel="0" collapsed="false">
      <c r="A34" s="151"/>
      <c r="B34" s="152" t="s">
        <v>586</v>
      </c>
      <c r="C34" s="152" t="s">
        <v>1923</v>
      </c>
      <c r="D34" s="153" t="n">
        <v>10000</v>
      </c>
      <c r="E34" s="154" t="s">
        <v>2648</v>
      </c>
    </row>
    <row r="35" customFormat="false" ht="15" hidden="false" customHeight="true" outlineLevel="0" collapsed="false">
      <c r="A35" s="55" t="s">
        <v>2652</v>
      </c>
    </row>
    <row r="36" customFormat="false" ht="15" hidden="false" customHeight="true" outlineLevel="0" collapsed="false">
      <c r="A36" s="151"/>
      <c r="B36" s="152" t="s">
        <v>281</v>
      </c>
      <c r="C36" s="152" t="s">
        <v>1922</v>
      </c>
      <c r="D36" s="153" t="n">
        <v>20000</v>
      </c>
      <c r="E36" s="154" t="s">
        <v>2882</v>
      </c>
    </row>
    <row r="37" customFormat="false" ht="15" hidden="false" customHeight="true" outlineLevel="0" collapsed="false">
      <c r="A37" s="151"/>
      <c r="B37" s="152" t="s">
        <v>350</v>
      </c>
      <c r="C37" s="152" t="s">
        <v>1913</v>
      </c>
      <c r="D37" s="153" t="n">
        <v>20000</v>
      </c>
      <c r="E37" s="154" t="s">
        <v>2883</v>
      </c>
    </row>
    <row r="38" customFormat="false" ht="15" hidden="false" customHeight="true" outlineLevel="0" collapsed="false">
      <c r="A38" s="151"/>
      <c r="B38" s="152" t="s">
        <v>350</v>
      </c>
      <c r="C38" s="152" t="s">
        <v>1913</v>
      </c>
      <c r="D38" s="153" t="n">
        <v>20000</v>
      </c>
      <c r="E38" s="154" t="s">
        <v>2884</v>
      </c>
    </row>
    <row r="39" customFormat="false" ht="15" hidden="false" customHeight="true" outlineLevel="0" collapsed="false">
      <c r="A39" s="151"/>
      <c r="B39" s="152" t="s">
        <v>350</v>
      </c>
      <c r="C39" s="152" t="s">
        <v>1913</v>
      </c>
      <c r="D39" s="153" t="n">
        <v>20000</v>
      </c>
      <c r="E39" s="154" t="s">
        <v>2885</v>
      </c>
    </row>
    <row r="40" customFormat="false" ht="15" hidden="false" customHeight="true" outlineLevel="0" collapsed="false">
      <c r="A40" s="151"/>
      <c r="B40" s="152" t="s">
        <v>350</v>
      </c>
      <c r="C40" s="152" t="s">
        <v>1913</v>
      </c>
      <c r="D40" s="153" t="n">
        <v>20000</v>
      </c>
      <c r="E40" s="154" t="s">
        <v>2886</v>
      </c>
    </row>
    <row r="41" customFormat="false" ht="15" hidden="false" customHeight="true" outlineLevel="0" collapsed="false">
      <c r="A41" s="151"/>
      <c r="B41" s="152" t="s">
        <v>350</v>
      </c>
      <c r="C41" s="152" t="s">
        <v>1913</v>
      </c>
      <c r="D41" s="153" t="n">
        <v>20000</v>
      </c>
      <c r="E41" s="154" t="s">
        <v>2887</v>
      </c>
    </row>
    <row r="42" customFormat="false" ht="15" hidden="false" customHeight="true" outlineLevel="0" collapsed="false">
      <c r="A42" s="151"/>
      <c r="B42" s="152" t="s">
        <v>350</v>
      </c>
      <c r="C42" s="152" t="s">
        <v>1913</v>
      </c>
      <c r="D42" s="153" t="n">
        <v>20000</v>
      </c>
      <c r="E42" s="154" t="s">
        <v>2888</v>
      </c>
    </row>
    <row r="43" customFormat="false" ht="15" hidden="false" customHeight="true" outlineLevel="0" collapsed="false">
      <c r="A43" s="151"/>
      <c r="B43" s="152" t="s">
        <v>2073</v>
      </c>
      <c r="C43" s="152" t="s">
        <v>2074</v>
      </c>
      <c r="D43" s="153" t="n">
        <v>20000</v>
      </c>
      <c r="E43" s="154" t="s">
        <v>2889</v>
      </c>
    </row>
    <row r="44" customFormat="false" ht="15" hidden="false" customHeight="true" outlineLevel="0" collapsed="false">
      <c r="A44" s="151"/>
      <c r="B44" s="152" t="s">
        <v>2073</v>
      </c>
      <c r="C44" s="152" t="s">
        <v>2074</v>
      </c>
      <c r="D44" s="153" t="n">
        <v>20000</v>
      </c>
      <c r="E44" s="154" t="s">
        <v>2890</v>
      </c>
    </row>
    <row r="45" customFormat="false" ht="15" hidden="false" customHeight="true" outlineLevel="0" collapsed="false">
      <c r="A45" s="151"/>
      <c r="B45" s="152" t="s">
        <v>332</v>
      </c>
      <c r="C45" s="152" t="s">
        <v>2673</v>
      </c>
      <c r="D45" s="153" t="n">
        <v>20000</v>
      </c>
      <c r="E45" s="154" t="s">
        <v>2891</v>
      </c>
    </row>
    <row r="46" customFormat="false" ht="15" hidden="false" customHeight="true" outlineLevel="0" collapsed="false">
      <c r="A46" s="151"/>
      <c r="B46" s="152" t="s">
        <v>1129</v>
      </c>
      <c r="C46" s="152" t="s">
        <v>2892</v>
      </c>
      <c r="D46" s="153" t="n">
        <v>20000</v>
      </c>
      <c r="E46" s="154" t="s">
        <v>2886</v>
      </c>
    </row>
    <row r="47" customFormat="false" ht="15" hidden="false" customHeight="true" outlineLevel="0" collapsed="false">
      <c r="A47" s="151"/>
      <c r="B47" s="152" t="s">
        <v>1129</v>
      </c>
      <c r="C47" s="152" t="s">
        <v>2892</v>
      </c>
      <c r="D47" s="153" t="n">
        <v>20000</v>
      </c>
      <c r="E47" s="154" t="s">
        <v>2893</v>
      </c>
    </row>
    <row r="48" customFormat="false" ht="15" hidden="false" customHeight="true" outlineLevel="0" collapsed="false">
      <c r="A48" s="151"/>
      <c r="B48" s="152" t="s">
        <v>290</v>
      </c>
      <c r="C48" s="152" t="s">
        <v>1909</v>
      </c>
      <c r="D48" s="153" t="n">
        <v>20000</v>
      </c>
      <c r="E48" s="154" t="s">
        <v>2894</v>
      </c>
    </row>
    <row r="49" customFormat="false" ht="15" hidden="false" customHeight="true" outlineLevel="0" collapsed="false">
      <c r="A49" s="151"/>
      <c r="B49" s="152" t="s">
        <v>290</v>
      </c>
      <c r="C49" s="152" t="s">
        <v>1909</v>
      </c>
      <c r="D49" s="153" t="n">
        <v>20000</v>
      </c>
      <c r="E49" s="154" t="s">
        <v>2889</v>
      </c>
    </row>
    <row r="50" customFormat="false" ht="15" hidden="false" customHeight="true" outlineLevel="0" collapsed="false">
      <c r="A50" s="151"/>
      <c r="B50" s="152" t="s">
        <v>290</v>
      </c>
      <c r="C50" s="152" t="s">
        <v>1909</v>
      </c>
      <c r="D50" s="153" t="n">
        <v>20000</v>
      </c>
      <c r="E50" s="154" t="s">
        <v>2895</v>
      </c>
    </row>
    <row r="51" customFormat="false" ht="15" hidden="false" customHeight="true" outlineLevel="0" collapsed="false">
      <c r="A51" s="151"/>
      <c r="B51" s="152" t="s">
        <v>290</v>
      </c>
      <c r="C51" s="152" t="s">
        <v>1909</v>
      </c>
      <c r="D51" s="153" t="n">
        <v>20000</v>
      </c>
      <c r="E51" s="154" t="s">
        <v>2896</v>
      </c>
    </row>
    <row r="52" customFormat="false" ht="15" hidden="false" customHeight="true" outlineLevel="0" collapsed="false">
      <c r="A52" s="151"/>
      <c r="B52" s="152" t="s">
        <v>332</v>
      </c>
      <c r="C52" s="152" t="s">
        <v>2673</v>
      </c>
      <c r="D52" s="153" t="n">
        <v>20000</v>
      </c>
      <c r="E52" s="154" t="s">
        <v>2891</v>
      </c>
    </row>
    <row r="53" customFormat="false" ht="15" hidden="false" customHeight="true" outlineLevel="0" collapsed="false">
      <c r="A53" s="55" t="s">
        <v>2675</v>
      </c>
    </row>
    <row r="54" customFormat="false" ht="15" hidden="false" customHeight="true" outlineLevel="0" collapsed="false">
      <c r="A54" s="151"/>
      <c r="B54" s="152" t="s">
        <v>395</v>
      </c>
      <c r="C54" s="152" t="s">
        <v>2196</v>
      </c>
      <c r="D54" s="153" t="n">
        <v>25000</v>
      </c>
      <c r="E54" s="154" t="s">
        <v>2897</v>
      </c>
    </row>
    <row r="55" customFormat="false" ht="15" hidden="false" customHeight="true" outlineLevel="0" collapsed="false">
      <c r="A55" s="151"/>
      <c r="B55" s="152" t="s">
        <v>1129</v>
      </c>
      <c r="C55" s="152" t="s">
        <v>2892</v>
      </c>
      <c r="D55" s="153" t="n">
        <v>20000</v>
      </c>
      <c r="E55" s="154" t="s">
        <v>2898</v>
      </c>
    </row>
    <row r="56" customFormat="false" ht="15" hidden="false" customHeight="true" outlineLevel="0" collapsed="false">
      <c r="A56" s="151"/>
      <c r="B56" s="152" t="s">
        <v>260</v>
      </c>
      <c r="C56" s="152" t="s">
        <v>2097</v>
      </c>
      <c r="D56" s="153" t="n">
        <v>15000</v>
      </c>
      <c r="E56" s="154" t="s">
        <v>2873</v>
      </c>
    </row>
    <row r="57" customFormat="false" ht="15" hidden="false" customHeight="true" outlineLevel="0" collapsed="false">
      <c r="A57" s="151"/>
      <c r="B57" s="152" t="s">
        <v>2632</v>
      </c>
      <c r="C57" s="152" t="s">
        <v>2633</v>
      </c>
      <c r="D57" s="153" t="n">
        <v>15000</v>
      </c>
      <c r="E57" s="154" t="s">
        <v>2648</v>
      </c>
    </row>
    <row r="58" customFormat="false" ht="15" hidden="false" customHeight="true" outlineLevel="0" collapsed="false">
      <c r="A58" s="151"/>
      <c r="B58" s="152" t="s">
        <v>2026</v>
      </c>
      <c r="C58" s="152" t="s">
        <v>2868</v>
      </c>
      <c r="D58" s="153" t="n">
        <v>10000</v>
      </c>
      <c r="E58" s="154" t="s">
        <v>2648</v>
      </c>
    </row>
    <row r="59" customFormat="false" ht="15" hidden="false" customHeight="true" outlineLevel="0" collapsed="false">
      <c r="A59" s="151"/>
      <c r="B59" s="152" t="s">
        <v>1127</v>
      </c>
      <c r="C59" s="152" t="s">
        <v>2155</v>
      </c>
      <c r="D59" s="153" t="n">
        <v>10000</v>
      </c>
      <c r="E59" s="154" t="s">
        <v>2648</v>
      </c>
    </row>
    <row r="60" customFormat="false" ht="15" hidden="false" customHeight="true" outlineLevel="0" collapsed="false">
      <c r="A60" s="151"/>
      <c r="B60" s="152" t="s">
        <v>2065</v>
      </c>
      <c r="C60" s="152" t="s">
        <v>2066</v>
      </c>
      <c r="D60" s="153" t="n">
        <v>10000</v>
      </c>
      <c r="E60" s="154" t="s">
        <v>2899</v>
      </c>
    </row>
    <row r="61" customFormat="false" ht="15" hidden="false" customHeight="true" outlineLevel="0" collapsed="false">
      <c r="A61" s="151"/>
      <c r="B61" s="152" t="s">
        <v>296</v>
      </c>
      <c r="C61" s="152" t="s">
        <v>2127</v>
      </c>
      <c r="D61" s="153" t="n">
        <v>10000</v>
      </c>
      <c r="E61" s="154" t="s">
        <v>2900</v>
      </c>
    </row>
    <row r="62" customFormat="false" ht="15" hidden="false" customHeight="true" outlineLevel="0" collapsed="false">
      <c r="A62" s="151"/>
      <c r="B62" s="152" t="s">
        <v>2073</v>
      </c>
      <c r="C62" s="152" t="s">
        <v>2074</v>
      </c>
      <c r="D62" s="153" t="n">
        <v>10000</v>
      </c>
      <c r="E62" s="154" t="s">
        <v>2648</v>
      </c>
    </row>
    <row r="63" customFormat="false" ht="15" hidden="false" customHeight="true" outlineLevel="0" collapsed="false">
      <c r="A63" s="151"/>
      <c r="B63" s="152" t="s">
        <v>346</v>
      </c>
      <c r="C63" s="152" t="s">
        <v>2670</v>
      </c>
      <c r="D63" s="153" t="n">
        <v>10000</v>
      </c>
      <c r="E63" s="154" t="s">
        <v>2873</v>
      </c>
    </row>
    <row r="64" customFormat="false" ht="15" hidden="false" customHeight="true" outlineLevel="0" collapsed="false">
      <c r="A64" s="151"/>
      <c r="B64" s="152" t="s">
        <v>350</v>
      </c>
      <c r="C64" s="152" t="s">
        <v>1913</v>
      </c>
      <c r="D64" s="153" t="n">
        <v>10000</v>
      </c>
      <c r="E64" s="154" t="s">
        <v>2901</v>
      </c>
    </row>
    <row r="65" customFormat="false" ht="15" hidden="false" customHeight="true" outlineLevel="0" collapsed="false">
      <c r="A65" s="55" t="s">
        <v>2682</v>
      </c>
    </row>
    <row r="66" customFormat="false" ht="15" hidden="false" customHeight="true" outlineLevel="0" collapsed="false">
      <c r="A66" s="151"/>
      <c r="B66" s="152" t="s">
        <v>290</v>
      </c>
      <c r="C66" s="152" t="s">
        <v>1909</v>
      </c>
      <c r="D66" s="153" t="n">
        <v>20000</v>
      </c>
      <c r="E66" s="154" t="s">
        <v>2873</v>
      </c>
    </row>
    <row r="67" customFormat="false" ht="15" hidden="false" customHeight="true" outlineLevel="0" collapsed="false">
      <c r="A67" s="151"/>
      <c r="B67" s="152" t="s">
        <v>657</v>
      </c>
      <c r="C67" s="152" t="s">
        <v>1849</v>
      </c>
      <c r="D67" s="153" t="n">
        <v>20000</v>
      </c>
      <c r="E67" s="154" t="s">
        <v>2873</v>
      </c>
    </row>
    <row r="68" customFormat="false" ht="15" hidden="false" customHeight="true" outlineLevel="0" collapsed="false">
      <c r="A68" s="151"/>
      <c r="B68" s="152" t="s">
        <v>360</v>
      </c>
      <c r="C68" s="152" t="s">
        <v>2685</v>
      </c>
      <c r="D68" s="153" t="n">
        <v>20000</v>
      </c>
      <c r="E68" s="154" t="s">
        <v>2873</v>
      </c>
    </row>
    <row r="69" customFormat="false" ht="15" hidden="false" customHeight="true" outlineLevel="0" collapsed="false">
      <c r="A69" s="151"/>
      <c r="B69" s="152" t="s">
        <v>350</v>
      </c>
      <c r="C69" s="152" t="s">
        <v>1913</v>
      </c>
      <c r="D69" s="153" t="n">
        <v>20000</v>
      </c>
      <c r="E69" s="154" t="s">
        <v>2902</v>
      </c>
    </row>
    <row r="70" customFormat="false" ht="15" hidden="false" customHeight="true" outlineLevel="0" collapsed="false">
      <c r="A70" s="151"/>
      <c r="B70" s="152" t="s">
        <v>1104</v>
      </c>
      <c r="C70" s="152" t="s">
        <v>1917</v>
      </c>
      <c r="D70" s="153" t="n">
        <v>10000</v>
      </c>
      <c r="E70" s="154" t="s">
        <v>2648</v>
      </c>
    </row>
    <row r="71" customFormat="false" ht="15" hidden="false" customHeight="true" outlineLevel="0" collapsed="false">
      <c r="A71" s="55" t="s">
        <v>2689</v>
      </c>
    </row>
    <row r="72" customFormat="false" ht="15" hidden="false" customHeight="true" outlineLevel="0" collapsed="false">
      <c r="A72" s="151"/>
      <c r="B72" s="152" t="s">
        <v>2903</v>
      </c>
      <c r="C72" s="152" t="s">
        <v>1931</v>
      </c>
      <c r="D72" s="153" t="n">
        <v>25000</v>
      </c>
      <c r="E72" s="154" t="s">
        <v>2648</v>
      </c>
    </row>
    <row r="73" customFormat="false" ht="15" hidden="false" customHeight="true" outlineLevel="0" collapsed="false">
      <c r="A73" s="151"/>
      <c r="B73" s="152" t="s">
        <v>290</v>
      </c>
      <c r="C73" s="152" t="s">
        <v>1909</v>
      </c>
      <c r="D73" s="153" t="n">
        <v>20000</v>
      </c>
      <c r="E73" s="154" t="s">
        <v>2648</v>
      </c>
    </row>
    <row r="74" customFormat="false" ht="15" hidden="false" customHeight="true" outlineLevel="0" collapsed="false">
      <c r="A74" s="151"/>
      <c r="B74" s="152" t="s">
        <v>1860</v>
      </c>
      <c r="C74" s="152" t="s">
        <v>1861</v>
      </c>
      <c r="D74" s="153" t="n">
        <v>20000</v>
      </c>
      <c r="E74" s="154" t="s">
        <v>2873</v>
      </c>
    </row>
    <row r="75" customFormat="false" ht="15" hidden="false" customHeight="true" outlineLevel="0" collapsed="false">
      <c r="A75" s="151"/>
      <c r="B75" s="152" t="s">
        <v>142</v>
      </c>
      <c r="C75" s="152" t="s">
        <v>2122</v>
      </c>
      <c r="D75" s="153" t="n">
        <v>18000</v>
      </c>
      <c r="E75" s="154" t="s">
        <v>2904</v>
      </c>
    </row>
    <row r="76" customFormat="false" ht="15" hidden="false" customHeight="true" outlineLevel="0" collapsed="false">
      <c r="A76" s="151"/>
      <c r="B76" s="152" t="s">
        <v>317</v>
      </c>
      <c r="C76" s="152" t="s">
        <v>2479</v>
      </c>
      <c r="D76" s="153" t="n">
        <v>10000</v>
      </c>
      <c r="E76" s="154" t="s">
        <v>2873</v>
      </c>
    </row>
    <row r="77" customFormat="false" ht="15" hidden="false" customHeight="true" outlineLevel="0" collapsed="false">
      <c r="A77" s="151"/>
      <c r="B77" s="152" t="s">
        <v>215</v>
      </c>
      <c r="C77" s="152" t="s">
        <v>1856</v>
      </c>
      <c r="D77" s="153" t="n">
        <v>10000</v>
      </c>
      <c r="E77" s="154" t="s">
        <v>2648</v>
      </c>
    </row>
    <row r="78" customFormat="false" ht="15" hidden="false" customHeight="true" outlineLevel="0" collapsed="false">
      <c r="A78" s="151"/>
      <c r="B78" s="152" t="s">
        <v>313</v>
      </c>
      <c r="C78" s="152" t="s">
        <v>2690</v>
      </c>
      <c r="D78" s="153" t="n">
        <v>10000</v>
      </c>
      <c r="E78" s="154" t="s">
        <v>2648</v>
      </c>
    </row>
    <row r="79" customFormat="false" ht="15" hidden="false" customHeight="true" outlineLevel="0" collapsed="false">
      <c r="A79" s="151"/>
      <c r="B79" s="152" t="s">
        <v>1204</v>
      </c>
      <c r="C79" s="152" t="s">
        <v>2905</v>
      </c>
      <c r="D79" s="153" t="n">
        <v>10000</v>
      </c>
      <c r="E79" s="154" t="s">
        <v>2648</v>
      </c>
    </row>
    <row r="80" customFormat="false" ht="15" hidden="false" customHeight="true" outlineLevel="0" collapsed="false">
      <c r="A80" s="151"/>
      <c r="B80" s="152" t="s">
        <v>2879</v>
      </c>
      <c r="C80" s="152" t="s">
        <v>1931</v>
      </c>
      <c r="D80" s="153" t="n">
        <v>10000</v>
      </c>
      <c r="E80" s="154" t="s">
        <v>2880</v>
      </c>
    </row>
    <row r="81" customFormat="false" ht="15" hidden="false" customHeight="true" outlineLevel="0" collapsed="false">
      <c r="A81" s="55" t="s">
        <v>2697</v>
      </c>
    </row>
    <row r="82" customFormat="false" ht="15" hidden="false" customHeight="true" outlineLevel="0" collapsed="false">
      <c r="A82" s="151"/>
      <c r="B82" s="152" t="s">
        <v>1084</v>
      </c>
      <c r="C82" s="152" t="s">
        <v>2062</v>
      </c>
      <c r="D82" s="153" t="n">
        <v>40000</v>
      </c>
      <c r="E82" s="154" t="s">
        <v>2648</v>
      </c>
    </row>
    <row r="83" customFormat="false" ht="15" hidden="false" customHeight="true" outlineLevel="0" collapsed="false">
      <c r="A83" s="151"/>
      <c r="B83" s="152" t="s">
        <v>380</v>
      </c>
      <c r="C83" s="152" t="s">
        <v>1899</v>
      </c>
      <c r="D83" s="153" t="n">
        <v>25000</v>
      </c>
      <c r="E83" s="154" t="s">
        <v>2648</v>
      </c>
    </row>
    <row r="84" customFormat="false" ht="15" hidden="false" customHeight="true" outlineLevel="0" collapsed="false">
      <c r="A84" s="151"/>
      <c r="B84" s="152" t="s">
        <v>343</v>
      </c>
      <c r="C84" s="152" t="s">
        <v>1894</v>
      </c>
      <c r="D84" s="153" t="n">
        <v>16000</v>
      </c>
      <c r="E84" s="154" t="s">
        <v>2876</v>
      </c>
    </row>
    <row r="85" customFormat="false" ht="15" hidden="false" customHeight="true" outlineLevel="0" collapsed="false">
      <c r="A85" s="151"/>
      <c r="B85" s="152" t="s">
        <v>2083</v>
      </c>
      <c r="C85" s="152" t="s">
        <v>2084</v>
      </c>
      <c r="D85" s="153" t="n">
        <v>15000</v>
      </c>
      <c r="E85" s="154" t="s">
        <v>2648</v>
      </c>
    </row>
    <row r="86" customFormat="false" ht="15" hidden="false" customHeight="true" outlineLevel="0" collapsed="false">
      <c r="A86" s="151"/>
      <c r="B86" s="152" t="s">
        <v>326</v>
      </c>
      <c r="C86" s="152" t="s">
        <v>1912</v>
      </c>
      <c r="D86" s="153" t="n">
        <v>14500</v>
      </c>
      <c r="E86" s="154" t="s">
        <v>2906</v>
      </c>
    </row>
    <row r="87" customFormat="false" ht="15" hidden="false" customHeight="true" outlineLevel="0" collapsed="false">
      <c r="A87" s="151"/>
      <c r="B87" s="152" t="s">
        <v>1193</v>
      </c>
      <c r="C87" s="152" t="s">
        <v>2092</v>
      </c>
      <c r="D87" s="153" t="n">
        <v>11500</v>
      </c>
      <c r="E87" s="154" t="s">
        <v>2907</v>
      </c>
    </row>
    <row r="88" customFormat="false" ht="15" hidden="false" customHeight="true" outlineLevel="0" collapsed="false">
      <c r="A88" s="151"/>
      <c r="B88" s="152" t="s">
        <v>1208</v>
      </c>
      <c r="C88" s="152" t="s">
        <v>2113</v>
      </c>
      <c r="D88" s="153" t="n">
        <v>10000</v>
      </c>
      <c r="E88" s="154" t="s">
        <v>2648</v>
      </c>
    </row>
    <row r="89" customFormat="false" ht="15" hidden="false" customHeight="true" outlineLevel="0" collapsed="false">
      <c r="A89" s="151"/>
      <c r="B89" s="152" t="s">
        <v>326</v>
      </c>
      <c r="C89" s="152" t="s">
        <v>1912</v>
      </c>
      <c r="D89" s="153" t="n">
        <v>10000</v>
      </c>
      <c r="E89" s="154" t="s">
        <v>2908</v>
      </c>
    </row>
    <row r="90" customFormat="false" ht="15" hidden="false" customHeight="true" outlineLevel="0" collapsed="false">
      <c r="A90" s="151"/>
      <c r="B90" s="152" t="s">
        <v>326</v>
      </c>
      <c r="C90" s="152" t="s">
        <v>1912</v>
      </c>
      <c r="D90" s="153" t="n">
        <v>10000</v>
      </c>
      <c r="E90" s="154" t="s">
        <v>2909</v>
      </c>
    </row>
    <row r="91" customFormat="false" ht="15" hidden="false" customHeight="true" outlineLevel="0" collapsed="false">
      <c r="A91" s="151"/>
      <c r="B91" s="152" t="s">
        <v>2910</v>
      </c>
      <c r="C91" s="152" t="s">
        <v>2130</v>
      </c>
      <c r="D91" s="153" t="n">
        <v>10000</v>
      </c>
      <c r="E91" s="154" t="s">
        <v>2648</v>
      </c>
    </row>
    <row r="92" customFormat="false" ht="15" hidden="false" customHeight="true" outlineLevel="0" collapsed="false">
      <c r="A92" s="151"/>
      <c r="B92" s="152" t="s">
        <v>1219</v>
      </c>
      <c r="C92" s="152" t="s">
        <v>2135</v>
      </c>
      <c r="D92" s="153" t="n">
        <v>8000</v>
      </c>
      <c r="E92" s="154" t="s">
        <v>2873</v>
      </c>
    </row>
    <row r="93" customFormat="false" ht="15" hidden="false" customHeight="true" outlineLevel="0" collapsed="false">
      <c r="A93" s="151"/>
      <c r="B93" s="152" t="s">
        <v>404</v>
      </c>
      <c r="C93" s="152" t="s">
        <v>2108</v>
      </c>
      <c r="D93" s="153" t="n">
        <v>8000</v>
      </c>
      <c r="E93" s="154" t="s">
        <v>2911</v>
      </c>
    </row>
    <row r="94" customFormat="false" ht="15" hidden="false" customHeight="true" outlineLevel="0" collapsed="false">
      <c r="A94" s="151"/>
      <c r="B94" s="152" t="s">
        <v>528</v>
      </c>
      <c r="C94" s="152" t="s">
        <v>2133</v>
      </c>
      <c r="D94" s="153" t="n">
        <v>8000</v>
      </c>
      <c r="E94" s="154" t="s">
        <v>2648</v>
      </c>
    </row>
    <row r="95" customFormat="false" ht="15" hidden="false" customHeight="true" outlineLevel="0" collapsed="false">
      <c r="A95" s="151"/>
      <c r="B95" s="152" t="s">
        <v>1191</v>
      </c>
      <c r="C95" s="152" t="s">
        <v>2141</v>
      </c>
      <c r="D95" s="153" t="n">
        <v>7500</v>
      </c>
      <c r="E95" s="154" t="s">
        <v>2912</v>
      </c>
    </row>
    <row r="96" customFormat="false" ht="15" hidden="false" customHeight="true" outlineLevel="0" collapsed="false">
      <c r="A96" s="151"/>
      <c r="B96" s="152" t="s">
        <v>350</v>
      </c>
      <c r="C96" s="152" t="s">
        <v>1913</v>
      </c>
      <c r="D96" s="153" t="n">
        <v>7500</v>
      </c>
      <c r="E96" s="154" t="s">
        <v>2873</v>
      </c>
    </row>
    <row r="97" customFormat="false" ht="15" hidden="false" customHeight="true" outlineLevel="0" collapsed="false">
      <c r="A97" s="151"/>
      <c r="B97" s="152" t="s">
        <v>326</v>
      </c>
      <c r="C97" s="152" t="s">
        <v>1912</v>
      </c>
      <c r="D97" s="153" t="n">
        <v>6000</v>
      </c>
      <c r="E97" s="154" t="s">
        <v>2913</v>
      </c>
    </row>
    <row r="98" customFormat="false" ht="15" hidden="false" customHeight="true" outlineLevel="0" collapsed="false">
      <c r="A98" s="151"/>
      <c r="B98" s="152" t="s">
        <v>1223</v>
      </c>
      <c r="C98" s="152" t="s">
        <v>2146</v>
      </c>
      <c r="D98" s="153" t="n">
        <v>5500</v>
      </c>
      <c r="E98" s="154" t="s">
        <v>2914</v>
      </c>
    </row>
    <row r="99" customFormat="false" ht="15" hidden="false" customHeight="true" outlineLevel="0" collapsed="false">
      <c r="A99" s="151"/>
      <c r="B99" s="152" t="s">
        <v>1197</v>
      </c>
      <c r="C99" s="152" t="s">
        <v>1882</v>
      </c>
      <c r="D99" s="153" t="n">
        <v>5000</v>
      </c>
      <c r="E99" s="154" t="s">
        <v>2915</v>
      </c>
    </row>
    <row r="100" customFormat="false" ht="15" hidden="false" customHeight="true" outlineLevel="0" collapsed="false">
      <c r="A100" s="151"/>
      <c r="B100" s="152" t="s">
        <v>404</v>
      </c>
      <c r="C100" s="152" t="s">
        <v>2108</v>
      </c>
      <c r="D100" s="153" t="n">
        <v>5000</v>
      </c>
      <c r="E100" s="154" t="s">
        <v>2916</v>
      </c>
    </row>
    <row r="101" customFormat="false" ht="15" hidden="false" customHeight="true" outlineLevel="0" collapsed="false">
      <c r="A101" s="151"/>
      <c r="B101" s="152" t="s">
        <v>427</v>
      </c>
      <c r="C101" s="152" t="s">
        <v>2173</v>
      </c>
      <c r="D101" s="153" t="n">
        <v>5000</v>
      </c>
      <c r="E101" s="154" t="s">
        <v>2873</v>
      </c>
    </row>
    <row r="102" customFormat="false" ht="15" hidden="false" customHeight="true" outlineLevel="0" collapsed="false">
      <c r="A102" s="151"/>
      <c r="B102" s="152" t="s">
        <v>1247</v>
      </c>
      <c r="C102" s="152" t="s">
        <v>2194</v>
      </c>
      <c r="D102" s="153" t="n">
        <v>5000</v>
      </c>
      <c r="E102" s="154" t="s">
        <v>2917</v>
      </c>
    </row>
    <row r="103" customFormat="false" ht="15" hidden="false" customHeight="true" outlineLevel="0" collapsed="false">
      <c r="A103" s="151"/>
      <c r="B103" s="152" t="s">
        <v>435</v>
      </c>
      <c r="C103" s="152" t="s">
        <v>1874</v>
      </c>
      <c r="D103" s="153" t="n">
        <v>5000</v>
      </c>
      <c r="E103" s="154" t="s">
        <v>2918</v>
      </c>
    </row>
    <row r="104" customFormat="false" ht="15" hidden="false" customHeight="true" outlineLevel="0" collapsed="false">
      <c r="A104" s="151"/>
      <c r="B104" s="152" t="s">
        <v>902</v>
      </c>
      <c r="C104" s="152" t="s">
        <v>2215</v>
      </c>
      <c r="D104" s="153" t="n">
        <v>5000</v>
      </c>
      <c r="E104" s="154" t="s">
        <v>2873</v>
      </c>
    </row>
    <row r="105" customFormat="false" ht="15" hidden="false" customHeight="true" outlineLevel="0" collapsed="false">
      <c r="A105" s="151"/>
      <c r="B105" s="152" t="s">
        <v>388</v>
      </c>
      <c r="C105" s="152" t="s">
        <v>1889</v>
      </c>
      <c r="D105" s="153" t="n">
        <v>5000</v>
      </c>
      <c r="E105" s="154" t="s">
        <v>2648</v>
      </c>
    </row>
    <row r="106" customFormat="false" ht="15" hidden="false" customHeight="true" outlineLevel="0" collapsed="false">
      <c r="A106" s="151"/>
      <c r="B106" s="152" t="s">
        <v>1261</v>
      </c>
      <c r="C106" s="152" t="s">
        <v>2219</v>
      </c>
      <c r="D106" s="153" t="n">
        <v>5000</v>
      </c>
      <c r="E106" s="154" t="s">
        <v>2873</v>
      </c>
    </row>
    <row r="107" customFormat="false" ht="15" hidden="false" customHeight="true" outlineLevel="0" collapsed="false">
      <c r="A107" s="151"/>
      <c r="B107" s="152" t="s">
        <v>1263</v>
      </c>
      <c r="C107" s="152" t="s">
        <v>2223</v>
      </c>
      <c r="D107" s="153" t="n">
        <v>5000</v>
      </c>
      <c r="E107" s="154" t="s">
        <v>2873</v>
      </c>
    </row>
    <row r="108" customFormat="false" ht="15" hidden="false" customHeight="true" outlineLevel="0" collapsed="false">
      <c r="A108" s="151"/>
      <c r="B108" s="152" t="s">
        <v>158</v>
      </c>
      <c r="C108" s="152" t="s">
        <v>2207</v>
      </c>
      <c r="D108" s="153" t="n">
        <v>5000</v>
      </c>
      <c r="E108" s="154" t="s">
        <v>2919</v>
      </c>
    </row>
    <row r="109" customFormat="false" ht="15" hidden="false" customHeight="true" outlineLevel="0" collapsed="false">
      <c r="A109" s="151"/>
      <c r="B109" s="152" t="s">
        <v>2859</v>
      </c>
      <c r="C109" s="152" t="s">
        <v>2184</v>
      </c>
      <c r="D109" s="153" t="n">
        <v>5000</v>
      </c>
      <c r="E109" s="154" t="s">
        <v>2648</v>
      </c>
    </row>
    <row r="110" customFormat="false" ht="15" hidden="false" customHeight="true" outlineLevel="0" collapsed="false">
      <c r="A110" s="151"/>
      <c r="B110" s="152" t="s">
        <v>1239</v>
      </c>
      <c r="C110" s="152" t="s">
        <v>2180</v>
      </c>
      <c r="D110" s="153" t="n">
        <v>5000</v>
      </c>
      <c r="E110" s="154" t="s">
        <v>1239</v>
      </c>
    </row>
    <row r="111" customFormat="false" ht="15" hidden="false" customHeight="true" outlineLevel="0" collapsed="false">
      <c r="A111" s="151"/>
      <c r="B111" s="152" t="s">
        <v>1255</v>
      </c>
      <c r="C111" s="152" t="s">
        <v>2212</v>
      </c>
      <c r="D111" s="153" t="n">
        <v>5000</v>
      </c>
      <c r="E111" s="154" t="s">
        <v>2648</v>
      </c>
    </row>
    <row r="112" customFormat="false" ht="15" hidden="false" customHeight="true" outlineLevel="0" collapsed="false">
      <c r="A112" s="151"/>
      <c r="B112" s="152" t="s">
        <v>1264</v>
      </c>
      <c r="C112" s="152" t="s">
        <v>2227</v>
      </c>
      <c r="D112" s="153" t="n">
        <v>5000</v>
      </c>
      <c r="E112" s="154" t="s">
        <v>2648</v>
      </c>
    </row>
    <row r="113" customFormat="false" ht="15" hidden="false" customHeight="true" outlineLevel="0" collapsed="false">
      <c r="A113" s="151"/>
      <c r="B113" s="152" t="s">
        <v>1235</v>
      </c>
      <c r="C113" s="152" t="s">
        <v>2157</v>
      </c>
      <c r="D113" s="153" t="n">
        <v>5000</v>
      </c>
      <c r="E113" s="154" t="s">
        <v>2648</v>
      </c>
    </row>
    <row r="114" customFormat="false" ht="15" hidden="false" customHeight="true" outlineLevel="0" collapsed="false">
      <c r="A114" s="151"/>
      <c r="B114" s="152" t="s">
        <v>1249</v>
      </c>
      <c r="C114" s="152" t="s">
        <v>2202</v>
      </c>
      <c r="D114" s="153" t="n">
        <v>5000</v>
      </c>
      <c r="E114" s="154" t="s">
        <v>2873</v>
      </c>
    </row>
    <row r="115" customFormat="false" ht="15" hidden="false" customHeight="true" outlineLevel="0" collapsed="false">
      <c r="A115" s="151"/>
      <c r="B115" s="152" t="s">
        <v>893</v>
      </c>
      <c r="C115" s="152" t="s">
        <v>1931</v>
      </c>
      <c r="D115" s="153" t="n">
        <v>4000</v>
      </c>
      <c r="E115" s="154" t="s">
        <v>2920</v>
      </c>
    </row>
    <row r="116" customFormat="false" ht="15" hidden="false" customHeight="true" outlineLevel="0" collapsed="false">
      <c r="A116" s="151"/>
      <c r="B116" s="152" t="s">
        <v>893</v>
      </c>
      <c r="C116" s="152" t="s">
        <v>1931</v>
      </c>
      <c r="D116" s="153" t="n">
        <v>4000</v>
      </c>
      <c r="E116" s="154" t="s">
        <v>2921</v>
      </c>
    </row>
    <row r="117" customFormat="false" ht="15" hidden="false" customHeight="true" outlineLevel="0" collapsed="false">
      <c r="A117" s="151"/>
      <c r="B117" s="152" t="s">
        <v>893</v>
      </c>
      <c r="C117" s="152" t="s">
        <v>1931</v>
      </c>
      <c r="D117" s="153" t="n">
        <v>4000</v>
      </c>
      <c r="E117" s="154" t="s">
        <v>2922</v>
      </c>
    </row>
    <row r="118" customFormat="false" ht="15" hidden="false" customHeight="true" outlineLevel="0" collapsed="false">
      <c r="A118" s="151"/>
      <c r="B118" s="152" t="s">
        <v>893</v>
      </c>
      <c r="C118" s="152" t="s">
        <v>1931</v>
      </c>
      <c r="D118" s="153" t="n">
        <v>4000</v>
      </c>
      <c r="E118" s="154" t="s">
        <v>2923</v>
      </c>
    </row>
    <row r="119" customFormat="false" ht="15" hidden="false" customHeight="true" outlineLevel="0" collapsed="false">
      <c r="A119" s="151"/>
      <c r="B119" s="152" t="s">
        <v>893</v>
      </c>
      <c r="C119" s="152" t="s">
        <v>1931</v>
      </c>
      <c r="D119" s="153" t="n">
        <v>4000</v>
      </c>
      <c r="E119" s="154" t="s">
        <v>2924</v>
      </c>
    </row>
    <row r="120" customFormat="false" ht="15" hidden="false" customHeight="true" outlineLevel="0" collapsed="false">
      <c r="A120" s="151"/>
      <c r="B120" s="152" t="s">
        <v>893</v>
      </c>
      <c r="C120" s="152" t="s">
        <v>1931</v>
      </c>
      <c r="D120" s="153" t="n">
        <v>4000</v>
      </c>
      <c r="E120" s="154" t="s">
        <v>2925</v>
      </c>
    </row>
    <row r="121" customFormat="false" ht="15" hidden="false" customHeight="true" outlineLevel="0" collapsed="false">
      <c r="A121" s="151"/>
      <c r="B121" s="152" t="s">
        <v>893</v>
      </c>
      <c r="C121" s="152" t="s">
        <v>1931</v>
      </c>
      <c r="D121" s="153" t="n">
        <v>4000</v>
      </c>
      <c r="E121" s="154" t="s">
        <v>2926</v>
      </c>
    </row>
    <row r="122" customFormat="false" ht="15" hidden="false" customHeight="true" outlineLevel="0" collapsed="false">
      <c r="A122" s="151"/>
      <c r="B122" s="152" t="s">
        <v>893</v>
      </c>
      <c r="C122" s="152" t="s">
        <v>1931</v>
      </c>
      <c r="D122" s="153" t="n">
        <v>4000</v>
      </c>
      <c r="E122" s="154" t="s">
        <v>2927</v>
      </c>
    </row>
    <row r="123" customFormat="false" ht="15" hidden="false" customHeight="true" outlineLevel="0" collapsed="false">
      <c r="A123" s="151"/>
      <c r="B123" s="152" t="s">
        <v>893</v>
      </c>
      <c r="C123" s="152" t="s">
        <v>1931</v>
      </c>
      <c r="D123" s="153" t="n">
        <v>4000</v>
      </c>
      <c r="E123" s="154" t="s">
        <v>2928</v>
      </c>
    </row>
    <row r="124" customFormat="false" ht="15" hidden="false" customHeight="true" outlineLevel="0" collapsed="false">
      <c r="A124" s="151"/>
      <c r="B124" s="152" t="s">
        <v>893</v>
      </c>
      <c r="C124" s="152" t="s">
        <v>1931</v>
      </c>
      <c r="D124" s="153" t="n">
        <v>4000</v>
      </c>
      <c r="E124" s="154" t="s">
        <v>2929</v>
      </c>
    </row>
    <row r="125" customFormat="false" ht="15" hidden="false" customHeight="true" outlineLevel="0" collapsed="false">
      <c r="A125" s="151"/>
      <c r="B125" s="152" t="s">
        <v>893</v>
      </c>
      <c r="C125" s="152" t="s">
        <v>1931</v>
      </c>
      <c r="D125" s="153" t="n">
        <v>4000</v>
      </c>
      <c r="E125" s="154" t="s">
        <v>2930</v>
      </c>
    </row>
    <row r="126" customFormat="false" ht="15" hidden="false" customHeight="true" outlineLevel="0" collapsed="false">
      <c r="A126" s="151"/>
      <c r="B126" s="152" t="s">
        <v>893</v>
      </c>
      <c r="C126" s="152" t="s">
        <v>1931</v>
      </c>
      <c r="D126" s="153" t="n">
        <v>4000</v>
      </c>
      <c r="E126" s="154" t="s">
        <v>2931</v>
      </c>
    </row>
    <row r="127" customFormat="false" ht="15" hidden="false" customHeight="true" outlineLevel="0" collapsed="false">
      <c r="A127" s="151"/>
      <c r="B127" s="152" t="s">
        <v>893</v>
      </c>
      <c r="C127" s="152" t="s">
        <v>1931</v>
      </c>
      <c r="D127" s="153" t="n">
        <v>4000</v>
      </c>
      <c r="E127" s="154" t="s">
        <v>2932</v>
      </c>
    </row>
    <row r="128" customFormat="false" ht="15" hidden="false" customHeight="true" outlineLevel="0" collapsed="false">
      <c r="A128" s="151"/>
      <c r="B128" s="152" t="s">
        <v>893</v>
      </c>
      <c r="C128" s="152" t="s">
        <v>1931</v>
      </c>
      <c r="D128" s="153" t="n">
        <v>4000</v>
      </c>
      <c r="E128" s="154" t="s">
        <v>2933</v>
      </c>
    </row>
    <row r="129" customFormat="false" ht="15" hidden="false" customHeight="true" outlineLevel="0" collapsed="false">
      <c r="A129" s="151"/>
      <c r="B129" s="152" t="s">
        <v>893</v>
      </c>
      <c r="C129" s="152" t="s">
        <v>1931</v>
      </c>
      <c r="D129" s="153" t="n">
        <v>4000</v>
      </c>
      <c r="E129" s="154" t="s">
        <v>2934</v>
      </c>
    </row>
    <row r="130" customFormat="false" ht="15" hidden="false" customHeight="true" outlineLevel="0" collapsed="false">
      <c r="A130" s="151"/>
      <c r="B130" s="152" t="s">
        <v>893</v>
      </c>
      <c r="C130" s="152" t="s">
        <v>1931</v>
      </c>
      <c r="D130" s="153" t="n">
        <v>4000</v>
      </c>
      <c r="E130" s="154" t="s">
        <v>2935</v>
      </c>
    </row>
    <row r="131" customFormat="false" ht="15" hidden="false" customHeight="true" outlineLevel="0" collapsed="false">
      <c r="A131" s="151"/>
      <c r="B131" s="152" t="s">
        <v>893</v>
      </c>
      <c r="C131" s="152" t="s">
        <v>1931</v>
      </c>
      <c r="D131" s="153" t="n">
        <v>4000</v>
      </c>
      <c r="E131" s="154" t="s">
        <v>2936</v>
      </c>
    </row>
    <row r="132" customFormat="false" ht="15" hidden="false" customHeight="true" outlineLevel="0" collapsed="false">
      <c r="A132" s="151"/>
      <c r="B132" s="152" t="s">
        <v>893</v>
      </c>
      <c r="C132" s="152" t="s">
        <v>1931</v>
      </c>
      <c r="D132" s="153" t="n">
        <v>4000</v>
      </c>
      <c r="E132" s="154" t="s">
        <v>2937</v>
      </c>
    </row>
    <row r="133" customFormat="false" ht="15" hidden="false" customHeight="true" outlineLevel="0" collapsed="false">
      <c r="A133" s="151"/>
      <c r="B133" s="152" t="s">
        <v>893</v>
      </c>
      <c r="C133" s="152" t="s">
        <v>1931</v>
      </c>
      <c r="D133" s="153" t="n">
        <v>4000</v>
      </c>
      <c r="E133" s="154" t="s">
        <v>2938</v>
      </c>
    </row>
    <row r="134" customFormat="false" ht="15" hidden="false" customHeight="true" outlineLevel="0" collapsed="false">
      <c r="A134" s="151"/>
      <c r="B134" s="152" t="s">
        <v>893</v>
      </c>
      <c r="C134" s="152" t="s">
        <v>1931</v>
      </c>
      <c r="D134" s="153" t="n">
        <v>4000</v>
      </c>
      <c r="E134" s="154" t="s">
        <v>2939</v>
      </c>
    </row>
    <row r="135" customFormat="false" ht="15" hidden="false" customHeight="true" outlineLevel="0" collapsed="false">
      <c r="A135" s="151"/>
      <c r="B135" s="152" t="s">
        <v>893</v>
      </c>
      <c r="C135" s="152" t="s">
        <v>1931</v>
      </c>
      <c r="D135" s="153" t="n">
        <v>4000</v>
      </c>
      <c r="E135" s="154" t="s">
        <v>2940</v>
      </c>
    </row>
    <row r="136" customFormat="false" ht="15" hidden="false" customHeight="true" outlineLevel="0" collapsed="false">
      <c r="A136" s="151"/>
      <c r="B136" s="152" t="s">
        <v>893</v>
      </c>
      <c r="C136" s="152" t="s">
        <v>1931</v>
      </c>
      <c r="D136" s="153" t="n">
        <v>4000</v>
      </c>
      <c r="E136" s="154" t="s">
        <v>2941</v>
      </c>
    </row>
    <row r="137" customFormat="false" ht="15" hidden="false" customHeight="true" outlineLevel="0" collapsed="false">
      <c r="A137" s="151"/>
      <c r="B137" s="152" t="s">
        <v>893</v>
      </c>
      <c r="C137" s="152" t="s">
        <v>1931</v>
      </c>
      <c r="D137" s="153" t="n">
        <v>4000</v>
      </c>
      <c r="E137" s="154" t="s">
        <v>2942</v>
      </c>
    </row>
    <row r="138" customFormat="false" ht="15" hidden="false" customHeight="true" outlineLevel="0" collapsed="false">
      <c r="A138" s="151"/>
      <c r="B138" s="152" t="s">
        <v>893</v>
      </c>
      <c r="C138" s="152" t="s">
        <v>1931</v>
      </c>
      <c r="D138" s="153" t="n">
        <v>4000</v>
      </c>
      <c r="E138" s="154" t="s">
        <v>2943</v>
      </c>
    </row>
    <row r="139" customFormat="false" ht="15" hidden="false" customHeight="true" outlineLevel="0" collapsed="false">
      <c r="A139" s="151"/>
      <c r="B139" s="152" t="s">
        <v>893</v>
      </c>
      <c r="C139" s="152" t="s">
        <v>1931</v>
      </c>
      <c r="D139" s="153" t="n">
        <v>4000</v>
      </c>
      <c r="E139" s="154" t="s">
        <v>2944</v>
      </c>
    </row>
    <row r="140" customFormat="false" ht="15" hidden="false" customHeight="true" outlineLevel="0" collapsed="false">
      <c r="A140" s="151"/>
      <c r="B140" s="152" t="s">
        <v>893</v>
      </c>
      <c r="C140" s="152" t="s">
        <v>1931</v>
      </c>
      <c r="D140" s="153" t="n">
        <v>4000</v>
      </c>
      <c r="E140" s="154" t="s">
        <v>2945</v>
      </c>
    </row>
    <row r="141" customFormat="false" ht="15" hidden="false" customHeight="true" outlineLevel="0" collapsed="false">
      <c r="A141" s="151"/>
      <c r="B141" s="152" t="s">
        <v>2280</v>
      </c>
      <c r="C141" s="152" t="s">
        <v>1931</v>
      </c>
      <c r="D141" s="153" t="n">
        <v>2000</v>
      </c>
      <c r="E141" s="154" t="s">
        <v>2648</v>
      </c>
    </row>
    <row r="142" customFormat="false" ht="15" hidden="false" customHeight="true" outlineLevel="0" collapsed="false">
      <c r="A142" s="151"/>
      <c r="B142" s="152" t="s">
        <v>197</v>
      </c>
      <c r="C142" s="152" t="s">
        <v>1931</v>
      </c>
      <c r="D142" s="153" t="n">
        <v>1500</v>
      </c>
      <c r="E142" s="154" t="s">
        <v>2946</v>
      </c>
    </row>
    <row r="143" customFormat="false" ht="15" hidden="false" customHeight="true" outlineLevel="0" collapsed="false">
      <c r="A143" s="55" t="s">
        <v>2749</v>
      </c>
    </row>
    <row r="144" customFormat="false" ht="15" hidden="false" customHeight="true" outlineLevel="0" collapsed="false">
      <c r="A144" s="151"/>
      <c r="B144" s="152" t="s">
        <v>2314</v>
      </c>
      <c r="C144" s="152" t="s">
        <v>2839</v>
      </c>
      <c r="D144" s="153" t="n">
        <v>105000</v>
      </c>
      <c r="E144" s="154" t="s">
        <v>2648</v>
      </c>
    </row>
    <row r="145" customFormat="false" ht="15" hidden="false" customHeight="true" outlineLevel="0" collapsed="false">
      <c r="A145" s="151"/>
      <c r="B145" s="152" t="s">
        <v>640</v>
      </c>
      <c r="C145" s="152" t="s">
        <v>1931</v>
      </c>
      <c r="D145" s="153" t="n">
        <v>45000</v>
      </c>
      <c r="E145" s="154" t="s">
        <v>2947</v>
      </c>
    </row>
    <row r="146" customFormat="false" ht="15" hidden="false" customHeight="true" outlineLevel="0" collapsed="false">
      <c r="A146" s="151"/>
      <c r="B146" s="152" t="s">
        <v>395</v>
      </c>
      <c r="C146" s="152" t="s">
        <v>2196</v>
      </c>
      <c r="D146" s="153" t="n">
        <v>40000</v>
      </c>
      <c r="E146" s="154" t="s">
        <v>2873</v>
      </c>
    </row>
    <row r="147" customFormat="false" ht="15" hidden="false" customHeight="true" outlineLevel="0" collapsed="false">
      <c r="A147" s="151"/>
      <c r="B147" s="152" t="s">
        <v>645</v>
      </c>
      <c r="C147" s="152" t="s">
        <v>2491</v>
      </c>
      <c r="D147" s="153" t="n">
        <v>25000</v>
      </c>
      <c r="E147" s="154" t="s">
        <v>2873</v>
      </c>
    </row>
    <row r="148" customFormat="false" ht="15" hidden="false" customHeight="true" outlineLevel="0" collapsed="false">
      <c r="A148" s="151"/>
      <c r="B148" s="152" t="s">
        <v>640</v>
      </c>
      <c r="C148" s="152" t="s">
        <v>1931</v>
      </c>
      <c r="D148" s="153" t="n">
        <v>20000</v>
      </c>
      <c r="E148" s="154" t="s">
        <v>2948</v>
      </c>
    </row>
    <row r="149" customFormat="false" ht="15" hidden="false" customHeight="true" outlineLevel="0" collapsed="false">
      <c r="A149" s="151"/>
      <c r="B149" s="152" t="s">
        <v>2073</v>
      </c>
      <c r="C149" s="152" t="s">
        <v>2074</v>
      </c>
      <c r="D149" s="153" t="n">
        <v>20000</v>
      </c>
      <c r="E149" s="154" t="s">
        <v>2873</v>
      </c>
    </row>
    <row r="150" customFormat="false" ht="15" hidden="false" customHeight="true" outlineLevel="0" collapsed="false">
      <c r="A150" s="151"/>
      <c r="B150" s="152" t="s">
        <v>1104</v>
      </c>
      <c r="C150" s="152" t="s">
        <v>1917</v>
      </c>
      <c r="D150" s="153" t="n">
        <v>15000</v>
      </c>
      <c r="E150" s="154" t="s">
        <v>2648</v>
      </c>
    </row>
    <row r="151" customFormat="false" ht="15" hidden="false" customHeight="true" outlineLevel="0" collapsed="false">
      <c r="A151" s="151"/>
      <c r="B151" s="152" t="s">
        <v>466</v>
      </c>
      <c r="C151" s="152" t="s">
        <v>2751</v>
      </c>
      <c r="D151" s="153" t="n">
        <v>10000</v>
      </c>
      <c r="E151" s="154" t="s">
        <v>2873</v>
      </c>
    </row>
    <row r="152" customFormat="false" ht="15" hidden="false" customHeight="true" outlineLevel="0" collapsed="false">
      <c r="A152" s="55" t="s">
        <v>2753</v>
      </c>
    </row>
    <row r="153" customFormat="false" ht="15" hidden="false" customHeight="true" outlineLevel="0" collapsed="false">
      <c r="A153" s="151"/>
      <c r="B153" s="152" t="s">
        <v>2949</v>
      </c>
      <c r="C153" s="152" t="s">
        <v>2950</v>
      </c>
      <c r="D153" s="153" t="n">
        <v>30000</v>
      </c>
      <c r="E153" s="154" t="s">
        <v>2951</v>
      </c>
    </row>
    <row r="154" customFormat="false" ht="15" hidden="false" customHeight="true" outlineLevel="0" collapsed="false">
      <c r="A154" s="151"/>
      <c r="B154" s="152" t="s">
        <v>977</v>
      </c>
      <c r="C154" s="152" t="s">
        <v>2952</v>
      </c>
      <c r="D154" s="153" t="n">
        <v>10000</v>
      </c>
      <c r="E154" s="154" t="s">
        <v>2873</v>
      </c>
    </row>
    <row r="155" customFormat="false" ht="15" hidden="false" customHeight="true" outlineLevel="0" collapsed="false">
      <c r="A155" s="151"/>
      <c r="B155" s="152" t="s">
        <v>617</v>
      </c>
      <c r="C155" s="152" t="s">
        <v>2064</v>
      </c>
      <c r="D155" s="153" t="n">
        <v>10000</v>
      </c>
      <c r="E155" s="154" t="s">
        <v>2873</v>
      </c>
    </row>
    <row r="156" customFormat="false" ht="15" hidden="false" customHeight="true" outlineLevel="0" collapsed="false">
      <c r="A156" s="55" t="s">
        <v>2758</v>
      </c>
    </row>
    <row r="157" customFormat="false" ht="15" hidden="false" customHeight="true" outlineLevel="0" collapsed="false">
      <c r="A157" s="151"/>
      <c r="B157" s="152" t="s">
        <v>586</v>
      </c>
      <c r="C157" s="152" t="s">
        <v>1923</v>
      </c>
      <c r="D157" s="153" t="n">
        <v>20000</v>
      </c>
      <c r="E157" s="154" t="s">
        <v>2648</v>
      </c>
    </row>
    <row r="158" customFormat="false" ht="15" hidden="false" customHeight="true" outlineLevel="0" collapsed="false">
      <c r="A158" s="151"/>
      <c r="B158" s="152" t="s">
        <v>2953</v>
      </c>
      <c r="C158" s="152" t="s">
        <v>2954</v>
      </c>
      <c r="D158" s="153" t="n">
        <v>15000</v>
      </c>
      <c r="E158" s="154" t="s">
        <v>2955</v>
      </c>
    </row>
    <row r="159" customFormat="false" ht="15" hidden="false" customHeight="true" outlineLevel="0" collapsed="false">
      <c r="A159" s="151"/>
      <c r="B159" s="152" t="s">
        <v>2780</v>
      </c>
      <c r="C159" s="152" t="s">
        <v>2429</v>
      </c>
      <c r="D159" s="153" t="n">
        <v>10000</v>
      </c>
      <c r="E159" s="154" t="s">
        <v>2780</v>
      </c>
    </row>
    <row r="160" customFormat="false" ht="15" hidden="false" customHeight="true" outlineLevel="0" collapsed="false">
      <c r="A160" s="151"/>
      <c r="B160" s="152" t="s">
        <v>235</v>
      </c>
      <c r="C160" s="152" t="s">
        <v>1852</v>
      </c>
      <c r="D160" s="153" t="n">
        <v>10000</v>
      </c>
      <c r="E160" s="154" t="s">
        <v>2648</v>
      </c>
    </row>
    <row r="161" customFormat="false" ht="15" hidden="false" customHeight="true" outlineLevel="0" collapsed="false">
      <c r="A161" s="151"/>
      <c r="B161" s="152" t="s">
        <v>617</v>
      </c>
      <c r="C161" s="152" t="s">
        <v>2064</v>
      </c>
      <c r="D161" s="153" t="n">
        <v>10000</v>
      </c>
      <c r="E161" s="154" t="s">
        <v>2648</v>
      </c>
    </row>
    <row r="162" customFormat="false" ht="15" hidden="false" customHeight="true" outlineLevel="0" collapsed="false">
      <c r="A162" s="151"/>
      <c r="B162" s="152" t="s">
        <v>974</v>
      </c>
      <c r="C162" s="152" t="s">
        <v>1931</v>
      </c>
      <c r="D162" s="153" t="n">
        <v>10000</v>
      </c>
      <c r="E162" s="154" t="s">
        <v>2956</v>
      </c>
    </row>
    <row r="163" customFormat="false" ht="15" hidden="false" customHeight="true" outlineLevel="0" collapsed="false">
      <c r="A163" s="151"/>
      <c r="B163" s="152" t="s">
        <v>197</v>
      </c>
      <c r="C163" s="152" t="s">
        <v>1931</v>
      </c>
      <c r="D163" s="153" t="n">
        <v>10000</v>
      </c>
      <c r="E163" s="154" t="s">
        <v>2957</v>
      </c>
    </row>
    <row r="164" customFormat="false" ht="15" hidden="false" customHeight="true" outlineLevel="0" collapsed="false">
      <c r="A164" s="151"/>
      <c r="B164" s="152" t="s">
        <v>2865</v>
      </c>
      <c r="C164" s="152" t="s">
        <v>2866</v>
      </c>
      <c r="D164" s="153" t="n">
        <v>5000</v>
      </c>
      <c r="E164" s="154" t="s">
        <v>2873</v>
      </c>
    </row>
    <row r="165" customFormat="false" ht="15" hidden="false" customHeight="true" outlineLevel="0" collapsed="false">
      <c r="A165" s="55" t="s">
        <v>2770</v>
      </c>
    </row>
    <row r="166" customFormat="false" ht="15" hidden="false" customHeight="true" outlineLevel="0" collapsed="false">
      <c r="A166" s="151"/>
      <c r="B166" s="152" t="s">
        <v>657</v>
      </c>
      <c r="C166" s="152" t="s">
        <v>1849</v>
      </c>
      <c r="D166" s="153" t="n">
        <v>40000</v>
      </c>
      <c r="E166" s="154" t="s">
        <v>2958</v>
      </c>
    </row>
    <row r="167" customFormat="false" ht="15" hidden="false" customHeight="true" outlineLevel="0" collapsed="false">
      <c r="A167" s="151"/>
      <c r="B167" s="152" t="s">
        <v>1119</v>
      </c>
      <c r="C167" s="152" t="s">
        <v>1845</v>
      </c>
      <c r="D167" s="153" t="n">
        <v>40000</v>
      </c>
      <c r="E167" s="154" t="s">
        <v>2648</v>
      </c>
    </row>
    <row r="168" customFormat="false" ht="15" hidden="false" customHeight="true" outlineLevel="0" collapsed="false">
      <c r="A168" s="151"/>
      <c r="B168" s="152" t="s">
        <v>1095</v>
      </c>
      <c r="C168" s="152" t="s">
        <v>1840</v>
      </c>
      <c r="D168" s="153" t="n">
        <v>25000</v>
      </c>
      <c r="E168" s="154" t="s">
        <v>2959</v>
      </c>
    </row>
    <row r="169" customFormat="false" ht="15" hidden="false" customHeight="true" outlineLevel="0" collapsed="false">
      <c r="A169" s="151"/>
      <c r="B169" s="152" t="s">
        <v>1095</v>
      </c>
      <c r="C169" s="152" t="s">
        <v>1840</v>
      </c>
      <c r="D169" s="153" t="n">
        <v>25000</v>
      </c>
      <c r="E169" s="154" t="s">
        <v>2960</v>
      </c>
    </row>
    <row r="170" customFormat="false" ht="15" hidden="false" customHeight="true" outlineLevel="0" collapsed="false">
      <c r="A170" s="151"/>
      <c r="B170" s="152" t="s">
        <v>657</v>
      </c>
      <c r="C170" s="152" t="s">
        <v>1849</v>
      </c>
      <c r="D170" s="153" t="n">
        <v>10000</v>
      </c>
      <c r="E170" s="154" t="s">
        <v>2961</v>
      </c>
    </row>
    <row r="171" customFormat="false" ht="15" hidden="false" customHeight="true" outlineLevel="0" collapsed="false">
      <c r="A171" s="151"/>
      <c r="B171" s="152" t="s">
        <v>215</v>
      </c>
      <c r="C171" s="152" t="s">
        <v>1856</v>
      </c>
      <c r="D171" s="153" t="n">
        <v>10000</v>
      </c>
      <c r="E171" s="154" t="s">
        <v>2873</v>
      </c>
    </row>
    <row r="172" customFormat="false" ht="15" hidden="false" customHeight="true" outlineLevel="0" collapsed="false">
      <c r="A172" s="55" t="s">
        <v>2774</v>
      </c>
    </row>
    <row r="173" customFormat="false" ht="15" hidden="false" customHeight="true" outlineLevel="0" collapsed="false">
      <c r="A173" s="151"/>
      <c r="B173" s="152" t="s">
        <v>235</v>
      </c>
      <c r="C173" s="152" t="s">
        <v>1852</v>
      </c>
      <c r="D173" s="153" t="n">
        <v>30000</v>
      </c>
      <c r="E173" s="154" t="s">
        <v>2877</v>
      </c>
    </row>
    <row r="174" customFormat="false" ht="15" hidden="false" customHeight="true" outlineLevel="0" collapsed="false">
      <c r="A174" s="151"/>
      <c r="B174" s="152" t="s">
        <v>395</v>
      </c>
      <c r="C174" s="152" t="s">
        <v>2196</v>
      </c>
      <c r="D174" s="153" t="n">
        <v>30000</v>
      </c>
      <c r="E174" s="154" t="s">
        <v>2962</v>
      </c>
    </row>
    <row r="175" customFormat="false" ht="15" hidden="false" customHeight="true" outlineLevel="0" collapsed="false">
      <c r="A175" s="151"/>
      <c r="B175" s="152" t="s">
        <v>235</v>
      </c>
      <c r="C175" s="152" t="s">
        <v>1852</v>
      </c>
      <c r="D175" s="153" t="n">
        <v>17500</v>
      </c>
      <c r="E175" s="154" t="s">
        <v>2877</v>
      </c>
    </row>
    <row r="176" customFormat="false" ht="15" hidden="false" customHeight="true" outlineLevel="0" collapsed="false">
      <c r="A176" s="151"/>
      <c r="B176" s="152" t="s">
        <v>2405</v>
      </c>
      <c r="C176" s="152" t="s">
        <v>2406</v>
      </c>
      <c r="D176" s="153" t="n">
        <v>12500</v>
      </c>
      <c r="E176" s="154" t="s">
        <v>2648</v>
      </c>
    </row>
    <row r="177" customFormat="false" ht="15" hidden="false" customHeight="true" outlineLevel="0" collapsed="false">
      <c r="A177" s="151"/>
      <c r="B177" s="152" t="s">
        <v>1183</v>
      </c>
      <c r="C177" s="152" t="s">
        <v>2412</v>
      </c>
      <c r="D177" s="153" t="n">
        <v>10000</v>
      </c>
      <c r="E177" s="154" t="s">
        <v>2648</v>
      </c>
    </row>
    <row r="178" customFormat="false" ht="15" hidden="false" customHeight="true" outlineLevel="0" collapsed="false">
      <c r="A178" s="151"/>
      <c r="B178" s="152" t="s">
        <v>657</v>
      </c>
      <c r="C178" s="152" t="s">
        <v>1849</v>
      </c>
      <c r="D178" s="153" t="n">
        <v>10000</v>
      </c>
      <c r="E178" s="154" t="s">
        <v>2963</v>
      </c>
    </row>
    <row r="179" customFormat="false" ht="15" hidden="false" customHeight="true" outlineLevel="0" collapsed="false">
      <c r="A179" s="151"/>
      <c r="B179" s="152" t="s">
        <v>657</v>
      </c>
      <c r="C179" s="152" t="s">
        <v>1849</v>
      </c>
      <c r="D179" s="153" t="n">
        <v>10000</v>
      </c>
      <c r="E179" s="154" t="s">
        <v>2964</v>
      </c>
    </row>
    <row r="180" customFormat="false" ht="15" hidden="false" customHeight="true" outlineLevel="0" collapsed="false">
      <c r="A180" s="151"/>
      <c r="B180" s="152" t="s">
        <v>395</v>
      </c>
      <c r="C180" s="152" t="s">
        <v>2196</v>
      </c>
      <c r="D180" s="153" t="n">
        <v>10000</v>
      </c>
      <c r="E180" s="154" t="s">
        <v>2965</v>
      </c>
    </row>
    <row r="181" customFormat="false" ht="15" hidden="false" customHeight="true" outlineLevel="0" collapsed="false">
      <c r="A181" s="151"/>
      <c r="B181" s="152" t="s">
        <v>1212</v>
      </c>
      <c r="C181" s="152" t="s">
        <v>2191</v>
      </c>
      <c r="D181" s="153" t="n">
        <v>5000</v>
      </c>
      <c r="E181" s="154" t="s">
        <v>2648</v>
      </c>
    </row>
    <row r="182" customFormat="false" ht="15" hidden="false" customHeight="true" outlineLevel="0" collapsed="false">
      <c r="A182" s="151"/>
      <c r="B182" s="152" t="s">
        <v>485</v>
      </c>
      <c r="C182" s="152" t="s">
        <v>2176</v>
      </c>
      <c r="D182" s="153" t="n">
        <v>5000</v>
      </c>
      <c r="E182" s="154" t="s">
        <v>2966</v>
      </c>
    </row>
    <row r="183" customFormat="false" ht="15" hidden="false" customHeight="true" outlineLevel="0" collapsed="false">
      <c r="A183" s="151"/>
      <c r="B183" s="152" t="s">
        <v>1188</v>
      </c>
      <c r="C183" s="152" t="s">
        <v>2213</v>
      </c>
      <c r="D183" s="153" t="n">
        <v>5000</v>
      </c>
      <c r="E183" s="154" t="s">
        <v>2967</v>
      </c>
    </row>
    <row r="184" customFormat="false" ht="15" hidden="false" customHeight="true" outlineLevel="0" collapsed="false">
      <c r="A184" s="151"/>
      <c r="B184" s="152" t="s">
        <v>2456</v>
      </c>
      <c r="C184" s="152" t="s">
        <v>2234</v>
      </c>
      <c r="D184" s="153" t="n">
        <v>5000</v>
      </c>
      <c r="E184" s="154" t="s">
        <v>2648</v>
      </c>
    </row>
    <row r="185" customFormat="false" ht="15" hidden="false" customHeight="true" outlineLevel="0" collapsed="false">
      <c r="C185" s="90" t="s">
        <v>2542</v>
      </c>
      <c r="D185" s="103" t="n">
        <f aca="false">SUM(D5:D184)</f>
        <v>2163000</v>
      </c>
    </row>
    <row r="186" customFormat="false" ht="15.75" hidden="false" customHeight="true" outlineLevel="0" collapsed="false"/>
    <row r="187" customFormat="false" ht="15" hidden="false" customHeight="true" outlineLevel="0" collapsed="false">
      <c r="A187" s="60" t="s">
        <v>2968</v>
      </c>
      <c r="B187" s="114"/>
      <c r="C187" s="114"/>
      <c r="D187" s="114"/>
      <c r="E187" s="114"/>
    </row>
    <row r="188" customFormat="false" ht="15.75" hidden="false" customHeight="true" outlineLevel="0" collapsed="false"/>
    <row r="189" customFormat="false" ht="15.75" hidden="false" customHeight="true" outlineLevel="0" collapsed="false"/>
    <row r="190" customFormat="false" ht="15.75" hidden="false" customHeight="true" outlineLevel="0" collapsed="false">
      <c r="D190" s="159"/>
    </row>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1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2"/>
    <col collapsed="false" customWidth="true" hidden="false" outlineLevel="0" max="4" min="4" style="1" width="20"/>
    <col collapsed="false" customWidth="true" hidden="false" outlineLevel="0" max="5" min="5" style="1" width="14"/>
    <col collapsed="false" customWidth="true" hidden="false" outlineLevel="0" max="6" min="6" style="1" width="16"/>
    <col collapsed="false" customWidth="true" hidden="false" outlineLevel="0" max="7" min="7" style="1" width="66"/>
    <col collapsed="false" customWidth="true" hidden="false" outlineLevel="0" max="26" min="8" style="1" width="8.71"/>
  </cols>
  <sheetData>
    <row r="1" customFormat="false" ht="15.75" hidden="false" customHeight="true" outlineLevel="0" collapsed="false">
      <c r="A1" s="42" t="s">
        <v>2969</v>
      </c>
    </row>
    <row r="2" customFormat="false" ht="15" hidden="false" customHeight="true" outlineLevel="0" collapsed="false"/>
    <row r="3" customFormat="false" ht="15" hidden="false" customHeight="true" outlineLevel="0" collapsed="false">
      <c r="A3" s="44" t="s">
        <v>2970</v>
      </c>
      <c r="B3" s="45" t="s">
        <v>2971</v>
      </c>
      <c r="C3" s="45" t="s">
        <v>2972</v>
      </c>
      <c r="D3" s="45" t="s">
        <v>2973</v>
      </c>
      <c r="E3" s="45" t="s">
        <v>2974</v>
      </c>
      <c r="F3" s="45" t="s">
        <v>2975</v>
      </c>
      <c r="G3" s="45" t="s">
        <v>2976</v>
      </c>
    </row>
    <row r="4" customFormat="false" ht="15" hidden="false" customHeight="true" outlineLevel="0" collapsed="false">
      <c r="A4" s="107" t="s">
        <v>595</v>
      </c>
      <c r="B4" s="160" t="n">
        <v>94</v>
      </c>
      <c r="C4" s="160" t="n">
        <v>79</v>
      </c>
      <c r="D4" s="160" t="n">
        <v>15</v>
      </c>
      <c r="E4" s="108" t="n">
        <v>2250000</v>
      </c>
      <c r="F4" s="108" t="n">
        <v>2250000</v>
      </c>
      <c r="G4" s="161" t="s">
        <v>2977</v>
      </c>
    </row>
    <row r="5" customFormat="false" ht="15" hidden="false" customHeight="true" outlineLevel="0" collapsed="false">
      <c r="A5" s="107" t="s">
        <v>602</v>
      </c>
      <c r="B5" s="160" t="n">
        <v>85</v>
      </c>
      <c r="C5" s="160" t="n">
        <v>77</v>
      </c>
      <c r="D5" s="160" t="n">
        <v>8</v>
      </c>
      <c r="E5" s="108" t="n">
        <v>2225000</v>
      </c>
      <c r="F5" s="108" t="n">
        <v>2225000</v>
      </c>
      <c r="G5" s="161" t="s">
        <v>2977</v>
      </c>
    </row>
    <row r="6" customFormat="false" ht="15" hidden="false" customHeight="true" outlineLevel="0" collapsed="false">
      <c r="A6" s="107" t="s">
        <v>588</v>
      </c>
      <c r="B6" s="160" t="n">
        <v>78</v>
      </c>
      <c r="C6" s="160" t="n">
        <v>78</v>
      </c>
      <c r="D6" s="160" t="n">
        <v>0</v>
      </c>
      <c r="E6" s="108" t="n">
        <v>2163000</v>
      </c>
      <c r="F6" s="108" t="n">
        <v>2163000</v>
      </c>
      <c r="G6" s="161" t="s">
        <v>2977</v>
      </c>
    </row>
    <row r="7" customFormat="false" ht="15" hidden="false" customHeight="true" outlineLevel="0" collapsed="false"/>
    <row r="8" customFormat="false" ht="42" hidden="false" customHeight="true" outlineLevel="0" collapsed="false">
      <c r="A8" s="77" t="s">
        <v>2978</v>
      </c>
    </row>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24"/>
    <col collapsed="false" customWidth="true" hidden="false" outlineLevel="0" max="2" min="2" style="1" width="8"/>
    <col collapsed="false" customWidth="true" hidden="false" outlineLevel="0" max="3" min="3" style="1" width="16"/>
    <col collapsed="false" customWidth="true" hidden="false" outlineLevel="0" max="4" min="4" style="1" width="58"/>
    <col collapsed="false" customWidth="true" hidden="false" outlineLevel="0" max="26" min="5" style="1" width="8.71"/>
  </cols>
  <sheetData>
    <row r="1" customFormat="false" ht="15.75" hidden="false" customHeight="true" outlineLevel="0" collapsed="false">
      <c r="A1" s="42" t="s">
        <v>2979</v>
      </c>
    </row>
    <row r="2" customFormat="false" ht="15" hidden="false" customHeight="true" outlineLevel="0" collapsed="false"/>
    <row r="3" customFormat="false" ht="15" hidden="false" customHeight="true" outlineLevel="0" collapsed="false">
      <c r="A3" s="44" t="s">
        <v>2980</v>
      </c>
      <c r="B3" s="45" t="s">
        <v>1075</v>
      </c>
      <c r="C3" s="45" t="s">
        <v>72</v>
      </c>
      <c r="D3" s="45" t="s">
        <v>2981</v>
      </c>
    </row>
    <row r="4" customFormat="false" ht="15" hidden="false" customHeight="true" outlineLevel="0" collapsed="false">
      <c r="A4" s="107" t="s">
        <v>1397</v>
      </c>
      <c r="B4" s="160" t="n">
        <v>22</v>
      </c>
      <c r="C4" s="108" t="n">
        <v>17750000</v>
      </c>
      <c r="D4" s="161" t="s">
        <v>2982</v>
      </c>
    </row>
    <row r="5" customFormat="false" ht="15" hidden="false" customHeight="true" outlineLevel="0" collapsed="false">
      <c r="A5" s="107" t="s">
        <v>1399</v>
      </c>
      <c r="B5" s="160" t="n">
        <v>34</v>
      </c>
      <c r="C5" s="108" t="n">
        <v>15600000</v>
      </c>
      <c r="D5" s="161" t="s">
        <v>2982</v>
      </c>
    </row>
    <row r="6" customFormat="false" ht="15" hidden="false" customHeight="true" outlineLevel="0" collapsed="false">
      <c r="A6" s="107" t="s">
        <v>1681</v>
      </c>
      <c r="B6" s="160" t="n">
        <v>30</v>
      </c>
      <c r="C6" s="108" t="n">
        <v>10536000</v>
      </c>
      <c r="D6" s="161" t="s">
        <v>2982</v>
      </c>
    </row>
    <row r="7" customFormat="false" ht="15" hidden="false" customHeight="true" outlineLevel="0" collapsed="false">
      <c r="A7" s="107" t="s">
        <v>2983</v>
      </c>
      <c r="B7" s="160" t="n">
        <v>3</v>
      </c>
      <c r="C7" s="108" t="n">
        <v>7418000</v>
      </c>
      <c r="D7" s="161" t="s">
        <v>2982</v>
      </c>
    </row>
    <row r="8" customFormat="false" ht="15" hidden="false" customHeight="true" outlineLevel="0" collapsed="false">
      <c r="A8" s="107" t="s">
        <v>2984</v>
      </c>
      <c r="B8" s="160" t="n">
        <v>4</v>
      </c>
      <c r="C8" s="108" t="n">
        <v>20196000</v>
      </c>
      <c r="D8" s="161" t="s">
        <v>2982</v>
      </c>
    </row>
    <row r="9" customFormat="false" ht="15" hidden="false" customHeight="true" outlineLevel="0" collapsed="false">
      <c r="A9" s="90" t="s">
        <v>2985</v>
      </c>
      <c r="B9" s="112" t="n">
        <f aca="false">SUM(B4:B8)</f>
        <v>93</v>
      </c>
      <c r="C9" s="103" t="n">
        <f aca="false">SUM(C4:C8)</f>
        <v>71500000</v>
      </c>
    </row>
    <row r="10" customFormat="false" ht="15" hidden="false" customHeight="true" outlineLevel="0" collapsed="false"/>
    <row r="11" customFormat="false" ht="15" hidden="false" customHeight="true" outlineLevel="0" collapsed="false">
      <c r="A11" s="55" t="s">
        <v>2986</v>
      </c>
    </row>
    <row r="12" customFormat="false" ht="25.5" hidden="false" customHeight="true" outlineLevel="0" collapsed="false">
      <c r="A12" s="162" t="s">
        <v>2987</v>
      </c>
    </row>
    <row r="13" customFormat="false" ht="25.5" hidden="false" customHeight="true" outlineLevel="0" collapsed="false">
      <c r="A13" s="162" t="s">
        <v>2988</v>
      </c>
    </row>
    <row r="14" customFormat="false" ht="25.5" hidden="false" customHeight="true" outlineLevel="0" collapsed="false">
      <c r="A14" s="162" t="s">
        <v>2989</v>
      </c>
    </row>
    <row r="15" customFormat="false" ht="15" hidden="false" customHeight="true" outlineLevel="0" collapsed="false"/>
    <row r="16" customFormat="false" ht="15" hidden="false" customHeight="true" outlineLevel="0" collapsed="false">
      <c r="A16" s="55" t="s">
        <v>2990</v>
      </c>
    </row>
    <row r="17" customFormat="false" ht="25.5" hidden="false" customHeight="true" outlineLevel="0" collapsed="false">
      <c r="A17" s="162" t="s">
        <v>2991</v>
      </c>
    </row>
    <row r="18" customFormat="false" ht="39" hidden="false" customHeight="true" outlineLevel="0" collapsed="false">
      <c r="A18" s="162" t="s">
        <v>2992</v>
      </c>
    </row>
    <row r="19" customFormat="false" ht="25.5" hidden="false" customHeight="true" outlineLevel="0" collapsed="false">
      <c r="A19" s="162" t="s">
        <v>2993</v>
      </c>
    </row>
    <row r="20" customFormat="false" ht="39" hidden="false" customHeight="true" outlineLevel="0" collapsed="false">
      <c r="A20" s="162" t="s">
        <v>2994</v>
      </c>
    </row>
    <row r="21" customFormat="false" ht="15.75" hidden="false" customHeight="true" outlineLevel="0" collapsed="false"/>
    <row r="22" customFormat="false" ht="15" hidden="false" customHeight="true" outlineLevel="0" collapsed="false">
      <c r="A22" s="55" t="s">
        <v>2995</v>
      </c>
    </row>
    <row r="23" customFormat="false" ht="51.75" hidden="false" customHeight="true" outlineLevel="0" collapsed="false">
      <c r="A23" s="162" t="s">
        <v>2996</v>
      </c>
    </row>
    <row r="24" customFormat="false" ht="15.75" hidden="false" customHeight="true" outlineLevel="0" collapsed="false"/>
    <row r="25" customFormat="false" ht="15" hidden="false" customHeight="true" outlineLevel="0" collapsed="false">
      <c r="A25" s="55" t="s">
        <v>2997</v>
      </c>
    </row>
    <row r="26" customFormat="false" ht="25.5" hidden="false" customHeight="true" outlineLevel="0" collapsed="false">
      <c r="A26" s="162" t="s">
        <v>2998</v>
      </c>
    </row>
    <row r="27" customFormat="false" ht="12.75" hidden="false" customHeight="true" outlineLevel="0" collapsed="false">
      <c r="A27" s="162" t="s">
        <v>2999</v>
      </c>
    </row>
    <row r="28" customFormat="false" ht="25.5" hidden="false" customHeight="true" outlineLevel="0" collapsed="false">
      <c r="A28" s="162" t="s">
        <v>3000</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32"/>
    <col collapsed="false" customWidth="true" hidden="false" outlineLevel="0" max="2" min="2" style="1" width="13"/>
    <col collapsed="false" customWidth="true" hidden="false" outlineLevel="0" max="3" min="3" style="1" width="15"/>
    <col collapsed="false" customWidth="true" hidden="false" outlineLevel="0" max="4" min="4" style="1" width="7"/>
    <col collapsed="false" customWidth="true" hidden="false" outlineLevel="0" max="26" min="5" style="1" width="8.71"/>
  </cols>
  <sheetData>
    <row r="1" customFormat="false" ht="15.75" hidden="false" customHeight="true" outlineLevel="0" collapsed="false">
      <c r="A1" s="42" t="s">
        <v>3001</v>
      </c>
    </row>
    <row r="2" customFormat="false" ht="15" hidden="false" customHeight="true" outlineLevel="0" collapsed="false">
      <c r="A2" s="43" t="s">
        <v>3002</v>
      </c>
    </row>
    <row r="3" customFormat="false" ht="15" hidden="false" customHeight="true" outlineLevel="0" collapsed="false"/>
    <row r="4" customFormat="false" ht="15" hidden="false" customHeight="true" outlineLevel="0" collapsed="false">
      <c r="A4" s="44" t="s">
        <v>3003</v>
      </c>
      <c r="B4" s="45" t="s">
        <v>3004</v>
      </c>
      <c r="C4" s="45" t="s">
        <v>3005</v>
      </c>
      <c r="D4" s="45" t="s">
        <v>3006</v>
      </c>
    </row>
    <row r="5" customFormat="false" ht="15" hidden="false" customHeight="true" outlineLevel="0" collapsed="false">
      <c r="A5" s="46" t="s">
        <v>3007</v>
      </c>
      <c r="B5" s="111" t="n">
        <v>135</v>
      </c>
      <c r="C5" s="47" t="n">
        <v>2360000</v>
      </c>
      <c r="D5" s="111" t="n">
        <v>1</v>
      </c>
    </row>
    <row r="6" customFormat="false" ht="15" hidden="false" customHeight="true" outlineLevel="0" collapsed="false">
      <c r="A6" s="46" t="s">
        <v>3008</v>
      </c>
      <c r="B6" s="111" t="n">
        <v>181</v>
      </c>
      <c r="C6" s="47" t="n">
        <v>2355000</v>
      </c>
      <c r="D6" s="111" t="n">
        <v>2</v>
      </c>
    </row>
    <row r="7" customFormat="false" ht="15" hidden="false" customHeight="true" outlineLevel="0" collapsed="false">
      <c r="A7" s="46" t="s">
        <v>3009</v>
      </c>
      <c r="B7" s="111" t="n">
        <v>132</v>
      </c>
      <c r="C7" s="47" t="n">
        <v>2335000</v>
      </c>
      <c r="D7" s="111" t="n">
        <v>3</v>
      </c>
    </row>
    <row r="8" customFormat="false" ht="15" hidden="false" customHeight="true" outlineLevel="0" collapsed="false">
      <c r="A8" s="46" t="s">
        <v>3010</v>
      </c>
      <c r="B8" s="111" t="n">
        <v>103</v>
      </c>
      <c r="C8" s="47" t="n">
        <v>2330000</v>
      </c>
      <c r="D8" s="111" t="n">
        <v>4</v>
      </c>
    </row>
    <row r="9" customFormat="false" ht="15" hidden="false" customHeight="true" outlineLevel="0" collapsed="false">
      <c r="A9" s="46" t="s">
        <v>3011</v>
      </c>
      <c r="B9" s="111" t="n">
        <v>103</v>
      </c>
      <c r="C9" s="47" t="n">
        <v>2330000</v>
      </c>
      <c r="D9" s="111" t="n">
        <v>5</v>
      </c>
    </row>
    <row r="10" customFormat="false" ht="15" hidden="false" customHeight="true" outlineLevel="0" collapsed="false">
      <c r="A10" s="46" t="s">
        <v>3012</v>
      </c>
      <c r="B10" s="111" t="n">
        <v>92</v>
      </c>
      <c r="C10" s="47" t="n">
        <v>2325000</v>
      </c>
      <c r="D10" s="111" t="n">
        <v>6</v>
      </c>
    </row>
    <row r="11" customFormat="false" ht="15" hidden="false" customHeight="true" outlineLevel="0" collapsed="false">
      <c r="A11" s="46" t="s">
        <v>3013</v>
      </c>
      <c r="B11" s="111" t="n">
        <v>170</v>
      </c>
      <c r="C11" s="47" t="n">
        <v>2325000</v>
      </c>
      <c r="D11" s="111" t="n">
        <v>7</v>
      </c>
    </row>
    <row r="12" customFormat="false" ht="15" hidden="false" customHeight="true" outlineLevel="0" collapsed="false">
      <c r="A12" s="46" t="s">
        <v>3014</v>
      </c>
      <c r="B12" s="111" t="n">
        <v>121</v>
      </c>
      <c r="C12" s="47" t="n">
        <v>2310000</v>
      </c>
      <c r="D12" s="111" t="n">
        <v>8</v>
      </c>
    </row>
    <row r="13" customFormat="false" ht="15" hidden="false" customHeight="true" outlineLevel="0" collapsed="false">
      <c r="A13" s="46" t="s">
        <v>3015</v>
      </c>
      <c r="B13" s="111" t="n">
        <v>104</v>
      </c>
      <c r="C13" s="47" t="n">
        <v>2310000</v>
      </c>
      <c r="D13" s="111" t="n">
        <v>9</v>
      </c>
    </row>
    <row r="14" customFormat="false" ht="15" hidden="false" customHeight="true" outlineLevel="0" collapsed="false">
      <c r="A14" s="46" t="s">
        <v>3016</v>
      </c>
      <c r="B14" s="111" t="n">
        <v>156</v>
      </c>
      <c r="C14" s="47" t="n">
        <v>2305000</v>
      </c>
      <c r="D14" s="111" t="n">
        <v>10</v>
      </c>
    </row>
    <row r="15" customFormat="false" ht="15" hidden="false" customHeight="true" outlineLevel="0" collapsed="false">
      <c r="A15" s="46" t="s">
        <v>3017</v>
      </c>
      <c r="B15" s="111" t="n">
        <v>163</v>
      </c>
      <c r="C15" s="47" t="n">
        <v>2305000</v>
      </c>
      <c r="D15" s="111" t="n">
        <v>11</v>
      </c>
    </row>
    <row r="16" customFormat="false" ht="15" hidden="false" customHeight="true" outlineLevel="0" collapsed="false">
      <c r="A16" s="46" t="s">
        <v>3018</v>
      </c>
      <c r="B16" s="111" t="n">
        <v>168</v>
      </c>
      <c r="C16" s="47" t="n">
        <v>2305000</v>
      </c>
      <c r="D16" s="111" t="n">
        <v>12</v>
      </c>
    </row>
    <row r="17" customFormat="false" ht="15" hidden="false" customHeight="true" outlineLevel="0" collapsed="false">
      <c r="A17" s="49" t="s">
        <v>595</v>
      </c>
      <c r="B17" s="110" t="n">
        <v>182</v>
      </c>
      <c r="C17" s="50" t="n">
        <v>2294999.91</v>
      </c>
      <c r="D17" s="110" t="n">
        <v>13</v>
      </c>
    </row>
    <row r="18" customFormat="false" ht="15" hidden="false" customHeight="true" outlineLevel="0" collapsed="false">
      <c r="A18" s="46" t="s">
        <v>3019</v>
      </c>
      <c r="B18" s="111" t="n">
        <v>95</v>
      </c>
      <c r="C18" s="47" t="n">
        <v>2294999.8</v>
      </c>
      <c r="D18" s="111" t="n">
        <v>14</v>
      </c>
    </row>
    <row r="19" customFormat="false" ht="15" hidden="false" customHeight="true" outlineLevel="0" collapsed="false">
      <c r="A19" s="46" t="s">
        <v>3020</v>
      </c>
      <c r="B19" s="111" t="n">
        <v>196</v>
      </c>
      <c r="C19" s="47" t="n">
        <v>2275000</v>
      </c>
      <c r="D19" s="111" t="n">
        <v>15</v>
      </c>
    </row>
    <row r="20" customFormat="false" ht="15" hidden="false" customHeight="true" outlineLevel="0" collapsed="false">
      <c r="A20" s="49" t="s">
        <v>602</v>
      </c>
      <c r="B20" s="110" t="n">
        <v>140</v>
      </c>
      <c r="C20" s="50" t="n">
        <v>2270000</v>
      </c>
      <c r="D20" s="110" t="n">
        <v>16</v>
      </c>
    </row>
    <row r="21" customFormat="false" ht="15" hidden="false" customHeight="true" outlineLevel="0" collapsed="false">
      <c r="A21" s="46" t="s">
        <v>3021</v>
      </c>
      <c r="B21" s="111" t="n">
        <v>144</v>
      </c>
      <c r="C21" s="47" t="n">
        <v>2263000</v>
      </c>
      <c r="D21" s="111" t="n">
        <v>17</v>
      </c>
    </row>
    <row r="22" customFormat="false" ht="15" hidden="false" customHeight="true" outlineLevel="0" collapsed="false">
      <c r="A22" s="46" t="s">
        <v>3022</v>
      </c>
      <c r="B22" s="111" t="n">
        <v>156</v>
      </c>
      <c r="C22" s="47" t="n">
        <v>2263000</v>
      </c>
      <c r="D22" s="111" t="n">
        <v>18</v>
      </c>
    </row>
    <row r="23" customFormat="false" ht="15" hidden="false" customHeight="true" outlineLevel="0" collapsed="false">
      <c r="A23" s="46" t="s">
        <v>3023</v>
      </c>
      <c r="B23" s="111" t="n">
        <v>124</v>
      </c>
      <c r="C23" s="47" t="n">
        <v>2263000</v>
      </c>
      <c r="D23" s="111" t="n">
        <v>19</v>
      </c>
    </row>
    <row r="24" customFormat="false" ht="15" hidden="false" customHeight="true" outlineLevel="0" collapsed="false">
      <c r="A24" s="46" t="s">
        <v>3024</v>
      </c>
      <c r="B24" s="111" t="n">
        <v>113</v>
      </c>
      <c r="C24" s="47" t="n">
        <v>2263000</v>
      </c>
      <c r="D24" s="111" t="n">
        <v>20</v>
      </c>
    </row>
    <row r="25" customFormat="false" ht="15" hidden="false" customHeight="true" outlineLevel="0" collapsed="false">
      <c r="A25" s="46" t="s">
        <v>3025</v>
      </c>
      <c r="B25" s="111" t="n">
        <v>129</v>
      </c>
      <c r="C25" s="47" t="n">
        <v>2250000</v>
      </c>
      <c r="D25" s="111" t="n">
        <v>21</v>
      </c>
    </row>
    <row r="26" customFormat="false" ht="15" hidden="false" customHeight="true" outlineLevel="0" collapsed="false">
      <c r="A26" s="46" t="s">
        <v>3026</v>
      </c>
      <c r="B26" s="111" t="n">
        <v>162</v>
      </c>
      <c r="C26" s="47" t="n">
        <v>2250000</v>
      </c>
      <c r="D26" s="111" t="n">
        <v>22</v>
      </c>
    </row>
    <row r="27" customFormat="false" ht="15" hidden="false" customHeight="true" outlineLevel="0" collapsed="false">
      <c r="A27" s="46" t="s">
        <v>2466</v>
      </c>
      <c r="B27" s="111" t="n">
        <v>143</v>
      </c>
      <c r="C27" s="47" t="n">
        <v>2250000</v>
      </c>
      <c r="D27" s="111" t="n">
        <v>23</v>
      </c>
    </row>
    <row r="28" customFormat="false" ht="15" hidden="false" customHeight="true" outlineLevel="0" collapsed="false">
      <c r="A28" s="46" t="s">
        <v>3027</v>
      </c>
      <c r="B28" s="111" t="n">
        <v>142</v>
      </c>
      <c r="C28" s="47" t="n">
        <v>2250000</v>
      </c>
      <c r="D28" s="111" t="n">
        <v>24</v>
      </c>
    </row>
    <row r="29" customFormat="false" ht="15" hidden="false" customHeight="true" outlineLevel="0" collapsed="false">
      <c r="A29" s="46" t="s">
        <v>3028</v>
      </c>
      <c r="B29" s="111" t="n">
        <v>139</v>
      </c>
      <c r="C29" s="47" t="n">
        <v>2245000</v>
      </c>
      <c r="D29" s="111" t="n">
        <v>25</v>
      </c>
    </row>
    <row r="30" customFormat="false" ht="15" hidden="false" customHeight="true" outlineLevel="0" collapsed="false">
      <c r="A30" s="46" t="s">
        <v>2463</v>
      </c>
      <c r="B30" s="111" t="n">
        <v>122</v>
      </c>
      <c r="C30" s="47" t="n">
        <v>2243000</v>
      </c>
      <c r="D30" s="111" t="n">
        <v>26</v>
      </c>
    </row>
    <row r="31" customFormat="false" ht="15" hidden="false" customHeight="true" outlineLevel="0" collapsed="false">
      <c r="A31" s="46" t="s">
        <v>3029</v>
      </c>
      <c r="B31" s="111" t="n">
        <v>148</v>
      </c>
      <c r="C31" s="47" t="n">
        <v>2238000</v>
      </c>
      <c r="D31" s="111" t="n">
        <v>27</v>
      </c>
    </row>
    <row r="32" customFormat="false" ht="15" hidden="false" customHeight="true" outlineLevel="0" collapsed="false">
      <c r="A32" s="46" t="s">
        <v>3030</v>
      </c>
      <c r="B32" s="111" t="n">
        <v>127</v>
      </c>
      <c r="C32" s="47" t="n">
        <v>2237999.99</v>
      </c>
      <c r="D32" s="111" t="n">
        <v>28</v>
      </c>
    </row>
    <row r="33" customFormat="false" ht="15" hidden="false" customHeight="true" outlineLevel="0" collapsed="false">
      <c r="A33" s="46" t="s">
        <v>3031</v>
      </c>
      <c r="B33" s="111" t="n">
        <v>135</v>
      </c>
      <c r="C33" s="47" t="n">
        <v>2225000</v>
      </c>
      <c r="D33" s="111" t="n">
        <v>29</v>
      </c>
    </row>
    <row r="34" customFormat="false" ht="15" hidden="false" customHeight="true" outlineLevel="0" collapsed="false">
      <c r="A34" s="46" t="s">
        <v>3032</v>
      </c>
      <c r="B34" s="111" t="n">
        <v>162</v>
      </c>
      <c r="C34" s="47" t="n">
        <v>2213000</v>
      </c>
      <c r="D34" s="111" t="n">
        <v>30</v>
      </c>
    </row>
    <row r="35" customFormat="false" ht="15" hidden="false" customHeight="true" outlineLevel="0" collapsed="false">
      <c r="A35" s="46" t="s">
        <v>3033</v>
      </c>
      <c r="B35" s="111" t="n">
        <v>165</v>
      </c>
      <c r="C35" s="47" t="n">
        <v>2198000</v>
      </c>
      <c r="D35" s="111" t="n">
        <v>31</v>
      </c>
    </row>
    <row r="36" customFormat="false" ht="15" hidden="false" customHeight="true" outlineLevel="0" collapsed="false">
      <c r="A36" s="46" t="s">
        <v>3034</v>
      </c>
      <c r="B36" s="111" t="n">
        <v>169</v>
      </c>
      <c r="C36" s="47" t="n">
        <v>2193000</v>
      </c>
      <c r="D36" s="111" t="n">
        <v>32</v>
      </c>
    </row>
    <row r="37" customFormat="false" ht="15" hidden="false" customHeight="true" outlineLevel="0" collapsed="false">
      <c r="A37" s="46" t="s">
        <v>3035</v>
      </c>
      <c r="B37" s="111" t="n">
        <v>218</v>
      </c>
      <c r="C37" s="47" t="n">
        <v>2188000</v>
      </c>
      <c r="D37" s="111" t="n">
        <v>33</v>
      </c>
    </row>
    <row r="38" customFormat="false" ht="15" hidden="false" customHeight="true" outlineLevel="0" collapsed="false">
      <c r="A38" s="46" t="s">
        <v>3036</v>
      </c>
      <c r="B38" s="111" t="n">
        <v>149</v>
      </c>
      <c r="C38" s="47" t="n">
        <v>2187999</v>
      </c>
      <c r="D38" s="111" t="n">
        <v>34</v>
      </c>
    </row>
    <row r="39" customFormat="false" ht="15" hidden="false" customHeight="true" outlineLevel="0" collapsed="false">
      <c r="A39" s="49" t="s">
        <v>588</v>
      </c>
      <c r="B39" s="110" t="n">
        <v>166</v>
      </c>
      <c r="C39" s="50" t="n">
        <v>2163000</v>
      </c>
      <c r="D39" s="110" t="n">
        <v>35</v>
      </c>
    </row>
    <row r="40" customFormat="false" ht="15" hidden="false" customHeight="true" outlineLevel="0" collapsed="false">
      <c r="A40" s="46" t="s">
        <v>3037</v>
      </c>
      <c r="B40" s="111" t="n">
        <v>204</v>
      </c>
      <c r="C40" s="47" t="n">
        <v>2163000</v>
      </c>
      <c r="D40" s="111" t="n">
        <v>36</v>
      </c>
    </row>
    <row r="41" customFormat="false" ht="15" hidden="false" customHeight="true" outlineLevel="0" collapsed="false">
      <c r="A41" s="46" t="s">
        <v>3038</v>
      </c>
      <c r="B41" s="111" t="n">
        <v>132</v>
      </c>
      <c r="C41" s="47" t="n">
        <v>2158000</v>
      </c>
      <c r="D41" s="111" t="n">
        <v>37</v>
      </c>
    </row>
    <row r="42" customFormat="false" ht="15" hidden="false" customHeight="true" outlineLevel="0" collapsed="false">
      <c r="A42" s="46" t="s">
        <v>3039</v>
      </c>
      <c r="B42" s="111" t="n">
        <v>209</v>
      </c>
      <c r="C42" s="47" t="n">
        <v>2153000</v>
      </c>
      <c r="D42" s="111" t="n">
        <v>38</v>
      </c>
    </row>
    <row r="43" customFormat="false" ht="15" hidden="false" customHeight="true" outlineLevel="0" collapsed="false">
      <c r="A43" s="46" t="s">
        <v>3040</v>
      </c>
      <c r="B43" s="111" t="n">
        <v>119</v>
      </c>
      <c r="C43" s="47" t="n">
        <v>2143000</v>
      </c>
      <c r="D43" s="111" t="n">
        <v>39</v>
      </c>
    </row>
    <row r="44" customFormat="false" ht="15" hidden="false" customHeight="true" outlineLevel="0" collapsed="false">
      <c r="A44" s="46" t="s">
        <v>3041</v>
      </c>
      <c r="B44" s="111" t="n">
        <v>160</v>
      </c>
      <c r="C44" s="47" t="n">
        <v>2104000</v>
      </c>
      <c r="D44" s="111" t="n">
        <v>40</v>
      </c>
    </row>
    <row r="45" customFormat="false" ht="15" hidden="false" customHeight="true" outlineLevel="0" collapsed="false">
      <c r="A45" s="46" t="s">
        <v>3042</v>
      </c>
      <c r="B45" s="111" t="n">
        <v>116</v>
      </c>
      <c r="C45" s="47" t="n">
        <v>2058000</v>
      </c>
      <c r="D45" s="111" t="n">
        <v>41</v>
      </c>
    </row>
    <row r="46" customFormat="false" ht="15" hidden="false" customHeight="true" outlineLevel="0" collapsed="false">
      <c r="A46" s="46" t="s">
        <v>2460</v>
      </c>
      <c r="B46" s="111" t="n">
        <v>118</v>
      </c>
      <c r="C46" s="47" t="n">
        <v>2012997.99</v>
      </c>
      <c r="D46" s="111" t="n">
        <v>42</v>
      </c>
    </row>
    <row r="47" customFormat="false" ht="15" hidden="false" customHeight="true" outlineLevel="0" collapsed="false">
      <c r="A47" s="46" t="s">
        <v>3043</v>
      </c>
      <c r="B47" s="111" t="n">
        <v>126</v>
      </c>
      <c r="C47" s="47" t="n">
        <v>1915000</v>
      </c>
      <c r="D47" s="111" t="n">
        <v>43</v>
      </c>
    </row>
    <row r="48" customFormat="false" ht="15" hidden="false" customHeight="true" outlineLevel="0" collapsed="false">
      <c r="A48" s="46" t="s">
        <v>3044</v>
      </c>
      <c r="B48" s="111" t="n">
        <v>131</v>
      </c>
      <c r="C48" s="47" t="n">
        <v>1850000</v>
      </c>
      <c r="D48" s="111" t="n">
        <v>44</v>
      </c>
    </row>
    <row r="49" customFormat="false" ht="15" hidden="false" customHeight="true" outlineLevel="0" collapsed="false">
      <c r="A49" s="46" t="s">
        <v>3045</v>
      </c>
      <c r="B49" s="111" t="n">
        <v>106</v>
      </c>
      <c r="C49" s="47" t="n">
        <v>1835000</v>
      </c>
      <c r="D49" s="111" t="n">
        <v>45</v>
      </c>
    </row>
    <row r="50" customFormat="false" ht="15" hidden="false" customHeight="true" outlineLevel="0" collapsed="false">
      <c r="A50" s="46" t="s">
        <v>3046</v>
      </c>
      <c r="B50" s="111" t="n">
        <v>155</v>
      </c>
      <c r="C50" s="47" t="n">
        <v>1815000</v>
      </c>
      <c r="D50" s="111" t="n">
        <v>46</v>
      </c>
    </row>
    <row r="51" customFormat="false" ht="15" hidden="false" customHeight="true" outlineLevel="0" collapsed="false">
      <c r="A51" s="46" t="s">
        <v>3047</v>
      </c>
      <c r="B51" s="111" t="n">
        <v>90</v>
      </c>
      <c r="C51" s="47" t="n">
        <v>1743000</v>
      </c>
      <c r="D51" s="111" t="n">
        <v>47</v>
      </c>
    </row>
    <row r="52" customFormat="false" ht="15" hidden="false" customHeight="true" outlineLevel="0" collapsed="false">
      <c r="A52" s="46" t="s">
        <v>3048</v>
      </c>
      <c r="B52" s="111" t="n">
        <v>102</v>
      </c>
      <c r="C52" s="47" t="n">
        <v>1425000</v>
      </c>
      <c r="D52" s="111" t="n">
        <v>48</v>
      </c>
    </row>
    <row r="53" customFormat="false" ht="15" hidden="false" customHeight="true" outlineLevel="0" collapsed="false">
      <c r="A53" s="46" t="s">
        <v>3049</v>
      </c>
      <c r="B53" s="111" t="n">
        <v>145</v>
      </c>
      <c r="C53" s="47" t="n">
        <v>1420000</v>
      </c>
      <c r="D53" s="111" t="n">
        <v>49</v>
      </c>
    </row>
    <row r="54" customFormat="false" ht="15" hidden="false" customHeight="true" outlineLevel="0" collapsed="false">
      <c r="A54" s="46" t="s">
        <v>3050</v>
      </c>
      <c r="B54" s="111" t="n">
        <v>75</v>
      </c>
      <c r="C54" s="47" t="n">
        <v>860000</v>
      </c>
      <c r="D54" s="111" t="n">
        <v>50</v>
      </c>
    </row>
    <row r="55" customFormat="false" ht="15" hidden="false" customHeight="true" outlineLevel="0" collapsed="false">
      <c r="A55" s="46" t="s">
        <v>3051</v>
      </c>
      <c r="B55" s="111" t="n">
        <v>123</v>
      </c>
      <c r="C55" s="47" t="n">
        <v>785000</v>
      </c>
      <c r="D55" s="111" t="n">
        <v>51</v>
      </c>
    </row>
    <row r="56" customFormat="false" ht="15" hidden="false" customHeight="true" outlineLevel="0" collapsed="false">
      <c r="A56" s="46" t="s">
        <v>3052</v>
      </c>
      <c r="B56" s="111" t="n">
        <v>62</v>
      </c>
      <c r="C56" s="47" t="n">
        <v>620000</v>
      </c>
      <c r="D56" s="111" t="s">
        <v>583</v>
      </c>
    </row>
    <row r="57" customFormat="false" ht="15" hidden="false" customHeight="true" outlineLevel="0" collapsed="false">
      <c r="A57" s="46" t="s">
        <v>3053</v>
      </c>
      <c r="B57" s="111" t="n">
        <v>40</v>
      </c>
      <c r="C57" s="47" t="n">
        <v>540000</v>
      </c>
      <c r="D57" s="111" t="s">
        <v>583</v>
      </c>
    </row>
    <row r="58" customFormat="false" ht="15" hidden="false" customHeight="true" outlineLevel="0" collapsed="false">
      <c r="A58" s="46" t="s">
        <v>3054</v>
      </c>
      <c r="B58" s="111" t="n">
        <v>16</v>
      </c>
      <c r="C58" s="47" t="n">
        <v>380000</v>
      </c>
      <c r="D58" s="111" t="s">
        <v>583</v>
      </c>
    </row>
    <row r="59" customFormat="false" ht="15" hidden="false" customHeight="true" outlineLevel="0" collapsed="false">
      <c r="A59" s="46" t="s">
        <v>3055</v>
      </c>
      <c r="B59" s="111" t="n">
        <v>33</v>
      </c>
      <c r="C59" s="47" t="n">
        <v>340000</v>
      </c>
      <c r="D59" s="111" t="s">
        <v>583</v>
      </c>
    </row>
    <row r="60" customFormat="false" ht="15" hidden="false" customHeight="true" outlineLevel="0" collapsed="false">
      <c r="A60" s="49" t="s">
        <v>3056</v>
      </c>
      <c r="B60" s="110" t="n">
        <v>11</v>
      </c>
      <c r="C60" s="50" t="n">
        <v>120000</v>
      </c>
      <c r="D60" s="110" t="s">
        <v>583</v>
      </c>
    </row>
    <row r="61" customFormat="false" ht="15" hidden="false" customHeight="true" outlineLevel="0" collapsed="false">
      <c r="A61" s="90" t="s">
        <v>2542</v>
      </c>
      <c r="B61" s="112" t="n">
        <f aca="false">SUM(B5:B60)</f>
        <v>7327</v>
      </c>
      <c r="C61" s="103" t="n">
        <f aca="false">SUM(C5:C60)</f>
        <v>109853996.69</v>
      </c>
    </row>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3" min="3" style="1" width="62"/>
    <col collapsed="false" customWidth="true" hidden="false" outlineLevel="0" max="4" min="4" style="1" width="13"/>
    <col collapsed="false" customWidth="true" hidden="false" outlineLevel="0" max="5" min="5" style="1" width="12"/>
    <col collapsed="false" customWidth="true" hidden="false" outlineLevel="0" max="6" min="6" style="1" width="48"/>
  </cols>
  <sheetData>
    <row r="1" customFormat="false" ht="15.75" hidden="false" customHeight="true" outlineLevel="0" collapsed="false">
      <c r="A1" s="42" t="s">
        <v>3057</v>
      </c>
    </row>
    <row r="2" customFormat="false" ht="15" hidden="false" customHeight="true" outlineLevel="0" collapsed="false"/>
    <row r="3" customFormat="false" ht="15" hidden="false" customHeight="true" outlineLevel="0" collapsed="false">
      <c r="A3" s="44" t="s">
        <v>3003</v>
      </c>
      <c r="B3" s="45" t="s">
        <v>1729</v>
      </c>
      <c r="C3" s="45" t="s">
        <v>2623</v>
      </c>
      <c r="D3" s="45" t="s">
        <v>190</v>
      </c>
      <c r="E3" s="45" t="s">
        <v>72</v>
      </c>
      <c r="F3" s="45" t="s">
        <v>1181</v>
      </c>
    </row>
    <row r="4" customFormat="false" ht="15" hidden="false" customHeight="true" outlineLevel="0" collapsed="false">
      <c r="A4" s="163" t="s">
        <v>3018</v>
      </c>
      <c r="B4" s="163" t="s">
        <v>926</v>
      </c>
      <c r="C4" s="163" t="s">
        <v>3058</v>
      </c>
      <c r="D4" s="163" t="s">
        <v>3059</v>
      </c>
      <c r="E4" s="164" t="n">
        <v>35000</v>
      </c>
      <c r="F4" s="165" t="s">
        <v>3060</v>
      </c>
    </row>
    <row r="5" customFormat="false" ht="15" hidden="false" customHeight="true" outlineLevel="0" collapsed="false">
      <c r="A5" s="163" t="s">
        <v>3018</v>
      </c>
      <c r="B5" s="163" t="s">
        <v>926</v>
      </c>
      <c r="C5" s="163" t="s">
        <v>273</v>
      </c>
      <c r="D5" s="163" t="s">
        <v>1891</v>
      </c>
      <c r="E5" s="164" t="n">
        <v>30000</v>
      </c>
      <c r="F5" s="165" t="s">
        <v>3060</v>
      </c>
    </row>
    <row r="6" customFormat="false" ht="15" hidden="false" customHeight="true" outlineLevel="0" collapsed="false">
      <c r="A6" s="163" t="s">
        <v>3018</v>
      </c>
      <c r="B6" s="163" t="s">
        <v>926</v>
      </c>
      <c r="C6" s="163" t="s">
        <v>3061</v>
      </c>
      <c r="D6" s="163" t="s">
        <v>3062</v>
      </c>
      <c r="E6" s="164" t="n">
        <v>20000</v>
      </c>
      <c r="F6" s="165" t="s">
        <v>3060</v>
      </c>
    </row>
    <row r="7" customFormat="false" ht="15" hidden="false" customHeight="true" outlineLevel="0" collapsed="false">
      <c r="A7" s="163" t="s">
        <v>3018</v>
      </c>
      <c r="B7" s="163" t="s">
        <v>926</v>
      </c>
      <c r="C7" s="163" t="s">
        <v>3063</v>
      </c>
      <c r="D7" s="163" t="s">
        <v>3064</v>
      </c>
      <c r="E7" s="164" t="n">
        <v>15000</v>
      </c>
      <c r="F7" s="165" t="s">
        <v>3060</v>
      </c>
    </row>
    <row r="8" customFormat="false" ht="15" hidden="false" customHeight="true" outlineLevel="0" collapsed="false">
      <c r="A8" s="163" t="s">
        <v>3018</v>
      </c>
      <c r="B8" s="163" t="s">
        <v>957</v>
      </c>
      <c r="C8" s="163" t="s">
        <v>1268</v>
      </c>
      <c r="D8" s="163" t="s">
        <v>2426</v>
      </c>
      <c r="E8" s="164" t="n">
        <v>15000</v>
      </c>
      <c r="F8" s="165" t="s">
        <v>3065</v>
      </c>
    </row>
    <row r="9" customFormat="false" ht="15" hidden="false" customHeight="true" outlineLevel="0" collapsed="false">
      <c r="A9" s="163" t="s">
        <v>3018</v>
      </c>
      <c r="B9" s="163" t="s">
        <v>957</v>
      </c>
      <c r="C9" s="163" t="s">
        <v>3066</v>
      </c>
      <c r="D9" s="163" t="s">
        <v>3067</v>
      </c>
      <c r="E9" s="164" t="n">
        <v>13000</v>
      </c>
      <c r="F9" s="165" t="s">
        <v>3065</v>
      </c>
    </row>
    <row r="10" customFormat="false" ht="15" hidden="false" customHeight="true" outlineLevel="0" collapsed="false">
      <c r="A10" s="163" t="s">
        <v>3018</v>
      </c>
      <c r="B10" s="163" t="s">
        <v>957</v>
      </c>
      <c r="C10" s="163" t="s">
        <v>3068</v>
      </c>
      <c r="D10" s="163" t="s">
        <v>3069</v>
      </c>
      <c r="E10" s="164" t="n">
        <v>12500</v>
      </c>
      <c r="F10" s="165" t="s">
        <v>3070</v>
      </c>
    </row>
    <row r="11" customFormat="false" ht="15" hidden="false" customHeight="true" outlineLevel="0" collapsed="false">
      <c r="A11" s="163" t="s">
        <v>3018</v>
      </c>
      <c r="B11" s="163" t="s">
        <v>957</v>
      </c>
      <c r="C11" s="163" t="s">
        <v>3071</v>
      </c>
      <c r="D11" s="163" t="s">
        <v>3072</v>
      </c>
      <c r="E11" s="164" t="n">
        <v>10000</v>
      </c>
      <c r="F11" s="165" t="s">
        <v>3073</v>
      </c>
    </row>
    <row r="12" customFormat="false" ht="15" hidden="false" customHeight="true" outlineLevel="0" collapsed="false">
      <c r="A12" s="163" t="s">
        <v>3018</v>
      </c>
      <c r="B12" s="163" t="s">
        <v>957</v>
      </c>
      <c r="C12" s="163" t="s">
        <v>3074</v>
      </c>
      <c r="D12" s="163" t="s">
        <v>3075</v>
      </c>
      <c r="E12" s="164" t="n">
        <v>10000</v>
      </c>
      <c r="F12" s="165" t="s">
        <v>3076</v>
      </c>
    </row>
    <row r="13" customFormat="false" ht="15" hidden="false" customHeight="true" outlineLevel="0" collapsed="false">
      <c r="A13" s="163" t="s">
        <v>3018</v>
      </c>
      <c r="B13" s="163" t="s">
        <v>957</v>
      </c>
      <c r="C13" s="163" t="s">
        <v>3077</v>
      </c>
      <c r="D13" s="163" t="s">
        <v>3078</v>
      </c>
      <c r="E13" s="164" t="n">
        <v>10000</v>
      </c>
      <c r="F13" s="165" t="s">
        <v>3079</v>
      </c>
    </row>
    <row r="14" customFormat="false" ht="15" hidden="false" customHeight="true" outlineLevel="0" collapsed="false">
      <c r="A14" s="163" t="s">
        <v>3018</v>
      </c>
      <c r="B14" s="163" t="s">
        <v>957</v>
      </c>
      <c r="C14" s="163" t="s">
        <v>3080</v>
      </c>
      <c r="D14" s="163" t="s">
        <v>3081</v>
      </c>
      <c r="E14" s="164" t="n">
        <v>10000</v>
      </c>
      <c r="F14" s="165" t="s">
        <v>3065</v>
      </c>
    </row>
    <row r="15" customFormat="false" ht="15" hidden="false" customHeight="true" outlineLevel="0" collapsed="false">
      <c r="A15" s="163" t="s">
        <v>3018</v>
      </c>
      <c r="B15" s="163" t="s">
        <v>957</v>
      </c>
      <c r="C15" s="163" t="s">
        <v>3082</v>
      </c>
      <c r="D15" s="163" t="s">
        <v>3083</v>
      </c>
      <c r="E15" s="164" t="n">
        <v>10000</v>
      </c>
      <c r="F15" s="165" t="s">
        <v>3065</v>
      </c>
    </row>
    <row r="16" customFormat="false" ht="15" hidden="false" customHeight="true" outlineLevel="0" collapsed="false">
      <c r="A16" s="163" t="s">
        <v>3018</v>
      </c>
      <c r="B16" s="163" t="s">
        <v>957</v>
      </c>
      <c r="C16" s="163" t="s">
        <v>1860</v>
      </c>
      <c r="D16" s="163" t="s">
        <v>1861</v>
      </c>
      <c r="E16" s="164" t="n">
        <v>7500</v>
      </c>
      <c r="F16" s="165" t="s">
        <v>3084</v>
      </c>
    </row>
    <row r="17" customFormat="false" ht="15" hidden="false" customHeight="true" outlineLevel="0" collapsed="false">
      <c r="A17" s="163" t="s">
        <v>3018</v>
      </c>
      <c r="B17" s="163" t="s">
        <v>957</v>
      </c>
      <c r="C17" s="163" t="s">
        <v>3085</v>
      </c>
      <c r="D17" s="163" t="s">
        <v>3086</v>
      </c>
      <c r="E17" s="164" t="n">
        <v>7000</v>
      </c>
      <c r="F17" s="165" t="s">
        <v>3087</v>
      </c>
    </row>
    <row r="18" customFormat="false" ht="15" hidden="false" customHeight="true" outlineLevel="0" collapsed="false">
      <c r="A18" s="163" t="s">
        <v>3018</v>
      </c>
      <c r="B18" s="163" t="s">
        <v>957</v>
      </c>
      <c r="C18" s="163" t="s">
        <v>3088</v>
      </c>
      <c r="D18" s="163" t="s">
        <v>3089</v>
      </c>
      <c r="E18" s="164" t="n">
        <v>5000</v>
      </c>
      <c r="F18" s="165" t="s">
        <v>3065</v>
      </c>
    </row>
    <row r="19" customFormat="false" ht="15" hidden="false" customHeight="true" outlineLevel="0" collapsed="false">
      <c r="A19" s="163" t="s">
        <v>3018</v>
      </c>
      <c r="B19" s="163" t="s">
        <v>945</v>
      </c>
      <c r="C19" s="163" t="s">
        <v>3090</v>
      </c>
      <c r="D19" s="163" t="s">
        <v>3091</v>
      </c>
      <c r="E19" s="164" t="n">
        <v>25000</v>
      </c>
      <c r="F19" s="165" t="s">
        <v>3092</v>
      </c>
    </row>
    <row r="20" customFormat="false" ht="15" hidden="false" customHeight="true" outlineLevel="0" collapsed="false">
      <c r="A20" s="163" t="s">
        <v>3018</v>
      </c>
      <c r="B20" s="163" t="s">
        <v>945</v>
      </c>
      <c r="C20" s="163" t="s">
        <v>3093</v>
      </c>
      <c r="D20" s="163" t="s">
        <v>3094</v>
      </c>
      <c r="E20" s="164" t="n">
        <v>10000</v>
      </c>
      <c r="F20" s="165" t="s">
        <v>3095</v>
      </c>
    </row>
    <row r="21" customFormat="false" ht="15" hidden="false" customHeight="true" outlineLevel="0" collapsed="false">
      <c r="A21" s="163" t="s">
        <v>3018</v>
      </c>
      <c r="B21" s="163" t="s">
        <v>945</v>
      </c>
      <c r="C21" s="163" t="s">
        <v>3096</v>
      </c>
      <c r="D21" s="163" t="s">
        <v>3097</v>
      </c>
      <c r="E21" s="164" t="n">
        <v>10000</v>
      </c>
      <c r="F21" s="165" t="s">
        <v>3098</v>
      </c>
    </row>
    <row r="22" customFormat="false" ht="15" hidden="false" customHeight="true" outlineLevel="0" collapsed="false">
      <c r="A22" s="163" t="s">
        <v>3018</v>
      </c>
      <c r="B22" s="163" t="s">
        <v>945</v>
      </c>
      <c r="C22" s="163" t="s">
        <v>3099</v>
      </c>
      <c r="D22" s="163" t="s">
        <v>3100</v>
      </c>
      <c r="E22" s="164" t="n">
        <v>9000</v>
      </c>
      <c r="F22" s="165" t="s">
        <v>3101</v>
      </c>
    </row>
    <row r="23" customFormat="false" ht="15" hidden="false" customHeight="true" outlineLevel="0" collapsed="false">
      <c r="A23" s="163" t="s">
        <v>3018</v>
      </c>
      <c r="B23" s="163" t="s">
        <v>945</v>
      </c>
      <c r="C23" s="163" t="s">
        <v>3102</v>
      </c>
      <c r="D23" s="163" t="s">
        <v>3103</v>
      </c>
      <c r="E23" s="164" t="n">
        <v>5000</v>
      </c>
      <c r="F23" s="165" t="s">
        <v>3104</v>
      </c>
    </row>
    <row r="24" customFormat="false" ht="15" hidden="false" customHeight="true" outlineLevel="0" collapsed="false">
      <c r="A24" s="163" t="s">
        <v>3018</v>
      </c>
      <c r="B24" s="163" t="s">
        <v>945</v>
      </c>
      <c r="C24" s="163" t="s">
        <v>3105</v>
      </c>
      <c r="D24" s="163" t="s">
        <v>3106</v>
      </c>
      <c r="E24" s="164" t="n">
        <v>5000</v>
      </c>
      <c r="F24" s="165" t="s">
        <v>3065</v>
      </c>
    </row>
    <row r="25" customFormat="false" ht="15" hidden="false" customHeight="true" outlineLevel="0" collapsed="false">
      <c r="A25" s="163" t="s">
        <v>3018</v>
      </c>
      <c r="B25" s="163" t="s">
        <v>945</v>
      </c>
      <c r="C25" s="163" t="s">
        <v>3102</v>
      </c>
      <c r="D25" s="163" t="s">
        <v>3103</v>
      </c>
      <c r="E25" s="164" t="n">
        <v>5000</v>
      </c>
      <c r="F25" s="165" t="s">
        <v>3107</v>
      </c>
    </row>
    <row r="26" customFormat="false" ht="15" hidden="false" customHeight="true" outlineLevel="0" collapsed="false">
      <c r="A26" s="163" t="s">
        <v>3018</v>
      </c>
      <c r="B26" s="163" t="s">
        <v>945</v>
      </c>
      <c r="C26" s="163" t="s">
        <v>3108</v>
      </c>
      <c r="D26" s="163" t="s">
        <v>3109</v>
      </c>
      <c r="E26" s="164" t="n">
        <v>5000</v>
      </c>
      <c r="F26" s="165" t="s">
        <v>3110</v>
      </c>
    </row>
    <row r="27" customFormat="false" ht="15" hidden="false" customHeight="true" outlineLevel="0" collapsed="false">
      <c r="A27" s="163" t="s">
        <v>3018</v>
      </c>
      <c r="B27" s="163" t="s">
        <v>945</v>
      </c>
      <c r="C27" s="163" t="s">
        <v>2167</v>
      </c>
      <c r="D27" s="163" t="s">
        <v>1931</v>
      </c>
      <c r="E27" s="164" t="n">
        <v>1000</v>
      </c>
      <c r="F27" s="165" t="s">
        <v>3060</v>
      </c>
    </row>
    <row r="28" customFormat="false" ht="15" hidden="false" customHeight="true" outlineLevel="0" collapsed="false">
      <c r="A28" s="163" t="s">
        <v>3018</v>
      </c>
      <c r="B28" s="163" t="s">
        <v>3111</v>
      </c>
      <c r="C28" s="163" t="s">
        <v>3112</v>
      </c>
      <c r="D28" s="163" t="s">
        <v>3113</v>
      </c>
      <c r="E28" s="164" t="n">
        <v>20000</v>
      </c>
      <c r="F28" s="165" t="s">
        <v>3065</v>
      </c>
    </row>
    <row r="29" customFormat="false" ht="15" hidden="false" customHeight="true" outlineLevel="0" collapsed="false">
      <c r="A29" s="163" t="s">
        <v>3018</v>
      </c>
      <c r="B29" s="163" t="s">
        <v>3111</v>
      </c>
      <c r="C29" s="163" t="s">
        <v>3114</v>
      </c>
      <c r="D29" s="163" t="s">
        <v>3115</v>
      </c>
      <c r="E29" s="164" t="n">
        <v>20000</v>
      </c>
      <c r="F29" s="165" t="s">
        <v>3065</v>
      </c>
    </row>
    <row r="30" customFormat="false" ht="15" hidden="false" customHeight="true" outlineLevel="0" collapsed="false">
      <c r="A30" s="163" t="s">
        <v>3018</v>
      </c>
      <c r="B30" s="163" t="s">
        <v>3111</v>
      </c>
      <c r="C30" s="163" t="s">
        <v>3116</v>
      </c>
      <c r="D30" s="163" t="s">
        <v>3117</v>
      </c>
      <c r="E30" s="164" t="n">
        <v>10000</v>
      </c>
      <c r="F30" s="165" t="s">
        <v>3118</v>
      </c>
    </row>
    <row r="31" customFormat="false" ht="15" hidden="false" customHeight="true" outlineLevel="0" collapsed="false">
      <c r="A31" s="163" t="s">
        <v>3018</v>
      </c>
      <c r="B31" s="163" t="s">
        <v>3111</v>
      </c>
      <c r="C31" s="163" t="s">
        <v>3119</v>
      </c>
      <c r="D31" s="163" t="s">
        <v>3120</v>
      </c>
      <c r="E31" s="164" t="n">
        <v>10000</v>
      </c>
      <c r="F31" s="165" t="s">
        <v>3121</v>
      </c>
    </row>
    <row r="32" customFormat="false" ht="15" hidden="false" customHeight="true" outlineLevel="0" collapsed="false">
      <c r="A32" s="163" t="s">
        <v>3018</v>
      </c>
      <c r="B32" s="163" t="s">
        <v>3111</v>
      </c>
      <c r="C32" s="163" t="s">
        <v>3122</v>
      </c>
      <c r="D32" s="163" t="s">
        <v>3123</v>
      </c>
      <c r="E32" s="164" t="n">
        <v>10000</v>
      </c>
      <c r="F32" s="165" t="s">
        <v>3124</v>
      </c>
    </row>
    <row r="33" customFormat="false" ht="15" hidden="false" customHeight="true" outlineLevel="0" collapsed="false">
      <c r="A33" s="163" t="s">
        <v>3018</v>
      </c>
      <c r="B33" s="163" t="s">
        <v>3111</v>
      </c>
      <c r="C33" s="163" t="s">
        <v>3058</v>
      </c>
      <c r="D33" s="163" t="s">
        <v>3059</v>
      </c>
      <c r="E33" s="164" t="n">
        <v>10000</v>
      </c>
      <c r="F33" s="165" t="s">
        <v>3065</v>
      </c>
    </row>
    <row r="34" customFormat="false" ht="15" hidden="false" customHeight="true" outlineLevel="0" collapsed="false">
      <c r="A34" s="163" t="s">
        <v>3018</v>
      </c>
      <c r="B34" s="163" t="s">
        <v>3111</v>
      </c>
      <c r="C34" s="163" t="s">
        <v>3125</v>
      </c>
      <c r="D34" s="163" t="s">
        <v>3126</v>
      </c>
      <c r="E34" s="164" t="n">
        <v>10000</v>
      </c>
      <c r="F34" s="165" t="s">
        <v>3065</v>
      </c>
    </row>
    <row r="35" customFormat="false" ht="15" hidden="false" customHeight="true" outlineLevel="0" collapsed="false">
      <c r="A35" s="163" t="s">
        <v>3018</v>
      </c>
      <c r="B35" s="163" t="s">
        <v>3111</v>
      </c>
      <c r="C35" s="163" t="s">
        <v>3063</v>
      </c>
      <c r="D35" s="163" t="s">
        <v>3064</v>
      </c>
      <c r="E35" s="164" t="n">
        <v>10000</v>
      </c>
      <c r="F35" s="165" t="s">
        <v>3065</v>
      </c>
    </row>
    <row r="36" customFormat="false" ht="15" hidden="false" customHeight="true" outlineLevel="0" collapsed="false">
      <c r="A36" s="163" t="s">
        <v>3018</v>
      </c>
      <c r="B36" s="163" t="s">
        <v>1938</v>
      </c>
      <c r="C36" s="163" t="s">
        <v>3063</v>
      </c>
      <c r="D36" s="163" t="s">
        <v>3064</v>
      </c>
      <c r="E36" s="164" t="n">
        <v>20000</v>
      </c>
      <c r="F36" s="165" t="s">
        <v>3060</v>
      </c>
    </row>
    <row r="37" customFormat="false" ht="15" hidden="false" customHeight="true" outlineLevel="0" collapsed="false">
      <c r="A37" s="163" t="s">
        <v>3018</v>
      </c>
      <c r="B37" s="163" t="s">
        <v>1938</v>
      </c>
      <c r="C37" s="163" t="s">
        <v>3127</v>
      </c>
      <c r="D37" s="163" t="s">
        <v>3128</v>
      </c>
      <c r="E37" s="164" t="n">
        <v>20000</v>
      </c>
      <c r="F37" s="165" t="s">
        <v>3060</v>
      </c>
    </row>
    <row r="38" customFormat="false" ht="15" hidden="false" customHeight="true" outlineLevel="0" collapsed="false">
      <c r="A38" s="163" t="s">
        <v>3018</v>
      </c>
      <c r="B38" s="163" t="s">
        <v>1938</v>
      </c>
      <c r="C38" s="163" t="s">
        <v>3129</v>
      </c>
      <c r="D38" s="163" t="s">
        <v>3130</v>
      </c>
      <c r="E38" s="164" t="n">
        <v>20000</v>
      </c>
      <c r="F38" s="165" t="s">
        <v>3060</v>
      </c>
    </row>
    <row r="39" customFormat="false" ht="15" hidden="false" customHeight="true" outlineLevel="0" collapsed="false">
      <c r="A39" s="163" t="s">
        <v>3018</v>
      </c>
      <c r="B39" s="163" t="s">
        <v>1938</v>
      </c>
      <c r="C39" s="163" t="s">
        <v>260</v>
      </c>
      <c r="D39" s="163" t="s">
        <v>2097</v>
      </c>
      <c r="E39" s="164" t="n">
        <v>20000</v>
      </c>
      <c r="F39" s="165" t="s">
        <v>3060</v>
      </c>
    </row>
    <row r="40" customFormat="false" ht="15" hidden="false" customHeight="true" outlineLevel="0" collapsed="false">
      <c r="A40" s="163" t="s">
        <v>3018</v>
      </c>
      <c r="B40" s="163" t="s">
        <v>1938</v>
      </c>
      <c r="C40" s="163" t="s">
        <v>3063</v>
      </c>
      <c r="D40" s="163" t="s">
        <v>3064</v>
      </c>
      <c r="E40" s="164" t="n">
        <v>20000</v>
      </c>
      <c r="F40" s="165" t="s">
        <v>3060</v>
      </c>
    </row>
    <row r="41" customFormat="false" ht="15" hidden="false" customHeight="true" outlineLevel="0" collapsed="false">
      <c r="A41" s="163" t="s">
        <v>3018</v>
      </c>
      <c r="B41" s="163" t="s">
        <v>1938</v>
      </c>
      <c r="C41" s="163" t="s">
        <v>3131</v>
      </c>
      <c r="D41" s="163" t="s">
        <v>3132</v>
      </c>
      <c r="E41" s="164" t="n">
        <v>20000</v>
      </c>
      <c r="F41" s="165" t="s">
        <v>3060</v>
      </c>
    </row>
    <row r="42" customFormat="false" ht="15" hidden="false" customHeight="true" outlineLevel="0" collapsed="false">
      <c r="A42" s="163" t="s">
        <v>3018</v>
      </c>
      <c r="B42" s="163" t="s">
        <v>1938</v>
      </c>
      <c r="C42" s="163" t="s">
        <v>3133</v>
      </c>
      <c r="D42" s="163" t="s">
        <v>3134</v>
      </c>
      <c r="E42" s="164" t="n">
        <v>20000</v>
      </c>
      <c r="F42" s="165" t="s">
        <v>3060</v>
      </c>
    </row>
    <row r="43" customFormat="false" ht="15" hidden="false" customHeight="true" outlineLevel="0" collapsed="false">
      <c r="A43" s="163" t="s">
        <v>3018</v>
      </c>
      <c r="B43" s="163" t="s">
        <v>1938</v>
      </c>
      <c r="C43" s="163" t="s">
        <v>3135</v>
      </c>
      <c r="D43" s="163" t="s">
        <v>3136</v>
      </c>
      <c r="E43" s="164" t="n">
        <v>20000</v>
      </c>
      <c r="F43" s="165" t="s">
        <v>3060</v>
      </c>
    </row>
    <row r="44" customFormat="false" ht="15" hidden="false" customHeight="true" outlineLevel="0" collapsed="false">
      <c r="A44" s="163" t="s">
        <v>3018</v>
      </c>
      <c r="B44" s="163" t="s">
        <v>1938</v>
      </c>
      <c r="C44" s="163" t="s">
        <v>3137</v>
      </c>
      <c r="D44" s="163" t="s">
        <v>3138</v>
      </c>
      <c r="E44" s="164" t="n">
        <v>20000</v>
      </c>
      <c r="F44" s="165" t="s">
        <v>3060</v>
      </c>
    </row>
    <row r="45" customFormat="false" ht="15" hidden="false" customHeight="true" outlineLevel="0" collapsed="false">
      <c r="A45" s="163" t="s">
        <v>3018</v>
      </c>
      <c r="B45" s="163" t="s">
        <v>1938</v>
      </c>
      <c r="C45" s="163" t="s">
        <v>3139</v>
      </c>
      <c r="D45" s="163" t="s">
        <v>3140</v>
      </c>
      <c r="E45" s="164" t="n">
        <v>20000</v>
      </c>
      <c r="F45" s="165" t="s">
        <v>3060</v>
      </c>
    </row>
    <row r="46" customFormat="false" ht="15" hidden="false" customHeight="true" outlineLevel="0" collapsed="false">
      <c r="A46" s="163" t="s">
        <v>3018</v>
      </c>
      <c r="B46" s="163" t="s">
        <v>1938</v>
      </c>
      <c r="C46" s="163" t="s">
        <v>3139</v>
      </c>
      <c r="D46" s="163" t="s">
        <v>3140</v>
      </c>
      <c r="E46" s="164" t="n">
        <v>20000</v>
      </c>
      <c r="F46" s="165" t="s">
        <v>3060</v>
      </c>
    </row>
    <row r="47" customFormat="false" ht="15" hidden="false" customHeight="true" outlineLevel="0" collapsed="false">
      <c r="A47" s="163" t="s">
        <v>3018</v>
      </c>
      <c r="B47" s="163" t="s">
        <v>1938</v>
      </c>
      <c r="C47" s="163" t="s">
        <v>3141</v>
      </c>
      <c r="D47" s="163" t="s">
        <v>3142</v>
      </c>
      <c r="E47" s="164" t="n">
        <v>20000</v>
      </c>
      <c r="F47" s="165" t="s">
        <v>3060</v>
      </c>
    </row>
    <row r="48" customFormat="false" ht="15" hidden="false" customHeight="true" outlineLevel="0" collapsed="false">
      <c r="A48" s="163" t="s">
        <v>3018</v>
      </c>
      <c r="B48" s="163" t="s">
        <v>1938</v>
      </c>
      <c r="C48" s="163" t="s">
        <v>3143</v>
      </c>
      <c r="D48" s="163" t="s">
        <v>3144</v>
      </c>
      <c r="E48" s="164" t="n">
        <v>20000</v>
      </c>
      <c r="F48" s="165" t="s">
        <v>3060</v>
      </c>
    </row>
    <row r="49" customFormat="false" ht="15" hidden="false" customHeight="true" outlineLevel="0" collapsed="false">
      <c r="A49" s="163" t="s">
        <v>3018</v>
      </c>
      <c r="B49" s="163" t="s">
        <v>1938</v>
      </c>
      <c r="C49" s="163" t="s">
        <v>3143</v>
      </c>
      <c r="D49" s="163" t="s">
        <v>3144</v>
      </c>
      <c r="E49" s="164" t="n">
        <v>20000</v>
      </c>
      <c r="F49" s="165" t="s">
        <v>3060</v>
      </c>
    </row>
    <row r="50" customFormat="false" ht="15" hidden="false" customHeight="true" outlineLevel="0" collapsed="false">
      <c r="A50" s="163" t="s">
        <v>3018</v>
      </c>
      <c r="B50" s="163" t="s">
        <v>1938</v>
      </c>
      <c r="C50" s="163" t="s">
        <v>3145</v>
      </c>
      <c r="D50" s="163" t="s">
        <v>3146</v>
      </c>
      <c r="E50" s="164" t="n">
        <v>20000</v>
      </c>
      <c r="F50" s="165" t="s">
        <v>3060</v>
      </c>
    </row>
    <row r="51" customFormat="false" ht="15" hidden="false" customHeight="true" outlineLevel="0" collapsed="false">
      <c r="A51" s="163" t="s">
        <v>3018</v>
      </c>
      <c r="B51" s="163" t="s">
        <v>1938</v>
      </c>
      <c r="C51" s="163" t="s">
        <v>3147</v>
      </c>
      <c r="D51" s="163" t="s">
        <v>3148</v>
      </c>
      <c r="E51" s="164" t="n">
        <v>20000</v>
      </c>
      <c r="F51" s="165" t="s">
        <v>3060</v>
      </c>
    </row>
    <row r="52" customFormat="false" ht="15" hidden="false" customHeight="true" outlineLevel="0" collapsed="false">
      <c r="A52" s="163" t="s">
        <v>3018</v>
      </c>
      <c r="B52" s="163" t="s">
        <v>1938</v>
      </c>
      <c r="C52" s="163" t="s">
        <v>3149</v>
      </c>
      <c r="D52" s="163" t="s">
        <v>3150</v>
      </c>
      <c r="E52" s="164" t="n">
        <v>20000</v>
      </c>
      <c r="F52" s="165" t="s">
        <v>3060</v>
      </c>
    </row>
    <row r="53" customFormat="false" ht="15" hidden="false" customHeight="true" outlineLevel="0" collapsed="false">
      <c r="A53" s="163" t="s">
        <v>3018</v>
      </c>
      <c r="B53" s="163" t="s">
        <v>691</v>
      </c>
      <c r="C53" s="163" t="s">
        <v>3151</v>
      </c>
      <c r="D53" s="163" t="s">
        <v>3152</v>
      </c>
      <c r="E53" s="164" t="n">
        <v>25000</v>
      </c>
      <c r="F53" s="165" t="s">
        <v>3060</v>
      </c>
    </row>
    <row r="54" customFormat="false" ht="15" hidden="false" customHeight="true" outlineLevel="0" collapsed="false">
      <c r="A54" s="163" t="s">
        <v>3018</v>
      </c>
      <c r="B54" s="163" t="s">
        <v>691</v>
      </c>
      <c r="C54" s="163" t="s">
        <v>3129</v>
      </c>
      <c r="D54" s="163" t="s">
        <v>3130</v>
      </c>
      <c r="E54" s="164" t="n">
        <v>20000</v>
      </c>
      <c r="F54" s="165" t="s">
        <v>3060</v>
      </c>
    </row>
    <row r="55" customFormat="false" ht="15" hidden="false" customHeight="true" outlineLevel="0" collapsed="false">
      <c r="A55" s="163" t="s">
        <v>3018</v>
      </c>
      <c r="B55" s="163" t="s">
        <v>691</v>
      </c>
      <c r="C55" s="163" t="s">
        <v>3137</v>
      </c>
      <c r="D55" s="163" t="s">
        <v>3138</v>
      </c>
      <c r="E55" s="164" t="n">
        <v>20000</v>
      </c>
      <c r="F55" s="165" t="s">
        <v>3060</v>
      </c>
    </row>
    <row r="56" customFormat="false" ht="15" hidden="false" customHeight="true" outlineLevel="0" collapsed="false">
      <c r="A56" s="163" t="s">
        <v>3018</v>
      </c>
      <c r="B56" s="163" t="s">
        <v>691</v>
      </c>
      <c r="C56" s="163" t="s">
        <v>3153</v>
      </c>
      <c r="D56" s="163" t="s">
        <v>3154</v>
      </c>
      <c r="E56" s="164" t="n">
        <v>20000</v>
      </c>
      <c r="F56" s="165" t="s">
        <v>3060</v>
      </c>
    </row>
    <row r="57" customFormat="false" ht="15" hidden="false" customHeight="true" outlineLevel="0" collapsed="false">
      <c r="A57" s="163" t="s">
        <v>3018</v>
      </c>
      <c r="B57" s="163" t="s">
        <v>691</v>
      </c>
      <c r="C57" s="163" t="s">
        <v>3125</v>
      </c>
      <c r="D57" s="163" t="s">
        <v>3126</v>
      </c>
      <c r="E57" s="164" t="n">
        <v>20000</v>
      </c>
      <c r="F57" s="165" t="s">
        <v>3060</v>
      </c>
    </row>
    <row r="58" customFormat="false" ht="15" hidden="false" customHeight="true" outlineLevel="0" collapsed="false">
      <c r="A58" s="163" t="s">
        <v>3018</v>
      </c>
      <c r="B58" s="163" t="s">
        <v>691</v>
      </c>
      <c r="C58" s="163" t="s">
        <v>3127</v>
      </c>
      <c r="D58" s="163" t="s">
        <v>3128</v>
      </c>
      <c r="E58" s="164" t="n">
        <v>15000</v>
      </c>
      <c r="F58" s="165" t="s">
        <v>3060</v>
      </c>
    </row>
    <row r="59" customFormat="false" ht="15" hidden="false" customHeight="true" outlineLevel="0" collapsed="false">
      <c r="A59" s="163" t="s">
        <v>3018</v>
      </c>
      <c r="B59" s="163" t="s">
        <v>691</v>
      </c>
      <c r="C59" s="163" t="s">
        <v>3155</v>
      </c>
      <c r="D59" s="163" t="s">
        <v>3156</v>
      </c>
      <c r="E59" s="164" t="n">
        <v>15000</v>
      </c>
      <c r="F59" s="165" t="s">
        <v>3060</v>
      </c>
    </row>
    <row r="60" customFormat="false" ht="15" hidden="false" customHeight="true" outlineLevel="0" collapsed="false">
      <c r="A60" s="163" t="s">
        <v>3018</v>
      </c>
      <c r="B60" s="163" t="s">
        <v>691</v>
      </c>
      <c r="C60" s="163" t="s">
        <v>3157</v>
      </c>
      <c r="D60" s="163" t="s">
        <v>3158</v>
      </c>
      <c r="E60" s="164" t="n">
        <v>10000</v>
      </c>
      <c r="F60" s="165" t="s">
        <v>3060</v>
      </c>
    </row>
    <row r="61" customFormat="false" ht="15" hidden="false" customHeight="true" outlineLevel="0" collapsed="false">
      <c r="A61" s="163" t="s">
        <v>3018</v>
      </c>
      <c r="B61" s="163" t="s">
        <v>2027</v>
      </c>
      <c r="C61" s="163" t="s">
        <v>3135</v>
      </c>
      <c r="D61" s="163" t="s">
        <v>3136</v>
      </c>
      <c r="E61" s="164" t="n">
        <v>25000</v>
      </c>
      <c r="F61" s="165" t="s">
        <v>3060</v>
      </c>
    </row>
    <row r="62" customFormat="false" ht="15" hidden="false" customHeight="true" outlineLevel="0" collapsed="false">
      <c r="A62" s="163" t="s">
        <v>3018</v>
      </c>
      <c r="B62" s="163" t="s">
        <v>2027</v>
      </c>
      <c r="C62" s="163" t="s">
        <v>3159</v>
      </c>
      <c r="D62" s="163" t="s">
        <v>3160</v>
      </c>
      <c r="E62" s="164" t="n">
        <v>25000</v>
      </c>
      <c r="F62" s="165" t="s">
        <v>3161</v>
      </c>
    </row>
    <row r="63" customFormat="false" ht="15" hidden="false" customHeight="true" outlineLevel="0" collapsed="false">
      <c r="A63" s="163" t="s">
        <v>3018</v>
      </c>
      <c r="B63" s="163" t="s">
        <v>2027</v>
      </c>
      <c r="C63" s="163" t="s">
        <v>935</v>
      </c>
      <c r="D63" s="163" t="s">
        <v>3162</v>
      </c>
      <c r="E63" s="164" t="n">
        <v>20000</v>
      </c>
      <c r="F63" s="165" t="s">
        <v>3060</v>
      </c>
    </row>
    <row r="64" customFormat="false" ht="15" hidden="false" customHeight="true" outlineLevel="0" collapsed="false">
      <c r="A64" s="163" t="s">
        <v>3018</v>
      </c>
      <c r="B64" s="163" t="s">
        <v>2027</v>
      </c>
      <c r="C64" s="163" t="s">
        <v>3163</v>
      </c>
      <c r="D64" s="163" t="s">
        <v>3164</v>
      </c>
      <c r="E64" s="164" t="n">
        <v>20000</v>
      </c>
      <c r="F64" s="165" t="s">
        <v>3060</v>
      </c>
    </row>
    <row r="65" customFormat="false" ht="15" hidden="false" customHeight="true" outlineLevel="0" collapsed="false">
      <c r="A65" s="163" t="s">
        <v>3018</v>
      </c>
      <c r="B65" s="163" t="s">
        <v>2037</v>
      </c>
      <c r="C65" s="163" t="s">
        <v>3165</v>
      </c>
      <c r="D65" s="163" t="s">
        <v>3166</v>
      </c>
      <c r="E65" s="164" t="n">
        <v>55000</v>
      </c>
      <c r="F65" s="165" t="s">
        <v>3060</v>
      </c>
    </row>
    <row r="66" customFormat="false" ht="15" hidden="false" customHeight="true" outlineLevel="0" collapsed="false">
      <c r="A66" s="163" t="s">
        <v>3018</v>
      </c>
      <c r="B66" s="163" t="s">
        <v>2037</v>
      </c>
      <c r="C66" s="163" t="s">
        <v>3159</v>
      </c>
      <c r="D66" s="163" t="s">
        <v>3160</v>
      </c>
      <c r="E66" s="164" t="n">
        <v>30000</v>
      </c>
      <c r="F66" s="165" t="s">
        <v>3167</v>
      </c>
    </row>
    <row r="67" customFormat="false" ht="15" hidden="false" customHeight="true" outlineLevel="0" collapsed="false">
      <c r="A67" s="163" t="s">
        <v>3018</v>
      </c>
      <c r="B67" s="163" t="s">
        <v>2037</v>
      </c>
      <c r="C67" s="163" t="s">
        <v>3168</v>
      </c>
      <c r="D67" s="163" t="s">
        <v>3169</v>
      </c>
      <c r="E67" s="164" t="n">
        <v>25000</v>
      </c>
      <c r="F67" s="165" t="s">
        <v>3060</v>
      </c>
    </row>
    <row r="68" customFormat="false" ht="15" hidden="false" customHeight="true" outlineLevel="0" collapsed="false">
      <c r="A68" s="163" t="s">
        <v>3018</v>
      </c>
      <c r="B68" s="163" t="s">
        <v>2037</v>
      </c>
      <c r="C68" s="163" t="s">
        <v>3093</v>
      </c>
      <c r="D68" s="163" t="s">
        <v>3094</v>
      </c>
      <c r="E68" s="164" t="n">
        <v>25000</v>
      </c>
      <c r="F68" s="165" t="s">
        <v>3060</v>
      </c>
    </row>
    <row r="69" customFormat="false" ht="15" hidden="false" customHeight="true" outlineLevel="0" collapsed="false">
      <c r="A69" s="163" t="s">
        <v>3018</v>
      </c>
      <c r="B69" s="163" t="s">
        <v>2037</v>
      </c>
      <c r="C69" s="163" t="s">
        <v>3093</v>
      </c>
      <c r="D69" s="163" t="s">
        <v>3094</v>
      </c>
      <c r="E69" s="164" t="n">
        <v>25000</v>
      </c>
      <c r="F69" s="165" t="s">
        <v>3060</v>
      </c>
    </row>
    <row r="70" customFormat="false" ht="15" hidden="false" customHeight="true" outlineLevel="0" collapsed="false">
      <c r="A70" s="163" t="s">
        <v>3018</v>
      </c>
      <c r="B70" s="163" t="s">
        <v>2037</v>
      </c>
      <c r="C70" s="163" t="s">
        <v>3170</v>
      </c>
      <c r="D70" s="163" t="s">
        <v>3171</v>
      </c>
      <c r="E70" s="164" t="n">
        <v>20000</v>
      </c>
      <c r="F70" s="165" t="s">
        <v>3060</v>
      </c>
    </row>
    <row r="71" customFormat="false" ht="15" hidden="false" customHeight="true" outlineLevel="0" collapsed="false">
      <c r="A71" s="163" t="s">
        <v>3018</v>
      </c>
      <c r="B71" s="163" t="s">
        <v>2037</v>
      </c>
      <c r="C71" s="163" t="s">
        <v>2695</v>
      </c>
      <c r="D71" s="163" t="s">
        <v>2696</v>
      </c>
      <c r="E71" s="164" t="n">
        <v>15000</v>
      </c>
      <c r="F71" s="165" t="s">
        <v>3060</v>
      </c>
    </row>
    <row r="72" customFormat="false" ht="15" hidden="false" customHeight="true" outlineLevel="0" collapsed="false">
      <c r="A72" s="163" t="s">
        <v>3018</v>
      </c>
      <c r="B72" s="163" t="s">
        <v>894</v>
      </c>
      <c r="C72" s="163" t="s">
        <v>3090</v>
      </c>
      <c r="D72" s="163" t="s">
        <v>3091</v>
      </c>
      <c r="E72" s="164" t="n">
        <v>20000</v>
      </c>
      <c r="F72" s="165" t="s">
        <v>3172</v>
      </c>
    </row>
    <row r="73" customFormat="false" ht="15" hidden="false" customHeight="true" outlineLevel="0" collapsed="false">
      <c r="A73" s="163" t="s">
        <v>3018</v>
      </c>
      <c r="B73" s="163" t="s">
        <v>894</v>
      </c>
      <c r="C73" s="163" t="s">
        <v>3173</v>
      </c>
      <c r="D73" s="163" t="s">
        <v>3174</v>
      </c>
      <c r="E73" s="164" t="n">
        <v>20000</v>
      </c>
      <c r="F73" s="165" t="s">
        <v>3175</v>
      </c>
    </row>
    <row r="74" customFormat="false" ht="15" hidden="false" customHeight="true" outlineLevel="0" collapsed="false">
      <c r="A74" s="163" t="s">
        <v>3018</v>
      </c>
      <c r="B74" s="163" t="s">
        <v>894</v>
      </c>
      <c r="C74" s="163" t="s">
        <v>3176</v>
      </c>
      <c r="D74" s="163" t="s">
        <v>3177</v>
      </c>
      <c r="E74" s="164" t="n">
        <v>15000</v>
      </c>
      <c r="F74" s="165" t="s">
        <v>3060</v>
      </c>
    </row>
    <row r="75" customFormat="false" ht="15" hidden="false" customHeight="true" outlineLevel="0" collapsed="false">
      <c r="A75" s="163" t="s">
        <v>3018</v>
      </c>
      <c r="B75" s="163" t="s">
        <v>894</v>
      </c>
      <c r="C75" s="163" t="s">
        <v>3178</v>
      </c>
      <c r="D75" s="163" t="s">
        <v>3179</v>
      </c>
      <c r="E75" s="164" t="n">
        <v>15000</v>
      </c>
      <c r="F75" s="165" t="s">
        <v>3065</v>
      </c>
    </row>
    <row r="76" customFormat="false" ht="15" hidden="false" customHeight="true" outlineLevel="0" collapsed="false">
      <c r="A76" s="163" t="s">
        <v>3018</v>
      </c>
      <c r="B76" s="163" t="s">
        <v>894</v>
      </c>
      <c r="C76" s="163" t="s">
        <v>3180</v>
      </c>
      <c r="D76" s="163" t="s">
        <v>3181</v>
      </c>
      <c r="E76" s="164" t="n">
        <v>14000</v>
      </c>
      <c r="F76" s="165" t="s">
        <v>3182</v>
      </c>
    </row>
    <row r="77" customFormat="false" ht="15" hidden="false" customHeight="true" outlineLevel="0" collapsed="false">
      <c r="A77" s="163" t="s">
        <v>3018</v>
      </c>
      <c r="B77" s="163" t="s">
        <v>894</v>
      </c>
      <c r="C77" s="163" t="s">
        <v>3183</v>
      </c>
      <c r="D77" s="163" t="s">
        <v>3184</v>
      </c>
      <c r="E77" s="164" t="n">
        <v>12500</v>
      </c>
      <c r="F77" s="165" t="s">
        <v>3065</v>
      </c>
    </row>
    <row r="78" customFormat="false" ht="15" hidden="false" customHeight="true" outlineLevel="0" collapsed="false">
      <c r="A78" s="163" t="s">
        <v>3018</v>
      </c>
      <c r="B78" s="163" t="s">
        <v>894</v>
      </c>
      <c r="C78" s="163" t="s">
        <v>3185</v>
      </c>
      <c r="D78" s="163" t="s">
        <v>3186</v>
      </c>
      <c r="E78" s="164" t="n">
        <v>12500</v>
      </c>
      <c r="F78" s="165" t="s">
        <v>3187</v>
      </c>
    </row>
    <row r="79" customFormat="false" ht="15" hidden="false" customHeight="true" outlineLevel="0" collapsed="false">
      <c r="A79" s="163" t="s">
        <v>3018</v>
      </c>
      <c r="B79" s="163" t="s">
        <v>894</v>
      </c>
      <c r="C79" s="163" t="s">
        <v>3188</v>
      </c>
      <c r="D79" s="163" t="s">
        <v>3189</v>
      </c>
      <c r="E79" s="164" t="n">
        <v>12000</v>
      </c>
      <c r="F79" s="165" t="s">
        <v>3190</v>
      </c>
    </row>
    <row r="80" customFormat="false" ht="15" hidden="false" customHeight="true" outlineLevel="0" collapsed="false">
      <c r="A80" s="163" t="s">
        <v>3018</v>
      </c>
      <c r="B80" s="163" t="s">
        <v>894</v>
      </c>
      <c r="C80" s="163" t="s">
        <v>3191</v>
      </c>
      <c r="D80" s="163" t="s">
        <v>1931</v>
      </c>
      <c r="E80" s="164" t="n">
        <v>11250</v>
      </c>
      <c r="F80" s="165" t="s">
        <v>3060</v>
      </c>
    </row>
    <row r="81" customFormat="false" ht="15" hidden="false" customHeight="true" outlineLevel="0" collapsed="false">
      <c r="A81" s="163" t="s">
        <v>3018</v>
      </c>
      <c r="B81" s="163" t="s">
        <v>894</v>
      </c>
      <c r="C81" s="163" t="s">
        <v>3192</v>
      </c>
      <c r="D81" s="163" t="s">
        <v>3193</v>
      </c>
      <c r="E81" s="164" t="n">
        <v>10000</v>
      </c>
      <c r="F81" s="165" t="s">
        <v>3065</v>
      </c>
    </row>
    <row r="82" customFormat="false" ht="15" hidden="false" customHeight="true" outlineLevel="0" collapsed="false">
      <c r="A82" s="163" t="s">
        <v>3018</v>
      </c>
      <c r="B82" s="163" t="s">
        <v>894</v>
      </c>
      <c r="C82" s="163" t="s">
        <v>3151</v>
      </c>
      <c r="D82" s="163" t="s">
        <v>3152</v>
      </c>
      <c r="E82" s="164" t="n">
        <v>10000</v>
      </c>
      <c r="F82" s="165" t="s">
        <v>3194</v>
      </c>
    </row>
    <row r="83" customFormat="false" ht="15" hidden="false" customHeight="true" outlineLevel="0" collapsed="false">
      <c r="A83" s="163" t="s">
        <v>3018</v>
      </c>
      <c r="B83" s="163" t="s">
        <v>894</v>
      </c>
      <c r="C83" s="163" t="s">
        <v>3127</v>
      </c>
      <c r="D83" s="163" t="s">
        <v>3128</v>
      </c>
      <c r="E83" s="164" t="n">
        <v>10000</v>
      </c>
      <c r="F83" s="165" t="s">
        <v>3060</v>
      </c>
    </row>
    <row r="84" customFormat="false" ht="15" hidden="false" customHeight="true" outlineLevel="0" collapsed="false">
      <c r="A84" s="163" t="s">
        <v>3018</v>
      </c>
      <c r="B84" s="163" t="s">
        <v>894</v>
      </c>
      <c r="C84" s="163" t="s">
        <v>3129</v>
      </c>
      <c r="D84" s="163" t="s">
        <v>3130</v>
      </c>
      <c r="E84" s="164" t="n">
        <v>10000</v>
      </c>
      <c r="F84" s="165" t="s">
        <v>3195</v>
      </c>
    </row>
    <row r="85" customFormat="false" ht="15" hidden="false" customHeight="true" outlineLevel="0" collapsed="false">
      <c r="A85" s="163" t="s">
        <v>3018</v>
      </c>
      <c r="B85" s="163" t="s">
        <v>894</v>
      </c>
      <c r="C85" s="163" t="s">
        <v>3196</v>
      </c>
      <c r="D85" s="163" t="s">
        <v>3197</v>
      </c>
      <c r="E85" s="164" t="n">
        <v>10000</v>
      </c>
      <c r="F85" s="165" t="s">
        <v>3065</v>
      </c>
    </row>
    <row r="86" customFormat="false" ht="15" hidden="false" customHeight="true" outlineLevel="0" collapsed="false">
      <c r="A86" s="163" t="s">
        <v>3018</v>
      </c>
      <c r="B86" s="163" t="s">
        <v>894</v>
      </c>
      <c r="C86" s="163" t="s">
        <v>260</v>
      </c>
      <c r="D86" s="163" t="s">
        <v>2097</v>
      </c>
      <c r="E86" s="164" t="n">
        <v>10000</v>
      </c>
      <c r="F86" s="165" t="s">
        <v>3065</v>
      </c>
    </row>
    <row r="87" customFormat="false" ht="15" hidden="false" customHeight="true" outlineLevel="0" collapsed="false">
      <c r="A87" s="163" t="s">
        <v>3018</v>
      </c>
      <c r="B87" s="163" t="s">
        <v>894</v>
      </c>
      <c r="C87" s="163" t="s">
        <v>3198</v>
      </c>
      <c r="D87" s="163" t="s">
        <v>3199</v>
      </c>
      <c r="E87" s="164" t="n">
        <v>10000</v>
      </c>
      <c r="F87" s="165" t="s">
        <v>3200</v>
      </c>
    </row>
    <row r="88" customFormat="false" ht="15" hidden="false" customHeight="true" outlineLevel="0" collapsed="false">
      <c r="A88" s="163" t="s">
        <v>3018</v>
      </c>
      <c r="B88" s="163" t="s">
        <v>894</v>
      </c>
      <c r="C88" s="163" t="s">
        <v>3159</v>
      </c>
      <c r="D88" s="163" t="s">
        <v>3160</v>
      </c>
      <c r="E88" s="164" t="n">
        <v>10000</v>
      </c>
      <c r="F88" s="165" t="s">
        <v>3201</v>
      </c>
    </row>
    <row r="89" customFormat="false" ht="15" hidden="false" customHeight="true" outlineLevel="0" collapsed="false">
      <c r="A89" s="163" t="s">
        <v>3018</v>
      </c>
      <c r="B89" s="163" t="s">
        <v>894</v>
      </c>
      <c r="C89" s="163" t="s">
        <v>3202</v>
      </c>
      <c r="D89" s="163" t="s">
        <v>3203</v>
      </c>
      <c r="E89" s="164" t="n">
        <v>9000</v>
      </c>
      <c r="F89" s="165" t="s">
        <v>3204</v>
      </c>
    </row>
    <row r="90" customFormat="false" ht="15" hidden="false" customHeight="true" outlineLevel="0" collapsed="false">
      <c r="A90" s="163" t="s">
        <v>3018</v>
      </c>
      <c r="B90" s="163" t="s">
        <v>894</v>
      </c>
      <c r="C90" s="163" t="s">
        <v>3205</v>
      </c>
      <c r="D90" s="163" t="s">
        <v>3206</v>
      </c>
      <c r="E90" s="164" t="n">
        <v>8500</v>
      </c>
      <c r="F90" s="165" t="s">
        <v>3065</v>
      </c>
    </row>
    <row r="91" customFormat="false" ht="15" hidden="false" customHeight="true" outlineLevel="0" collapsed="false">
      <c r="A91" s="163" t="s">
        <v>3018</v>
      </c>
      <c r="B91" s="163" t="s">
        <v>894</v>
      </c>
      <c r="C91" s="163" t="s">
        <v>2167</v>
      </c>
      <c r="D91" s="163" t="s">
        <v>1931</v>
      </c>
      <c r="E91" s="164" t="n">
        <v>7500</v>
      </c>
      <c r="F91" s="165" t="s">
        <v>3060</v>
      </c>
    </row>
    <row r="92" customFormat="false" ht="15" hidden="false" customHeight="true" outlineLevel="0" collapsed="false">
      <c r="A92" s="163" t="s">
        <v>3018</v>
      </c>
      <c r="B92" s="163" t="s">
        <v>894</v>
      </c>
      <c r="C92" s="163" t="s">
        <v>974</v>
      </c>
      <c r="D92" s="163" t="s">
        <v>1931</v>
      </c>
      <c r="E92" s="164" t="n">
        <v>7000</v>
      </c>
      <c r="F92" s="165" t="s">
        <v>3207</v>
      </c>
    </row>
    <row r="93" customFormat="false" ht="15" hidden="false" customHeight="true" outlineLevel="0" collapsed="false">
      <c r="A93" s="163" t="s">
        <v>3018</v>
      </c>
      <c r="B93" s="163" t="s">
        <v>894</v>
      </c>
      <c r="C93" s="163" t="s">
        <v>3208</v>
      </c>
      <c r="D93" s="163" t="s">
        <v>3209</v>
      </c>
      <c r="E93" s="164" t="n">
        <v>6750</v>
      </c>
      <c r="F93" s="165" t="s">
        <v>3065</v>
      </c>
    </row>
    <row r="94" customFormat="false" ht="15" hidden="false" customHeight="true" outlineLevel="0" collapsed="false">
      <c r="A94" s="163" t="s">
        <v>3018</v>
      </c>
      <c r="B94" s="163" t="s">
        <v>894</v>
      </c>
      <c r="C94" s="163" t="s">
        <v>3210</v>
      </c>
      <c r="D94" s="163" t="s">
        <v>3211</v>
      </c>
      <c r="E94" s="164" t="n">
        <v>5000</v>
      </c>
      <c r="F94" s="165" t="s">
        <v>3060</v>
      </c>
    </row>
    <row r="95" customFormat="false" ht="15" hidden="false" customHeight="true" outlineLevel="0" collapsed="false">
      <c r="A95" s="163" t="s">
        <v>3018</v>
      </c>
      <c r="B95" s="163" t="s">
        <v>894</v>
      </c>
      <c r="C95" s="163" t="s">
        <v>3212</v>
      </c>
      <c r="D95" s="163" t="s">
        <v>3213</v>
      </c>
      <c r="E95" s="164" t="n">
        <v>5000</v>
      </c>
      <c r="F95" s="165" t="s">
        <v>3214</v>
      </c>
    </row>
    <row r="96" customFormat="false" ht="15" hidden="false" customHeight="true" outlineLevel="0" collapsed="false">
      <c r="A96" s="163" t="s">
        <v>3018</v>
      </c>
      <c r="B96" s="163" t="s">
        <v>894</v>
      </c>
      <c r="C96" s="163" t="s">
        <v>3215</v>
      </c>
      <c r="D96" s="163" t="s">
        <v>3216</v>
      </c>
      <c r="E96" s="164" t="n">
        <v>5000</v>
      </c>
      <c r="F96" s="165" t="s">
        <v>3217</v>
      </c>
    </row>
    <row r="97" customFormat="false" ht="15" hidden="false" customHeight="true" outlineLevel="0" collapsed="false">
      <c r="A97" s="163" t="s">
        <v>3018</v>
      </c>
      <c r="B97" s="163" t="s">
        <v>894</v>
      </c>
      <c r="C97" s="163" t="s">
        <v>3157</v>
      </c>
      <c r="D97" s="163" t="s">
        <v>3158</v>
      </c>
      <c r="E97" s="164" t="n">
        <v>5000</v>
      </c>
      <c r="F97" s="165" t="s">
        <v>3218</v>
      </c>
    </row>
    <row r="98" customFormat="false" ht="15" hidden="false" customHeight="true" outlineLevel="0" collapsed="false">
      <c r="A98" s="163" t="s">
        <v>3018</v>
      </c>
      <c r="B98" s="163" t="s">
        <v>894</v>
      </c>
      <c r="C98" s="163" t="s">
        <v>3219</v>
      </c>
      <c r="D98" s="163" t="s">
        <v>3220</v>
      </c>
      <c r="E98" s="164" t="n">
        <v>5000</v>
      </c>
      <c r="F98" s="165" t="s">
        <v>3221</v>
      </c>
    </row>
    <row r="99" customFormat="false" ht="15" hidden="false" customHeight="true" outlineLevel="0" collapsed="false">
      <c r="A99" s="163" t="s">
        <v>3018</v>
      </c>
      <c r="B99" s="163" t="s">
        <v>894</v>
      </c>
      <c r="C99" s="163" t="s">
        <v>3222</v>
      </c>
      <c r="D99" s="163" t="s">
        <v>3223</v>
      </c>
      <c r="E99" s="164" t="n">
        <v>5000</v>
      </c>
      <c r="F99" s="165" t="s">
        <v>3224</v>
      </c>
    </row>
    <row r="100" customFormat="false" ht="15" hidden="false" customHeight="true" outlineLevel="0" collapsed="false">
      <c r="A100" s="163" t="s">
        <v>3018</v>
      </c>
      <c r="B100" s="163" t="s">
        <v>894</v>
      </c>
      <c r="C100" s="163" t="s">
        <v>1202</v>
      </c>
      <c r="D100" s="163" t="s">
        <v>2693</v>
      </c>
      <c r="E100" s="164" t="n">
        <v>5000</v>
      </c>
      <c r="F100" s="165" t="s">
        <v>3225</v>
      </c>
    </row>
    <row r="101" customFormat="false" ht="15" hidden="false" customHeight="true" outlineLevel="0" collapsed="false">
      <c r="A101" s="163" t="s">
        <v>3018</v>
      </c>
      <c r="B101" s="163" t="s">
        <v>894</v>
      </c>
      <c r="C101" s="163" t="s">
        <v>3074</v>
      </c>
      <c r="D101" s="163" t="s">
        <v>3075</v>
      </c>
      <c r="E101" s="164" t="n">
        <v>5000</v>
      </c>
      <c r="F101" s="165" t="s">
        <v>3226</v>
      </c>
    </row>
    <row r="102" customFormat="false" ht="15" hidden="false" customHeight="true" outlineLevel="0" collapsed="false">
      <c r="A102" s="163" t="s">
        <v>3018</v>
      </c>
      <c r="B102" s="163" t="s">
        <v>894</v>
      </c>
      <c r="C102" s="163" t="s">
        <v>3227</v>
      </c>
      <c r="D102" s="163" t="s">
        <v>3228</v>
      </c>
      <c r="E102" s="164" t="n">
        <v>5000</v>
      </c>
      <c r="F102" s="165" t="s">
        <v>3229</v>
      </c>
    </row>
    <row r="103" customFormat="false" ht="15" hidden="false" customHeight="true" outlineLevel="0" collapsed="false">
      <c r="A103" s="163" t="s">
        <v>3018</v>
      </c>
      <c r="B103" s="163" t="s">
        <v>894</v>
      </c>
      <c r="C103" s="163" t="s">
        <v>3168</v>
      </c>
      <c r="D103" s="163" t="s">
        <v>3169</v>
      </c>
      <c r="E103" s="164" t="n">
        <v>5000</v>
      </c>
      <c r="F103" s="165" t="s">
        <v>3230</v>
      </c>
    </row>
    <row r="104" customFormat="false" ht="15" hidden="false" customHeight="true" outlineLevel="0" collapsed="false">
      <c r="A104" s="163" t="s">
        <v>3018</v>
      </c>
      <c r="B104" s="163" t="s">
        <v>894</v>
      </c>
      <c r="C104" s="163" t="s">
        <v>3231</v>
      </c>
      <c r="D104" s="163" t="s">
        <v>3232</v>
      </c>
      <c r="E104" s="164" t="n">
        <v>5000</v>
      </c>
      <c r="F104" s="165" t="s">
        <v>3065</v>
      </c>
    </row>
    <row r="105" customFormat="false" ht="15" hidden="false" customHeight="true" outlineLevel="0" collapsed="false">
      <c r="A105" s="163" t="s">
        <v>3018</v>
      </c>
      <c r="B105" s="163" t="s">
        <v>894</v>
      </c>
      <c r="C105" s="163" t="s">
        <v>3233</v>
      </c>
      <c r="D105" s="163" t="s">
        <v>3234</v>
      </c>
      <c r="E105" s="164" t="n">
        <v>5000</v>
      </c>
      <c r="F105" s="165" t="s">
        <v>3065</v>
      </c>
    </row>
    <row r="106" customFormat="false" ht="15" hidden="false" customHeight="true" outlineLevel="0" collapsed="false">
      <c r="A106" s="163" t="s">
        <v>3018</v>
      </c>
      <c r="B106" s="163" t="s">
        <v>894</v>
      </c>
      <c r="C106" s="163" t="s">
        <v>3235</v>
      </c>
      <c r="D106" s="163" t="s">
        <v>3236</v>
      </c>
      <c r="E106" s="164" t="n">
        <v>5000</v>
      </c>
      <c r="F106" s="165" t="s">
        <v>3237</v>
      </c>
    </row>
    <row r="107" customFormat="false" ht="15" hidden="false" customHeight="true" outlineLevel="0" collapsed="false">
      <c r="A107" s="163" t="s">
        <v>3018</v>
      </c>
      <c r="B107" s="163" t="s">
        <v>894</v>
      </c>
      <c r="C107" s="163" t="s">
        <v>3238</v>
      </c>
      <c r="D107" s="163" t="s">
        <v>3239</v>
      </c>
      <c r="E107" s="164" t="n">
        <v>5000</v>
      </c>
      <c r="F107" s="165" t="s">
        <v>3240</v>
      </c>
    </row>
    <row r="108" customFormat="false" ht="15" hidden="false" customHeight="true" outlineLevel="0" collapsed="false">
      <c r="A108" s="163" t="s">
        <v>3018</v>
      </c>
      <c r="B108" s="163" t="s">
        <v>894</v>
      </c>
      <c r="C108" s="163" t="s">
        <v>3241</v>
      </c>
      <c r="D108" s="163" t="s">
        <v>3242</v>
      </c>
      <c r="E108" s="164" t="n">
        <v>5000</v>
      </c>
      <c r="F108" s="165" t="s">
        <v>3065</v>
      </c>
    </row>
    <row r="109" customFormat="false" ht="15" hidden="false" customHeight="true" outlineLevel="0" collapsed="false">
      <c r="A109" s="163" t="s">
        <v>3018</v>
      </c>
      <c r="B109" s="163" t="s">
        <v>894</v>
      </c>
      <c r="C109" s="163" t="s">
        <v>3243</v>
      </c>
      <c r="D109" s="163" t="s">
        <v>3244</v>
      </c>
      <c r="E109" s="164" t="n">
        <v>5000</v>
      </c>
      <c r="F109" s="165" t="s">
        <v>3065</v>
      </c>
    </row>
    <row r="110" customFormat="false" ht="15" hidden="false" customHeight="true" outlineLevel="0" collapsed="false">
      <c r="A110" s="163" t="s">
        <v>3018</v>
      </c>
      <c r="B110" s="163" t="s">
        <v>894</v>
      </c>
      <c r="C110" s="163" t="s">
        <v>3245</v>
      </c>
      <c r="D110" s="163" t="s">
        <v>3246</v>
      </c>
      <c r="E110" s="164" t="n">
        <v>5000</v>
      </c>
      <c r="F110" s="165" t="s">
        <v>3247</v>
      </c>
    </row>
    <row r="111" customFormat="false" ht="15" hidden="false" customHeight="true" outlineLevel="0" collapsed="false">
      <c r="A111" s="163" t="s">
        <v>3018</v>
      </c>
      <c r="B111" s="163" t="s">
        <v>894</v>
      </c>
      <c r="C111" s="163" t="s">
        <v>3248</v>
      </c>
      <c r="D111" s="163" t="s">
        <v>3249</v>
      </c>
      <c r="E111" s="164" t="n">
        <v>5000</v>
      </c>
      <c r="F111" s="165" t="s">
        <v>3065</v>
      </c>
    </row>
    <row r="112" customFormat="false" ht="15" hidden="false" customHeight="true" outlineLevel="0" collapsed="false">
      <c r="A112" s="163" t="s">
        <v>3018</v>
      </c>
      <c r="B112" s="163" t="s">
        <v>894</v>
      </c>
      <c r="C112" s="163" t="s">
        <v>3250</v>
      </c>
      <c r="D112" s="163" t="s">
        <v>3251</v>
      </c>
      <c r="E112" s="164" t="n">
        <v>5000</v>
      </c>
      <c r="F112" s="165" t="s">
        <v>3252</v>
      </c>
    </row>
    <row r="113" customFormat="false" ht="15" hidden="false" customHeight="true" outlineLevel="0" collapsed="false">
      <c r="A113" s="163" t="s">
        <v>3018</v>
      </c>
      <c r="B113" s="163" t="s">
        <v>894</v>
      </c>
      <c r="C113" s="163" t="s">
        <v>3253</v>
      </c>
      <c r="D113" s="163" t="s">
        <v>3254</v>
      </c>
      <c r="E113" s="164" t="n">
        <v>5000</v>
      </c>
      <c r="F113" s="165" t="s">
        <v>3060</v>
      </c>
    </row>
    <row r="114" customFormat="false" ht="15" hidden="false" customHeight="true" outlineLevel="0" collapsed="false">
      <c r="A114" s="163" t="s">
        <v>3018</v>
      </c>
      <c r="B114" s="163" t="s">
        <v>894</v>
      </c>
      <c r="C114" s="163" t="s">
        <v>3255</v>
      </c>
      <c r="D114" s="163" t="s">
        <v>1931</v>
      </c>
      <c r="E114" s="164" t="n">
        <v>5000</v>
      </c>
      <c r="F114" s="165" t="s">
        <v>3060</v>
      </c>
    </row>
    <row r="115" customFormat="false" ht="15" hidden="false" customHeight="true" outlineLevel="0" collapsed="false">
      <c r="A115" s="163" t="s">
        <v>3018</v>
      </c>
      <c r="B115" s="163" t="s">
        <v>894</v>
      </c>
      <c r="C115" s="163" t="s">
        <v>925</v>
      </c>
      <c r="D115" s="163" t="s">
        <v>1931</v>
      </c>
      <c r="E115" s="164" t="n">
        <v>5000</v>
      </c>
      <c r="F115" s="165" t="s">
        <v>3256</v>
      </c>
    </row>
    <row r="116" customFormat="false" ht="15" hidden="false" customHeight="true" outlineLevel="0" collapsed="false">
      <c r="A116" s="163" t="s">
        <v>3018</v>
      </c>
      <c r="B116" s="163" t="s">
        <v>894</v>
      </c>
      <c r="C116" s="163" t="s">
        <v>925</v>
      </c>
      <c r="D116" s="163" t="s">
        <v>1931</v>
      </c>
      <c r="E116" s="164" t="n">
        <v>5000</v>
      </c>
      <c r="F116" s="165" t="s">
        <v>3257</v>
      </c>
    </row>
    <row r="117" customFormat="false" ht="15" hidden="false" customHeight="true" outlineLevel="0" collapsed="false">
      <c r="A117" s="163" t="s">
        <v>3018</v>
      </c>
      <c r="B117" s="163" t="s">
        <v>894</v>
      </c>
      <c r="C117" s="163" t="s">
        <v>925</v>
      </c>
      <c r="D117" s="163" t="s">
        <v>1931</v>
      </c>
      <c r="E117" s="164" t="n">
        <v>5000</v>
      </c>
      <c r="F117" s="165" t="s">
        <v>3258</v>
      </c>
    </row>
    <row r="118" customFormat="false" ht="15" hidden="false" customHeight="true" outlineLevel="0" collapsed="false">
      <c r="A118" s="163" t="s">
        <v>3018</v>
      </c>
      <c r="B118" s="163" t="s">
        <v>894</v>
      </c>
      <c r="C118" s="163" t="s">
        <v>925</v>
      </c>
      <c r="D118" s="163" t="s">
        <v>1931</v>
      </c>
      <c r="E118" s="164" t="n">
        <v>5000</v>
      </c>
      <c r="F118" s="165" t="s">
        <v>3259</v>
      </c>
    </row>
    <row r="119" customFormat="false" ht="15" hidden="false" customHeight="true" outlineLevel="0" collapsed="false">
      <c r="A119" s="163" t="s">
        <v>3018</v>
      </c>
      <c r="B119" s="163" t="s">
        <v>894</v>
      </c>
      <c r="C119" s="163" t="s">
        <v>3260</v>
      </c>
      <c r="D119" s="163" t="s">
        <v>3261</v>
      </c>
      <c r="E119" s="164" t="n">
        <v>5000</v>
      </c>
      <c r="F119" s="165" t="s">
        <v>3065</v>
      </c>
    </row>
    <row r="120" customFormat="false" ht="15" hidden="false" customHeight="true" outlineLevel="0" collapsed="false">
      <c r="A120" s="163" t="s">
        <v>3018</v>
      </c>
      <c r="B120" s="163" t="s">
        <v>894</v>
      </c>
      <c r="C120" s="163" t="s">
        <v>925</v>
      </c>
      <c r="D120" s="163" t="s">
        <v>1931</v>
      </c>
      <c r="E120" s="164" t="n">
        <v>4000</v>
      </c>
      <c r="F120" s="165" t="s">
        <v>3262</v>
      </c>
    </row>
    <row r="121" customFormat="false" ht="15" hidden="false" customHeight="true" outlineLevel="0" collapsed="false">
      <c r="A121" s="163" t="s">
        <v>3018</v>
      </c>
      <c r="B121" s="163" t="s">
        <v>894</v>
      </c>
      <c r="C121" s="163" t="s">
        <v>925</v>
      </c>
      <c r="D121" s="163" t="s">
        <v>1931</v>
      </c>
      <c r="E121" s="164" t="n">
        <v>3500</v>
      </c>
      <c r="F121" s="165" t="s">
        <v>3263</v>
      </c>
    </row>
    <row r="122" customFormat="false" ht="15" hidden="false" customHeight="true" outlineLevel="0" collapsed="false">
      <c r="A122" s="163" t="s">
        <v>3018</v>
      </c>
      <c r="B122" s="163" t="s">
        <v>894</v>
      </c>
      <c r="C122" s="163" t="s">
        <v>925</v>
      </c>
      <c r="D122" s="163" t="s">
        <v>1931</v>
      </c>
      <c r="E122" s="164" t="n">
        <v>3000</v>
      </c>
      <c r="F122" s="165" t="s">
        <v>3264</v>
      </c>
    </row>
    <row r="123" customFormat="false" ht="15" hidden="false" customHeight="true" outlineLevel="0" collapsed="false">
      <c r="A123" s="163" t="s">
        <v>3018</v>
      </c>
      <c r="B123" s="163" t="s">
        <v>894</v>
      </c>
      <c r="C123" s="163" t="s">
        <v>3265</v>
      </c>
      <c r="D123" s="163" t="s">
        <v>1931</v>
      </c>
      <c r="E123" s="164" t="n">
        <v>2500</v>
      </c>
      <c r="F123" s="165" t="s">
        <v>3060</v>
      </c>
    </row>
    <row r="124" customFormat="false" ht="15" hidden="false" customHeight="true" outlineLevel="0" collapsed="false">
      <c r="A124" s="163" t="s">
        <v>3018</v>
      </c>
      <c r="B124" s="163" t="s">
        <v>894</v>
      </c>
      <c r="C124" s="163" t="s">
        <v>925</v>
      </c>
      <c r="D124" s="163" t="s">
        <v>1931</v>
      </c>
      <c r="E124" s="164" t="n">
        <v>2500</v>
      </c>
      <c r="F124" s="165" t="s">
        <v>3266</v>
      </c>
    </row>
    <row r="125" customFormat="false" ht="15" hidden="false" customHeight="true" outlineLevel="0" collapsed="false">
      <c r="A125" s="163" t="s">
        <v>3018</v>
      </c>
      <c r="B125" s="163" t="s">
        <v>894</v>
      </c>
      <c r="C125" s="163" t="s">
        <v>925</v>
      </c>
      <c r="D125" s="163" t="s">
        <v>1931</v>
      </c>
      <c r="E125" s="164" t="n">
        <v>2500</v>
      </c>
      <c r="F125" s="165" t="s">
        <v>3267</v>
      </c>
    </row>
    <row r="126" customFormat="false" ht="15" hidden="false" customHeight="true" outlineLevel="0" collapsed="false">
      <c r="A126" s="163" t="s">
        <v>3018</v>
      </c>
      <c r="B126" s="163" t="s">
        <v>894</v>
      </c>
      <c r="C126" s="163" t="s">
        <v>925</v>
      </c>
      <c r="D126" s="163" t="s">
        <v>1931</v>
      </c>
      <c r="E126" s="164" t="n">
        <v>1000</v>
      </c>
      <c r="F126" s="165" t="s">
        <v>3268</v>
      </c>
    </row>
    <row r="127" customFormat="false" ht="15" hidden="false" customHeight="true" outlineLevel="0" collapsed="false">
      <c r="A127" s="163" t="s">
        <v>3018</v>
      </c>
      <c r="B127" s="163" t="s">
        <v>882</v>
      </c>
      <c r="C127" s="163" t="s">
        <v>2759</v>
      </c>
      <c r="D127" s="163" t="s">
        <v>2760</v>
      </c>
      <c r="E127" s="164" t="n">
        <v>160000</v>
      </c>
      <c r="F127" s="165" t="s">
        <v>3060</v>
      </c>
    </row>
    <row r="128" customFormat="false" ht="15" hidden="false" customHeight="true" outlineLevel="0" collapsed="false">
      <c r="A128" s="163" t="s">
        <v>3018</v>
      </c>
      <c r="B128" s="163" t="s">
        <v>882</v>
      </c>
      <c r="C128" s="163" t="s">
        <v>640</v>
      </c>
      <c r="D128" s="163" t="s">
        <v>1931</v>
      </c>
      <c r="E128" s="164" t="n">
        <v>100000</v>
      </c>
      <c r="F128" s="165" t="s">
        <v>3060</v>
      </c>
    </row>
    <row r="129" customFormat="false" ht="15" hidden="false" customHeight="true" outlineLevel="0" collapsed="false">
      <c r="A129" s="163" t="s">
        <v>3018</v>
      </c>
      <c r="B129" s="163" t="s">
        <v>882</v>
      </c>
      <c r="C129" s="163" t="s">
        <v>3269</v>
      </c>
      <c r="D129" s="163" t="s">
        <v>3270</v>
      </c>
      <c r="E129" s="164" t="n">
        <v>20000</v>
      </c>
      <c r="F129" s="165" t="s">
        <v>3060</v>
      </c>
    </row>
    <row r="130" customFormat="false" ht="15" hidden="false" customHeight="true" outlineLevel="0" collapsed="false">
      <c r="A130" s="163" t="s">
        <v>3018</v>
      </c>
      <c r="B130" s="163" t="s">
        <v>2328</v>
      </c>
      <c r="C130" s="163" t="s">
        <v>3159</v>
      </c>
      <c r="D130" s="163" t="s">
        <v>3160</v>
      </c>
      <c r="E130" s="164" t="n">
        <v>40000</v>
      </c>
      <c r="F130" s="165" t="s">
        <v>3271</v>
      </c>
    </row>
    <row r="131" customFormat="false" ht="15" hidden="false" customHeight="true" outlineLevel="0" collapsed="false">
      <c r="A131" s="163" t="s">
        <v>3018</v>
      </c>
      <c r="B131" s="163" t="s">
        <v>2328</v>
      </c>
      <c r="C131" s="163" t="s">
        <v>3151</v>
      </c>
      <c r="D131" s="163" t="s">
        <v>3152</v>
      </c>
      <c r="E131" s="164" t="n">
        <v>10000</v>
      </c>
      <c r="F131" s="165" t="s">
        <v>3060</v>
      </c>
    </row>
    <row r="132" customFormat="false" ht="15" hidden="false" customHeight="true" outlineLevel="0" collapsed="false">
      <c r="A132" s="163" t="s">
        <v>3018</v>
      </c>
      <c r="B132" s="163" t="s">
        <v>2342</v>
      </c>
      <c r="C132" s="163" t="s">
        <v>3272</v>
      </c>
      <c r="D132" s="163" t="s">
        <v>3273</v>
      </c>
      <c r="E132" s="164" t="n">
        <v>25000</v>
      </c>
      <c r="F132" s="165" t="s">
        <v>3060</v>
      </c>
    </row>
    <row r="133" customFormat="false" ht="15" hidden="false" customHeight="true" outlineLevel="0" collapsed="false">
      <c r="A133" s="163" t="s">
        <v>3018</v>
      </c>
      <c r="B133" s="163" t="s">
        <v>2342</v>
      </c>
      <c r="C133" s="163" t="s">
        <v>3063</v>
      </c>
      <c r="D133" s="163" t="s">
        <v>3064</v>
      </c>
      <c r="E133" s="164" t="n">
        <v>20000</v>
      </c>
      <c r="F133" s="165" t="s">
        <v>3060</v>
      </c>
    </row>
    <row r="134" customFormat="false" ht="15" hidden="false" customHeight="true" outlineLevel="0" collapsed="false">
      <c r="A134" s="163" t="s">
        <v>3018</v>
      </c>
      <c r="B134" s="163" t="s">
        <v>2342</v>
      </c>
      <c r="C134" s="163" t="s">
        <v>197</v>
      </c>
      <c r="D134" s="163" t="s">
        <v>1931</v>
      </c>
      <c r="E134" s="164" t="n">
        <v>20000</v>
      </c>
      <c r="F134" s="165" t="s">
        <v>3060</v>
      </c>
    </row>
    <row r="135" customFormat="false" ht="15" hidden="false" customHeight="true" outlineLevel="0" collapsed="false">
      <c r="A135" s="163" t="s">
        <v>3018</v>
      </c>
      <c r="B135" s="163" t="s">
        <v>2342</v>
      </c>
      <c r="C135" s="163" t="s">
        <v>3149</v>
      </c>
      <c r="D135" s="163" t="s">
        <v>3150</v>
      </c>
      <c r="E135" s="164" t="n">
        <v>15000</v>
      </c>
      <c r="F135" s="165" t="s">
        <v>3060</v>
      </c>
    </row>
    <row r="136" customFormat="false" ht="15" hidden="false" customHeight="true" outlineLevel="0" collapsed="false">
      <c r="A136" s="163" t="s">
        <v>3018</v>
      </c>
      <c r="B136" s="163" t="s">
        <v>2342</v>
      </c>
      <c r="C136" s="163" t="s">
        <v>3274</v>
      </c>
      <c r="D136" s="163" t="s">
        <v>3275</v>
      </c>
      <c r="E136" s="164" t="n">
        <v>10000</v>
      </c>
      <c r="F136" s="165" t="s">
        <v>3060</v>
      </c>
    </row>
    <row r="137" customFormat="false" ht="15" hidden="false" customHeight="true" outlineLevel="0" collapsed="false">
      <c r="A137" s="163" t="s">
        <v>3018</v>
      </c>
      <c r="B137" s="163" t="s">
        <v>2766</v>
      </c>
      <c r="C137" s="163" t="s">
        <v>3137</v>
      </c>
      <c r="D137" s="163" t="s">
        <v>3138</v>
      </c>
      <c r="E137" s="164" t="n">
        <v>15000</v>
      </c>
      <c r="F137" s="165" t="s">
        <v>3060</v>
      </c>
    </row>
    <row r="138" customFormat="false" ht="15" hidden="false" customHeight="true" outlineLevel="0" collapsed="false">
      <c r="A138" s="163" t="s">
        <v>3018</v>
      </c>
      <c r="B138" s="163" t="s">
        <v>2766</v>
      </c>
      <c r="C138" s="163" t="s">
        <v>3276</v>
      </c>
      <c r="D138" s="163" t="s">
        <v>3277</v>
      </c>
      <c r="E138" s="164" t="n">
        <v>15000</v>
      </c>
      <c r="F138" s="165" t="s">
        <v>3060</v>
      </c>
    </row>
    <row r="139" customFormat="false" ht="15" hidden="false" customHeight="true" outlineLevel="0" collapsed="false">
      <c r="A139" s="163" t="s">
        <v>3018</v>
      </c>
      <c r="B139" s="163" t="s">
        <v>1743</v>
      </c>
      <c r="C139" s="163" t="s">
        <v>3074</v>
      </c>
      <c r="D139" s="163" t="s">
        <v>3075</v>
      </c>
      <c r="E139" s="164" t="n">
        <v>20000</v>
      </c>
      <c r="F139" s="165" t="s">
        <v>3060</v>
      </c>
    </row>
    <row r="140" customFormat="false" ht="15" hidden="false" customHeight="true" outlineLevel="0" collapsed="false">
      <c r="A140" s="163" t="s">
        <v>3018</v>
      </c>
      <c r="B140" s="163" t="s">
        <v>1743</v>
      </c>
      <c r="C140" s="163" t="s">
        <v>3066</v>
      </c>
      <c r="D140" s="163" t="s">
        <v>3067</v>
      </c>
      <c r="E140" s="164" t="n">
        <v>20000</v>
      </c>
      <c r="F140" s="165" t="s">
        <v>3060</v>
      </c>
    </row>
    <row r="141" customFormat="false" ht="15" hidden="false" customHeight="true" outlineLevel="0" collapsed="false">
      <c r="A141" s="163" t="s">
        <v>3018</v>
      </c>
      <c r="B141" s="163" t="s">
        <v>1743</v>
      </c>
      <c r="C141" s="163" t="s">
        <v>3077</v>
      </c>
      <c r="D141" s="163" t="s">
        <v>3078</v>
      </c>
      <c r="E141" s="164" t="n">
        <v>20000</v>
      </c>
      <c r="F141" s="165" t="s">
        <v>3060</v>
      </c>
    </row>
    <row r="142" customFormat="false" ht="15" hidden="false" customHeight="true" outlineLevel="0" collapsed="false">
      <c r="A142" s="163" t="s">
        <v>3018</v>
      </c>
      <c r="B142" s="163" t="s">
        <v>1743</v>
      </c>
      <c r="C142" s="163" t="s">
        <v>3276</v>
      </c>
      <c r="D142" s="163" t="s">
        <v>3277</v>
      </c>
      <c r="E142" s="164" t="n">
        <v>15000</v>
      </c>
      <c r="F142" s="165" t="s">
        <v>3060</v>
      </c>
    </row>
    <row r="143" customFormat="false" ht="15" hidden="false" customHeight="true" outlineLevel="0" collapsed="false">
      <c r="A143" s="163" t="s">
        <v>3018</v>
      </c>
      <c r="B143" s="163" t="s">
        <v>1743</v>
      </c>
      <c r="C143" s="163" t="s">
        <v>3215</v>
      </c>
      <c r="D143" s="163" t="s">
        <v>3216</v>
      </c>
      <c r="E143" s="164" t="n">
        <v>15000</v>
      </c>
      <c r="F143" s="165" t="s">
        <v>3060</v>
      </c>
    </row>
    <row r="144" customFormat="false" ht="15" hidden="false" customHeight="true" outlineLevel="0" collapsed="false">
      <c r="A144" s="163" t="s">
        <v>3018</v>
      </c>
      <c r="B144" s="163" t="s">
        <v>1743</v>
      </c>
      <c r="C144" s="163" t="s">
        <v>3278</v>
      </c>
      <c r="D144" s="163" t="s">
        <v>3279</v>
      </c>
      <c r="E144" s="164" t="n">
        <v>10000</v>
      </c>
      <c r="F144" s="165" t="s">
        <v>3060</v>
      </c>
    </row>
    <row r="145" customFormat="false" ht="15" hidden="false" customHeight="true" outlineLevel="0" collapsed="false">
      <c r="A145" s="163" t="s">
        <v>3018</v>
      </c>
      <c r="B145" s="163" t="s">
        <v>1743</v>
      </c>
      <c r="C145" s="163" t="s">
        <v>3280</v>
      </c>
      <c r="D145" s="163" t="s">
        <v>3281</v>
      </c>
      <c r="E145" s="164" t="n">
        <v>10000</v>
      </c>
      <c r="F145" s="165" t="s">
        <v>3060</v>
      </c>
    </row>
    <row r="146" customFormat="false" ht="15" hidden="false" customHeight="true" outlineLevel="0" collapsed="false">
      <c r="A146" s="163" t="s">
        <v>3018</v>
      </c>
      <c r="B146" s="163" t="s">
        <v>1743</v>
      </c>
      <c r="C146" s="163" t="s">
        <v>3122</v>
      </c>
      <c r="D146" s="163" t="s">
        <v>3123</v>
      </c>
      <c r="E146" s="164" t="n">
        <v>10000</v>
      </c>
      <c r="F146" s="165" t="s">
        <v>3060</v>
      </c>
    </row>
    <row r="147" customFormat="false" ht="15" hidden="false" customHeight="true" outlineLevel="0" collapsed="false">
      <c r="A147" s="163" t="s">
        <v>3018</v>
      </c>
      <c r="B147" s="163" t="s">
        <v>1743</v>
      </c>
      <c r="C147" s="163" t="s">
        <v>3282</v>
      </c>
      <c r="D147" s="163" t="s">
        <v>3283</v>
      </c>
      <c r="E147" s="164" t="n">
        <v>10000</v>
      </c>
      <c r="F147" s="165" t="s">
        <v>3060</v>
      </c>
    </row>
    <row r="148" customFormat="false" ht="15" hidden="false" customHeight="true" outlineLevel="0" collapsed="false">
      <c r="A148" s="163" t="s">
        <v>3018</v>
      </c>
      <c r="B148" s="163" t="s">
        <v>1743</v>
      </c>
      <c r="C148" s="163" t="s">
        <v>3082</v>
      </c>
      <c r="D148" s="163" t="s">
        <v>3083</v>
      </c>
      <c r="E148" s="164" t="n">
        <v>10000</v>
      </c>
      <c r="F148" s="165" t="s">
        <v>3060</v>
      </c>
    </row>
    <row r="149" customFormat="false" ht="15" hidden="false" customHeight="true" outlineLevel="0" collapsed="false">
      <c r="A149" s="163" t="s">
        <v>3018</v>
      </c>
      <c r="B149" s="163" t="s">
        <v>1743</v>
      </c>
      <c r="C149" s="163" t="s">
        <v>3210</v>
      </c>
      <c r="D149" s="163" t="s">
        <v>3211</v>
      </c>
      <c r="E149" s="164" t="n">
        <v>5000</v>
      </c>
      <c r="F149" s="165" t="s">
        <v>3060</v>
      </c>
    </row>
    <row r="150" customFormat="false" ht="15" hidden="false" customHeight="true" outlineLevel="0" collapsed="false">
      <c r="A150" s="163" t="s">
        <v>3018</v>
      </c>
      <c r="B150" s="163" t="s">
        <v>1743</v>
      </c>
      <c r="C150" s="163" t="s">
        <v>3210</v>
      </c>
      <c r="D150" s="163" t="s">
        <v>3211</v>
      </c>
      <c r="E150" s="164" t="n">
        <v>5000</v>
      </c>
      <c r="F150" s="165" t="s">
        <v>3060</v>
      </c>
    </row>
    <row r="151" customFormat="false" ht="15" hidden="false" customHeight="true" outlineLevel="0" collapsed="false">
      <c r="A151" s="163" t="s">
        <v>3018</v>
      </c>
      <c r="B151" s="163" t="s">
        <v>928</v>
      </c>
      <c r="C151" s="163" t="s">
        <v>3284</v>
      </c>
      <c r="D151" s="163" t="s">
        <v>3285</v>
      </c>
      <c r="E151" s="164" t="n">
        <v>15000</v>
      </c>
      <c r="F151" s="165" t="s">
        <v>3286</v>
      </c>
    </row>
    <row r="152" customFormat="false" ht="15" hidden="false" customHeight="true" outlineLevel="0" collapsed="false">
      <c r="A152" s="163" t="s">
        <v>3018</v>
      </c>
      <c r="B152" s="163" t="s">
        <v>928</v>
      </c>
      <c r="C152" s="163" t="s">
        <v>3287</v>
      </c>
      <c r="D152" s="163" t="s">
        <v>3288</v>
      </c>
      <c r="E152" s="164" t="n">
        <v>12500</v>
      </c>
      <c r="F152" s="165" t="s">
        <v>3065</v>
      </c>
    </row>
    <row r="153" customFormat="false" ht="15" hidden="false" customHeight="true" outlineLevel="0" collapsed="false">
      <c r="A153" s="163" t="s">
        <v>3018</v>
      </c>
      <c r="B153" s="163" t="s">
        <v>928</v>
      </c>
      <c r="C153" s="163" t="s">
        <v>285</v>
      </c>
      <c r="D153" s="163" t="s">
        <v>2408</v>
      </c>
      <c r="E153" s="164" t="n">
        <v>12000</v>
      </c>
      <c r="F153" s="165" t="s">
        <v>3289</v>
      </c>
    </row>
    <row r="154" customFormat="false" ht="15" hidden="false" customHeight="true" outlineLevel="0" collapsed="false">
      <c r="A154" s="163" t="s">
        <v>3018</v>
      </c>
      <c r="B154" s="163" t="s">
        <v>928</v>
      </c>
      <c r="C154" s="163" t="s">
        <v>3290</v>
      </c>
      <c r="D154" s="163" t="s">
        <v>3291</v>
      </c>
      <c r="E154" s="164" t="n">
        <v>10000</v>
      </c>
      <c r="F154" s="165" t="s">
        <v>3292</v>
      </c>
    </row>
    <row r="155" customFormat="false" ht="15" hidden="false" customHeight="true" outlineLevel="0" collapsed="false">
      <c r="A155" s="163" t="s">
        <v>3018</v>
      </c>
      <c r="B155" s="163" t="s">
        <v>928</v>
      </c>
      <c r="C155" s="163" t="s">
        <v>3119</v>
      </c>
      <c r="D155" s="163" t="s">
        <v>3120</v>
      </c>
      <c r="E155" s="164" t="n">
        <v>10000</v>
      </c>
      <c r="F155" s="165" t="s">
        <v>3293</v>
      </c>
    </row>
    <row r="156" customFormat="false" ht="15" hidden="false" customHeight="true" outlineLevel="0" collapsed="false">
      <c r="A156" s="163" t="s">
        <v>3018</v>
      </c>
      <c r="B156" s="163" t="s">
        <v>928</v>
      </c>
      <c r="C156" s="163" t="s">
        <v>3294</v>
      </c>
      <c r="D156" s="163" t="s">
        <v>3295</v>
      </c>
      <c r="E156" s="164" t="n">
        <v>10000</v>
      </c>
      <c r="F156" s="165" t="s">
        <v>3296</v>
      </c>
    </row>
    <row r="157" customFormat="false" ht="15" hidden="false" customHeight="true" outlineLevel="0" collapsed="false">
      <c r="A157" s="163" t="s">
        <v>3018</v>
      </c>
      <c r="B157" s="163" t="s">
        <v>928</v>
      </c>
      <c r="C157" s="163" t="s">
        <v>3096</v>
      </c>
      <c r="D157" s="163" t="s">
        <v>3097</v>
      </c>
      <c r="E157" s="164" t="n">
        <v>8250</v>
      </c>
      <c r="F157" s="165" t="s">
        <v>3297</v>
      </c>
    </row>
    <row r="158" customFormat="false" ht="15" hidden="false" customHeight="true" outlineLevel="0" collapsed="false">
      <c r="A158" s="163" t="s">
        <v>3018</v>
      </c>
      <c r="B158" s="163" t="s">
        <v>928</v>
      </c>
      <c r="C158" s="163" t="s">
        <v>3298</v>
      </c>
      <c r="D158" s="163" t="s">
        <v>3299</v>
      </c>
      <c r="E158" s="164" t="n">
        <v>8000</v>
      </c>
      <c r="F158" s="165" t="s">
        <v>3300</v>
      </c>
    </row>
    <row r="159" customFormat="false" ht="15" hidden="false" customHeight="true" outlineLevel="0" collapsed="false">
      <c r="A159" s="163" t="s">
        <v>3018</v>
      </c>
      <c r="B159" s="163" t="s">
        <v>928</v>
      </c>
      <c r="C159" s="163" t="s">
        <v>3301</v>
      </c>
      <c r="D159" s="163" t="s">
        <v>3302</v>
      </c>
      <c r="E159" s="164" t="n">
        <v>8000</v>
      </c>
      <c r="F159" s="165" t="s">
        <v>3303</v>
      </c>
    </row>
    <row r="160" customFormat="false" ht="15" hidden="false" customHeight="true" outlineLevel="0" collapsed="false">
      <c r="A160" s="163" t="s">
        <v>3018</v>
      </c>
      <c r="B160" s="163" t="s">
        <v>928</v>
      </c>
      <c r="C160" s="163" t="s">
        <v>3304</v>
      </c>
      <c r="D160" s="163" t="s">
        <v>3305</v>
      </c>
      <c r="E160" s="164" t="n">
        <v>5000</v>
      </c>
      <c r="F160" s="165" t="s">
        <v>3065</v>
      </c>
    </row>
    <row r="161" customFormat="false" ht="15" hidden="false" customHeight="true" outlineLevel="0" collapsed="false">
      <c r="A161" s="163" t="s">
        <v>3018</v>
      </c>
      <c r="B161" s="163" t="s">
        <v>928</v>
      </c>
      <c r="C161" s="163" t="s">
        <v>3306</v>
      </c>
      <c r="D161" s="163" t="s">
        <v>3307</v>
      </c>
      <c r="E161" s="164" t="n">
        <v>5000</v>
      </c>
      <c r="F161" s="165" t="s">
        <v>3308</v>
      </c>
    </row>
    <row r="162" customFormat="false" ht="15" hidden="false" customHeight="true" outlineLevel="0" collapsed="false">
      <c r="A162" s="163" t="s">
        <v>3018</v>
      </c>
      <c r="B162" s="163" t="s">
        <v>928</v>
      </c>
      <c r="C162" s="163" t="s">
        <v>3309</v>
      </c>
      <c r="D162" s="163" t="s">
        <v>3310</v>
      </c>
      <c r="E162" s="164" t="n">
        <v>5000</v>
      </c>
      <c r="F162" s="165" t="s">
        <v>3292</v>
      </c>
    </row>
    <row r="163" customFormat="false" ht="15" hidden="false" customHeight="true" outlineLevel="0" collapsed="false">
      <c r="A163" s="163" t="s">
        <v>3018</v>
      </c>
      <c r="B163" s="163" t="s">
        <v>928</v>
      </c>
      <c r="C163" s="163" t="s">
        <v>3311</v>
      </c>
      <c r="D163" s="163" t="s">
        <v>3312</v>
      </c>
      <c r="E163" s="164" t="n">
        <v>5000</v>
      </c>
      <c r="F163" s="165" t="s">
        <v>3313</v>
      </c>
    </row>
    <row r="164" customFormat="false" ht="15" hidden="false" customHeight="true" outlineLevel="0" collapsed="false">
      <c r="A164" s="163" t="s">
        <v>3018</v>
      </c>
      <c r="B164" s="163" t="s">
        <v>928</v>
      </c>
      <c r="C164" s="163" t="s">
        <v>3274</v>
      </c>
      <c r="D164" s="163" t="s">
        <v>3275</v>
      </c>
      <c r="E164" s="164" t="n">
        <v>5000</v>
      </c>
      <c r="F164" s="165" t="s">
        <v>3314</v>
      </c>
    </row>
    <row r="165" customFormat="false" ht="15" hidden="false" customHeight="true" outlineLevel="0" collapsed="false">
      <c r="A165" s="163" t="s">
        <v>3018</v>
      </c>
      <c r="B165" s="163" t="s">
        <v>928</v>
      </c>
      <c r="C165" s="163" t="s">
        <v>3315</v>
      </c>
      <c r="D165" s="163" t="s">
        <v>3316</v>
      </c>
      <c r="E165" s="164" t="n">
        <v>5000</v>
      </c>
      <c r="F165" s="165" t="s">
        <v>3292</v>
      </c>
    </row>
    <row r="166" customFormat="false" ht="15" hidden="false" customHeight="true" outlineLevel="0" collapsed="false">
      <c r="A166" s="163" t="s">
        <v>3018</v>
      </c>
      <c r="B166" s="163" t="s">
        <v>928</v>
      </c>
      <c r="C166" s="163" t="s">
        <v>3317</v>
      </c>
      <c r="D166" s="163" t="s">
        <v>3318</v>
      </c>
      <c r="E166" s="164" t="n">
        <v>5000</v>
      </c>
      <c r="F166" s="165" t="s">
        <v>3065</v>
      </c>
    </row>
    <row r="167" customFormat="false" ht="15" hidden="false" customHeight="true" outlineLevel="0" collapsed="false">
      <c r="A167" s="163" t="s">
        <v>3018</v>
      </c>
      <c r="B167" s="163" t="s">
        <v>928</v>
      </c>
      <c r="C167" s="163" t="s">
        <v>3319</v>
      </c>
      <c r="D167" s="163" t="s">
        <v>3320</v>
      </c>
      <c r="E167" s="164" t="n">
        <v>5000</v>
      </c>
      <c r="F167" s="165" t="s">
        <v>3321</v>
      </c>
    </row>
    <row r="168" customFormat="false" ht="15" hidden="false" customHeight="true" outlineLevel="0" collapsed="false">
      <c r="A168" s="163" t="s">
        <v>3018</v>
      </c>
      <c r="B168" s="163" t="s">
        <v>928</v>
      </c>
      <c r="C168" s="163" t="s">
        <v>3322</v>
      </c>
      <c r="D168" s="163" t="s">
        <v>3323</v>
      </c>
      <c r="E168" s="164" t="n">
        <v>5000</v>
      </c>
      <c r="F168" s="165" t="s">
        <v>3060</v>
      </c>
    </row>
    <row r="169" customFormat="false" ht="15" hidden="false" customHeight="true" outlineLevel="0" collapsed="false">
      <c r="A169" s="163" t="s">
        <v>3018</v>
      </c>
      <c r="B169" s="163" t="s">
        <v>928</v>
      </c>
      <c r="C169" s="163" t="s">
        <v>3324</v>
      </c>
      <c r="D169" s="163" t="s">
        <v>3325</v>
      </c>
      <c r="E169" s="164" t="n">
        <v>5000</v>
      </c>
      <c r="F169" s="165" t="s">
        <v>3060</v>
      </c>
    </row>
    <row r="170" customFormat="false" ht="15" hidden="false" customHeight="true" outlineLevel="0" collapsed="false">
      <c r="A170" s="163" t="s">
        <v>3018</v>
      </c>
      <c r="B170" s="163" t="s">
        <v>928</v>
      </c>
      <c r="C170" s="163" t="s">
        <v>3326</v>
      </c>
      <c r="D170" s="163" t="s">
        <v>3327</v>
      </c>
      <c r="E170" s="164" t="n">
        <v>5000</v>
      </c>
      <c r="F170" s="165" t="s">
        <v>3060</v>
      </c>
    </row>
    <row r="171" customFormat="false" ht="15" hidden="false" customHeight="true" outlineLevel="0" collapsed="false">
      <c r="A171" s="163" t="s">
        <v>3018</v>
      </c>
      <c r="B171" s="163" t="s">
        <v>928</v>
      </c>
      <c r="C171" s="163" t="s">
        <v>2167</v>
      </c>
      <c r="D171" s="163" t="s">
        <v>1931</v>
      </c>
      <c r="E171" s="164" t="n">
        <v>1250</v>
      </c>
      <c r="F171" s="165" t="s">
        <v>3060</v>
      </c>
    </row>
    <row r="172" customFormat="false" ht="15" hidden="false" customHeight="true" outlineLevel="0" collapsed="false">
      <c r="A172" s="163" t="s">
        <v>3014</v>
      </c>
      <c r="B172" s="163" t="s">
        <v>926</v>
      </c>
      <c r="C172" s="163" t="s">
        <v>3328</v>
      </c>
      <c r="D172" s="163" t="s">
        <v>3329</v>
      </c>
      <c r="E172" s="164" t="n">
        <v>20000</v>
      </c>
      <c r="F172" s="165" t="s">
        <v>3330</v>
      </c>
    </row>
    <row r="173" customFormat="false" ht="15" hidden="false" customHeight="true" outlineLevel="0" collapsed="false">
      <c r="A173" s="163" t="s">
        <v>3014</v>
      </c>
      <c r="B173" s="163" t="s">
        <v>926</v>
      </c>
      <c r="C173" s="163" t="s">
        <v>395</v>
      </c>
      <c r="D173" s="163" t="s">
        <v>2196</v>
      </c>
      <c r="E173" s="164" t="n">
        <v>20000</v>
      </c>
      <c r="F173" s="165" t="s">
        <v>3331</v>
      </c>
    </row>
    <row r="174" customFormat="false" ht="15" hidden="false" customHeight="true" outlineLevel="0" collapsed="false">
      <c r="A174" s="163" t="s">
        <v>3014</v>
      </c>
      <c r="B174" s="163" t="s">
        <v>926</v>
      </c>
      <c r="C174" s="163" t="s">
        <v>3145</v>
      </c>
      <c r="D174" s="163" t="s">
        <v>3146</v>
      </c>
      <c r="E174" s="164" t="n">
        <v>20000</v>
      </c>
      <c r="F174" s="165" t="s">
        <v>3332</v>
      </c>
    </row>
    <row r="175" customFormat="false" ht="15" hidden="false" customHeight="true" outlineLevel="0" collapsed="false">
      <c r="A175" s="163" t="s">
        <v>3014</v>
      </c>
      <c r="B175" s="163" t="s">
        <v>926</v>
      </c>
      <c r="C175" s="163" t="s">
        <v>3063</v>
      </c>
      <c r="D175" s="163" t="s">
        <v>3064</v>
      </c>
      <c r="E175" s="164" t="n">
        <v>15000</v>
      </c>
      <c r="F175" s="165" t="s">
        <v>3333</v>
      </c>
    </row>
    <row r="176" customFormat="false" ht="15" hidden="false" customHeight="true" outlineLevel="0" collapsed="false">
      <c r="A176" s="163" t="s">
        <v>3014</v>
      </c>
      <c r="B176" s="163" t="s">
        <v>926</v>
      </c>
      <c r="C176" s="163" t="s">
        <v>3334</v>
      </c>
      <c r="D176" s="163" t="s">
        <v>3335</v>
      </c>
      <c r="E176" s="164" t="n">
        <v>15000</v>
      </c>
      <c r="F176" s="165" t="s">
        <v>3336</v>
      </c>
    </row>
    <row r="177" customFormat="false" ht="15" hidden="false" customHeight="true" outlineLevel="0" collapsed="false">
      <c r="A177" s="163" t="s">
        <v>3014</v>
      </c>
      <c r="B177" s="163" t="s">
        <v>926</v>
      </c>
      <c r="C177" s="163" t="s">
        <v>3337</v>
      </c>
      <c r="D177" s="163" t="s">
        <v>3338</v>
      </c>
      <c r="E177" s="164" t="n">
        <v>10000</v>
      </c>
      <c r="F177" s="165" t="s">
        <v>3339</v>
      </c>
    </row>
    <row r="178" customFormat="false" ht="15" hidden="false" customHeight="true" outlineLevel="0" collapsed="false">
      <c r="A178" s="163" t="s">
        <v>3014</v>
      </c>
      <c r="B178" s="163" t="s">
        <v>957</v>
      </c>
      <c r="C178" s="163" t="s">
        <v>3340</v>
      </c>
      <c r="D178" s="163" t="s">
        <v>3341</v>
      </c>
      <c r="E178" s="164" t="n">
        <v>20000</v>
      </c>
      <c r="F178" s="165" t="s">
        <v>3342</v>
      </c>
    </row>
    <row r="179" customFormat="false" ht="15" hidden="false" customHeight="true" outlineLevel="0" collapsed="false">
      <c r="A179" s="163" t="s">
        <v>3014</v>
      </c>
      <c r="B179" s="163" t="s">
        <v>957</v>
      </c>
      <c r="C179" s="163" t="s">
        <v>3210</v>
      </c>
      <c r="D179" s="163" t="s">
        <v>3211</v>
      </c>
      <c r="E179" s="164" t="n">
        <v>20000</v>
      </c>
      <c r="F179" s="165" t="s">
        <v>3343</v>
      </c>
    </row>
    <row r="180" customFormat="false" ht="15" hidden="false" customHeight="true" outlineLevel="0" collapsed="false">
      <c r="A180" s="163" t="s">
        <v>3014</v>
      </c>
      <c r="B180" s="163" t="s">
        <v>957</v>
      </c>
      <c r="C180" s="163" t="s">
        <v>3344</v>
      </c>
      <c r="D180" s="163" t="s">
        <v>3345</v>
      </c>
      <c r="E180" s="164" t="n">
        <v>20000</v>
      </c>
      <c r="F180" s="165" t="s">
        <v>3346</v>
      </c>
    </row>
    <row r="181" customFormat="false" ht="15" hidden="false" customHeight="true" outlineLevel="0" collapsed="false">
      <c r="A181" s="163" t="s">
        <v>3014</v>
      </c>
      <c r="B181" s="163" t="s">
        <v>957</v>
      </c>
      <c r="C181" s="163" t="s">
        <v>3347</v>
      </c>
      <c r="D181" s="163" t="s">
        <v>3348</v>
      </c>
      <c r="E181" s="164" t="n">
        <v>15000</v>
      </c>
      <c r="F181" s="165" t="s">
        <v>3349</v>
      </c>
    </row>
    <row r="182" customFormat="false" ht="15" hidden="false" customHeight="true" outlineLevel="0" collapsed="false">
      <c r="A182" s="163" t="s">
        <v>3014</v>
      </c>
      <c r="B182" s="163" t="s">
        <v>957</v>
      </c>
      <c r="C182" s="163" t="s">
        <v>3350</v>
      </c>
      <c r="D182" s="163" t="s">
        <v>3351</v>
      </c>
      <c r="E182" s="164" t="n">
        <v>10000</v>
      </c>
      <c r="F182" s="165" t="s">
        <v>3352</v>
      </c>
    </row>
    <row r="183" customFormat="false" ht="15" hidden="false" customHeight="true" outlineLevel="0" collapsed="false">
      <c r="A183" s="163" t="s">
        <v>3014</v>
      </c>
      <c r="B183" s="163" t="s">
        <v>957</v>
      </c>
      <c r="C183" s="163" t="s">
        <v>3077</v>
      </c>
      <c r="D183" s="163" t="s">
        <v>3078</v>
      </c>
      <c r="E183" s="164" t="n">
        <v>10000</v>
      </c>
      <c r="F183" s="165" t="s">
        <v>3353</v>
      </c>
    </row>
    <row r="184" customFormat="false" ht="15" hidden="false" customHeight="true" outlineLevel="0" collapsed="false">
      <c r="A184" s="163" t="s">
        <v>3014</v>
      </c>
      <c r="B184" s="163" t="s">
        <v>957</v>
      </c>
      <c r="C184" s="163" t="s">
        <v>3354</v>
      </c>
      <c r="D184" s="163" t="s">
        <v>1931</v>
      </c>
      <c r="E184" s="164" t="n">
        <v>10000</v>
      </c>
      <c r="F184" s="165" t="s">
        <v>3060</v>
      </c>
    </row>
    <row r="185" customFormat="false" ht="15" hidden="false" customHeight="true" outlineLevel="0" collapsed="false">
      <c r="A185" s="163" t="s">
        <v>3014</v>
      </c>
      <c r="B185" s="163" t="s">
        <v>957</v>
      </c>
      <c r="C185" s="163" t="s">
        <v>1860</v>
      </c>
      <c r="D185" s="163" t="s">
        <v>1861</v>
      </c>
      <c r="E185" s="164" t="n">
        <v>5000</v>
      </c>
      <c r="F185" s="165" t="s">
        <v>3355</v>
      </c>
    </row>
    <row r="186" customFormat="false" ht="15" hidden="false" customHeight="true" outlineLevel="0" collapsed="false">
      <c r="A186" s="163" t="s">
        <v>3014</v>
      </c>
      <c r="B186" s="163" t="s">
        <v>945</v>
      </c>
      <c r="C186" s="163" t="s">
        <v>3180</v>
      </c>
      <c r="D186" s="163" t="s">
        <v>3181</v>
      </c>
      <c r="E186" s="164" t="n">
        <v>15000</v>
      </c>
      <c r="F186" s="165" t="s">
        <v>3356</v>
      </c>
    </row>
    <row r="187" customFormat="false" ht="15" hidden="false" customHeight="true" outlineLevel="0" collapsed="false">
      <c r="A187" s="163" t="s">
        <v>3014</v>
      </c>
      <c r="B187" s="163" t="s">
        <v>945</v>
      </c>
      <c r="C187" s="163" t="s">
        <v>3357</v>
      </c>
      <c r="D187" s="163" t="s">
        <v>3358</v>
      </c>
      <c r="E187" s="164" t="n">
        <v>10000</v>
      </c>
      <c r="F187" s="165" t="s">
        <v>3359</v>
      </c>
    </row>
    <row r="188" customFormat="false" ht="15" hidden="false" customHeight="true" outlineLevel="0" collapsed="false">
      <c r="A188" s="163" t="s">
        <v>3014</v>
      </c>
      <c r="B188" s="163" t="s">
        <v>945</v>
      </c>
      <c r="C188" s="163" t="s">
        <v>3360</v>
      </c>
      <c r="D188" s="163" t="s">
        <v>3361</v>
      </c>
      <c r="E188" s="164" t="n">
        <v>10000</v>
      </c>
      <c r="F188" s="165" t="s">
        <v>3362</v>
      </c>
    </row>
    <row r="189" customFormat="false" ht="15" hidden="false" customHeight="true" outlineLevel="0" collapsed="false">
      <c r="A189" s="163" t="s">
        <v>3014</v>
      </c>
      <c r="B189" s="163" t="s">
        <v>945</v>
      </c>
      <c r="C189" s="163" t="s">
        <v>3334</v>
      </c>
      <c r="D189" s="163" t="s">
        <v>3335</v>
      </c>
      <c r="E189" s="164" t="n">
        <v>10000</v>
      </c>
      <c r="F189" s="165" t="s">
        <v>3356</v>
      </c>
    </row>
    <row r="190" customFormat="false" ht="15" hidden="false" customHeight="true" outlineLevel="0" collapsed="false">
      <c r="A190" s="163" t="s">
        <v>3014</v>
      </c>
      <c r="B190" s="163" t="s">
        <v>945</v>
      </c>
      <c r="C190" s="163" t="s">
        <v>3363</v>
      </c>
      <c r="D190" s="163" t="s">
        <v>3364</v>
      </c>
      <c r="E190" s="164" t="n">
        <v>5000</v>
      </c>
      <c r="F190" s="165" t="s">
        <v>3365</v>
      </c>
    </row>
    <row r="191" customFormat="false" ht="15" hidden="false" customHeight="true" outlineLevel="0" collapsed="false">
      <c r="A191" s="163" t="s">
        <v>3014</v>
      </c>
      <c r="B191" s="163" t="s">
        <v>3111</v>
      </c>
      <c r="C191" s="163" t="s">
        <v>2879</v>
      </c>
      <c r="D191" s="163" t="s">
        <v>1931</v>
      </c>
      <c r="E191" s="164" t="n">
        <v>20000</v>
      </c>
      <c r="F191" s="165" t="s">
        <v>3366</v>
      </c>
    </row>
    <row r="192" customFormat="false" ht="15" hidden="false" customHeight="true" outlineLevel="0" collapsed="false">
      <c r="A192" s="163" t="s">
        <v>3014</v>
      </c>
      <c r="B192" s="163" t="s">
        <v>3111</v>
      </c>
      <c r="C192" s="163" t="s">
        <v>2879</v>
      </c>
      <c r="D192" s="163" t="s">
        <v>1931</v>
      </c>
      <c r="E192" s="164" t="n">
        <v>20000</v>
      </c>
      <c r="F192" s="165" t="s">
        <v>3367</v>
      </c>
    </row>
    <row r="193" customFormat="false" ht="15" hidden="false" customHeight="true" outlineLevel="0" collapsed="false">
      <c r="A193" s="163" t="s">
        <v>3014</v>
      </c>
      <c r="B193" s="163" t="s">
        <v>3111</v>
      </c>
      <c r="C193" s="163" t="s">
        <v>3368</v>
      </c>
      <c r="D193" s="163" t="s">
        <v>3369</v>
      </c>
      <c r="E193" s="164" t="n">
        <v>20000</v>
      </c>
      <c r="F193" s="165" t="s">
        <v>3370</v>
      </c>
    </row>
    <row r="194" customFormat="false" ht="15" hidden="false" customHeight="true" outlineLevel="0" collapsed="false">
      <c r="A194" s="163" t="s">
        <v>3014</v>
      </c>
      <c r="B194" s="163" t="s">
        <v>3111</v>
      </c>
      <c r="C194" s="163" t="s">
        <v>3371</v>
      </c>
      <c r="D194" s="163" t="s">
        <v>1931</v>
      </c>
      <c r="E194" s="164" t="n">
        <v>10000</v>
      </c>
      <c r="F194" s="165" t="s">
        <v>3372</v>
      </c>
    </row>
    <row r="195" customFormat="false" ht="15" hidden="false" customHeight="true" outlineLevel="0" collapsed="false">
      <c r="A195" s="163" t="s">
        <v>3014</v>
      </c>
      <c r="B195" s="163" t="s">
        <v>3111</v>
      </c>
      <c r="C195" s="163" t="s">
        <v>372</v>
      </c>
      <c r="D195" s="163" t="s">
        <v>2692</v>
      </c>
      <c r="E195" s="164" t="n">
        <v>10000</v>
      </c>
      <c r="F195" s="165" t="s">
        <v>3373</v>
      </c>
    </row>
    <row r="196" customFormat="false" ht="15" hidden="false" customHeight="true" outlineLevel="0" collapsed="false">
      <c r="A196" s="163" t="s">
        <v>3014</v>
      </c>
      <c r="B196" s="163" t="s">
        <v>3111</v>
      </c>
      <c r="C196" s="163" t="s">
        <v>3374</v>
      </c>
      <c r="D196" s="163" t="s">
        <v>3375</v>
      </c>
      <c r="E196" s="164" t="n">
        <v>10000</v>
      </c>
      <c r="F196" s="165" t="s">
        <v>3376</v>
      </c>
    </row>
    <row r="197" customFormat="false" ht="15" hidden="false" customHeight="true" outlineLevel="0" collapsed="false">
      <c r="A197" s="163" t="s">
        <v>3014</v>
      </c>
      <c r="B197" s="163" t="s">
        <v>3111</v>
      </c>
      <c r="C197" s="163" t="s">
        <v>2167</v>
      </c>
      <c r="D197" s="163" t="s">
        <v>1931</v>
      </c>
      <c r="E197" s="164" t="n">
        <v>10000</v>
      </c>
      <c r="F197" s="165" t="s">
        <v>3060</v>
      </c>
    </row>
    <row r="198" customFormat="false" ht="15" hidden="false" customHeight="true" outlineLevel="0" collapsed="false">
      <c r="A198" s="163" t="s">
        <v>3014</v>
      </c>
      <c r="B198" s="163" t="s">
        <v>1938</v>
      </c>
      <c r="C198" s="163" t="s">
        <v>3377</v>
      </c>
      <c r="D198" s="163" t="s">
        <v>3378</v>
      </c>
      <c r="E198" s="164" t="n">
        <v>20000</v>
      </c>
      <c r="F198" s="165" t="s">
        <v>3379</v>
      </c>
    </row>
    <row r="199" customFormat="false" ht="15" hidden="false" customHeight="true" outlineLevel="0" collapsed="false">
      <c r="A199" s="163" t="s">
        <v>3014</v>
      </c>
      <c r="B199" s="163" t="s">
        <v>1938</v>
      </c>
      <c r="C199" s="163" t="s">
        <v>3139</v>
      </c>
      <c r="D199" s="163" t="s">
        <v>3140</v>
      </c>
      <c r="E199" s="164" t="n">
        <v>20000</v>
      </c>
      <c r="F199" s="165" t="s">
        <v>3380</v>
      </c>
    </row>
    <row r="200" customFormat="false" ht="15" hidden="false" customHeight="true" outlineLevel="0" collapsed="false">
      <c r="A200" s="163" t="s">
        <v>3014</v>
      </c>
      <c r="B200" s="163" t="s">
        <v>1938</v>
      </c>
      <c r="C200" s="163" t="s">
        <v>260</v>
      </c>
      <c r="D200" s="163" t="s">
        <v>2097</v>
      </c>
      <c r="E200" s="164" t="n">
        <v>20000</v>
      </c>
      <c r="F200" s="165" t="s">
        <v>3381</v>
      </c>
    </row>
    <row r="201" customFormat="false" ht="15" hidden="false" customHeight="true" outlineLevel="0" collapsed="false">
      <c r="A201" s="163" t="s">
        <v>3014</v>
      </c>
      <c r="B201" s="163" t="s">
        <v>1938</v>
      </c>
      <c r="C201" s="163" t="s">
        <v>3382</v>
      </c>
      <c r="D201" s="163" t="s">
        <v>3383</v>
      </c>
      <c r="E201" s="164" t="n">
        <v>20000</v>
      </c>
      <c r="F201" s="165" t="s">
        <v>3384</v>
      </c>
    </row>
    <row r="202" customFormat="false" ht="15" hidden="false" customHeight="true" outlineLevel="0" collapsed="false">
      <c r="A202" s="163" t="s">
        <v>3014</v>
      </c>
      <c r="B202" s="163" t="s">
        <v>1938</v>
      </c>
      <c r="C202" s="163" t="s">
        <v>3385</v>
      </c>
      <c r="D202" s="163" t="s">
        <v>3386</v>
      </c>
      <c r="E202" s="164" t="n">
        <v>20000</v>
      </c>
      <c r="F202" s="165" t="s">
        <v>3384</v>
      </c>
    </row>
    <row r="203" customFormat="false" ht="15" hidden="false" customHeight="true" outlineLevel="0" collapsed="false">
      <c r="A203" s="163" t="s">
        <v>3014</v>
      </c>
      <c r="B203" s="163" t="s">
        <v>1938</v>
      </c>
      <c r="C203" s="163" t="s">
        <v>3176</v>
      </c>
      <c r="D203" s="163" t="s">
        <v>3177</v>
      </c>
      <c r="E203" s="164" t="n">
        <v>20000</v>
      </c>
      <c r="F203" s="165" t="s">
        <v>3387</v>
      </c>
    </row>
    <row r="204" customFormat="false" ht="15" hidden="false" customHeight="true" outlineLevel="0" collapsed="false">
      <c r="A204" s="163" t="s">
        <v>3014</v>
      </c>
      <c r="B204" s="163" t="s">
        <v>1938</v>
      </c>
      <c r="C204" s="163" t="s">
        <v>332</v>
      </c>
      <c r="D204" s="163" t="s">
        <v>2673</v>
      </c>
      <c r="E204" s="164" t="n">
        <v>20000</v>
      </c>
      <c r="F204" s="165" t="s">
        <v>3388</v>
      </c>
    </row>
    <row r="205" customFormat="false" ht="15" hidden="false" customHeight="true" outlineLevel="0" collapsed="false">
      <c r="A205" s="163" t="s">
        <v>3014</v>
      </c>
      <c r="B205" s="163" t="s">
        <v>1938</v>
      </c>
      <c r="C205" s="163" t="s">
        <v>332</v>
      </c>
      <c r="D205" s="163" t="s">
        <v>2673</v>
      </c>
      <c r="E205" s="164" t="n">
        <v>20000</v>
      </c>
      <c r="F205" s="165" t="s">
        <v>3389</v>
      </c>
    </row>
    <row r="206" customFormat="false" ht="15" hidden="false" customHeight="true" outlineLevel="0" collapsed="false">
      <c r="A206" s="163" t="s">
        <v>3014</v>
      </c>
      <c r="B206" s="163" t="s">
        <v>1938</v>
      </c>
      <c r="C206" s="163" t="s">
        <v>332</v>
      </c>
      <c r="D206" s="163" t="s">
        <v>2673</v>
      </c>
      <c r="E206" s="164" t="n">
        <v>20000</v>
      </c>
      <c r="F206" s="165" t="s">
        <v>3390</v>
      </c>
    </row>
    <row r="207" customFormat="false" ht="15" hidden="false" customHeight="true" outlineLevel="0" collapsed="false">
      <c r="A207" s="163" t="s">
        <v>3014</v>
      </c>
      <c r="B207" s="163" t="s">
        <v>1938</v>
      </c>
      <c r="C207" s="163" t="s">
        <v>431</v>
      </c>
      <c r="D207" s="163" t="s">
        <v>2678</v>
      </c>
      <c r="E207" s="164" t="n">
        <v>20000</v>
      </c>
      <c r="F207" s="165" t="s">
        <v>3381</v>
      </c>
    </row>
    <row r="208" customFormat="false" ht="15" hidden="false" customHeight="true" outlineLevel="0" collapsed="false">
      <c r="A208" s="163" t="s">
        <v>3014</v>
      </c>
      <c r="B208" s="163" t="s">
        <v>1938</v>
      </c>
      <c r="C208" s="163" t="s">
        <v>431</v>
      </c>
      <c r="D208" s="163" t="s">
        <v>2678</v>
      </c>
      <c r="E208" s="164" t="n">
        <v>20000</v>
      </c>
      <c r="F208" s="165" t="s">
        <v>3391</v>
      </c>
    </row>
    <row r="209" customFormat="false" ht="15" hidden="false" customHeight="true" outlineLevel="0" collapsed="false">
      <c r="A209" s="163" t="s">
        <v>3014</v>
      </c>
      <c r="B209" s="163" t="s">
        <v>1938</v>
      </c>
      <c r="C209" s="163" t="s">
        <v>3392</v>
      </c>
      <c r="D209" s="163" t="s">
        <v>3393</v>
      </c>
      <c r="E209" s="164" t="n">
        <v>20000</v>
      </c>
      <c r="F209" s="165" t="s">
        <v>3394</v>
      </c>
    </row>
    <row r="210" customFormat="false" ht="15" hidden="false" customHeight="true" outlineLevel="0" collapsed="false">
      <c r="A210" s="163" t="s">
        <v>3014</v>
      </c>
      <c r="B210" s="163" t="s">
        <v>1938</v>
      </c>
      <c r="C210" s="163" t="s">
        <v>3395</v>
      </c>
      <c r="D210" s="163" t="s">
        <v>3396</v>
      </c>
      <c r="E210" s="164" t="n">
        <v>20000</v>
      </c>
      <c r="F210" s="165" t="s">
        <v>3397</v>
      </c>
    </row>
    <row r="211" customFormat="false" ht="15" hidden="false" customHeight="true" outlineLevel="0" collapsed="false">
      <c r="A211" s="163" t="s">
        <v>3014</v>
      </c>
      <c r="B211" s="163" t="s">
        <v>1938</v>
      </c>
      <c r="C211" s="163" t="s">
        <v>3176</v>
      </c>
      <c r="D211" s="163" t="s">
        <v>3177</v>
      </c>
      <c r="E211" s="164" t="n">
        <v>20000</v>
      </c>
      <c r="F211" s="165" t="s">
        <v>3398</v>
      </c>
    </row>
    <row r="212" customFormat="false" ht="15" hidden="false" customHeight="true" outlineLevel="0" collapsed="false">
      <c r="A212" s="163" t="s">
        <v>3014</v>
      </c>
      <c r="B212" s="163" t="s">
        <v>1938</v>
      </c>
      <c r="C212" s="163" t="s">
        <v>3135</v>
      </c>
      <c r="D212" s="163" t="s">
        <v>3136</v>
      </c>
      <c r="E212" s="164" t="n">
        <v>20000</v>
      </c>
      <c r="F212" s="165" t="s">
        <v>3399</v>
      </c>
    </row>
    <row r="213" customFormat="false" ht="15" hidden="false" customHeight="true" outlineLevel="0" collapsed="false">
      <c r="A213" s="163" t="s">
        <v>3014</v>
      </c>
      <c r="B213" s="163" t="s">
        <v>1938</v>
      </c>
      <c r="C213" s="163" t="s">
        <v>3400</v>
      </c>
      <c r="D213" s="163" t="s">
        <v>3401</v>
      </c>
      <c r="E213" s="164" t="n">
        <v>20000</v>
      </c>
      <c r="F213" s="165" t="s">
        <v>3402</v>
      </c>
    </row>
    <row r="214" customFormat="false" ht="15" hidden="false" customHeight="true" outlineLevel="0" collapsed="false">
      <c r="A214" s="163" t="s">
        <v>3014</v>
      </c>
      <c r="B214" s="163" t="s">
        <v>1938</v>
      </c>
      <c r="C214" s="163" t="s">
        <v>3400</v>
      </c>
      <c r="D214" s="163" t="s">
        <v>3401</v>
      </c>
      <c r="E214" s="164" t="n">
        <v>20000</v>
      </c>
      <c r="F214" s="165" t="s">
        <v>3394</v>
      </c>
    </row>
    <row r="215" customFormat="false" ht="15" hidden="false" customHeight="true" outlineLevel="0" collapsed="false">
      <c r="A215" s="163" t="s">
        <v>3014</v>
      </c>
      <c r="B215" s="163" t="s">
        <v>691</v>
      </c>
      <c r="C215" s="163" t="s">
        <v>3403</v>
      </c>
      <c r="D215" s="163" t="s">
        <v>3404</v>
      </c>
      <c r="E215" s="164" t="n">
        <v>30000</v>
      </c>
      <c r="F215" s="165" t="s">
        <v>3405</v>
      </c>
    </row>
    <row r="216" customFormat="false" ht="15" hidden="false" customHeight="true" outlineLevel="0" collapsed="false">
      <c r="A216" s="163" t="s">
        <v>3014</v>
      </c>
      <c r="B216" s="163" t="s">
        <v>691</v>
      </c>
      <c r="C216" s="163" t="s">
        <v>3406</v>
      </c>
      <c r="D216" s="163" t="s">
        <v>3407</v>
      </c>
      <c r="E216" s="164" t="n">
        <v>25000</v>
      </c>
      <c r="F216" s="165" t="s">
        <v>3408</v>
      </c>
    </row>
    <row r="217" customFormat="false" ht="15" hidden="false" customHeight="true" outlineLevel="0" collapsed="false">
      <c r="A217" s="163" t="s">
        <v>3014</v>
      </c>
      <c r="B217" s="163" t="s">
        <v>691</v>
      </c>
      <c r="C217" s="163" t="s">
        <v>3385</v>
      </c>
      <c r="D217" s="163" t="s">
        <v>3386</v>
      </c>
      <c r="E217" s="164" t="n">
        <v>25000</v>
      </c>
      <c r="F217" s="165" t="s">
        <v>3409</v>
      </c>
    </row>
    <row r="218" customFormat="false" ht="15" hidden="false" customHeight="true" outlineLevel="0" collapsed="false">
      <c r="A218" s="163" t="s">
        <v>3014</v>
      </c>
      <c r="B218" s="163" t="s">
        <v>691</v>
      </c>
      <c r="C218" s="163" t="s">
        <v>3410</v>
      </c>
      <c r="D218" s="163" t="s">
        <v>3411</v>
      </c>
      <c r="E218" s="164" t="n">
        <v>15000</v>
      </c>
      <c r="F218" s="165" t="s">
        <v>3412</v>
      </c>
    </row>
    <row r="219" customFormat="false" ht="15" hidden="false" customHeight="true" outlineLevel="0" collapsed="false">
      <c r="A219" s="163" t="s">
        <v>3014</v>
      </c>
      <c r="B219" s="163" t="s">
        <v>691</v>
      </c>
      <c r="C219" s="163" t="s">
        <v>3413</v>
      </c>
      <c r="D219" s="163" t="s">
        <v>3414</v>
      </c>
      <c r="E219" s="164" t="n">
        <v>10000</v>
      </c>
      <c r="F219" s="165" t="s">
        <v>3415</v>
      </c>
    </row>
    <row r="220" customFormat="false" ht="15" hidden="false" customHeight="true" outlineLevel="0" collapsed="false">
      <c r="A220" s="163" t="s">
        <v>3014</v>
      </c>
      <c r="B220" s="163" t="s">
        <v>691</v>
      </c>
      <c r="C220" s="163" t="s">
        <v>3416</v>
      </c>
      <c r="D220" s="163" t="s">
        <v>3417</v>
      </c>
      <c r="E220" s="164" t="n">
        <v>10000</v>
      </c>
      <c r="F220" s="165" t="s">
        <v>3418</v>
      </c>
    </row>
    <row r="221" customFormat="false" ht="15" hidden="false" customHeight="true" outlineLevel="0" collapsed="false">
      <c r="A221" s="163" t="s">
        <v>3014</v>
      </c>
      <c r="B221" s="163" t="s">
        <v>691</v>
      </c>
      <c r="C221" s="163" t="s">
        <v>3183</v>
      </c>
      <c r="D221" s="163" t="s">
        <v>3184</v>
      </c>
      <c r="E221" s="164" t="n">
        <v>10000</v>
      </c>
      <c r="F221" s="165" t="s">
        <v>3419</v>
      </c>
    </row>
    <row r="222" customFormat="false" ht="15" hidden="false" customHeight="true" outlineLevel="0" collapsed="false">
      <c r="A222" s="163" t="s">
        <v>3014</v>
      </c>
      <c r="B222" s="163" t="s">
        <v>691</v>
      </c>
      <c r="C222" s="163" t="s">
        <v>3382</v>
      </c>
      <c r="D222" s="163" t="s">
        <v>3383</v>
      </c>
      <c r="E222" s="164" t="n">
        <v>10000</v>
      </c>
      <c r="F222" s="165" t="s">
        <v>3420</v>
      </c>
    </row>
    <row r="223" customFormat="false" ht="15" hidden="false" customHeight="true" outlineLevel="0" collapsed="false">
      <c r="A223" s="163" t="s">
        <v>3014</v>
      </c>
      <c r="B223" s="163" t="s">
        <v>691</v>
      </c>
      <c r="C223" s="163" t="s">
        <v>3421</v>
      </c>
      <c r="D223" s="163" t="s">
        <v>3422</v>
      </c>
      <c r="E223" s="164" t="n">
        <v>10000</v>
      </c>
      <c r="F223" s="165" t="s">
        <v>3423</v>
      </c>
    </row>
    <row r="224" customFormat="false" ht="15" hidden="false" customHeight="true" outlineLevel="0" collapsed="false">
      <c r="A224" s="163" t="s">
        <v>3014</v>
      </c>
      <c r="B224" s="163" t="s">
        <v>2027</v>
      </c>
      <c r="C224" s="163" t="s">
        <v>3317</v>
      </c>
      <c r="D224" s="163" t="s">
        <v>3318</v>
      </c>
      <c r="E224" s="164" t="n">
        <v>30000</v>
      </c>
      <c r="F224" s="165" t="s">
        <v>3424</v>
      </c>
    </row>
    <row r="225" customFormat="false" ht="15" hidden="false" customHeight="true" outlineLevel="0" collapsed="false">
      <c r="A225" s="163" t="s">
        <v>3014</v>
      </c>
      <c r="B225" s="163" t="s">
        <v>2027</v>
      </c>
      <c r="C225" s="163" t="s">
        <v>3425</v>
      </c>
      <c r="D225" s="163" t="s">
        <v>3426</v>
      </c>
      <c r="E225" s="164" t="n">
        <v>20000</v>
      </c>
      <c r="F225" s="165" t="s">
        <v>3427</v>
      </c>
    </row>
    <row r="226" customFormat="false" ht="15" hidden="false" customHeight="true" outlineLevel="0" collapsed="false">
      <c r="A226" s="163" t="s">
        <v>3014</v>
      </c>
      <c r="B226" s="163" t="s">
        <v>2027</v>
      </c>
      <c r="C226" s="163" t="s">
        <v>3428</v>
      </c>
      <c r="D226" s="163" t="s">
        <v>3429</v>
      </c>
      <c r="E226" s="164" t="n">
        <v>20000</v>
      </c>
      <c r="F226" s="165" t="s">
        <v>3430</v>
      </c>
    </row>
    <row r="227" customFormat="false" ht="15" hidden="false" customHeight="true" outlineLevel="0" collapsed="false">
      <c r="A227" s="163" t="s">
        <v>3014</v>
      </c>
      <c r="B227" s="163" t="s">
        <v>2027</v>
      </c>
      <c r="C227" s="163" t="s">
        <v>328</v>
      </c>
      <c r="D227" s="163" t="s">
        <v>2660</v>
      </c>
      <c r="E227" s="164" t="n">
        <v>20000</v>
      </c>
      <c r="F227" s="165" t="s">
        <v>3431</v>
      </c>
    </row>
    <row r="228" customFormat="false" ht="15" hidden="false" customHeight="true" outlineLevel="0" collapsed="false">
      <c r="A228" s="163" t="s">
        <v>3014</v>
      </c>
      <c r="B228" s="163" t="s">
        <v>2037</v>
      </c>
      <c r="C228" s="163" t="s">
        <v>1860</v>
      </c>
      <c r="D228" s="163" t="s">
        <v>1861</v>
      </c>
      <c r="E228" s="164" t="n">
        <v>50000</v>
      </c>
      <c r="F228" s="165" t="s">
        <v>3432</v>
      </c>
    </row>
    <row r="229" customFormat="false" ht="15" hidden="false" customHeight="true" outlineLevel="0" collapsed="false">
      <c r="A229" s="163" t="s">
        <v>3014</v>
      </c>
      <c r="B229" s="163" t="s">
        <v>2037</v>
      </c>
      <c r="C229" s="163" t="s">
        <v>3433</v>
      </c>
      <c r="D229" s="163" t="s">
        <v>3434</v>
      </c>
      <c r="E229" s="164" t="n">
        <v>40000</v>
      </c>
      <c r="F229" s="165" t="s">
        <v>3435</v>
      </c>
    </row>
    <row r="230" customFormat="false" ht="15" hidden="false" customHeight="true" outlineLevel="0" collapsed="false">
      <c r="A230" s="163" t="s">
        <v>3014</v>
      </c>
      <c r="B230" s="163" t="s">
        <v>2037</v>
      </c>
      <c r="C230" s="163" t="s">
        <v>3436</v>
      </c>
      <c r="D230" s="163" t="s">
        <v>3437</v>
      </c>
      <c r="E230" s="164" t="n">
        <v>20000</v>
      </c>
      <c r="F230" s="165" t="s">
        <v>3438</v>
      </c>
    </row>
    <row r="231" customFormat="false" ht="15" hidden="false" customHeight="true" outlineLevel="0" collapsed="false">
      <c r="A231" s="163" t="s">
        <v>3014</v>
      </c>
      <c r="B231" s="163" t="s">
        <v>2037</v>
      </c>
      <c r="C231" s="163" t="s">
        <v>2879</v>
      </c>
      <c r="D231" s="163" t="s">
        <v>1931</v>
      </c>
      <c r="E231" s="164" t="n">
        <v>20000</v>
      </c>
      <c r="F231" s="165" t="s">
        <v>3439</v>
      </c>
    </row>
    <row r="232" customFormat="false" ht="15" hidden="false" customHeight="true" outlineLevel="0" collapsed="false">
      <c r="A232" s="163" t="s">
        <v>3014</v>
      </c>
      <c r="B232" s="163" t="s">
        <v>2037</v>
      </c>
      <c r="C232" s="163" t="s">
        <v>2879</v>
      </c>
      <c r="D232" s="163" t="s">
        <v>1931</v>
      </c>
      <c r="E232" s="164" t="n">
        <v>20000</v>
      </c>
      <c r="F232" s="165" t="s">
        <v>3440</v>
      </c>
    </row>
    <row r="233" customFormat="false" ht="15" hidden="false" customHeight="true" outlineLevel="0" collapsed="false">
      <c r="A233" s="163" t="s">
        <v>3014</v>
      </c>
      <c r="B233" s="163" t="s">
        <v>2037</v>
      </c>
      <c r="C233" s="163" t="s">
        <v>3441</v>
      </c>
      <c r="D233" s="163" t="s">
        <v>3442</v>
      </c>
      <c r="E233" s="164" t="n">
        <v>20000</v>
      </c>
      <c r="F233" s="165" t="s">
        <v>3443</v>
      </c>
    </row>
    <row r="234" customFormat="false" ht="15" hidden="false" customHeight="true" outlineLevel="0" collapsed="false">
      <c r="A234" s="163" t="s">
        <v>3014</v>
      </c>
      <c r="B234" s="163" t="s">
        <v>2037</v>
      </c>
      <c r="C234" s="163" t="s">
        <v>3444</v>
      </c>
      <c r="D234" s="163" t="s">
        <v>3445</v>
      </c>
      <c r="E234" s="164" t="n">
        <v>15000</v>
      </c>
      <c r="F234" s="165" t="s">
        <v>3446</v>
      </c>
    </row>
    <row r="235" customFormat="false" ht="15" hidden="false" customHeight="true" outlineLevel="0" collapsed="false">
      <c r="A235" s="163" t="s">
        <v>3014</v>
      </c>
      <c r="B235" s="163" t="s">
        <v>2037</v>
      </c>
      <c r="C235" s="163" t="s">
        <v>3447</v>
      </c>
      <c r="D235" s="163" t="s">
        <v>3448</v>
      </c>
      <c r="E235" s="164" t="n">
        <v>10000</v>
      </c>
      <c r="F235" s="165" t="s">
        <v>3449</v>
      </c>
    </row>
    <row r="236" customFormat="false" ht="15" hidden="false" customHeight="true" outlineLevel="0" collapsed="false">
      <c r="A236" s="163" t="s">
        <v>3014</v>
      </c>
      <c r="B236" s="163" t="s">
        <v>2037</v>
      </c>
      <c r="C236" s="163" t="s">
        <v>3116</v>
      </c>
      <c r="D236" s="163" t="s">
        <v>3117</v>
      </c>
      <c r="E236" s="164" t="n">
        <v>10000</v>
      </c>
      <c r="F236" s="165" t="s">
        <v>3450</v>
      </c>
    </row>
    <row r="237" customFormat="false" ht="15" hidden="false" customHeight="true" outlineLevel="0" collapsed="false">
      <c r="A237" s="163" t="s">
        <v>3014</v>
      </c>
      <c r="B237" s="163" t="s">
        <v>2037</v>
      </c>
      <c r="C237" s="163" t="s">
        <v>3451</v>
      </c>
      <c r="D237" s="163" t="s">
        <v>3452</v>
      </c>
      <c r="E237" s="164" t="n">
        <v>10000</v>
      </c>
      <c r="F237" s="165" t="s">
        <v>3453</v>
      </c>
    </row>
    <row r="238" customFormat="false" ht="15" hidden="false" customHeight="true" outlineLevel="0" collapsed="false">
      <c r="A238" s="163" t="s">
        <v>3014</v>
      </c>
      <c r="B238" s="163" t="s">
        <v>2037</v>
      </c>
      <c r="C238" s="163" t="s">
        <v>2695</v>
      </c>
      <c r="D238" s="163" t="s">
        <v>2696</v>
      </c>
      <c r="E238" s="164" t="n">
        <v>10000</v>
      </c>
      <c r="F238" s="165" t="s">
        <v>3454</v>
      </c>
    </row>
    <row r="239" customFormat="false" ht="15" hidden="false" customHeight="true" outlineLevel="0" collapsed="false">
      <c r="A239" s="163" t="s">
        <v>3014</v>
      </c>
      <c r="B239" s="163" t="s">
        <v>894</v>
      </c>
      <c r="C239" s="163" t="s">
        <v>3455</v>
      </c>
      <c r="D239" s="163" t="s">
        <v>3456</v>
      </c>
      <c r="E239" s="164" t="n">
        <v>45000</v>
      </c>
      <c r="F239" s="165" t="s">
        <v>3457</v>
      </c>
    </row>
    <row r="240" customFormat="false" ht="15" hidden="false" customHeight="true" outlineLevel="0" collapsed="false">
      <c r="A240" s="163" t="s">
        <v>3014</v>
      </c>
      <c r="B240" s="163" t="s">
        <v>894</v>
      </c>
      <c r="C240" s="163" t="s">
        <v>3458</v>
      </c>
      <c r="D240" s="163" t="s">
        <v>3459</v>
      </c>
      <c r="E240" s="164" t="n">
        <v>30000</v>
      </c>
      <c r="F240" s="165" t="s">
        <v>3460</v>
      </c>
    </row>
    <row r="241" customFormat="false" ht="15" hidden="false" customHeight="true" outlineLevel="0" collapsed="false">
      <c r="A241" s="163" t="s">
        <v>3014</v>
      </c>
      <c r="B241" s="163" t="s">
        <v>894</v>
      </c>
      <c r="C241" s="163" t="s">
        <v>3455</v>
      </c>
      <c r="D241" s="163" t="s">
        <v>3456</v>
      </c>
      <c r="E241" s="164" t="n">
        <v>30000</v>
      </c>
      <c r="F241" s="165" t="s">
        <v>3461</v>
      </c>
    </row>
    <row r="242" customFormat="false" ht="15" hidden="false" customHeight="true" outlineLevel="0" collapsed="false">
      <c r="A242" s="163" t="s">
        <v>3014</v>
      </c>
      <c r="B242" s="163" t="s">
        <v>894</v>
      </c>
      <c r="C242" s="163" t="s">
        <v>3462</v>
      </c>
      <c r="D242" s="163" t="s">
        <v>3463</v>
      </c>
      <c r="E242" s="164" t="n">
        <v>30000</v>
      </c>
      <c r="F242" s="165" t="s">
        <v>3464</v>
      </c>
    </row>
    <row r="243" customFormat="false" ht="15" hidden="false" customHeight="true" outlineLevel="0" collapsed="false">
      <c r="A243" s="163" t="s">
        <v>3014</v>
      </c>
      <c r="B243" s="163" t="s">
        <v>894</v>
      </c>
      <c r="C243" s="163" t="s">
        <v>3465</v>
      </c>
      <c r="D243" s="163" t="s">
        <v>3466</v>
      </c>
      <c r="E243" s="164" t="n">
        <v>25000</v>
      </c>
      <c r="F243" s="165" t="s">
        <v>3467</v>
      </c>
    </row>
    <row r="244" customFormat="false" ht="15" hidden="false" customHeight="true" outlineLevel="0" collapsed="false">
      <c r="A244" s="163" t="s">
        <v>3014</v>
      </c>
      <c r="B244" s="163" t="s">
        <v>894</v>
      </c>
      <c r="C244" s="163" t="s">
        <v>3468</v>
      </c>
      <c r="D244" s="163" t="s">
        <v>3469</v>
      </c>
      <c r="E244" s="164" t="n">
        <v>20000</v>
      </c>
      <c r="F244" s="165" t="s">
        <v>3470</v>
      </c>
    </row>
    <row r="245" customFormat="false" ht="15" hidden="false" customHeight="true" outlineLevel="0" collapsed="false">
      <c r="A245" s="163" t="s">
        <v>3014</v>
      </c>
      <c r="B245" s="163" t="s">
        <v>894</v>
      </c>
      <c r="C245" s="163" t="s">
        <v>3471</v>
      </c>
      <c r="D245" s="163" t="s">
        <v>3472</v>
      </c>
      <c r="E245" s="164" t="n">
        <v>20000</v>
      </c>
      <c r="F245" s="165" t="s">
        <v>3473</v>
      </c>
    </row>
    <row r="246" customFormat="false" ht="15" hidden="false" customHeight="true" outlineLevel="0" collapsed="false">
      <c r="A246" s="163" t="s">
        <v>3014</v>
      </c>
      <c r="B246" s="163" t="s">
        <v>894</v>
      </c>
      <c r="C246" s="163" t="s">
        <v>3458</v>
      </c>
      <c r="D246" s="163" t="s">
        <v>3459</v>
      </c>
      <c r="E246" s="164" t="n">
        <v>20000</v>
      </c>
      <c r="F246" s="165" t="s">
        <v>3474</v>
      </c>
    </row>
    <row r="247" customFormat="false" ht="15" hidden="false" customHeight="true" outlineLevel="0" collapsed="false">
      <c r="A247" s="163" t="s">
        <v>3014</v>
      </c>
      <c r="B247" s="163" t="s">
        <v>894</v>
      </c>
      <c r="C247" s="163" t="s">
        <v>3475</v>
      </c>
      <c r="D247" s="163" t="s">
        <v>3476</v>
      </c>
      <c r="E247" s="164" t="n">
        <v>20000</v>
      </c>
      <c r="F247" s="165" t="s">
        <v>3477</v>
      </c>
    </row>
    <row r="248" customFormat="false" ht="15" hidden="false" customHeight="true" outlineLevel="0" collapsed="false">
      <c r="A248" s="163" t="s">
        <v>3014</v>
      </c>
      <c r="B248" s="163" t="s">
        <v>894</v>
      </c>
      <c r="C248" s="163" t="s">
        <v>3478</v>
      </c>
      <c r="D248" s="163" t="s">
        <v>3479</v>
      </c>
      <c r="E248" s="164" t="n">
        <v>20000</v>
      </c>
      <c r="F248" s="165" t="s">
        <v>3480</v>
      </c>
    </row>
    <row r="249" customFormat="false" ht="15" hidden="false" customHeight="true" outlineLevel="0" collapsed="false">
      <c r="A249" s="163" t="s">
        <v>3014</v>
      </c>
      <c r="B249" s="163" t="s">
        <v>894</v>
      </c>
      <c r="C249" s="163" t="s">
        <v>3478</v>
      </c>
      <c r="D249" s="163" t="s">
        <v>3479</v>
      </c>
      <c r="E249" s="164" t="n">
        <v>20000</v>
      </c>
      <c r="F249" s="165" t="s">
        <v>3481</v>
      </c>
    </row>
    <row r="250" customFormat="false" ht="15" hidden="false" customHeight="true" outlineLevel="0" collapsed="false">
      <c r="A250" s="163" t="s">
        <v>3014</v>
      </c>
      <c r="B250" s="163" t="s">
        <v>894</v>
      </c>
      <c r="C250" s="163" t="s">
        <v>3482</v>
      </c>
      <c r="D250" s="163" t="s">
        <v>3483</v>
      </c>
      <c r="E250" s="164" t="n">
        <v>15000</v>
      </c>
      <c r="F250" s="165" t="s">
        <v>3484</v>
      </c>
    </row>
    <row r="251" customFormat="false" ht="15" hidden="false" customHeight="true" outlineLevel="0" collapsed="false">
      <c r="A251" s="163" t="s">
        <v>3014</v>
      </c>
      <c r="B251" s="163" t="s">
        <v>894</v>
      </c>
      <c r="C251" s="163" t="s">
        <v>3458</v>
      </c>
      <c r="D251" s="163" t="s">
        <v>3459</v>
      </c>
      <c r="E251" s="164" t="n">
        <v>15000</v>
      </c>
      <c r="F251" s="165" t="s">
        <v>3470</v>
      </c>
    </row>
    <row r="252" customFormat="false" ht="15" hidden="false" customHeight="true" outlineLevel="0" collapsed="false">
      <c r="A252" s="163" t="s">
        <v>3014</v>
      </c>
      <c r="B252" s="163" t="s">
        <v>894</v>
      </c>
      <c r="C252" s="163" t="s">
        <v>3485</v>
      </c>
      <c r="D252" s="163" t="s">
        <v>3486</v>
      </c>
      <c r="E252" s="164" t="n">
        <v>10000</v>
      </c>
      <c r="F252" s="165" t="s">
        <v>3487</v>
      </c>
    </row>
    <row r="253" customFormat="false" ht="15" hidden="false" customHeight="true" outlineLevel="0" collapsed="false">
      <c r="A253" s="163" t="s">
        <v>3014</v>
      </c>
      <c r="B253" s="163" t="s">
        <v>894</v>
      </c>
      <c r="C253" s="163" t="s">
        <v>3133</v>
      </c>
      <c r="D253" s="163" t="s">
        <v>3134</v>
      </c>
      <c r="E253" s="164" t="n">
        <v>10000</v>
      </c>
      <c r="F253" s="165" t="s">
        <v>3488</v>
      </c>
    </row>
    <row r="254" customFormat="false" ht="15" hidden="false" customHeight="true" outlineLevel="0" collapsed="false">
      <c r="A254" s="163" t="s">
        <v>3014</v>
      </c>
      <c r="B254" s="163" t="s">
        <v>894</v>
      </c>
      <c r="C254" s="163" t="s">
        <v>3458</v>
      </c>
      <c r="D254" s="163" t="s">
        <v>3459</v>
      </c>
      <c r="E254" s="164" t="n">
        <v>10000</v>
      </c>
      <c r="F254" s="165" t="s">
        <v>3489</v>
      </c>
    </row>
    <row r="255" customFormat="false" ht="15" hidden="false" customHeight="true" outlineLevel="0" collapsed="false">
      <c r="A255" s="163" t="s">
        <v>3014</v>
      </c>
      <c r="B255" s="163" t="s">
        <v>894</v>
      </c>
      <c r="C255" s="163" t="s">
        <v>3458</v>
      </c>
      <c r="D255" s="163" t="s">
        <v>3459</v>
      </c>
      <c r="E255" s="164" t="n">
        <v>10000</v>
      </c>
      <c r="F255" s="165" t="s">
        <v>3490</v>
      </c>
    </row>
    <row r="256" customFormat="false" ht="15" hidden="false" customHeight="true" outlineLevel="0" collapsed="false">
      <c r="A256" s="163" t="s">
        <v>3014</v>
      </c>
      <c r="B256" s="163" t="s">
        <v>894</v>
      </c>
      <c r="C256" s="163" t="s">
        <v>3188</v>
      </c>
      <c r="D256" s="163" t="s">
        <v>3189</v>
      </c>
      <c r="E256" s="164" t="n">
        <v>10000</v>
      </c>
      <c r="F256" s="165" t="s">
        <v>3491</v>
      </c>
    </row>
    <row r="257" customFormat="false" ht="15" hidden="false" customHeight="true" outlineLevel="0" collapsed="false">
      <c r="A257" s="163" t="s">
        <v>3014</v>
      </c>
      <c r="B257" s="163" t="s">
        <v>894</v>
      </c>
      <c r="C257" s="163" t="s">
        <v>3492</v>
      </c>
      <c r="D257" s="163" t="s">
        <v>3493</v>
      </c>
      <c r="E257" s="164" t="n">
        <v>10000</v>
      </c>
      <c r="F257" s="165" t="s">
        <v>3494</v>
      </c>
    </row>
    <row r="258" customFormat="false" ht="15" hidden="false" customHeight="true" outlineLevel="0" collapsed="false">
      <c r="A258" s="163" t="s">
        <v>3014</v>
      </c>
      <c r="B258" s="163" t="s">
        <v>894</v>
      </c>
      <c r="C258" s="163" t="s">
        <v>3495</v>
      </c>
      <c r="D258" s="163" t="s">
        <v>1931</v>
      </c>
      <c r="E258" s="164" t="n">
        <v>5000</v>
      </c>
      <c r="F258" s="165" t="s">
        <v>3060</v>
      </c>
    </row>
    <row r="259" customFormat="false" ht="15" hidden="false" customHeight="true" outlineLevel="0" collapsed="false">
      <c r="A259" s="163" t="s">
        <v>3014</v>
      </c>
      <c r="B259" s="163" t="s">
        <v>894</v>
      </c>
      <c r="C259" s="163" t="s">
        <v>3496</v>
      </c>
      <c r="D259" s="163" t="s">
        <v>1931</v>
      </c>
      <c r="E259" s="164" t="n">
        <v>5000</v>
      </c>
      <c r="F259" s="165" t="s">
        <v>3060</v>
      </c>
    </row>
    <row r="260" customFormat="false" ht="15" hidden="false" customHeight="true" outlineLevel="0" collapsed="false">
      <c r="A260" s="163" t="s">
        <v>3014</v>
      </c>
      <c r="B260" s="163" t="s">
        <v>894</v>
      </c>
      <c r="C260" s="163" t="s">
        <v>3403</v>
      </c>
      <c r="D260" s="163" t="s">
        <v>3404</v>
      </c>
      <c r="E260" s="164" t="n">
        <v>5000</v>
      </c>
      <c r="F260" s="165" t="s">
        <v>3497</v>
      </c>
    </row>
    <row r="261" customFormat="false" ht="15" hidden="false" customHeight="true" outlineLevel="0" collapsed="false">
      <c r="A261" s="163" t="s">
        <v>3014</v>
      </c>
      <c r="B261" s="163" t="s">
        <v>894</v>
      </c>
      <c r="C261" s="163" t="s">
        <v>3498</v>
      </c>
      <c r="D261" s="163" t="s">
        <v>3499</v>
      </c>
      <c r="E261" s="164" t="n">
        <v>5000</v>
      </c>
      <c r="F261" s="165" t="s">
        <v>3470</v>
      </c>
    </row>
    <row r="262" customFormat="false" ht="15" hidden="false" customHeight="true" outlineLevel="0" collapsed="false">
      <c r="A262" s="163" t="s">
        <v>3014</v>
      </c>
      <c r="B262" s="163" t="s">
        <v>894</v>
      </c>
      <c r="C262" s="163" t="s">
        <v>3500</v>
      </c>
      <c r="D262" s="163" t="s">
        <v>3501</v>
      </c>
      <c r="E262" s="164" t="n">
        <v>5000</v>
      </c>
      <c r="F262" s="165" t="s">
        <v>3502</v>
      </c>
    </row>
    <row r="263" customFormat="false" ht="15" hidden="false" customHeight="true" outlineLevel="0" collapsed="false">
      <c r="A263" s="163" t="s">
        <v>3014</v>
      </c>
      <c r="B263" s="163" t="s">
        <v>894</v>
      </c>
      <c r="C263" s="163" t="s">
        <v>3503</v>
      </c>
      <c r="D263" s="163" t="s">
        <v>3504</v>
      </c>
      <c r="E263" s="164" t="n">
        <v>5000</v>
      </c>
      <c r="F263" s="165" t="s">
        <v>3470</v>
      </c>
    </row>
    <row r="264" customFormat="false" ht="15" hidden="false" customHeight="true" outlineLevel="0" collapsed="false">
      <c r="A264" s="163" t="s">
        <v>3014</v>
      </c>
      <c r="B264" s="163" t="s">
        <v>882</v>
      </c>
      <c r="C264" s="163" t="s">
        <v>2759</v>
      </c>
      <c r="D264" s="163" t="s">
        <v>2760</v>
      </c>
      <c r="E264" s="164" t="n">
        <v>170000</v>
      </c>
      <c r="F264" s="165" t="s">
        <v>3505</v>
      </c>
    </row>
    <row r="265" customFormat="false" ht="15" hidden="false" customHeight="true" outlineLevel="0" collapsed="false">
      <c r="A265" s="163" t="s">
        <v>3014</v>
      </c>
      <c r="B265" s="163" t="s">
        <v>882</v>
      </c>
      <c r="C265" s="163" t="s">
        <v>640</v>
      </c>
      <c r="D265" s="163" t="s">
        <v>1931</v>
      </c>
      <c r="E265" s="164" t="n">
        <v>75000</v>
      </c>
      <c r="F265" s="165" t="s">
        <v>3506</v>
      </c>
    </row>
    <row r="266" customFormat="false" ht="15" hidden="false" customHeight="true" outlineLevel="0" collapsed="false">
      <c r="A266" s="163" t="s">
        <v>3014</v>
      </c>
      <c r="B266" s="163" t="s">
        <v>882</v>
      </c>
      <c r="C266" s="163" t="s">
        <v>3063</v>
      </c>
      <c r="D266" s="163" t="s">
        <v>3064</v>
      </c>
      <c r="E266" s="164" t="n">
        <v>25000</v>
      </c>
      <c r="F266" s="165" t="s">
        <v>3507</v>
      </c>
    </row>
    <row r="267" customFormat="false" ht="15" hidden="false" customHeight="true" outlineLevel="0" collapsed="false">
      <c r="A267" s="163" t="s">
        <v>3014</v>
      </c>
      <c r="B267" s="163" t="s">
        <v>882</v>
      </c>
      <c r="C267" s="163" t="s">
        <v>424</v>
      </c>
      <c r="D267" s="163" t="s">
        <v>2630</v>
      </c>
      <c r="E267" s="164" t="n">
        <v>10000</v>
      </c>
      <c r="F267" s="165" t="s">
        <v>3508</v>
      </c>
    </row>
    <row r="268" customFormat="false" ht="15" hidden="false" customHeight="true" outlineLevel="0" collapsed="false">
      <c r="A268" s="163" t="s">
        <v>3014</v>
      </c>
      <c r="B268" s="163" t="s">
        <v>2328</v>
      </c>
      <c r="C268" s="163" t="s">
        <v>3458</v>
      </c>
      <c r="D268" s="163" t="s">
        <v>3459</v>
      </c>
      <c r="E268" s="164" t="n">
        <v>30000</v>
      </c>
      <c r="F268" s="165" t="s">
        <v>3509</v>
      </c>
    </row>
    <row r="269" customFormat="false" ht="15" hidden="false" customHeight="true" outlineLevel="0" collapsed="false">
      <c r="A269" s="163" t="s">
        <v>3014</v>
      </c>
      <c r="B269" s="163" t="s">
        <v>2328</v>
      </c>
      <c r="C269" s="163" t="s">
        <v>3458</v>
      </c>
      <c r="D269" s="163" t="s">
        <v>3459</v>
      </c>
      <c r="E269" s="164" t="n">
        <v>10000</v>
      </c>
      <c r="F269" s="165" t="s">
        <v>3510</v>
      </c>
    </row>
    <row r="270" customFormat="false" ht="15" hidden="false" customHeight="true" outlineLevel="0" collapsed="false">
      <c r="A270" s="163" t="s">
        <v>3014</v>
      </c>
      <c r="B270" s="163" t="s">
        <v>2328</v>
      </c>
      <c r="C270" s="163" t="s">
        <v>3458</v>
      </c>
      <c r="D270" s="163" t="s">
        <v>3459</v>
      </c>
      <c r="E270" s="164" t="n">
        <v>10000</v>
      </c>
      <c r="F270" s="165" t="s">
        <v>3511</v>
      </c>
    </row>
    <row r="271" customFormat="false" ht="15" hidden="false" customHeight="true" outlineLevel="0" collapsed="false">
      <c r="A271" s="163" t="s">
        <v>3014</v>
      </c>
      <c r="B271" s="163" t="s">
        <v>2342</v>
      </c>
      <c r="C271" s="163" t="s">
        <v>197</v>
      </c>
      <c r="D271" s="163" t="s">
        <v>1931</v>
      </c>
      <c r="E271" s="164" t="n">
        <v>30000</v>
      </c>
      <c r="F271" s="165" t="s">
        <v>3512</v>
      </c>
    </row>
    <row r="272" customFormat="false" ht="15" hidden="false" customHeight="true" outlineLevel="0" collapsed="false">
      <c r="A272" s="163" t="s">
        <v>3014</v>
      </c>
      <c r="B272" s="163" t="s">
        <v>2342</v>
      </c>
      <c r="C272" s="163" t="s">
        <v>197</v>
      </c>
      <c r="D272" s="163" t="s">
        <v>1931</v>
      </c>
      <c r="E272" s="164" t="n">
        <v>30000</v>
      </c>
      <c r="F272" s="165" t="s">
        <v>3513</v>
      </c>
    </row>
    <row r="273" customFormat="false" ht="15" hidden="false" customHeight="true" outlineLevel="0" collapsed="false">
      <c r="A273" s="163" t="s">
        <v>3014</v>
      </c>
      <c r="B273" s="163" t="s">
        <v>2342</v>
      </c>
      <c r="C273" s="163" t="s">
        <v>3455</v>
      </c>
      <c r="D273" s="163" t="s">
        <v>3456</v>
      </c>
      <c r="E273" s="164" t="n">
        <v>30000</v>
      </c>
      <c r="F273" s="165" t="s">
        <v>3514</v>
      </c>
    </row>
    <row r="274" customFormat="false" ht="15" hidden="false" customHeight="true" outlineLevel="0" collapsed="false">
      <c r="A274" s="163" t="s">
        <v>3014</v>
      </c>
      <c r="B274" s="163" t="s">
        <v>2766</v>
      </c>
      <c r="C274" s="163" t="s">
        <v>3515</v>
      </c>
      <c r="D274" s="163" t="s">
        <v>3516</v>
      </c>
      <c r="E274" s="164" t="n">
        <v>15000</v>
      </c>
      <c r="F274" s="165" t="s">
        <v>3517</v>
      </c>
    </row>
    <row r="275" customFormat="false" ht="15" hidden="false" customHeight="true" outlineLevel="0" collapsed="false">
      <c r="A275" s="163" t="s">
        <v>3014</v>
      </c>
      <c r="B275" s="163" t="s">
        <v>2766</v>
      </c>
      <c r="C275" s="163" t="s">
        <v>3515</v>
      </c>
      <c r="D275" s="163" t="s">
        <v>3516</v>
      </c>
      <c r="E275" s="164" t="n">
        <v>15000</v>
      </c>
      <c r="F275" s="165" t="s">
        <v>3518</v>
      </c>
    </row>
    <row r="276" customFormat="false" ht="15" hidden="false" customHeight="true" outlineLevel="0" collapsed="false">
      <c r="A276" s="163" t="s">
        <v>3014</v>
      </c>
      <c r="B276" s="163" t="s">
        <v>1743</v>
      </c>
      <c r="C276" s="163" t="s">
        <v>3403</v>
      </c>
      <c r="D276" s="163" t="s">
        <v>3404</v>
      </c>
      <c r="E276" s="164" t="n">
        <v>30000</v>
      </c>
      <c r="F276" s="165" t="s">
        <v>3519</v>
      </c>
    </row>
    <row r="277" customFormat="false" ht="15" hidden="false" customHeight="true" outlineLevel="0" collapsed="false">
      <c r="A277" s="163" t="s">
        <v>3014</v>
      </c>
      <c r="B277" s="163" t="s">
        <v>1743</v>
      </c>
      <c r="C277" s="163" t="s">
        <v>3350</v>
      </c>
      <c r="D277" s="163" t="s">
        <v>3351</v>
      </c>
      <c r="E277" s="164" t="n">
        <v>30000</v>
      </c>
      <c r="F277" s="165" t="s">
        <v>3520</v>
      </c>
    </row>
    <row r="278" customFormat="false" ht="15" hidden="false" customHeight="true" outlineLevel="0" collapsed="false">
      <c r="A278" s="163" t="s">
        <v>3014</v>
      </c>
      <c r="B278" s="163" t="s">
        <v>1743</v>
      </c>
      <c r="C278" s="163" t="s">
        <v>3340</v>
      </c>
      <c r="D278" s="163" t="s">
        <v>3341</v>
      </c>
      <c r="E278" s="164" t="n">
        <v>20000</v>
      </c>
      <c r="F278" s="165" t="s">
        <v>3519</v>
      </c>
    </row>
    <row r="279" customFormat="false" ht="15" hidden="false" customHeight="true" outlineLevel="0" collapsed="false">
      <c r="A279" s="163" t="s">
        <v>3014</v>
      </c>
      <c r="B279" s="163" t="s">
        <v>1743</v>
      </c>
      <c r="C279" s="163" t="s">
        <v>3347</v>
      </c>
      <c r="D279" s="163" t="s">
        <v>3348</v>
      </c>
      <c r="E279" s="164" t="n">
        <v>20000</v>
      </c>
      <c r="F279" s="165" t="s">
        <v>3519</v>
      </c>
    </row>
    <row r="280" customFormat="false" ht="15" hidden="false" customHeight="true" outlineLevel="0" collapsed="false">
      <c r="A280" s="163" t="s">
        <v>3014</v>
      </c>
      <c r="B280" s="163" t="s">
        <v>1743</v>
      </c>
      <c r="C280" s="163" t="s">
        <v>3210</v>
      </c>
      <c r="D280" s="163" t="s">
        <v>3211</v>
      </c>
      <c r="E280" s="164" t="n">
        <v>20000</v>
      </c>
      <c r="F280" s="165" t="s">
        <v>3521</v>
      </c>
    </row>
    <row r="281" customFormat="false" ht="15" hidden="false" customHeight="true" outlineLevel="0" collapsed="false">
      <c r="A281" s="163" t="s">
        <v>3014</v>
      </c>
      <c r="B281" s="163" t="s">
        <v>1743</v>
      </c>
      <c r="C281" s="163" t="s">
        <v>3475</v>
      </c>
      <c r="D281" s="163" t="s">
        <v>3476</v>
      </c>
      <c r="E281" s="164" t="n">
        <v>20000</v>
      </c>
      <c r="F281" s="165" t="s">
        <v>3522</v>
      </c>
    </row>
    <row r="282" customFormat="false" ht="15" hidden="false" customHeight="true" outlineLevel="0" collapsed="false">
      <c r="A282" s="163" t="s">
        <v>3014</v>
      </c>
      <c r="B282" s="163" t="s">
        <v>1743</v>
      </c>
      <c r="C282" s="163" t="s">
        <v>3077</v>
      </c>
      <c r="D282" s="163" t="s">
        <v>3078</v>
      </c>
      <c r="E282" s="164" t="n">
        <v>10000</v>
      </c>
      <c r="F282" s="165" t="s">
        <v>3523</v>
      </c>
    </row>
    <row r="283" customFormat="false" ht="15" hidden="false" customHeight="true" outlineLevel="0" collapsed="false">
      <c r="A283" s="163" t="s">
        <v>3014</v>
      </c>
      <c r="B283" s="163" t="s">
        <v>928</v>
      </c>
      <c r="C283" s="163" t="s">
        <v>3347</v>
      </c>
      <c r="D283" s="163" t="s">
        <v>3348</v>
      </c>
      <c r="E283" s="164" t="n">
        <v>50000</v>
      </c>
      <c r="F283" s="165" t="s">
        <v>3524</v>
      </c>
    </row>
    <row r="284" customFormat="false" ht="15" hidden="false" customHeight="true" outlineLevel="0" collapsed="false">
      <c r="A284" s="163" t="s">
        <v>3014</v>
      </c>
      <c r="B284" s="163" t="s">
        <v>928</v>
      </c>
      <c r="C284" s="163" t="s">
        <v>3525</v>
      </c>
      <c r="D284" s="163" t="s">
        <v>3526</v>
      </c>
      <c r="E284" s="164" t="n">
        <v>25000</v>
      </c>
      <c r="F284" s="165" t="s">
        <v>3527</v>
      </c>
    </row>
    <row r="285" customFormat="false" ht="15" hidden="false" customHeight="true" outlineLevel="0" collapsed="false">
      <c r="A285" s="163" t="s">
        <v>3014</v>
      </c>
      <c r="B285" s="163" t="s">
        <v>928</v>
      </c>
      <c r="C285" s="163" t="s">
        <v>3528</v>
      </c>
      <c r="D285" s="163" t="s">
        <v>3529</v>
      </c>
      <c r="E285" s="164" t="n">
        <v>15000</v>
      </c>
      <c r="F285" s="165" t="s">
        <v>3530</v>
      </c>
    </row>
    <row r="286" customFormat="false" ht="15" hidden="false" customHeight="true" outlineLevel="0" collapsed="false">
      <c r="A286" s="163" t="s">
        <v>3014</v>
      </c>
      <c r="B286" s="163" t="s">
        <v>928</v>
      </c>
      <c r="C286" s="163" t="s">
        <v>3531</v>
      </c>
      <c r="D286" s="163" t="s">
        <v>3532</v>
      </c>
      <c r="E286" s="164" t="n">
        <v>15000</v>
      </c>
      <c r="F286" s="165" t="s">
        <v>3533</v>
      </c>
    </row>
    <row r="287" customFormat="false" ht="15" hidden="false" customHeight="true" outlineLevel="0" collapsed="false">
      <c r="A287" s="163" t="s">
        <v>3014</v>
      </c>
      <c r="B287" s="163" t="s">
        <v>928</v>
      </c>
      <c r="C287" s="163" t="s">
        <v>3108</v>
      </c>
      <c r="D287" s="163" t="s">
        <v>3109</v>
      </c>
      <c r="E287" s="164" t="n">
        <v>10000</v>
      </c>
      <c r="F287" s="165" t="s">
        <v>3470</v>
      </c>
    </row>
    <row r="288" customFormat="false" ht="15" hidden="false" customHeight="true" outlineLevel="0" collapsed="false">
      <c r="A288" s="163" t="s">
        <v>3014</v>
      </c>
      <c r="B288" s="163" t="s">
        <v>928</v>
      </c>
      <c r="C288" s="163" t="s">
        <v>3534</v>
      </c>
      <c r="D288" s="163" t="s">
        <v>3535</v>
      </c>
      <c r="E288" s="164" t="n">
        <v>10000</v>
      </c>
      <c r="F288" s="165" t="s">
        <v>3536</v>
      </c>
    </row>
    <row r="289" customFormat="false" ht="15" hidden="false" customHeight="true" outlineLevel="0" collapsed="false">
      <c r="A289" s="163" t="s">
        <v>3014</v>
      </c>
      <c r="B289" s="163" t="s">
        <v>928</v>
      </c>
      <c r="C289" s="163" t="s">
        <v>3537</v>
      </c>
      <c r="D289" s="163" t="s">
        <v>3538</v>
      </c>
      <c r="E289" s="164" t="n">
        <v>10000</v>
      </c>
      <c r="F289" s="165" t="s">
        <v>3539</v>
      </c>
    </row>
    <row r="290" customFormat="false" ht="15" hidden="false" customHeight="true" outlineLevel="0" collapsed="false">
      <c r="A290" s="163" t="s">
        <v>3014</v>
      </c>
      <c r="B290" s="163" t="s">
        <v>928</v>
      </c>
      <c r="C290" s="163" t="s">
        <v>2780</v>
      </c>
      <c r="D290" s="163" t="s">
        <v>2429</v>
      </c>
      <c r="E290" s="164" t="n">
        <v>5000</v>
      </c>
      <c r="F290" s="165" t="s">
        <v>3540</v>
      </c>
    </row>
    <row r="291" customFormat="false" ht="15" hidden="false" customHeight="true" outlineLevel="0" collapsed="false">
      <c r="A291" s="163" t="s">
        <v>3014</v>
      </c>
      <c r="B291" s="163" t="s">
        <v>928</v>
      </c>
      <c r="C291" s="163" t="s">
        <v>1199</v>
      </c>
      <c r="D291" s="163" t="s">
        <v>1929</v>
      </c>
      <c r="E291" s="164" t="n">
        <v>5000</v>
      </c>
      <c r="F291" s="165" t="s">
        <v>3541</v>
      </c>
    </row>
    <row r="292" customFormat="false" ht="15" hidden="false" customHeight="true" outlineLevel="0" collapsed="false">
      <c r="A292" s="163" t="s">
        <v>3014</v>
      </c>
      <c r="B292" s="163" t="s">
        <v>928</v>
      </c>
      <c r="C292" s="163" t="s">
        <v>3542</v>
      </c>
      <c r="D292" s="163" t="s">
        <v>3543</v>
      </c>
      <c r="E292" s="164" t="n">
        <v>5000</v>
      </c>
      <c r="F292" s="165" t="s">
        <v>3544</v>
      </c>
    </row>
    <row r="293" customFormat="false" ht="15" hidden="false" customHeight="true" outlineLevel="0" collapsed="false">
      <c r="A293" s="163" t="s">
        <v>3031</v>
      </c>
      <c r="B293" s="163" t="s">
        <v>926</v>
      </c>
      <c r="C293" s="163" t="s">
        <v>3545</v>
      </c>
      <c r="D293" s="163" t="s">
        <v>3546</v>
      </c>
      <c r="E293" s="164" t="n">
        <v>30000</v>
      </c>
      <c r="F293" s="165" t="s">
        <v>3547</v>
      </c>
    </row>
    <row r="294" customFormat="false" ht="15" hidden="false" customHeight="true" outlineLevel="0" collapsed="false">
      <c r="A294" s="163" t="s">
        <v>3031</v>
      </c>
      <c r="B294" s="163" t="s">
        <v>926</v>
      </c>
      <c r="C294" s="163" t="s">
        <v>3334</v>
      </c>
      <c r="D294" s="163" t="s">
        <v>3335</v>
      </c>
      <c r="E294" s="164" t="n">
        <v>25000</v>
      </c>
      <c r="F294" s="165" t="s">
        <v>3548</v>
      </c>
    </row>
    <row r="295" customFormat="false" ht="15" hidden="false" customHeight="true" outlineLevel="0" collapsed="false">
      <c r="A295" s="163" t="s">
        <v>3031</v>
      </c>
      <c r="B295" s="163" t="s">
        <v>926</v>
      </c>
      <c r="C295" s="163" t="s">
        <v>3549</v>
      </c>
      <c r="D295" s="163" t="s">
        <v>3550</v>
      </c>
      <c r="E295" s="164" t="n">
        <v>20000</v>
      </c>
      <c r="F295" s="165" t="s">
        <v>3551</v>
      </c>
    </row>
    <row r="296" customFormat="false" ht="15" hidden="false" customHeight="true" outlineLevel="0" collapsed="false">
      <c r="A296" s="163" t="s">
        <v>3031</v>
      </c>
      <c r="B296" s="163" t="s">
        <v>926</v>
      </c>
      <c r="C296" s="163" t="s">
        <v>3552</v>
      </c>
      <c r="D296" s="163" t="s">
        <v>3553</v>
      </c>
      <c r="E296" s="164" t="n">
        <v>15000</v>
      </c>
      <c r="F296" s="165" t="s">
        <v>3554</v>
      </c>
    </row>
    <row r="297" customFormat="false" ht="15" hidden="false" customHeight="true" outlineLevel="0" collapsed="false">
      <c r="A297" s="163" t="s">
        <v>3031</v>
      </c>
      <c r="B297" s="163" t="s">
        <v>926</v>
      </c>
      <c r="C297" s="163" t="s">
        <v>197</v>
      </c>
      <c r="D297" s="163" t="s">
        <v>1931</v>
      </c>
      <c r="E297" s="164" t="n">
        <v>10000</v>
      </c>
      <c r="F297" s="165" t="s">
        <v>3555</v>
      </c>
    </row>
    <row r="298" customFormat="false" ht="15" hidden="false" customHeight="true" outlineLevel="0" collapsed="false">
      <c r="A298" s="163" t="s">
        <v>3031</v>
      </c>
      <c r="B298" s="163" t="s">
        <v>957</v>
      </c>
      <c r="C298" s="163" t="s">
        <v>3556</v>
      </c>
      <c r="D298" s="163" t="s">
        <v>3557</v>
      </c>
      <c r="E298" s="164" t="n">
        <v>20000</v>
      </c>
      <c r="F298" s="165" t="s">
        <v>3558</v>
      </c>
    </row>
    <row r="299" customFormat="false" ht="15" hidden="false" customHeight="true" outlineLevel="0" collapsed="false">
      <c r="A299" s="163" t="s">
        <v>3031</v>
      </c>
      <c r="B299" s="163" t="s">
        <v>957</v>
      </c>
      <c r="C299" s="163" t="s">
        <v>1860</v>
      </c>
      <c r="D299" s="163" t="s">
        <v>1861</v>
      </c>
      <c r="E299" s="164" t="n">
        <v>17500</v>
      </c>
      <c r="F299" s="165" t="s">
        <v>3559</v>
      </c>
    </row>
    <row r="300" customFormat="false" ht="15" hidden="false" customHeight="true" outlineLevel="0" collapsed="false">
      <c r="A300" s="163" t="s">
        <v>3031</v>
      </c>
      <c r="B300" s="163" t="s">
        <v>957</v>
      </c>
      <c r="C300" s="163" t="s">
        <v>3560</v>
      </c>
      <c r="D300" s="163" t="s">
        <v>3561</v>
      </c>
      <c r="E300" s="164" t="n">
        <v>15000</v>
      </c>
      <c r="F300" s="165" t="s">
        <v>3562</v>
      </c>
    </row>
    <row r="301" customFormat="false" ht="15" hidden="false" customHeight="true" outlineLevel="0" collapsed="false">
      <c r="A301" s="163" t="s">
        <v>3031</v>
      </c>
      <c r="B301" s="163" t="s">
        <v>957</v>
      </c>
      <c r="C301" s="163" t="s">
        <v>3210</v>
      </c>
      <c r="D301" s="163" t="s">
        <v>3211</v>
      </c>
      <c r="E301" s="164" t="n">
        <v>10000</v>
      </c>
      <c r="F301" s="165" t="s">
        <v>3563</v>
      </c>
    </row>
    <row r="302" customFormat="false" ht="15" hidden="false" customHeight="true" outlineLevel="0" collapsed="false">
      <c r="A302" s="163" t="s">
        <v>3031</v>
      </c>
      <c r="B302" s="163" t="s">
        <v>957</v>
      </c>
      <c r="C302" s="163" t="s">
        <v>3564</v>
      </c>
      <c r="D302" s="163" t="s">
        <v>3565</v>
      </c>
      <c r="E302" s="164" t="n">
        <v>10000</v>
      </c>
      <c r="F302" s="165" t="s">
        <v>3566</v>
      </c>
    </row>
    <row r="303" customFormat="false" ht="15" hidden="false" customHeight="true" outlineLevel="0" collapsed="false">
      <c r="A303" s="163" t="s">
        <v>3031</v>
      </c>
      <c r="B303" s="163" t="s">
        <v>957</v>
      </c>
      <c r="C303" s="163" t="s">
        <v>3567</v>
      </c>
      <c r="D303" s="163" t="s">
        <v>3568</v>
      </c>
      <c r="E303" s="164" t="n">
        <v>5625</v>
      </c>
      <c r="F303" s="165" t="s">
        <v>3569</v>
      </c>
    </row>
    <row r="304" customFormat="false" ht="15" hidden="false" customHeight="true" outlineLevel="0" collapsed="false">
      <c r="A304" s="163" t="s">
        <v>3031</v>
      </c>
      <c r="B304" s="163" t="s">
        <v>957</v>
      </c>
      <c r="C304" s="163" t="s">
        <v>3567</v>
      </c>
      <c r="D304" s="163" t="s">
        <v>3568</v>
      </c>
      <c r="E304" s="164" t="n">
        <v>5625</v>
      </c>
      <c r="F304" s="165" t="s">
        <v>3570</v>
      </c>
    </row>
    <row r="305" customFormat="false" ht="15" hidden="false" customHeight="true" outlineLevel="0" collapsed="false">
      <c r="A305" s="163" t="s">
        <v>3031</v>
      </c>
      <c r="B305" s="163" t="s">
        <v>957</v>
      </c>
      <c r="C305" s="163" t="s">
        <v>3567</v>
      </c>
      <c r="D305" s="163" t="s">
        <v>3568</v>
      </c>
      <c r="E305" s="164" t="n">
        <v>5625</v>
      </c>
      <c r="F305" s="165" t="s">
        <v>3571</v>
      </c>
    </row>
    <row r="306" customFormat="false" ht="15" hidden="false" customHeight="true" outlineLevel="0" collapsed="false">
      <c r="A306" s="163" t="s">
        <v>3031</v>
      </c>
      <c r="B306" s="163" t="s">
        <v>957</v>
      </c>
      <c r="C306" s="163" t="s">
        <v>3278</v>
      </c>
      <c r="D306" s="163" t="s">
        <v>3279</v>
      </c>
      <c r="E306" s="164" t="n">
        <v>5625</v>
      </c>
      <c r="F306" s="165" t="s">
        <v>3572</v>
      </c>
    </row>
    <row r="307" customFormat="false" ht="15" hidden="false" customHeight="true" outlineLevel="0" collapsed="false">
      <c r="A307" s="163" t="s">
        <v>3031</v>
      </c>
      <c r="B307" s="163" t="s">
        <v>957</v>
      </c>
      <c r="C307" s="163" t="s">
        <v>1270</v>
      </c>
      <c r="D307" s="163" t="s">
        <v>2431</v>
      </c>
      <c r="E307" s="164" t="n">
        <v>5000</v>
      </c>
      <c r="F307" s="165" t="s">
        <v>3573</v>
      </c>
    </row>
    <row r="308" customFormat="false" ht="15" hidden="false" customHeight="true" outlineLevel="0" collapsed="false">
      <c r="A308" s="163" t="s">
        <v>3031</v>
      </c>
      <c r="B308" s="163" t="s">
        <v>957</v>
      </c>
      <c r="C308" s="163" t="s">
        <v>3564</v>
      </c>
      <c r="D308" s="163" t="s">
        <v>3565</v>
      </c>
      <c r="E308" s="164" t="n">
        <v>5000</v>
      </c>
      <c r="F308" s="165" t="s">
        <v>3574</v>
      </c>
    </row>
    <row r="309" customFormat="false" ht="15" hidden="false" customHeight="true" outlineLevel="0" collapsed="false">
      <c r="A309" s="163" t="s">
        <v>3031</v>
      </c>
      <c r="B309" s="163" t="s">
        <v>957</v>
      </c>
      <c r="C309" s="163" t="s">
        <v>3575</v>
      </c>
      <c r="D309" s="163" t="s">
        <v>3576</v>
      </c>
      <c r="E309" s="164" t="n">
        <v>5000</v>
      </c>
      <c r="F309" s="165" t="s">
        <v>3577</v>
      </c>
    </row>
    <row r="310" customFormat="false" ht="15" hidden="false" customHeight="true" outlineLevel="0" collapsed="false">
      <c r="A310" s="163" t="s">
        <v>3031</v>
      </c>
      <c r="B310" s="163" t="s">
        <v>945</v>
      </c>
      <c r="C310" s="163" t="s">
        <v>3578</v>
      </c>
      <c r="D310" s="163" t="s">
        <v>3579</v>
      </c>
      <c r="E310" s="164" t="n">
        <v>12500</v>
      </c>
      <c r="F310" s="165" t="s">
        <v>3060</v>
      </c>
    </row>
    <row r="311" customFormat="false" ht="15" hidden="false" customHeight="true" outlineLevel="0" collapsed="false">
      <c r="A311" s="163" t="s">
        <v>3031</v>
      </c>
      <c r="B311" s="163" t="s">
        <v>945</v>
      </c>
      <c r="C311" s="163" t="s">
        <v>3278</v>
      </c>
      <c r="D311" s="163" t="s">
        <v>3279</v>
      </c>
      <c r="E311" s="164" t="n">
        <v>9000</v>
      </c>
      <c r="F311" s="165" t="s">
        <v>3580</v>
      </c>
    </row>
    <row r="312" customFormat="false" ht="15" hidden="false" customHeight="true" outlineLevel="0" collapsed="false">
      <c r="A312" s="163" t="s">
        <v>3031</v>
      </c>
      <c r="B312" s="163" t="s">
        <v>945</v>
      </c>
      <c r="C312" s="163" t="s">
        <v>1860</v>
      </c>
      <c r="D312" s="163" t="s">
        <v>1861</v>
      </c>
      <c r="E312" s="164" t="n">
        <v>3500</v>
      </c>
      <c r="F312" s="165" t="s">
        <v>3581</v>
      </c>
    </row>
    <row r="313" customFormat="false" ht="15" hidden="false" customHeight="true" outlineLevel="0" collapsed="false">
      <c r="A313" s="163" t="s">
        <v>3031</v>
      </c>
      <c r="B313" s="163" t="s">
        <v>3111</v>
      </c>
      <c r="C313" s="163" t="s">
        <v>3560</v>
      </c>
      <c r="D313" s="163" t="s">
        <v>3561</v>
      </c>
      <c r="E313" s="164" t="n">
        <v>60000</v>
      </c>
      <c r="F313" s="165" t="s">
        <v>3582</v>
      </c>
    </row>
    <row r="314" customFormat="false" ht="15" hidden="false" customHeight="true" outlineLevel="0" collapsed="false">
      <c r="A314" s="163" t="s">
        <v>3031</v>
      </c>
      <c r="B314" s="163" t="s">
        <v>3111</v>
      </c>
      <c r="C314" s="163" t="s">
        <v>2879</v>
      </c>
      <c r="D314" s="163" t="s">
        <v>1931</v>
      </c>
      <c r="E314" s="164" t="n">
        <v>10000</v>
      </c>
      <c r="F314" s="165" t="s">
        <v>3583</v>
      </c>
    </row>
    <row r="315" customFormat="false" ht="15" hidden="false" customHeight="true" outlineLevel="0" collapsed="false">
      <c r="A315" s="163" t="s">
        <v>3031</v>
      </c>
      <c r="B315" s="163" t="s">
        <v>3111</v>
      </c>
      <c r="C315" s="163" t="s">
        <v>2879</v>
      </c>
      <c r="D315" s="163" t="s">
        <v>1931</v>
      </c>
      <c r="E315" s="164" t="n">
        <v>10000</v>
      </c>
      <c r="F315" s="165" t="s">
        <v>3584</v>
      </c>
    </row>
    <row r="316" customFormat="false" ht="15" hidden="false" customHeight="true" outlineLevel="0" collapsed="false">
      <c r="A316" s="163" t="s">
        <v>3031</v>
      </c>
      <c r="B316" s="163" t="s">
        <v>3111</v>
      </c>
      <c r="C316" s="163" t="s">
        <v>2879</v>
      </c>
      <c r="D316" s="163" t="s">
        <v>1931</v>
      </c>
      <c r="E316" s="164" t="n">
        <v>10000</v>
      </c>
      <c r="F316" s="165" t="s">
        <v>3585</v>
      </c>
    </row>
    <row r="317" customFormat="false" ht="15" hidden="false" customHeight="true" outlineLevel="0" collapsed="false">
      <c r="A317" s="163" t="s">
        <v>3031</v>
      </c>
      <c r="B317" s="163" t="s">
        <v>3111</v>
      </c>
      <c r="C317" s="163" t="s">
        <v>2879</v>
      </c>
      <c r="D317" s="163" t="s">
        <v>1931</v>
      </c>
      <c r="E317" s="164" t="n">
        <v>10000</v>
      </c>
      <c r="F317" s="165" t="s">
        <v>3586</v>
      </c>
    </row>
    <row r="318" customFormat="false" ht="15" hidden="false" customHeight="true" outlineLevel="0" collapsed="false">
      <c r="A318" s="163" t="s">
        <v>3031</v>
      </c>
      <c r="B318" s="163" t="s">
        <v>1938</v>
      </c>
      <c r="C318" s="163" t="s">
        <v>3139</v>
      </c>
      <c r="D318" s="163" t="s">
        <v>3140</v>
      </c>
      <c r="E318" s="164" t="n">
        <v>20000</v>
      </c>
      <c r="F318" s="165" t="s">
        <v>3587</v>
      </c>
    </row>
    <row r="319" customFormat="false" ht="15" hidden="false" customHeight="true" outlineLevel="0" collapsed="false">
      <c r="A319" s="163" t="s">
        <v>3031</v>
      </c>
      <c r="B319" s="163" t="s">
        <v>1938</v>
      </c>
      <c r="C319" s="163" t="s">
        <v>260</v>
      </c>
      <c r="D319" s="163" t="s">
        <v>2097</v>
      </c>
      <c r="E319" s="164" t="n">
        <v>20000</v>
      </c>
      <c r="F319" s="165" t="s">
        <v>3588</v>
      </c>
    </row>
    <row r="320" customFormat="false" ht="15" hidden="false" customHeight="true" outlineLevel="0" collapsed="false">
      <c r="A320" s="163" t="s">
        <v>3031</v>
      </c>
      <c r="B320" s="163" t="s">
        <v>1938</v>
      </c>
      <c r="C320" s="163" t="s">
        <v>3589</v>
      </c>
      <c r="D320" s="163" t="s">
        <v>3590</v>
      </c>
      <c r="E320" s="164" t="n">
        <v>20000</v>
      </c>
      <c r="F320" s="165" t="s">
        <v>3591</v>
      </c>
    </row>
    <row r="321" customFormat="false" ht="15" hidden="false" customHeight="true" outlineLevel="0" collapsed="false">
      <c r="A321" s="163" t="s">
        <v>3031</v>
      </c>
      <c r="B321" s="163" t="s">
        <v>1938</v>
      </c>
      <c r="C321" s="163" t="s">
        <v>3589</v>
      </c>
      <c r="D321" s="163" t="s">
        <v>3590</v>
      </c>
      <c r="E321" s="164" t="n">
        <v>20000</v>
      </c>
      <c r="F321" s="165" t="s">
        <v>3592</v>
      </c>
    </row>
    <row r="322" customFormat="false" ht="15" hidden="false" customHeight="true" outlineLevel="0" collapsed="false">
      <c r="A322" s="163" t="s">
        <v>3031</v>
      </c>
      <c r="B322" s="163" t="s">
        <v>1938</v>
      </c>
      <c r="C322" s="163" t="s">
        <v>452</v>
      </c>
      <c r="D322" s="163" t="s">
        <v>1931</v>
      </c>
      <c r="E322" s="164" t="n">
        <v>20000</v>
      </c>
      <c r="F322" s="165" t="s">
        <v>3593</v>
      </c>
    </row>
    <row r="323" customFormat="false" ht="15" hidden="false" customHeight="true" outlineLevel="0" collapsed="false">
      <c r="A323" s="163" t="s">
        <v>3031</v>
      </c>
      <c r="B323" s="163" t="s">
        <v>1938</v>
      </c>
      <c r="C323" s="163" t="s">
        <v>452</v>
      </c>
      <c r="D323" s="163" t="s">
        <v>1931</v>
      </c>
      <c r="E323" s="164" t="n">
        <v>20000</v>
      </c>
      <c r="F323" s="165" t="s">
        <v>3594</v>
      </c>
    </row>
    <row r="324" customFormat="false" ht="15" hidden="false" customHeight="true" outlineLevel="0" collapsed="false">
      <c r="A324" s="163" t="s">
        <v>3031</v>
      </c>
      <c r="B324" s="163" t="s">
        <v>1938</v>
      </c>
      <c r="C324" s="163" t="s">
        <v>3595</v>
      </c>
      <c r="D324" s="163" t="s">
        <v>3596</v>
      </c>
      <c r="E324" s="164" t="n">
        <v>20000</v>
      </c>
      <c r="F324" s="165" t="s">
        <v>3597</v>
      </c>
    </row>
    <row r="325" customFormat="false" ht="15" hidden="false" customHeight="true" outlineLevel="0" collapsed="false">
      <c r="A325" s="163" t="s">
        <v>3031</v>
      </c>
      <c r="B325" s="163" t="s">
        <v>1938</v>
      </c>
      <c r="C325" s="163" t="s">
        <v>3595</v>
      </c>
      <c r="D325" s="163" t="s">
        <v>3596</v>
      </c>
      <c r="E325" s="164" t="n">
        <v>20000</v>
      </c>
      <c r="F325" s="165" t="s">
        <v>3598</v>
      </c>
    </row>
    <row r="326" customFormat="false" ht="15" hidden="false" customHeight="true" outlineLevel="0" collapsed="false">
      <c r="A326" s="163" t="s">
        <v>3031</v>
      </c>
      <c r="B326" s="163" t="s">
        <v>1938</v>
      </c>
      <c r="C326" s="163" t="s">
        <v>3595</v>
      </c>
      <c r="D326" s="163" t="s">
        <v>3596</v>
      </c>
      <c r="E326" s="164" t="n">
        <v>20000</v>
      </c>
      <c r="F326" s="165" t="s">
        <v>3599</v>
      </c>
    </row>
    <row r="327" customFormat="false" ht="15" hidden="false" customHeight="true" outlineLevel="0" collapsed="false">
      <c r="A327" s="163" t="s">
        <v>3031</v>
      </c>
      <c r="B327" s="163" t="s">
        <v>1938</v>
      </c>
      <c r="C327" s="163" t="s">
        <v>1129</v>
      </c>
      <c r="D327" s="163" t="s">
        <v>2892</v>
      </c>
      <c r="E327" s="164" t="n">
        <v>20000</v>
      </c>
      <c r="F327" s="165" t="s">
        <v>3600</v>
      </c>
    </row>
    <row r="328" customFormat="false" ht="15" hidden="false" customHeight="true" outlineLevel="0" collapsed="false">
      <c r="A328" s="163" t="s">
        <v>3031</v>
      </c>
      <c r="B328" s="163" t="s">
        <v>1938</v>
      </c>
      <c r="C328" s="163" t="s">
        <v>332</v>
      </c>
      <c r="D328" s="163" t="s">
        <v>2673</v>
      </c>
      <c r="E328" s="164" t="n">
        <v>20000</v>
      </c>
      <c r="F328" s="165" t="s">
        <v>3601</v>
      </c>
    </row>
    <row r="329" customFormat="false" ht="15" hidden="false" customHeight="true" outlineLevel="0" collapsed="false">
      <c r="A329" s="163" t="s">
        <v>3031</v>
      </c>
      <c r="B329" s="163" t="s">
        <v>1938</v>
      </c>
      <c r="C329" s="163" t="s">
        <v>3602</v>
      </c>
      <c r="D329" s="163" t="s">
        <v>3603</v>
      </c>
      <c r="E329" s="164" t="n">
        <v>20000</v>
      </c>
      <c r="F329" s="165" t="s">
        <v>3604</v>
      </c>
    </row>
    <row r="330" customFormat="false" ht="15" hidden="false" customHeight="true" outlineLevel="0" collapsed="false">
      <c r="A330" s="163" t="s">
        <v>3031</v>
      </c>
      <c r="B330" s="163" t="s">
        <v>1938</v>
      </c>
      <c r="C330" s="163" t="s">
        <v>431</v>
      </c>
      <c r="D330" s="163" t="s">
        <v>2678</v>
      </c>
      <c r="E330" s="164" t="n">
        <v>20000</v>
      </c>
      <c r="F330" s="165" t="s">
        <v>3605</v>
      </c>
    </row>
    <row r="331" customFormat="false" ht="15" hidden="false" customHeight="true" outlineLevel="0" collapsed="false">
      <c r="A331" s="163" t="s">
        <v>3031</v>
      </c>
      <c r="B331" s="163" t="s">
        <v>1938</v>
      </c>
      <c r="C331" s="163" t="s">
        <v>431</v>
      </c>
      <c r="D331" s="163" t="s">
        <v>2678</v>
      </c>
      <c r="E331" s="164" t="n">
        <v>20000</v>
      </c>
      <c r="F331" s="165" t="s">
        <v>3606</v>
      </c>
    </row>
    <row r="332" customFormat="false" ht="15" hidden="false" customHeight="true" outlineLevel="0" collapsed="false">
      <c r="A332" s="163" t="s">
        <v>3031</v>
      </c>
      <c r="B332" s="163" t="s">
        <v>1938</v>
      </c>
      <c r="C332" s="163" t="s">
        <v>431</v>
      </c>
      <c r="D332" s="163" t="s">
        <v>2678</v>
      </c>
      <c r="E332" s="164" t="n">
        <v>20000</v>
      </c>
      <c r="F332" s="165" t="s">
        <v>3607</v>
      </c>
    </row>
    <row r="333" customFormat="false" ht="15" hidden="false" customHeight="true" outlineLevel="0" collapsed="false">
      <c r="A333" s="163" t="s">
        <v>3031</v>
      </c>
      <c r="B333" s="163" t="s">
        <v>1938</v>
      </c>
      <c r="C333" s="163" t="s">
        <v>431</v>
      </c>
      <c r="D333" s="163" t="s">
        <v>2678</v>
      </c>
      <c r="E333" s="164" t="n">
        <v>20000</v>
      </c>
      <c r="F333" s="165" t="s">
        <v>3608</v>
      </c>
    </row>
    <row r="334" customFormat="false" ht="15" hidden="false" customHeight="true" outlineLevel="0" collapsed="false">
      <c r="A334" s="163" t="s">
        <v>3031</v>
      </c>
      <c r="B334" s="163" t="s">
        <v>1938</v>
      </c>
      <c r="C334" s="163" t="s">
        <v>3609</v>
      </c>
      <c r="D334" s="163" t="s">
        <v>3610</v>
      </c>
      <c r="E334" s="164" t="n">
        <v>20000</v>
      </c>
      <c r="F334" s="165" t="s">
        <v>3611</v>
      </c>
    </row>
    <row r="335" customFormat="false" ht="15" hidden="false" customHeight="true" outlineLevel="0" collapsed="false">
      <c r="A335" s="163" t="s">
        <v>3031</v>
      </c>
      <c r="B335" s="163" t="s">
        <v>691</v>
      </c>
      <c r="C335" s="163" t="s">
        <v>3609</v>
      </c>
      <c r="D335" s="163" t="s">
        <v>3610</v>
      </c>
      <c r="E335" s="164" t="n">
        <v>40000</v>
      </c>
      <c r="F335" s="165" t="s">
        <v>3612</v>
      </c>
    </row>
    <row r="336" customFormat="false" ht="15" hidden="false" customHeight="true" outlineLevel="0" collapsed="false">
      <c r="A336" s="163" t="s">
        <v>3031</v>
      </c>
      <c r="B336" s="163" t="s">
        <v>691</v>
      </c>
      <c r="C336" s="163" t="s">
        <v>3560</v>
      </c>
      <c r="D336" s="163" t="s">
        <v>3561</v>
      </c>
      <c r="E336" s="164" t="n">
        <v>25000</v>
      </c>
      <c r="F336" s="165" t="s">
        <v>3613</v>
      </c>
    </row>
    <row r="337" customFormat="false" ht="15" hidden="false" customHeight="true" outlineLevel="0" collapsed="false">
      <c r="A337" s="163" t="s">
        <v>3031</v>
      </c>
      <c r="B337" s="163" t="s">
        <v>691</v>
      </c>
      <c r="C337" s="163" t="s">
        <v>3560</v>
      </c>
      <c r="D337" s="163" t="s">
        <v>3561</v>
      </c>
      <c r="E337" s="164" t="n">
        <v>20000</v>
      </c>
      <c r="F337" s="165" t="s">
        <v>3614</v>
      </c>
    </row>
    <row r="338" customFormat="false" ht="15" hidden="false" customHeight="true" outlineLevel="0" collapsed="false">
      <c r="A338" s="163" t="s">
        <v>3031</v>
      </c>
      <c r="B338" s="163" t="s">
        <v>691</v>
      </c>
      <c r="C338" s="163" t="s">
        <v>3615</v>
      </c>
      <c r="D338" s="163" t="s">
        <v>3616</v>
      </c>
      <c r="E338" s="164" t="n">
        <v>20000</v>
      </c>
      <c r="F338" s="165" t="s">
        <v>3617</v>
      </c>
    </row>
    <row r="339" customFormat="false" ht="15" hidden="false" customHeight="true" outlineLevel="0" collapsed="false">
      <c r="A339" s="163" t="s">
        <v>3031</v>
      </c>
      <c r="B339" s="163" t="s">
        <v>691</v>
      </c>
      <c r="C339" s="163" t="s">
        <v>260</v>
      </c>
      <c r="D339" s="163" t="s">
        <v>2097</v>
      </c>
      <c r="E339" s="164" t="n">
        <v>10000</v>
      </c>
      <c r="F339" s="165" t="s">
        <v>3618</v>
      </c>
    </row>
    <row r="340" customFormat="false" ht="15" hidden="false" customHeight="true" outlineLevel="0" collapsed="false">
      <c r="A340" s="163" t="s">
        <v>3031</v>
      </c>
      <c r="B340" s="163" t="s">
        <v>691</v>
      </c>
      <c r="C340" s="163" t="s">
        <v>1129</v>
      </c>
      <c r="D340" s="163" t="s">
        <v>2892</v>
      </c>
      <c r="E340" s="164" t="n">
        <v>10000</v>
      </c>
      <c r="F340" s="165" t="s">
        <v>3605</v>
      </c>
    </row>
    <row r="341" customFormat="false" ht="15" hidden="false" customHeight="true" outlineLevel="0" collapsed="false">
      <c r="A341" s="163" t="s">
        <v>3031</v>
      </c>
      <c r="B341" s="163" t="s">
        <v>691</v>
      </c>
      <c r="C341" s="163" t="s">
        <v>3602</v>
      </c>
      <c r="D341" s="163" t="s">
        <v>3603</v>
      </c>
      <c r="E341" s="164" t="n">
        <v>10000</v>
      </c>
      <c r="F341" s="165" t="s">
        <v>3619</v>
      </c>
    </row>
    <row r="342" customFormat="false" ht="15" hidden="false" customHeight="true" outlineLevel="0" collapsed="false">
      <c r="A342" s="163" t="s">
        <v>3031</v>
      </c>
      <c r="B342" s="163" t="s">
        <v>691</v>
      </c>
      <c r="C342" s="163" t="s">
        <v>431</v>
      </c>
      <c r="D342" s="163" t="s">
        <v>2678</v>
      </c>
      <c r="E342" s="164" t="n">
        <v>10000</v>
      </c>
      <c r="F342" s="165" t="s">
        <v>3620</v>
      </c>
    </row>
    <row r="343" customFormat="false" ht="15" hidden="false" customHeight="true" outlineLevel="0" collapsed="false">
      <c r="A343" s="163" t="s">
        <v>3031</v>
      </c>
      <c r="B343" s="163" t="s">
        <v>2027</v>
      </c>
      <c r="C343" s="163" t="s">
        <v>3135</v>
      </c>
      <c r="D343" s="163" t="s">
        <v>3136</v>
      </c>
      <c r="E343" s="164" t="n">
        <v>40000</v>
      </c>
      <c r="F343" s="165" t="s">
        <v>3621</v>
      </c>
    </row>
    <row r="344" customFormat="false" ht="15" hidden="false" customHeight="true" outlineLevel="0" collapsed="false">
      <c r="A344" s="163" t="s">
        <v>3031</v>
      </c>
      <c r="B344" s="163" t="s">
        <v>2027</v>
      </c>
      <c r="C344" s="163" t="s">
        <v>3622</v>
      </c>
      <c r="D344" s="163" t="s">
        <v>3623</v>
      </c>
      <c r="E344" s="164" t="n">
        <v>30000</v>
      </c>
      <c r="F344" s="165" t="s">
        <v>3624</v>
      </c>
    </row>
    <row r="345" customFormat="false" ht="15" hidden="false" customHeight="true" outlineLevel="0" collapsed="false">
      <c r="A345" s="163" t="s">
        <v>3031</v>
      </c>
      <c r="B345" s="163" t="s">
        <v>2027</v>
      </c>
      <c r="C345" s="163" t="s">
        <v>3625</v>
      </c>
      <c r="D345" s="163" t="s">
        <v>3626</v>
      </c>
      <c r="E345" s="164" t="n">
        <v>10000</v>
      </c>
      <c r="F345" s="165" t="s">
        <v>3627</v>
      </c>
    </row>
    <row r="346" customFormat="false" ht="15" hidden="false" customHeight="true" outlineLevel="0" collapsed="false">
      <c r="A346" s="163" t="s">
        <v>3031</v>
      </c>
      <c r="B346" s="163" t="s">
        <v>2027</v>
      </c>
      <c r="C346" s="163" t="s">
        <v>3628</v>
      </c>
      <c r="D346" s="163" t="s">
        <v>3629</v>
      </c>
      <c r="E346" s="164" t="n">
        <v>10000</v>
      </c>
      <c r="F346" s="165" t="s">
        <v>3630</v>
      </c>
    </row>
    <row r="347" customFormat="false" ht="15" hidden="false" customHeight="true" outlineLevel="0" collapsed="false">
      <c r="A347" s="163" t="s">
        <v>3031</v>
      </c>
      <c r="B347" s="163" t="s">
        <v>2037</v>
      </c>
      <c r="C347" s="163" t="s">
        <v>3631</v>
      </c>
      <c r="D347" s="163" t="s">
        <v>1931</v>
      </c>
      <c r="E347" s="164" t="n">
        <v>72500</v>
      </c>
      <c r="F347" s="165" t="s">
        <v>3582</v>
      </c>
    </row>
    <row r="348" customFormat="false" ht="15" hidden="false" customHeight="true" outlineLevel="0" collapsed="false">
      <c r="A348" s="163" t="s">
        <v>3031</v>
      </c>
      <c r="B348" s="163" t="s">
        <v>2037</v>
      </c>
      <c r="C348" s="163" t="s">
        <v>1860</v>
      </c>
      <c r="D348" s="163" t="s">
        <v>1861</v>
      </c>
      <c r="E348" s="164" t="n">
        <v>72500</v>
      </c>
      <c r="F348" s="165" t="s">
        <v>3582</v>
      </c>
    </row>
    <row r="349" customFormat="false" ht="15" hidden="false" customHeight="true" outlineLevel="0" collapsed="false">
      <c r="A349" s="163" t="s">
        <v>3031</v>
      </c>
      <c r="B349" s="163" t="s">
        <v>2037</v>
      </c>
      <c r="C349" s="163" t="s">
        <v>1202</v>
      </c>
      <c r="D349" s="163" t="s">
        <v>2693</v>
      </c>
      <c r="E349" s="164" t="n">
        <v>50000</v>
      </c>
      <c r="F349" s="165" t="s">
        <v>3632</v>
      </c>
    </row>
    <row r="350" customFormat="false" ht="15" hidden="false" customHeight="true" outlineLevel="0" collapsed="false">
      <c r="A350" s="163" t="s">
        <v>3031</v>
      </c>
      <c r="B350" s="163" t="s">
        <v>894</v>
      </c>
      <c r="C350" s="163" t="s">
        <v>3549</v>
      </c>
      <c r="D350" s="163" t="s">
        <v>3550</v>
      </c>
      <c r="E350" s="164" t="n">
        <v>30000</v>
      </c>
      <c r="F350" s="165" t="s">
        <v>3582</v>
      </c>
    </row>
    <row r="351" customFormat="false" ht="15" hidden="false" customHeight="true" outlineLevel="0" collapsed="false">
      <c r="A351" s="163" t="s">
        <v>3031</v>
      </c>
      <c r="B351" s="163" t="s">
        <v>894</v>
      </c>
      <c r="C351" s="163" t="s">
        <v>893</v>
      </c>
      <c r="D351" s="163" t="s">
        <v>1931</v>
      </c>
      <c r="E351" s="164" t="n">
        <v>25000</v>
      </c>
      <c r="F351" s="165" t="s">
        <v>3633</v>
      </c>
    </row>
    <row r="352" customFormat="false" ht="15" hidden="false" customHeight="true" outlineLevel="0" collapsed="false">
      <c r="A352" s="163" t="s">
        <v>3031</v>
      </c>
      <c r="B352" s="163" t="s">
        <v>894</v>
      </c>
      <c r="C352" s="163" t="s">
        <v>197</v>
      </c>
      <c r="D352" s="163" t="s">
        <v>1931</v>
      </c>
      <c r="E352" s="164" t="n">
        <v>25000</v>
      </c>
      <c r="F352" s="165" t="s">
        <v>3634</v>
      </c>
    </row>
    <row r="353" customFormat="false" ht="15" hidden="false" customHeight="true" outlineLevel="0" collapsed="false">
      <c r="A353" s="163" t="s">
        <v>3031</v>
      </c>
      <c r="B353" s="163" t="s">
        <v>894</v>
      </c>
      <c r="C353" s="163" t="s">
        <v>3635</v>
      </c>
      <c r="D353" s="163" t="s">
        <v>3636</v>
      </c>
      <c r="E353" s="164" t="n">
        <v>20000</v>
      </c>
      <c r="F353" s="165" t="s">
        <v>3637</v>
      </c>
    </row>
    <row r="354" customFormat="false" ht="15" hidden="false" customHeight="true" outlineLevel="0" collapsed="false">
      <c r="A354" s="163" t="s">
        <v>3031</v>
      </c>
      <c r="B354" s="163" t="s">
        <v>894</v>
      </c>
      <c r="C354" s="163" t="s">
        <v>3635</v>
      </c>
      <c r="D354" s="163" t="s">
        <v>3636</v>
      </c>
      <c r="E354" s="164" t="n">
        <v>20000</v>
      </c>
      <c r="F354" s="165" t="s">
        <v>3638</v>
      </c>
    </row>
    <row r="355" customFormat="false" ht="15" hidden="false" customHeight="true" outlineLevel="0" collapsed="false">
      <c r="A355" s="163" t="s">
        <v>3031</v>
      </c>
      <c r="B355" s="163" t="s">
        <v>894</v>
      </c>
      <c r="C355" s="163" t="s">
        <v>1191</v>
      </c>
      <c r="D355" s="163" t="s">
        <v>2141</v>
      </c>
      <c r="E355" s="164" t="n">
        <v>15000</v>
      </c>
      <c r="F355" s="165" t="s">
        <v>3639</v>
      </c>
    </row>
    <row r="356" customFormat="false" ht="15" hidden="false" customHeight="true" outlineLevel="0" collapsed="false">
      <c r="A356" s="163" t="s">
        <v>3031</v>
      </c>
      <c r="B356" s="163" t="s">
        <v>894</v>
      </c>
      <c r="C356" s="163" t="s">
        <v>3640</v>
      </c>
      <c r="D356" s="163" t="s">
        <v>3641</v>
      </c>
      <c r="E356" s="164" t="n">
        <v>15000</v>
      </c>
      <c r="F356" s="165" t="s">
        <v>3642</v>
      </c>
    </row>
    <row r="357" customFormat="false" ht="15" hidden="false" customHeight="true" outlineLevel="0" collapsed="false">
      <c r="A357" s="163" t="s">
        <v>3031</v>
      </c>
      <c r="B357" s="163" t="s">
        <v>894</v>
      </c>
      <c r="C357" s="163" t="s">
        <v>3643</v>
      </c>
      <c r="D357" s="163" t="s">
        <v>3644</v>
      </c>
      <c r="E357" s="164" t="n">
        <v>15000</v>
      </c>
      <c r="F357" s="165" t="s">
        <v>3645</v>
      </c>
    </row>
    <row r="358" customFormat="false" ht="15" hidden="false" customHeight="true" outlineLevel="0" collapsed="false">
      <c r="A358" s="163" t="s">
        <v>3031</v>
      </c>
      <c r="B358" s="163" t="s">
        <v>894</v>
      </c>
      <c r="C358" s="163" t="s">
        <v>893</v>
      </c>
      <c r="D358" s="163" t="s">
        <v>1931</v>
      </c>
      <c r="E358" s="164" t="n">
        <v>15000</v>
      </c>
      <c r="F358" s="165" t="s">
        <v>3646</v>
      </c>
    </row>
    <row r="359" customFormat="false" ht="15" hidden="false" customHeight="true" outlineLevel="0" collapsed="false">
      <c r="A359" s="163" t="s">
        <v>3031</v>
      </c>
      <c r="B359" s="163" t="s">
        <v>894</v>
      </c>
      <c r="C359" s="163" t="s">
        <v>893</v>
      </c>
      <c r="D359" s="163" t="s">
        <v>1931</v>
      </c>
      <c r="E359" s="164" t="n">
        <v>15000</v>
      </c>
      <c r="F359" s="165" t="s">
        <v>3647</v>
      </c>
    </row>
    <row r="360" customFormat="false" ht="15" hidden="false" customHeight="true" outlineLevel="0" collapsed="false">
      <c r="A360" s="163" t="s">
        <v>3031</v>
      </c>
      <c r="B360" s="163" t="s">
        <v>894</v>
      </c>
      <c r="C360" s="163" t="s">
        <v>3635</v>
      </c>
      <c r="D360" s="163" t="s">
        <v>3636</v>
      </c>
      <c r="E360" s="164" t="n">
        <v>10500</v>
      </c>
      <c r="F360" s="165" t="s">
        <v>3648</v>
      </c>
    </row>
    <row r="361" customFormat="false" ht="15" hidden="false" customHeight="true" outlineLevel="0" collapsed="false">
      <c r="A361" s="163" t="s">
        <v>3031</v>
      </c>
      <c r="B361" s="163" t="s">
        <v>894</v>
      </c>
      <c r="C361" s="163" t="s">
        <v>3649</v>
      </c>
      <c r="D361" s="163" t="s">
        <v>3650</v>
      </c>
      <c r="E361" s="164" t="n">
        <v>10000</v>
      </c>
      <c r="F361" s="165" t="s">
        <v>3651</v>
      </c>
    </row>
    <row r="362" customFormat="false" ht="15" hidden="false" customHeight="true" outlineLevel="0" collapsed="false">
      <c r="A362" s="163" t="s">
        <v>3031</v>
      </c>
      <c r="B362" s="163" t="s">
        <v>894</v>
      </c>
      <c r="C362" s="163" t="s">
        <v>3652</v>
      </c>
      <c r="D362" s="163" t="s">
        <v>3653</v>
      </c>
      <c r="E362" s="164" t="n">
        <v>10000</v>
      </c>
      <c r="F362" s="165" t="s">
        <v>3654</v>
      </c>
    </row>
    <row r="363" customFormat="false" ht="15" hidden="false" customHeight="true" outlineLevel="0" collapsed="false">
      <c r="A363" s="163" t="s">
        <v>3031</v>
      </c>
      <c r="B363" s="163" t="s">
        <v>894</v>
      </c>
      <c r="C363" s="163" t="s">
        <v>3655</v>
      </c>
      <c r="D363" s="163" t="s">
        <v>3656</v>
      </c>
      <c r="E363" s="164" t="n">
        <v>10000</v>
      </c>
      <c r="F363" s="165" t="s">
        <v>3657</v>
      </c>
    </row>
    <row r="364" customFormat="false" ht="15" hidden="false" customHeight="true" outlineLevel="0" collapsed="false">
      <c r="A364" s="163" t="s">
        <v>3031</v>
      </c>
      <c r="B364" s="163" t="s">
        <v>894</v>
      </c>
      <c r="C364" s="163" t="s">
        <v>3658</v>
      </c>
      <c r="D364" s="163" t="s">
        <v>3659</v>
      </c>
      <c r="E364" s="164" t="n">
        <v>10000</v>
      </c>
      <c r="F364" s="165" t="s">
        <v>3060</v>
      </c>
    </row>
    <row r="365" customFormat="false" ht="15" hidden="false" customHeight="true" outlineLevel="0" collapsed="false">
      <c r="A365" s="163" t="s">
        <v>3031</v>
      </c>
      <c r="B365" s="163" t="s">
        <v>894</v>
      </c>
      <c r="C365" s="163" t="s">
        <v>3660</v>
      </c>
      <c r="D365" s="163" t="s">
        <v>3661</v>
      </c>
      <c r="E365" s="164" t="n">
        <v>10000</v>
      </c>
      <c r="F365" s="165" t="s">
        <v>3060</v>
      </c>
    </row>
    <row r="366" customFormat="false" ht="15" hidden="false" customHeight="true" outlineLevel="0" collapsed="false">
      <c r="A366" s="163" t="s">
        <v>3031</v>
      </c>
      <c r="B366" s="163" t="s">
        <v>894</v>
      </c>
      <c r="C366" s="163" t="s">
        <v>3662</v>
      </c>
      <c r="D366" s="163" t="s">
        <v>3663</v>
      </c>
      <c r="E366" s="164" t="n">
        <v>10000</v>
      </c>
      <c r="F366" s="165" t="s">
        <v>3060</v>
      </c>
    </row>
    <row r="367" customFormat="false" ht="15" hidden="false" customHeight="true" outlineLevel="0" collapsed="false">
      <c r="A367" s="163" t="s">
        <v>3031</v>
      </c>
      <c r="B367" s="163" t="s">
        <v>894</v>
      </c>
      <c r="C367" s="163" t="s">
        <v>3664</v>
      </c>
      <c r="D367" s="163" t="s">
        <v>3665</v>
      </c>
      <c r="E367" s="164" t="n">
        <v>10000</v>
      </c>
      <c r="F367" s="165" t="s">
        <v>3060</v>
      </c>
    </row>
    <row r="368" customFormat="false" ht="15" hidden="false" customHeight="true" outlineLevel="0" collapsed="false">
      <c r="A368" s="163" t="s">
        <v>3031</v>
      </c>
      <c r="B368" s="163" t="s">
        <v>894</v>
      </c>
      <c r="C368" s="163" t="s">
        <v>893</v>
      </c>
      <c r="D368" s="163" t="s">
        <v>1931</v>
      </c>
      <c r="E368" s="164" t="n">
        <v>9000</v>
      </c>
      <c r="F368" s="165" t="s">
        <v>3666</v>
      </c>
    </row>
    <row r="369" customFormat="false" ht="15" hidden="false" customHeight="true" outlineLevel="0" collapsed="false">
      <c r="A369" s="163" t="s">
        <v>3031</v>
      </c>
      <c r="B369" s="163" t="s">
        <v>894</v>
      </c>
      <c r="C369" s="163" t="s">
        <v>893</v>
      </c>
      <c r="D369" s="163" t="s">
        <v>1931</v>
      </c>
      <c r="E369" s="164" t="n">
        <v>9000</v>
      </c>
      <c r="F369" s="165" t="s">
        <v>3667</v>
      </c>
    </row>
    <row r="370" customFormat="false" ht="15" hidden="false" customHeight="true" outlineLevel="0" collapsed="false">
      <c r="A370" s="163" t="s">
        <v>3031</v>
      </c>
      <c r="B370" s="163" t="s">
        <v>894</v>
      </c>
      <c r="C370" s="163" t="s">
        <v>2167</v>
      </c>
      <c r="D370" s="163" t="s">
        <v>1931</v>
      </c>
      <c r="E370" s="164" t="n">
        <v>7500</v>
      </c>
      <c r="F370" s="165" t="s">
        <v>3060</v>
      </c>
    </row>
    <row r="371" customFormat="false" ht="15" hidden="false" customHeight="true" outlineLevel="0" collapsed="false">
      <c r="A371" s="163" t="s">
        <v>3031</v>
      </c>
      <c r="B371" s="163" t="s">
        <v>894</v>
      </c>
      <c r="C371" s="163" t="s">
        <v>3635</v>
      </c>
      <c r="D371" s="163" t="s">
        <v>3636</v>
      </c>
      <c r="E371" s="164" t="n">
        <v>6500</v>
      </c>
      <c r="F371" s="165" t="s">
        <v>3582</v>
      </c>
    </row>
    <row r="372" customFormat="false" ht="15" hidden="false" customHeight="true" outlineLevel="0" collapsed="false">
      <c r="A372" s="163" t="s">
        <v>3031</v>
      </c>
      <c r="B372" s="163" t="s">
        <v>894</v>
      </c>
      <c r="C372" s="163" t="s">
        <v>1860</v>
      </c>
      <c r="D372" s="163" t="s">
        <v>1861</v>
      </c>
      <c r="E372" s="164" t="n">
        <v>6500</v>
      </c>
      <c r="F372" s="165" t="s">
        <v>3668</v>
      </c>
    </row>
    <row r="373" customFormat="false" ht="15" hidden="false" customHeight="true" outlineLevel="0" collapsed="false">
      <c r="A373" s="163" t="s">
        <v>3031</v>
      </c>
      <c r="B373" s="163" t="s">
        <v>894</v>
      </c>
      <c r="C373" s="163" t="s">
        <v>197</v>
      </c>
      <c r="D373" s="163" t="s">
        <v>1931</v>
      </c>
      <c r="E373" s="164" t="n">
        <v>5600</v>
      </c>
      <c r="F373" s="165" t="s">
        <v>3669</v>
      </c>
    </row>
    <row r="374" customFormat="false" ht="15" hidden="false" customHeight="true" outlineLevel="0" collapsed="false">
      <c r="A374" s="163" t="s">
        <v>3031</v>
      </c>
      <c r="B374" s="163" t="s">
        <v>894</v>
      </c>
      <c r="C374" s="163" t="s">
        <v>3670</v>
      </c>
      <c r="D374" s="163" t="s">
        <v>3671</v>
      </c>
      <c r="E374" s="164" t="n">
        <v>5000</v>
      </c>
      <c r="F374" s="165" t="s">
        <v>3582</v>
      </c>
    </row>
    <row r="375" customFormat="false" ht="15" hidden="false" customHeight="true" outlineLevel="0" collapsed="false">
      <c r="A375" s="163" t="s">
        <v>3031</v>
      </c>
      <c r="B375" s="163" t="s">
        <v>894</v>
      </c>
      <c r="C375" s="163" t="s">
        <v>3635</v>
      </c>
      <c r="D375" s="163" t="s">
        <v>3636</v>
      </c>
      <c r="E375" s="164" t="n">
        <v>5000</v>
      </c>
      <c r="F375" s="165" t="s">
        <v>3672</v>
      </c>
    </row>
    <row r="376" customFormat="false" ht="15" hidden="false" customHeight="true" outlineLevel="0" collapsed="false">
      <c r="A376" s="163" t="s">
        <v>3031</v>
      </c>
      <c r="B376" s="163" t="s">
        <v>894</v>
      </c>
      <c r="C376" s="163" t="s">
        <v>3635</v>
      </c>
      <c r="D376" s="163" t="s">
        <v>3636</v>
      </c>
      <c r="E376" s="164" t="n">
        <v>5000</v>
      </c>
      <c r="F376" s="165" t="s">
        <v>3673</v>
      </c>
    </row>
    <row r="377" customFormat="false" ht="15" hidden="false" customHeight="true" outlineLevel="0" collapsed="false">
      <c r="A377" s="163" t="s">
        <v>3031</v>
      </c>
      <c r="B377" s="163" t="s">
        <v>894</v>
      </c>
      <c r="C377" s="163" t="s">
        <v>3635</v>
      </c>
      <c r="D377" s="163" t="s">
        <v>3636</v>
      </c>
      <c r="E377" s="164" t="n">
        <v>5000</v>
      </c>
      <c r="F377" s="165" t="s">
        <v>3674</v>
      </c>
    </row>
    <row r="378" customFormat="false" ht="15" hidden="false" customHeight="true" outlineLevel="0" collapsed="false">
      <c r="A378" s="163" t="s">
        <v>3031</v>
      </c>
      <c r="B378" s="163" t="s">
        <v>894</v>
      </c>
      <c r="C378" s="163" t="s">
        <v>3675</v>
      </c>
      <c r="D378" s="163" t="s">
        <v>3676</v>
      </c>
      <c r="E378" s="164" t="n">
        <v>5000</v>
      </c>
      <c r="F378" s="165" t="s">
        <v>3677</v>
      </c>
    </row>
    <row r="379" customFormat="false" ht="15" hidden="false" customHeight="true" outlineLevel="0" collapsed="false">
      <c r="A379" s="163" t="s">
        <v>3031</v>
      </c>
      <c r="B379" s="163" t="s">
        <v>894</v>
      </c>
      <c r="C379" s="163" t="s">
        <v>893</v>
      </c>
      <c r="D379" s="163" t="s">
        <v>1931</v>
      </c>
      <c r="E379" s="164" t="n">
        <v>5000</v>
      </c>
      <c r="F379" s="165" t="s">
        <v>3678</v>
      </c>
    </row>
    <row r="380" customFormat="false" ht="15" hidden="false" customHeight="true" outlineLevel="0" collapsed="false">
      <c r="A380" s="163" t="s">
        <v>3031</v>
      </c>
      <c r="B380" s="163" t="s">
        <v>894</v>
      </c>
      <c r="C380" s="163" t="s">
        <v>3679</v>
      </c>
      <c r="D380" s="163" t="s">
        <v>3680</v>
      </c>
      <c r="E380" s="164" t="n">
        <v>5000</v>
      </c>
      <c r="F380" s="165" t="s">
        <v>3681</v>
      </c>
    </row>
    <row r="381" customFormat="false" ht="15" hidden="false" customHeight="true" outlineLevel="0" collapsed="false">
      <c r="A381" s="163" t="s">
        <v>3031</v>
      </c>
      <c r="B381" s="163" t="s">
        <v>894</v>
      </c>
      <c r="C381" s="163" t="s">
        <v>3682</v>
      </c>
      <c r="D381" s="163" t="s">
        <v>3683</v>
      </c>
      <c r="E381" s="164" t="n">
        <v>5000</v>
      </c>
      <c r="F381" s="165" t="s">
        <v>3060</v>
      </c>
    </row>
    <row r="382" customFormat="false" ht="15" hidden="false" customHeight="true" outlineLevel="0" collapsed="false">
      <c r="A382" s="163" t="s">
        <v>3031</v>
      </c>
      <c r="B382" s="163" t="s">
        <v>894</v>
      </c>
      <c r="C382" s="163" t="s">
        <v>3684</v>
      </c>
      <c r="D382" s="163" t="s">
        <v>3685</v>
      </c>
      <c r="E382" s="164" t="n">
        <v>5000</v>
      </c>
      <c r="F382" s="165" t="s">
        <v>3060</v>
      </c>
    </row>
    <row r="383" customFormat="false" ht="15" hidden="false" customHeight="true" outlineLevel="0" collapsed="false">
      <c r="A383" s="163" t="s">
        <v>3031</v>
      </c>
      <c r="B383" s="163" t="s">
        <v>894</v>
      </c>
      <c r="C383" s="163" t="s">
        <v>3686</v>
      </c>
      <c r="D383" s="163" t="s">
        <v>3687</v>
      </c>
      <c r="E383" s="164" t="n">
        <v>5000</v>
      </c>
      <c r="F383" s="165" t="s">
        <v>3060</v>
      </c>
    </row>
    <row r="384" customFormat="false" ht="15" hidden="false" customHeight="true" outlineLevel="0" collapsed="false">
      <c r="A384" s="163" t="s">
        <v>3031</v>
      </c>
      <c r="B384" s="163" t="s">
        <v>894</v>
      </c>
      <c r="C384" s="163" t="s">
        <v>3560</v>
      </c>
      <c r="D384" s="163" t="s">
        <v>3561</v>
      </c>
      <c r="E384" s="164" t="n">
        <v>5000</v>
      </c>
      <c r="F384" s="165" t="s">
        <v>3688</v>
      </c>
    </row>
    <row r="385" customFormat="false" ht="15" hidden="false" customHeight="true" outlineLevel="0" collapsed="false">
      <c r="A385" s="163" t="s">
        <v>3031</v>
      </c>
      <c r="B385" s="163" t="s">
        <v>894</v>
      </c>
      <c r="C385" s="163" t="s">
        <v>3689</v>
      </c>
      <c r="D385" s="163" t="s">
        <v>3690</v>
      </c>
      <c r="E385" s="164" t="n">
        <v>5000</v>
      </c>
      <c r="F385" s="165" t="s">
        <v>3691</v>
      </c>
    </row>
    <row r="386" customFormat="false" ht="15" hidden="false" customHeight="true" outlineLevel="0" collapsed="false">
      <c r="A386" s="163" t="s">
        <v>3031</v>
      </c>
      <c r="B386" s="163" t="s">
        <v>894</v>
      </c>
      <c r="C386" s="163" t="s">
        <v>3692</v>
      </c>
      <c r="D386" s="163" t="s">
        <v>3693</v>
      </c>
      <c r="E386" s="164" t="n">
        <v>5000</v>
      </c>
      <c r="F386" s="165" t="s">
        <v>3060</v>
      </c>
    </row>
    <row r="387" customFormat="false" ht="15" hidden="false" customHeight="true" outlineLevel="0" collapsed="false">
      <c r="A387" s="163" t="s">
        <v>3031</v>
      </c>
      <c r="B387" s="163" t="s">
        <v>894</v>
      </c>
      <c r="C387" s="163" t="s">
        <v>3694</v>
      </c>
      <c r="D387" s="163" t="s">
        <v>3695</v>
      </c>
      <c r="E387" s="164" t="n">
        <v>5000</v>
      </c>
      <c r="F387" s="165" t="s">
        <v>3696</v>
      </c>
    </row>
    <row r="388" customFormat="false" ht="15" hidden="false" customHeight="true" outlineLevel="0" collapsed="false">
      <c r="A388" s="163" t="s">
        <v>3031</v>
      </c>
      <c r="B388" s="163" t="s">
        <v>894</v>
      </c>
      <c r="C388" s="163" t="s">
        <v>3697</v>
      </c>
      <c r="D388" s="163" t="s">
        <v>3698</v>
      </c>
      <c r="E388" s="164" t="n">
        <v>5000</v>
      </c>
      <c r="F388" s="165" t="s">
        <v>3699</v>
      </c>
    </row>
    <row r="389" customFormat="false" ht="15" hidden="false" customHeight="true" outlineLevel="0" collapsed="false">
      <c r="A389" s="163" t="s">
        <v>3031</v>
      </c>
      <c r="B389" s="163" t="s">
        <v>894</v>
      </c>
      <c r="C389" s="163" t="s">
        <v>3700</v>
      </c>
      <c r="D389" s="163" t="s">
        <v>3701</v>
      </c>
      <c r="E389" s="164" t="n">
        <v>4400</v>
      </c>
      <c r="F389" s="165" t="s">
        <v>3702</v>
      </c>
    </row>
    <row r="390" customFormat="false" ht="15" hidden="false" customHeight="true" outlineLevel="0" collapsed="false">
      <c r="A390" s="163" t="s">
        <v>3031</v>
      </c>
      <c r="B390" s="163" t="s">
        <v>894</v>
      </c>
      <c r="C390" s="163" t="s">
        <v>3703</v>
      </c>
      <c r="D390" s="163" t="s">
        <v>1931</v>
      </c>
      <c r="E390" s="164" t="n">
        <v>1000</v>
      </c>
      <c r="F390" s="165" t="s">
        <v>3060</v>
      </c>
    </row>
    <row r="391" customFormat="false" ht="15" hidden="false" customHeight="true" outlineLevel="0" collapsed="false">
      <c r="A391" s="163" t="s">
        <v>3031</v>
      </c>
      <c r="B391" s="163" t="s">
        <v>882</v>
      </c>
      <c r="C391" s="163" t="s">
        <v>197</v>
      </c>
      <c r="D391" s="163" t="s">
        <v>1931</v>
      </c>
      <c r="E391" s="164" t="n">
        <v>120000</v>
      </c>
      <c r="F391" s="165" t="s">
        <v>3555</v>
      </c>
    </row>
    <row r="392" customFormat="false" ht="15" hidden="false" customHeight="true" outlineLevel="0" collapsed="false">
      <c r="A392" s="163" t="s">
        <v>3031</v>
      </c>
      <c r="B392" s="163" t="s">
        <v>882</v>
      </c>
      <c r="C392" s="163" t="s">
        <v>640</v>
      </c>
      <c r="D392" s="163" t="s">
        <v>1931</v>
      </c>
      <c r="E392" s="164" t="n">
        <v>51000</v>
      </c>
      <c r="F392" s="165" t="s">
        <v>3704</v>
      </c>
    </row>
    <row r="393" customFormat="false" ht="15" hidden="false" customHeight="true" outlineLevel="0" collapsed="false">
      <c r="A393" s="163" t="s">
        <v>3031</v>
      </c>
      <c r="B393" s="163" t="s">
        <v>882</v>
      </c>
      <c r="C393" s="163" t="s">
        <v>2759</v>
      </c>
      <c r="D393" s="163" t="s">
        <v>2760</v>
      </c>
      <c r="E393" s="164" t="n">
        <v>40000</v>
      </c>
      <c r="F393" s="165" t="s">
        <v>3705</v>
      </c>
    </row>
    <row r="394" customFormat="false" ht="15" hidden="false" customHeight="true" outlineLevel="0" collapsed="false">
      <c r="A394" s="163" t="s">
        <v>3031</v>
      </c>
      <c r="B394" s="163" t="s">
        <v>882</v>
      </c>
      <c r="C394" s="163" t="s">
        <v>3112</v>
      </c>
      <c r="D394" s="163" t="s">
        <v>3113</v>
      </c>
      <c r="E394" s="164" t="n">
        <v>39000</v>
      </c>
      <c r="F394" s="165" t="s">
        <v>3582</v>
      </c>
    </row>
    <row r="395" customFormat="false" ht="15" hidden="false" customHeight="true" outlineLevel="0" collapsed="false">
      <c r="A395" s="163" t="s">
        <v>3031</v>
      </c>
      <c r="B395" s="163" t="s">
        <v>882</v>
      </c>
      <c r="C395" s="163" t="s">
        <v>3706</v>
      </c>
      <c r="D395" s="163" t="s">
        <v>3707</v>
      </c>
      <c r="E395" s="164" t="n">
        <v>20000</v>
      </c>
      <c r="F395" s="165" t="s">
        <v>3708</v>
      </c>
    </row>
    <row r="396" customFormat="false" ht="15" hidden="false" customHeight="true" outlineLevel="0" collapsed="false">
      <c r="A396" s="163" t="s">
        <v>3031</v>
      </c>
      <c r="B396" s="163" t="s">
        <v>882</v>
      </c>
      <c r="C396" s="163" t="s">
        <v>3709</v>
      </c>
      <c r="D396" s="163" t="s">
        <v>3710</v>
      </c>
      <c r="E396" s="164" t="n">
        <v>10000</v>
      </c>
      <c r="F396" s="165" t="s">
        <v>3711</v>
      </c>
    </row>
    <row r="397" customFormat="false" ht="15" hidden="false" customHeight="true" outlineLevel="0" collapsed="false">
      <c r="A397" s="163" t="s">
        <v>3031</v>
      </c>
      <c r="B397" s="163" t="s">
        <v>2328</v>
      </c>
      <c r="C397" s="163" t="s">
        <v>3635</v>
      </c>
      <c r="D397" s="163" t="s">
        <v>3636</v>
      </c>
      <c r="E397" s="164" t="n">
        <v>20000</v>
      </c>
      <c r="F397" s="165" t="s">
        <v>3712</v>
      </c>
    </row>
    <row r="398" customFormat="false" ht="15" hidden="false" customHeight="true" outlineLevel="0" collapsed="false">
      <c r="A398" s="163" t="s">
        <v>3031</v>
      </c>
      <c r="B398" s="163" t="s">
        <v>2328</v>
      </c>
      <c r="C398" s="163" t="s">
        <v>3545</v>
      </c>
      <c r="D398" s="163" t="s">
        <v>3546</v>
      </c>
      <c r="E398" s="164" t="n">
        <v>20000</v>
      </c>
      <c r="F398" s="165" t="s">
        <v>3713</v>
      </c>
    </row>
    <row r="399" customFormat="false" ht="15" hidden="false" customHeight="true" outlineLevel="0" collapsed="false">
      <c r="A399" s="163" t="s">
        <v>3031</v>
      </c>
      <c r="B399" s="163" t="s">
        <v>2328</v>
      </c>
      <c r="C399" s="163" t="s">
        <v>3635</v>
      </c>
      <c r="D399" s="163" t="s">
        <v>3636</v>
      </c>
      <c r="E399" s="164" t="n">
        <v>10000</v>
      </c>
      <c r="F399" s="165" t="s">
        <v>3714</v>
      </c>
    </row>
    <row r="400" customFormat="false" ht="15" hidden="false" customHeight="true" outlineLevel="0" collapsed="false">
      <c r="A400" s="163" t="s">
        <v>3031</v>
      </c>
      <c r="B400" s="163" t="s">
        <v>2342</v>
      </c>
      <c r="C400" s="163" t="s">
        <v>197</v>
      </c>
      <c r="D400" s="163" t="s">
        <v>1931</v>
      </c>
      <c r="E400" s="164" t="n">
        <v>20000</v>
      </c>
      <c r="F400" s="165" t="s">
        <v>3715</v>
      </c>
    </row>
    <row r="401" customFormat="false" ht="15" hidden="false" customHeight="true" outlineLevel="0" collapsed="false">
      <c r="A401" s="163" t="s">
        <v>3031</v>
      </c>
      <c r="B401" s="163" t="s">
        <v>2342</v>
      </c>
      <c r="C401" s="163" t="s">
        <v>197</v>
      </c>
      <c r="D401" s="163" t="s">
        <v>1931</v>
      </c>
      <c r="E401" s="164" t="n">
        <v>15000</v>
      </c>
      <c r="F401" s="165" t="s">
        <v>3716</v>
      </c>
    </row>
    <row r="402" customFormat="false" ht="15" hidden="false" customHeight="true" outlineLevel="0" collapsed="false">
      <c r="A402" s="163" t="s">
        <v>3031</v>
      </c>
      <c r="B402" s="163" t="s">
        <v>2342</v>
      </c>
      <c r="C402" s="163" t="s">
        <v>197</v>
      </c>
      <c r="D402" s="163" t="s">
        <v>1931</v>
      </c>
      <c r="E402" s="164" t="n">
        <v>15000</v>
      </c>
      <c r="F402" s="165" t="s">
        <v>3717</v>
      </c>
    </row>
    <row r="403" customFormat="false" ht="15" hidden="false" customHeight="true" outlineLevel="0" collapsed="false">
      <c r="A403" s="163" t="s">
        <v>3031</v>
      </c>
      <c r="B403" s="163" t="s">
        <v>2342</v>
      </c>
      <c r="C403" s="163" t="s">
        <v>3549</v>
      </c>
      <c r="D403" s="163" t="s">
        <v>3550</v>
      </c>
      <c r="E403" s="164" t="n">
        <v>15000</v>
      </c>
      <c r="F403" s="165" t="s">
        <v>3718</v>
      </c>
    </row>
    <row r="404" customFormat="false" ht="15" hidden="false" customHeight="true" outlineLevel="0" collapsed="false">
      <c r="A404" s="163" t="s">
        <v>3031</v>
      </c>
      <c r="B404" s="163" t="s">
        <v>2342</v>
      </c>
      <c r="C404" s="163" t="s">
        <v>473</v>
      </c>
      <c r="D404" s="163" t="s">
        <v>2764</v>
      </c>
      <c r="E404" s="164" t="n">
        <v>15000</v>
      </c>
      <c r="F404" s="165" t="s">
        <v>3719</v>
      </c>
    </row>
    <row r="405" customFormat="false" ht="15" hidden="false" customHeight="true" outlineLevel="0" collapsed="false">
      <c r="A405" s="163" t="s">
        <v>3031</v>
      </c>
      <c r="B405" s="163" t="s">
        <v>2342</v>
      </c>
      <c r="C405" s="163" t="s">
        <v>2953</v>
      </c>
      <c r="D405" s="163" t="s">
        <v>2954</v>
      </c>
      <c r="E405" s="164" t="n">
        <v>10000</v>
      </c>
      <c r="F405" s="165" t="s">
        <v>3720</v>
      </c>
    </row>
    <row r="406" customFormat="false" ht="15" hidden="false" customHeight="true" outlineLevel="0" collapsed="false">
      <c r="A406" s="163" t="s">
        <v>3031</v>
      </c>
      <c r="B406" s="163" t="s">
        <v>1743</v>
      </c>
      <c r="C406" s="163" t="s">
        <v>3567</v>
      </c>
      <c r="D406" s="163" t="s">
        <v>3568</v>
      </c>
      <c r="E406" s="164" t="n">
        <v>40000</v>
      </c>
      <c r="F406" s="165" t="s">
        <v>3721</v>
      </c>
    </row>
    <row r="407" customFormat="false" ht="15" hidden="false" customHeight="true" outlineLevel="0" collapsed="false">
      <c r="A407" s="163" t="s">
        <v>3031</v>
      </c>
      <c r="B407" s="163" t="s">
        <v>1743</v>
      </c>
      <c r="C407" s="163" t="s">
        <v>3112</v>
      </c>
      <c r="D407" s="163" t="s">
        <v>3113</v>
      </c>
      <c r="E407" s="164" t="n">
        <v>40000</v>
      </c>
      <c r="F407" s="165" t="s">
        <v>3722</v>
      </c>
    </row>
    <row r="408" customFormat="false" ht="15" hidden="false" customHeight="true" outlineLevel="0" collapsed="false">
      <c r="A408" s="163" t="s">
        <v>3031</v>
      </c>
      <c r="B408" s="163" t="s">
        <v>1743</v>
      </c>
      <c r="C408" s="163" t="s">
        <v>1860</v>
      </c>
      <c r="D408" s="163" t="s">
        <v>1861</v>
      </c>
      <c r="E408" s="164" t="n">
        <v>30000</v>
      </c>
      <c r="F408" s="165" t="s">
        <v>3582</v>
      </c>
    </row>
    <row r="409" customFormat="false" ht="15" hidden="false" customHeight="true" outlineLevel="0" collapsed="false">
      <c r="A409" s="163" t="s">
        <v>3031</v>
      </c>
      <c r="B409" s="163" t="s">
        <v>1743</v>
      </c>
      <c r="C409" s="163" t="s">
        <v>1270</v>
      </c>
      <c r="D409" s="163" t="s">
        <v>2431</v>
      </c>
      <c r="E409" s="164" t="n">
        <v>20000</v>
      </c>
      <c r="F409" s="165" t="s">
        <v>3582</v>
      </c>
    </row>
    <row r="410" customFormat="false" ht="15" hidden="false" customHeight="true" outlineLevel="0" collapsed="false">
      <c r="A410" s="163" t="s">
        <v>3031</v>
      </c>
      <c r="B410" s="163" t="s">
        <v>1743</v>
      </c>
      <c r="C410" s="163" t="s">
        <v>3567</v>
      </c>
      <c r="D410" s="163" t="s">
        <v>3568</v>
      </c>
      <c r="E410" s="164" t="n">
        <v>10000</v>
      </c>
      <c r="F410" s="165" t="s">
        <v>3723</v>
      </c>
    </row>
    <row r="411" customFormat="false" ht="15" hidden="false" customHeight="true" outlineLevel="0" collapsed="false">
      <c r="A411" s="163" t="s">
        <v>3031</v>
      </c>
      <c r="B411" s="163" t="s">
        <v>1743</v>
      </c>
      <c r="C411" s="163" t="s">
        <v>452</v>
      </c>
      <c r="D411" s="163" t="s">
        <v>1931</v>
      </c>
      <c r="E411" s="164" t="n">
        <v>10000</v>
      </c>
      <c r="F411" s="165" t="s">
        <v>3724</v>
      </c>
    </row>
    <row r="412" customFormat="false" ht="15" hidden="false" customHeight="true" outlineLevel="0" collapsed="false">
      <c r="A412" s="163" t="s">
        <v>3031</v>
      </c>
      <c r="B412" s="163" t="s">
        <v>928</v>
      </c>
      <c r="C412" s="163" t="s">
        <v>3108</v>
      </c>
      <c r="D412" s="163" t="s">
        <v>3109</v>
      </c>
      <c r="E412" s="164" t="n">
        <v>25400</v>
      </c>
      <c r="F412" s="165" t="s">
        <v>3582</v>
      </c>
    </row>
    <row r="413" customFormat="false" ht="15" hidden="false" customHeight="true" outlineLevel="0" collapsed="false">
      <c r="A413" s="163" t="s">
        <v>3031</v>
      </c>
      <c r="B413" s="163" t="s">
        <v>928</v>
      </c>
      <c r="C413" s="163" t="s">
        <v>3560</v>
      </c>
      <c r="D413" s="163" t="s">
        <v>3561</v>
      </c>
      <c r="E413" s="164" t="n">
        <v>15000</v>
      </c>
      <c r="F413" s="165" t="s">
        <v>3725</v>
      </c>
    </row>
    <row r="414" customFormat="false" ht="15" hidden="false" customHeight="true" outlineLevel="0" collapsed="false">
      <c r="A414" s="163" t="s">
        <v>3031</v>
      </c>
      <c r="B414" s="163" t="s">
        <v>928</v>
      </c>
      <c r="C414" s="163" t="s">
        <v>424</v>
      </c>
      <c r="D414" s="163" t="s">
        <v>2630</v>
      </c>
      <c r="E414" s="164" t="n">
        <v>10000</v>
      </c>
      <c r="F414" s="165" t="s">
        <v>3726</v>
      </c>
    </row>
    <row r="415" customFormat="false" ht="15" hidden="false" customHeight="true" outlineLevel="0" collapsed="false">
      <c r="A415" s="163" t="s">
        <v>3031</v>
      </c>
      <c r="B415" s="163" t="s">
        <v>928</v>
      </c>
      <c r="C415" s="163" t="s">
        <v>431</v>
      </c>
      <c r="D415" s="163" t="s">
        <v>2678</v>
      </c>
      <c r="E415" s="164" t="n">
        <v>10000</v>
      </c>
      <c r="F415" s="165" t="s">
        <v>3727</v>
      </c>
    </row>
    <row r="416" customFormat="false" ht="15" hidden="false" customHeight="true" outlineLevel="0" collapsed="false">
      <c r="A416" s="163" t="s">
        <v>3031</v>
      </c>
      <c r="B416" s="163" t="s">
        <v>928</v>
      </c>
      <c r="C416" s="163" t="s">
        <v>431</v>
      </c>
      <c r="D416" s="163" t="s">
        <v>2678</v>
      </c>
      <c r="E416" s="164" t="n">
        <v>10000</v>
      </c>
      <c r="F416" s="165" t="s">
        <v>3728</v>
      </c>
    </row>
    <row r="417" customFormat="false" ht="15" hidden="false" customHeight="true" outlineLevel="0" collapsed="false">
      <c r="A417" s="163" t="s">
        <v>3031</v>
      </c>
      <c r="B417" s="163" t="s">
        <v>928</v>
      </c>
      <c r="C417" s="163" t="s">
        <v>431</v>
      </c>
      <c r="D417" s="163" t="s">
        <v>2678</v>
      </c>
      <c r="E417" s="164" t="n">
        <v>10000</v>
      </c>
      <c r="F417" s="165" t="s">
        <v>3729</v>
      </c>
    </row>
    <row r="418" customFormat="false" ht="15" hidden="false" customHeight="true" outlineLevel="0" collapsed="false">
      <c r="A418" s="163" t="s">
        <v>3031</v>
      </c>
      <c r="B418" s="163" t="s">
        <v>928</v>
      </c>
      <c r="C418" s="163" t="s">
        <v>431</v>
      </c>
      <c r="D418" s="163" t="s">
        <v>2678</v>
      </c>
      <c r="E418" s="164" t="n">
        <v>10000</v>
      </c>
      <c r="F418" s="165" t="s">
        <v>3730</v>
      </c>
    </row>
    <row r="419" customFormat="false" ht="15" hidden="false" customHeight="true" outlineLevel="0" collapsed="false">
      <c r="A419" s="163" t="s">
        <v>3031</v>
      </c>
      <c r="B419" s="163" t="s">
        <v>928</v>
      </c>
      <c r="C419" s="163" t="s">
        <v>3731</v>
      </c>
      <c r="D419" s="163" t="s">
        <v>3732</v>
      </c>
      <c r="E419" s="164" t="n">
        <v>10000</v>
      </c>
      <c r="F419" s="165" t="s">
        <v>3733</v>
      </c>
    </row>
    <row r="420" customFormat="false" ht="15" hidden="false" customHeight="true" outlineLevel="0" collapsed="false">
      <c r="A420" s="163" t="s">
        <v>3031</v>
      </c>
      <c r="B420" s="163" t="s">
        <v>928</v>
      </c>
      <c r="C420" s="163" t="s">
        <v>3145</v>
      </c>
      <c r="D420" s="163" t="s">
        <v>3146</v>
      </c>
      <c r="E420" s="164" t="n">
        <v>9000</v>
      </c>
      <c r="F420" s="165" t="s">
        <v>3702</v>
      </c>
    </row>
    <row r="421" customFormat="false" ht="15" hidden="false" customHeight="true" outlineLevel="0" collapsed="false">
      <c r="A421" s="163" t="s">
        <v>3031</v>
      </c>
      <c r="B421" s="163" t="s">
        <v>928</v>
      </c>
      <c r="C421" s="163" t="s">
        <v>3145</v>
      </c>
      <c r="D421" s="163" t="s">
        <v>3146</v>
      </c>
      <c r="E421" s="164" t="n">
        <v>9000</v>
      </c>
      <c r="F421" s="165" t="s">
        <v>3734</v>
      </c>
    </row>
    <row r="422" customFormat="false" ht="15" hidden="false" customHeight="true" outlineLevel="0" collapsed="false">
      <c r="A422" s="163" t="s">
        <v>3031</v>
      </c>
      <c r="B422" s="163" t="s">
        <v>928</v>
      </c>
      <c r="C422" s="163" t="s">
        <v>3735</v>
      </c>
      <c r="D422" s="163" t="s">
        <v>3736</v>
      </c>
      <c r="E422" s="164" t="n">
        <v>6000</v>
      </c>
      <c r="F422" s="165" t="s">
        <v>3582</v>
      </c>
    </row>
    <row r="423" customFormat="false" ht="15" hidden="false" customHeight="true" outlineLevel="0" collapsed="false">
      <c r="A423" s="163" t="s">
        <v>3031</v>
      </c>
      <c r="B423" s="163" t="s">
        <v>928</v>
      </c>
      <c r="C423" s="163" t="s">
        <v>3700</v>
      </c>
      <c r="D423" s="163" t="s">
        <v>3701</v>
      </c>
      <c r="E423" s="164" t="n">
        <v>5600</v>
      </c>
      <c r="F423" s="165" t="s">
        <v>3737</v>
      </c>
    </row>
    <row r="424" customFormat="false" ht="15" hidden="false" customHeight="true" outlineLevel="0" collapsed="false">
      <c r="A424" s="163" t="s">
        <v>3031</v>
      </c>
      <c r="B424" s="163" t="s">
        <v>928</v>
      </c>
      <c r="C424" s="163" t="s">
        <v>2780</v>
      </c>
      <c r="D424" s="163" t="s">
        <v>2429</v>
      </c>
      <c r="E424" s="164" t="n">
        <v>5000</v>
      </c>
      <c r="F424" s="165" t="s">
        <v>3582</v>
      </c>
    </row>
    <row r="425" customFormat="false" ht="15" hidden="false" customHeight="true" outlineLevel="0" collapsed="false">
      <c r="A425" s="163" t="s">
        <v>3031</v>
      </c>
      <c r="B425" s="163" t="s">
        <v>928</v>
      </c>
      <c r="C425" s="163" t="s">
        <v>3738</v>
      </c>
      <c r="D425" s="163" t="s">
        <v>3739</v>
      </c>
      <c r="E425" s="164" t="n">
        <v>5000</v>
      </c>
      <c r="F425" s="165" t="s">
        <v>3060</v>
      </c>
    </row>
    <row r="426" customFormat="false" ht="15" hidden="false" customHeight="true" outlineLevel="0" collapsed="false">
      <c r="A426" s="163" t="s">
        <v>3031</v>
      </c>
      <c r="B426" s="163" t="s">
        <v>928</v>
      </c>
      <c r="C426" s="163" t="s">
        <v>3740</v>
      </c>
      <c r="D426" s="163" t="s">
        <v>3741</v>
      </c>
      <c r="E426" s="164" t="n">
        <v>5000</v>
      </c>
      <c r="F426" s="165" t="s">
        <v>3060</v>
      </c>
    </row>
    <row r="427" customFormat="false" ht="15" hidden="false" customHeight="true" outlineLevel="0" collapsed="false">
      <c r="A427" s="163" t="s">
        <v>3031</v>
      </c>
      <c r="B427" s="163" t="s">
        <v>928</v>
      </c>
      <c r="C427" s="163" t="s">
        <v>3742</v>
      </c>
      <c r="D427" s="163" t="s">
        <v>3743</v>
      </c>
      <c r="E427" s="164" t="n">
        <v>5000</v>
      </c>
      <c r="F427" s="165" t="s">
        <v>3744</v>
      </c>
    </row>
    <row r="428" customFormat="false" ht="15" hidden="false" customHeight="true" outlineLevel="0" collapsed="false">
      <c r="A428" s="163" t="s">
        <v>2463</v>
      </c>
      <c r="B428" s="163" t="s">
        <v>926</v>
      </c>
      <c r="C428" s="163" t="s">
        <v>3334</v>
      </c>
      <c r="D428" s="163" t="s">
        <v>3335</v>
      </c>
      <c r="E428" s="164" t="n">
        <v>30000</v>
      </c>
      <c r="F428" s="165" t="s">
        <v>3745</v>
      </c>
    </row>
    <row r="429" customFormat="false" ht="15" hidden="false" customHeight="true" outlineLevel="0" collapsed="false">
      <c r="A429" s="163" t="s">
        <v>2463</v>
      </c>
      <c r="B429" s="163" t="s">
        <v>926</v>
      </c>
      <c r="C429" s="163" t="s">
        <v>3145</v>
      </c>
      <c r="D429" s="163" t="s">
        <v>3146</v>
      </c>
      <c r="E429" s="164" t="n">
        <v>20000</v>
      </c>
      <c r="F429" s="165" t="s">
        <v>3746</v>
      </c>
    </row>
    <row r="430" customFormat="false" ht="15" hidden="false" customHeight="true" outlineLevel="0" collapsed="false">
      <c r="A430" s="163" t="s">
        <v>2463</v>
      </c>
      <c r="B430" s="163" t="s">
        <v>926</v>
      </c>
      <c r="C430" s="163" t="s">
        <v>3061</v>
      </c>
      <c r="D430" s="163" t="s">
        <v>3062</v>
      </c>
      <c r="E430" s="164" t="n">
        <v>20000</v>
      </c>
      <c r="F430" s="165" t="s">
        <v>3747</v>
      </c>
    </row>
    <row r="431" customFormat="false" ht="15" hidden="false" customHeight="true" outlineLevel="0" collapsed="false">
      <c r="A431" s="163" t="s">
        <v>2463</v>
      </c>
      <c r="B431" s="163" t="s">
        <v>926</v>
      </c>
      <c r="C431" s="163" t="s">
        <v>3709</v>
      </c>
      <c r="D431" s="163" t="s">
        <v>3710</v>
      </c>
      <c r="E431" s="164" t="n">
        <v>10000</v>
      </c>
      <c r="F431" s="165" t="s">
        <v>3748</v>
      </c>
    </row>
    <row r="432" customFormat="false" ht="15" hidden="false" customHeight="true" outlineLevel="0" collapsed="false">
      <c r="A432" s="163" t="s">
        <v>2463</v>
      </c>
      <c r="B432" s="163" t="s">
        <v>926</v>
      </c>
      <c r="C432" s="163" t="s">
        <v>3749</v>
      </c>
      <c r="D432" s="163" t="s">
        <v>3750</v>
      </c>
      <c r="E432" s="164" t="n">
        <v>10000</v>
      </c>
      <c r="F432" s="165" t="s">
        <v>3751</v>
      </c>
    </row>
    <row r="433" customFormat="false" ht="15" hidden="false" customHeight="true" outlineLevel="0" collapsed="false">
      <c r="A433" s="163" t="s">
        <v>2463</v>
      </c>
      <c r="B433" s="163" t="s">
        <v>926</v>
      </c>
      <c r="C433" s="163" t="s">
        <v>3752</v>
      </c>
      <c r="D433" s="163" t="s">
        <v>3753</v>
      </c>
      <c r="E433" s="164" t="n">
        <v>10000</v>
      </c>
      <c r="F433" s="165" t="s">
        <v>3754</v>
      </c>
    </row>
    <row r="434" customFormat="false" ht="15" hidden="false" customHeight="true" outlineLevel="0" collapsed="false">
      <c r="A434" s="163" t="s">
        <v>2463</v>
      </c>
      <c r="B434" s="163" t="s">
        <v>957</v>
      </c>
      <c r="C434" s="163" t="s">
        <v>1109</v>
      </c>
      <c r="D434" s="163" t="s">
        <v>3755</v>
      </c>
      <c r="E434" s="164" t="n">
        <v>35000</v>
      </c>
      <c r="F434" s="165" t="s">
        <v>3756</v>
      </c>
    </row>
    <row r="435" customFormat="false" ht="15" hidden="false" customHeight="true" outlineLevel="0" collapsed="false">
      <c r="A435" s="163" t="s">
        <v>2463</v>
      </c>
      <c r="B435" s="163" t="s">
        <v>957</v>
      </c>
      <c r="C435" s="163" t="s">
        <v>1169</v>
      </c>
      <c r="D435" s="163" t="s">
        <v>2801</v>
      </c>
      <c r="E435" s="164" t="n">
        <v>20000</v>
      </c>
      <c r="F435" s="165" t="s">
        <v>3757</v>
      </c>
    </row>
    <row r="436" customFormat="false" ht="15" hidden="false" customHeight="true" outlineLevel="0" collapsed="false">
      <c r="A436" s="163" t="s">
        <v>2463</v>
      </c>
      <c r="B436" s="163" t="s">
        <v>957</v>
      </c>
      <c r="C436" s="163" t="s">
        <v>3758</v>
      </c>
      <c r="D436" s="163" t="s">
        <v>3759</v>
      </c>
      <c r="E436" s="164" t="n">
        <v>20000</v>
      </c>
      <c r="F436" s="165" t="s">
        <v>3760</v>
      </c>
    </row>
    <row r="437" customFormat="false" ht="15" hidden="false" customHeight="true" outlineLevel="0" collapsed="false">
      <c r="A437" s="163" t="s">
        <v>2463</v>
      </c>
      <c r="B437" s="163" t="s">
        <v>957</v>
      </c>
      <c r="C437" s="163" t="s">
        <v>1876</v>
      </c>
      <c r="D437" s="163" t="s">
        <v>1877</v>
      </c>
      <c r="E437" s="164" t="n">
        <v>10000</v>
      </c>
      <c r="F437" s="165" t="s">
        <v>3761</v>
      </c>
    </row>
    <row r="438" customFormat="false" ht="15" hidden="false" customHeight="true" outlineLevel="0" collapsed="false">
      <c r="A438" s="163" t="s">
        <v>2463</v>
      </c>
      <c r="B438" s="163" t="s">
        <v>957</v>
      </c>
      <c r="C438" s="163" t="s">
        <v>3762</v>
      </c>
      <c r="D438" s="163" t="s">
        <v>3763</v>
      </c>
      <c r="E438" s="164" t="n">
        <v>10000</v>
      </c>
      <c r="F438" s="165" t="s">
        <v>3764</v>
      </c>
    </row>
    <row r="439" customFormat="false" ht="15" hidden="false" customHeight="true" outlineLevel="0" collapsed="false">
      <c r="A439" s="163" t="s">
        <v>2463</v>
      </c>
      <c r="B439" s="163" t="s">
        <v>957</v>
      </c>
      <c r="C439" s="163" t="s">
        <v>1135</v>
      </c>
      <c r="D439" s="163" t="s">
        <v>2507</v>
      </c>
      <c r="E439" s="164" t="n">
        <v>10000</v>
      </c>
      <c r="F439" s="165" t="s">
        <v>3765</v>
      </c>
    </row>
    <row r="440" customFormat="false" ht="15" hidden="false" customHeight="true" outlineLevel="0" collapsed="false">
      <c r="A440" s="163" t="s">
        <v>2463</v>
      </c>
      <c r="B440" s="163" t="s">
        <v>957</v>
      </c>
      <c r="C440" s="163" t="s">
        <v>3766</v>
      </c>
      <c r="D440" s="163" t="s">
        <v>3767</v>
      </c>
      <c r="E440" s="164" t="n">
        <v>5000</v>
      </c>
      <c r="F440" s="165" t="s">
        <v>3768</v>
      </c>
    </row>
    <row r="441" customFormat="false" ht="15" hidden="false" customHeight="true" outlineLevel="0" collapsed="false">
      <c r="A441" s="163" t="s">
        <v>2463</v>
      </c>
      <c r="B441" s="163" t="s">
        <v>945</v>
      </c>
      <c r="C441" s="163" t="s">
        <v>991</v>
      </c>
      <c r="D441" s="163" t="s">
        <v>3769</v>
      </c>
      <c r="E441" s="164" t="n">
        <v>20000</v>
      </c>
      <c r="F441" s="165" t="s">
        <v>3770</v>
      </c>
    </row>
    <row r="442" customFormat="false" ht="15" hidden="false" customHeight="true" outlineLevel="0" collapsed="false">
      <c r="A442" s="163" t="s">
        <v>2463</v>
      </c>
      <c r="B442" s="163" t="s">
        <v>945</v>
      </c>
      <c r="C442" s="163" t="s">
        <v>3771</v>
      </c>
      <c r="D442" s="163" t="s">
        <v>3772</v>
      </c>
      <c r="E442" s="164" t="n">
        <v>20000</v>
      </c>
      <c r="F442" s="165" t="s">
        <v>3773</v>
      </c>
    </row>
    <row r="443" customFormat="false" ht="15" hidden="false" customHeight="true" outlineLevel="0" collapsed="false">
      <c r="A443" s="163" t="s">
        <v>2463</v>
      </c>
      <c r="B443" s="163" t="s">
        <v>945</v>
      </c>
      <c r="C443" s="163" t="s">
        <v>3774</v>
      </c>
      <c r="D443" s="163" t="s">
        <v>3775</v>
      </c>
      <c r="E443" s="164" t="n">
        <v>10000</v>
      </c>
      <c r="F443" s="165" t="s">
        <v>3776</v>
      </c>
    </row>
    <row r="444" customFormat="false" ht="15" hidden="false" customHeight="true" outlineLevel="0" collapsed="false">
      <c r="A444" s="163" t="s">
        <v>2463</v>
      </c>
      <c r="B444" s="163" t="s">
        <v>945</v>
      </c>
      <c r="C444" s="163" t="s">
        <v>3777</v>
      </c>
      <c r="D444" s="163" t="s">
        <v>3778</v>
      </c>
      <c r="E444" s="164" t="n">
        <v>10000</v>
      </c>
      <c r="F444" s="165" t="s">
        <v>3779</v>
      </c>
    </row>
    <row r="445" customFormat="false" ht="15" hidden="false" customHeight="true" outlineLevel="0" collapsed="false">
      <c r="A445" s="163" t="s">
        <v>2463</v>
      </c>
      <c r="B445" s="163" t="s">
        <v>945</v>
      </c>
      <c r="C445" s="163" t="s">
        <v>3780</v>
      </c>
      <c r="D445" s="163" t="s">
        <v>3781</v>
      </c>
      <c r="E445" s="164" t="n">
        <v>5000</v>
      </c>
      <c r="F445" s="165" t="s">
        <v>3782</v>
      </c>
    </row>
    <row r="446" customFormat="false" ht="15" hidden="false" customHeight="true" outlineLevel="0" collapsed="false">
      <c r="A446" s="163" t="s">
        <v>2463</v>
      </c>
      <c r="B446" s="163" t="s">
        <v>945</v>
      </c>
      <c r="C446" s="163" t="s">
        <v>3783</v>
      </c>
      <c r="D446" s="163" t="s">
        <v>3784</v>
      </c>
      <c r="E446" s="164" t="n">
        <v>5000</v>
      </c>
      <c r="F446" s="165" t="s">
        <v>3785</v>
      </c>
    </row>
    <row r="447" customFormat="false" ht="15" hidden="false" customHeight="true" outlineLevel="0" collapsed="false">
      <c r="A447" s="163" t="s">
        <v>2463</v>
      </c>
      <c r="B447" s="163" t="s">
        <v>945</v>
      </c>
      <c r="C447" s="163" t="s">
        <v>3786</v>
      </c>
      <c r="D447" s="163" t="s">
        <v>3787</v>
      </c>
      <c r="E447" s="164" t="n">
        <v>5000</v>
      </c>
      <c r="F447" s="165" t="s">
        <v>3788</v>
      </c>
    </row>
    <row r="448" customFormat="false" ht="15" hidden="false" customHeight="true" outlineLevel="0" collapsed="false">
      <c r="A448" s="163" t="s">
        <v>2463</v>
      </c>
      <c r="B448" s="163" t="s">
        <v>3111</v>
      </c>
      <c r="C448" s="163" t="s">
        <v>240</v>
      </c>
      <c r="D448" s="163" t="s">
        <v>2418</v>
      </c>
      <c r="E448" s="164" t="n">
        <v>30000</v>
      </c>
      <c r="F448" s="165" t="s">
        <v>3789</v>
      </c>
    </row>
    <row r="449" customFormat="false" ht="15" hidden="false" customHeight="true" outlineLevel="0" collapsed="false">
      <c r="A449" s="163" t="s">
        <v>2463</v>
      </c>
      <c r="B449" s="163" t="s">
        <v>3111</v>
      </c>
      <c r="C449" s="163" t="s">
        <v>3790</v>
      </c>
      <c r="D449" s="163" t="s">
        <v>3791</v>
      </c>
      <c r="E449" s="164" t="n">
        <v>20000</v>
      </c>
      <c r="F449" s="165" t="s">
        <v>3792</v>
      </c>
    </row>
    <row r="450" customFormat="false" ht="15" hidden="false" customHeight="true" outlineLevel="0" collapsed="false">
      <c r="A450" s="163" t="s">
        <v>2463</v>
      </c>
      <c r="B450" s="163" t="s">
        <v>3111</v>
      </c>
      <c r="C450" s="163" t="s">
        <v>3793</v>
      </c>
      <c r="D450" s="163" t="s">
        <v>3794</v>
      </c>
      <c r="E450" s="164" t="n">
        <v>15000</v>
      </c>
      <c r="F450" s="165" t="s">
        <v>3795</v>
      </c>
    </row>
    <row r="451" customFormat="false" ht="15" hidden="false" customHeight="true" outlineLevel="0" collapsed="false">
      <c r="A451" s="163" t="s">
        <v>2463</v>
      </c>
      <c r="B451" s="163" t="s">
        <v>3111</v>
      </c>
      <c r="C451" s="163" t="s">
        <v>3796</v>
      </c>
      <c r="D451" s="163" t="s">
        <v>3797</v>
      </c>
      <c r="E451" s="164" t="n">
        <v>15000</v>
      </c>
      <c r="F451" s="165" t="s">
        <v>3798</v>
      </c>
    </row>
    <row r="452" customFormat="false" ht="15" hidden="false" customHeight="true" outlineLevel="0" collapsed="false">
      <c r="A452" s="163" t="s">
        <v>2463</v>
      </c>
      <c r="B452" s="163" t="s">
        <v>3111</v>
      </c>
      <c r="C452" s="163" t="s">
        <v>3799</v>
      </c>
      <c r="D452" s="163" t="s">
        <v>3800</v>
      </c>
      <c r="E452" s="164" t="n">
        <v>10000</v>
      </c>
      <c r="F452" s="165" t="s">
        <v>3801</v>
      </c>
    </row>
    <row r="453" customFormat="false" ht="15" hidden="false" customHeight="true" outlineLevel="0" collapsed="false">
      <c r="A453" s="163" t="s">
        <v>2463</v>
      </c>
      <c r="B453" s="163" t="s">
        <v>3111</v>
      </c>
      <c r="C453" s="163" t="s">
        <v>3802</v>
      </c>
      <c r="D453" s="163" t="s">
        <v>3803</v>
      </c>
      <c r="E453" s="164" t="n">
        <v>10000</v>
      </c>
      <c r="F453" s="165" t="s">
        <v>3804</v>
      </c>
    </row>
    <row r="454" customFormat="false" ht="15" hidden="false" customHeight="true" outlineLevel="0" collapsed="false">
      <c r="A454" s="163" t="s">
        <v>2463</v>
      </c>
      <c r="B454" s="163" t="s">
        <v>1938</v>
      </c>
      <c r="C454" s="163" t="s">
        <v>3805</v>
      </c>
      <c r="D454" s="163" t="s">
        <v>3806</v>
      </c>
      <c r="E454" s="164" t="n">
        <v>20000</v>
      </c>
      <c r="F454" s="165" t="s">
        <v>3807</v>
      </c>
    </row>
    <row r="455" customFormat="false" ht="15" hidden="false" customHeight="true" outlineLevel="0" collapsed="false">
      <c r="A455" s="163" t="s">
        <v>2463</v>
      </c>
      <c r="B455" s="163" t="s">
        <v>1938</v>
      </c>
      <c r="C455" s="163" t="s">
        <v>3808</v>
      </c>
      <c r="D455" s="163" t="s">
        <v>3809</v>
      </c>
      <c r="E455" s="164" t="n">
        <v>20000</v>
      </c>
      <c r="F455" s="165" t="s">
        <v>3810</v>
      </c>
    </row>
    <row r="456" customFormat="false" ht="15" hidden="false" customHeight="true" outlineLevel="0" collapsed="false">
      <c r="A456" s="163" t="s">
        <v>2463</v>
      </c>
      <c r="B456" s="163" t="s">
        <v>1938</v>
      </c>
      <c r="C456" s="163" t="s">
        <v>3808</v>
      </c>
      <c r="D456" s="163" t="s">
        <v>3809</v>
      </c>
      <c r="E456" s="164" t="n">
        <v>20000</v>
      </c>
      <c r="F456" s="165" t="s">
        <v>3811</v>
      </c>
    </row>
    <row r="457" customFormat="false" ht="15" hidden="false" customHeight="true" outlineLevel="0" collapsed="false">
      <c r="A457" s="163" t="s">
        <v>2463</v>
      </c>
      <c r="B457" s="163" t="s">
        <v>1938</v>
      </c>
      <c r="C457" s="163" t="s">
        <v>3812</v>
      </c>
      <c r="D457" s="163" t="s">
        <v>3813</v>
      </c>
      <c r="E457" s="164" t="n">
        <v>20000</v>
      </c>
      <c r="F457" s="165" t="s">
        <v>3814</v>
      </c>
    </row>
    <row r="458" customFormat="false" ht="15" hidden="false" customHeight="true" outlineLevel="0" collapsed="false">
      <c r="A458" s="163" t="s">
        <v>2463</v>
      </c>
      <c r="B458" s="163" t="s">
        <v>1938</v>
      </c>
      <c r="C458" s="163" t="s">
        <v>3815</v>
      </c>
      <c r="D458" s="163" t="s">
        <v>3816</v>
      </c>
      <c r="E458" s="164" t="n">
        <v>20000</v>
      </c>
      <c r="F458" s="165" t="s">
        <v>3817</v>
      </c>
    </row>
    <row r="459" customFormat="false" ht="15" hidden="false" customHeight="true" outlineLevel="0" collapsed="false">
      <c r="A459" s="163" t="s">
        <v>2463</v>
      </c>
      <c r="B459" s="163" t="s">
        <v>1938</v>
      </c>
      <c r="C459" s="163" t="s">
        <v>3815</v>
      </c>
      <c r="D459" s="163" t="s">
        <v>3816</v>
      </c>
      <c r="E459" s="164" t="n">
        <v>20000</v>
      </c>
      <c r="F459" s="165" t="s">
        <v>3818</v>
      </c>
    </row>
    <row r="460" customFormat="false" ht="15" hidden="false" customHeight="true" outlineLevel="0" collapsed="false">
      <c r="A460" s="163" t="s">
        <v>2463</v>
      </c>
      <c r="B460" s="163" t="s">
        <v>1938</v>
      </c>
      <c r="C460" s="163" t="s">
        <v>3805</v>
      </c>
      <c r="D460" s="163" t="s">
        <v>3806</v>
      </c>
      <c r="E460" s="164" t="n">
        <v>20000</v>
      </c>
      <c r="F460" s="165" t="s">
        <v>3819</v>
      </c>
    </row>
    <row r="461" customFormat="false" ht="15" hidden="false" customHeight="true" outlineLevel="0" collapsed="false">
      <c r="A461" s="163" t="s">
        <v>2463</v>
      </c>
      <c r="B461" s="163" t="s">
        <v>1938</v>
      </c>
      <c r="C461" s="163" t="s">
        <v>3820</v>
      </c>
      <c r="D461" s="163" t="s">
        <v>3821</v>
      </c>
      <c r="E461" s="164" t="n">
        <v>20000</v>
      </c>
      <c r="F461" s="165" t="s">
        <v>3822</v>
      </c>
    </row>
    <row r="462" customFormat="false" ht="15" hidden="false" customHeight="true" outlineLevel="0" collapsed="false">
      <c r="A462" s="163" t="s">
        <v>2463</v>
      </c>
      <c r="B462" s="163" t="s">
        <v>1938</v>
      </c>
      <c r="C462" s="163" t="s">
        <v>3823</v>
      </c>
      <c r="D462" s="163" t="s">
        <v>3824</v>
      </c>
      <c r="E462" s="164" t="n">
        <v>20000</v>
      </c>
      <c r="F462" s="165" t="s">
        <v>3825</v>
      </c>
    </row>
    <row r="463" customFormat="false" ht="15" hidden="false" customHeight="true" outlineLevel="0" collapsed="false">
      <c r="A463" s="163" t="s">
        <v>2463</v>
      </c>
      <c r="B463" s="163" t="s">
        <v>1938</v>
      </c>
      <c r="C463" s="163" t="s">
        <v>332</v>
      </c>
      <c r="D463" s="163" t="s">
        <v>2673</v>
      </c>
      <c r="E463" s="164" t="n">
        <v>20000</v>
      </c>
      <c r="F463" s="165" t="s">
        <v>3826</v>
      </c>
    </row>
    <row r="464" customFormat="false" ht="15" hidden="false" customHeight="true" outlineLevel="0" collapsed="false">
      <c r="A464" s="163" t="s">
        <v>2463</v>
      </c>
      <c r="B464" s="163" t="s">
        <v>1938</v>
      </c>
      <c r="C464" s="163" t="s">
        <v>3602</v>
      </c>
      <c r="D464" s="163" t="s">
        <v>3603</v>
      </c>
      <c r="E464" s="164" t="n">
        <v>20000</v>
      </c>
      <c r="F464" s="165" t="s">
        <v>3827</v>
      </c>
    </row>
    <row r="465" customFormat="false" ht="15" hidden="false" customHeight="true" outlineLevel="0" collapsed="false">
      <c r="A465" s="163" t="s">
        <v>2463</v>
      </c>
      <c r="B465" s="163" t="s">
        <v>1938</v>
      </c>
      <c r="C465" s="163" t="s">
        <v>3602</v>
      </c>
      <c r="D465" s="163" t="s">
        <v>3603</v>
      </c>
      <c r="E465" s="164" t="n">
        <v>20000</v>
      </c>
      <c r="F465" s="165" t="s">
        <v>3828</v>
      </c>
    </row>
    <row r="466" customFormat="false" ht="15" hidden="false" customHeight="true" outlineLevel="0" collapsed="false">
      <c r="A466" s="163" t="s">
        <v>2463</v>
      </c>
      <c r="B466" s="163" t="s">
        <v>1938</v>
      </c>
      <c r="C466" s="163" t="s">
        <v>431</v>
      </c>
      <c r="D466" s="163" t="s">
        <v>2678</v>
      </c>
      <c r="E466" s="164" t="n">
        <v>20000</v>
      </c>
      <c r="F466" s="165" t="s">
        <v>3829</v>
      </c>
    </row>
    <row r="467" customFormat="false" ht="15" hidden="false" customHeight="true" outlineLevel="0" collapsed="false">
      <c r="A467" s="163" t="s">
        <v>2463</v>
      </c>
      <c r="B467" s="163" t="s">
        <v>1938</v>
      </c>
      <c r="C467" s="163" t="s">
        <v>431</v>
      </c>
      <c r="D467" s="163" t="s">
        <v>2678</v>
      </c>
      <c r="E467" s="164" t="n">
        <v>20000</v>
      </c>
      <c r="F467" s="165" t="s">
        <v>3830</v>
      </c>
    </row>
    <row r="468" customFormat="false" ht="15" hidden="false" customHeight="true" outlineLevel="0" collapsed="false">
      <c r="A468" s="163" t="s">
        <v>2463</v>
      </c>
      <c r="B468" s="163" t="s">
        <v>1938</v>
      </c>
      <c r="C468" s="163" t="s">
        <v>3831</v>
      </c>
      <c r="D468" s="163" t="s">
        <v>3832</v>
      </c>
      <c r="E468" s="164" t="n">
        <v>20000</v>
      </c>
      <c r="F468" s="165" t="s">
        <v>3833</v>
      </c>
    </row>
    <row r="469" customFormat="false" ht="15" hidden="false" customHeight="true" outlineLevel="0" collapsed="false">
      <c r="A469" s="163" t="s">
        <v>2463</v>
      </c>
      <c r="B469" s="163" t="s">
        <v>1938</v>
      </c>
      <c r="C469" s="163" t="s">
        <v>3395</v>
      </c>
      <c r="D469" s="163" t="s">
        <v>3396</v>
      </c>
      <c r="E469" s="164" t="n">
        <v>20000</v>
      </c>
      <c r="F469" s="165" t="s">
        <v>3834</v>
      </c>
    </row>
    <row r="470" customFormat="false" ht="15" hidden="false" customHeight="true" outlineLevel="0" collapsed="false">
      <c r="A470" s="163" t="s">
        <v>2463</v>
      </c>
      <c r="B470" s="163" t="s">
        <v>1938</v>
      </c>
      <c r="C470" s="163" t="s">
        <v>3835</v>
      </c>
      <c r="D470" s="163" t="s">
        <v>3836</v>
      </c>
      <c r="E470" s="164" t="n">
        <v>20000</v>
      </c>
      <c r="F470" s="165" t="s">
        <v>3837</v>
      </c>
    </row>
    <row r="471" customFormat="false" ht="15" hidden="false" customHeight="true" outlineLevel="0" collapsed="false">
      <c r="A471" s="163" t="s">
        <v>2463</v>
      </c>
      <c r="B471" s="163" t="s">
        <v>691</v>
      </c>
      <c r="C471" s="163" t="s">
        <v>3752</v>
      </c>
      <c r="D471" s="163" t="s">
        <v>3753</v>
      </c>
      <c r="E471" s="164" t="n">
        <v>70000</v>
      </c>
      <c r="F471" s="165" t="s">
        <v>3838</v>
      </c>
    </row>
    <row r="472" customFormat="false" ht="15" hidden="false" customHeight="true" outlineLevel="0" collapsed="false">
      <c r="A472" s="163" t="s">
        <v>2463</v>
      </c>
      <c r="B472" s="163" t="s">
        <v>691</v>
      </c>
      <c r="C472" s="163" t="s">
        <v>3823</v>
      </c>
      <c r="D472" s="163" t="s">
        <v>3824</v>
      </c>
      <c r="E472" s="164" t="n">
        <v>20000</v>
      </c>
      <c r="F472" s="165" t="s">
        <v>3839</v>
      </c>
    </row>
    <row r="473" customFormat="false" ht="15" hidden="false" customHeight="true" outlineLevel="0" collapsed="false">
      <c r="A473" s="163" t="s">
        <v>2463</v>
      </c>
      <c r="B473" s="163" t="s">
        <v>691</v>
      </c>
      <c r="C473" s="163" t="s">
        <v>3840</v>
      </c>
      <c r="D473" s="163" t="s">
        <v>2462</v>
      </c>
      <c r="E473" s="164" t="n">
        <v>15000</v>
      </c>
      <c r="F473" s="165" t="s">
        <v>3841</v>
      </c>
    </row>
    <row r="474" customFormat="false" ht="15" hidden="false" customHeight="true" outlineLevel="0" collapsed="false">
      <c r="A474" s="163" t="s">
        <v>2463</v>
      </c>
      <c r="B474" s="163" t="s">
        <v>691</v>
      </c>
      <c r="C474" s="163" t="s">
        <v>3842</v>
      </c>
      <c r="D474" s="163" t="s">
        <v>3843</v>
      </c>
      <c r="E474" s="164" t="n">
        <v>10000</v>
      </c>
      <c r="F474" s="165" t="s">
        <v>3844</v>
      </c>
    </row>
    <row r="475" customFormat="false" ht="15" hidden="false" customHeight="true" outlineLevel="0" collapsed="false">
      <c r="A475" s="163" t="s">
        <v>2463</v>
      </c>
      <c r="B475" s="163" t="s">
        <v>691</v>
      </c>
      <c r="C475" s="163" t="s">
        <v>3845</v>
      </c>
      <c r="D475" s="163" t="s">
        <v>3846</v>
      </c>
      <c r="E475" s="164" t="n">
        <v>10000</v>
      </c>
      <c r="F475" s="165" t="s">
        <v>3847</v>
      </c>
    </row>
    <row r="476" customFormat="false" ht="15" hidden="false" customHeight="true" outlineLevel="0" collapsed="false">
      <c r="A476" s="163" t="s">
        <v>2463</v>
      </c>
      <c r="B476" s="163" t="s">
        <v>691</v>
      </c>
      <c r="C476" s="163" t="s">
        <v>3848</v>
      </c>
      <c r="D476" s="163" t="s">
        <v>3849</v>
      </c>
      <c r="E476" s="164" t="n">
        <v>10000</v>
      </c>
      <c r="F476" s="165" t="s">
        <v>3850</v>
      </c>
    </row>
    <row r="477" customFormat="false" ht="15" hidden="false" customHeight="true" outlineLevel="0" collapsed="false">
      <c r="A477" s="163" t="s">
        <v>2463</v>
      </c>
      <c r="B477" s="163" t="s">
        <v>691</v>
      </c>
      <c r="C477" s="163" t="s">
        <v>3758</v>
      </c>
      <c r="D477" s="163" t="s">
        <v>3759</v>
      </c>
      <c r="E477" s="164" t="n">
        <v>10000</v>
      </c>
      <c r="F477" s="165" t="s">
        <v>3851</v>
      </c>
    </row>
    <row r="478" customFormat="false" ht="15" hidden="false" customHeight="true" outlineLevel="0" collapsed="false">
      <c r="A478" s="163" t="s">
        <v>2463</v>
      </c>
      <c r="B478" s="163" t="s">
        <v>2027</v>
      </c>
      <c r="C478" s="163" t="s">
        <v>1169</v>
      </c>
      <c r="D478" s="163" t="s">
        <v>2801</v>
      </c>
      <c r="E478" s="164" t="n">
        <v>30000</v>
      </c>
      <c r="F478" s="165" t="s">
        <v>3852</v>
      </c>
    </row>
    <row r="479" customFormat="false" ht="15" hidden="false" customHeight="true" outlineLevel="0" collapsed="false">
      <c r="A479" s="163" t="s">
        <v>2463</v>
      </c>
      <c r="B479" s="163" t="s">
        <v>2027</v>
      </c>
      <c r="C479" s="163" t="s">
        <v>3853</v>
      </c>
      <c r="D479" s="163" t="s">
        <v>3854</v>
      </c>
      <c r="E479" s="164" t="n">
        <v>20000</v>
      </c>
      <c r="F479" s="165" t="s">
        <v>3855</v>
      </c>
    </row>
    <row r="480" customFormat="false" ht="15" hidden="false" customHeight="true" outlineLevel="0" collapsed="false">
      <c r="A480" s="163" t="s">
        <v>2463</v>
      </c>
      <c r="B480" s="163" t="s">
        <v>2027</v>
      </c>
      <c r="C480" s="163" t="s">
        <v>3856</v>
      </c>
      <c r="D480" s="163" t="s">
        <v>3857</v>
      </c>
      <c r="E480" s="164" t="n">
        <v>20000</v>
      </c>
      <c r="F480" s="165" t="s">
        <v>3858</v>
      </c>
    </row>
    <row r="481" customFormat="false" ht="15" hidden="false" customHeight="true" outlineLevel="0" collapsed="false">
      <c r="A481" s="163" t="s">
        <v>2463</v>
      </c>
      <c r="B481" s="163" t="s">
        <v>2027</v>
      </c>
      <c r="C481" s="163" t="s">
        <v>3859</v>
      </c>
      <c r="D481" s="163" t="s">
        <v>3860</v>
      </c>
      <c r="E481" s="164" t="n">
        <v>20000</v>
      </c>
      <c r="F481" s="165" t="s">
        <v>3861</v>
      </c>
    </row>
    <row r="482" customFormat="false" ht="15" hidden="false" customHeight="true" outlineLevel="0" collapsed="false">
      <c r="A482" s="163" t="s">
        <v>2463</v>
      </c>
      <c r="B482" s="163" t="s">
        <v>2037</v>
      </c>
      <c r="C482" s="163" t="s">
        <v>240</v>
      </c>
      <c r="D482" s="163" t="s">
        <v>2418</v>
      </c>
      <c r="E482" s="164" t="n">
        <v>35500</v>
      </c>
      <c r="F482" s="165" t="s">
        <v>3862</v>
      </c>
    </row>
    <row r="483" customFormat="false" ht="15" hidden="false" customHeight="true" outlineLevel="0" collapsed="false">
      <c r="A483" s="163" t="s">
        <v>2463</v>
      </c>
      <c r="B483" s="163" t="s">
        <v>2037</v>
      </c>
      <c r="C483" s="163" t="s">
        <v>3796</v>
      </c>
      <c r="D483" s="163" t="s">
        <v>3797</v>
      </c>
      <c r="E483" s="164" t="n">
        <v>30000</v>
      </c>
      <c r="F483" s="165" t="s">
        <v>3863</v>
      </c>
    </row>
    <row r="484" customFormat="false" ht="15" hidden="false" customHeight="true" outlineLevel="0" collapsed="false">
      <c r="A484" s="163" t="s">
        <v>2463</v>
      </c>
      <c r="B484" s="163" t="s">
        <v>2037</v>
      </c>
      <c r="C484" s="163" t="s">
        <v>991</v>
      </c>
      <c r="D484" s="163" t="s">
        <v>3769</v>
      </c>
      <c r="E484" s="164" t="n">
        <v>20000</v>
      </c>
      <c r="F484" s="165" t="s">
        <v>3864</v>
      </c>
    </row>
    <row r="485" customFormat="false" ht="15" hidden="false" customHeight="true" outlineLevel="0" collapsed="false">
      <c r="A485" s="163" t="s">
        <v>2463</v>
      </c>
      <c r="B485" s="163" t="s">
        <v>2037</v>
      </c>
      <c r="C485" s="163" t="s">
        <v>3865</v>
      </c>
      <c r="D485" s="163" t="s">
        <v>3866</v>
      </c>
      <c r="E485" s="164" t="n">
        <v>10000</v>
      </c>
      <c r="F485" s="165" t="s">
        <v>3867</v>
      </c>
    </row>
    <row r="486" customFormat="false" ht="15" hidden="false" customHeight="true" outlineLevel="0" collapsed="false">
      <c r="A486" s="163" t="s">
        <v>2463</v>
      </c>
      <c r="B486" s="163" t="s">
        <v>2037</v>
      </c>
      <c r="C486" s="163" t="s">
        <v>3868</v>
      </c>
      <c r="D486" s="163" t="s">
        <v>3869</v>
      </c>
      <c r="E486" s="164" t="n">
        <v>10000</v>
      </c>
      <c r="F486" s="165" t="s">
        <v>3870</v>
      </c>
    </row>
    <row r="487" customFormat="false" ht="15" hidden="false" customHeight="true" outlineLevel="0" collapsed="false">
      <c r="A487" s="163" t="s">
        <v>2463</v>
      </c>
      <c r="B487" s="163" t="s">
        <v>2037</v>
      </c>
      <c r="C487" s="163" t="s">
        <v>3451</v>
      </c>
      <c r="D487" s="163" t="s">
        <v>3452</v>
      </c>
      <c r="E487" s="164" t="n">
        <v>10000</v>
      </c>
      <c r="F487" s="165" t="s">
        <v>3871</v>
      </c>
    </row>
    <row r="488" customFormat="false" ht="15" hidden="false" customHeight="true" outlineLevel="0" collapsed="false">
      <c r="A488" s="163" t="s">
        <v>2463</v>
      </c>
      <c r="B488" s="163" t="s">
        <v>2037</v>
      </c>
      <c r="C488" s="163" t="s">
        <v>3872</v>
      </c>
      <c r="D488" s="163" t="s">
        <v>3873</v>
      </c>
      <c r="E488" s="164" t="n">
        <v>10000</v>
      </c>
      <c r="F488" s="165" t="s">
        <v>3864</v>
      </c>
    </row>
    <row r="489" customFormat="false" ht="15" hidden="false" customHeight="true" outlineLevel="0" collapsed="false">
      <c r="A489" s="163" t="s">
        <v>2463</v>
      </c>
      <c r="B489" s="163" t="s">
        <v>2037</v>
      </c>
      <c r="C489" s="163" t="s">
        <v>2695</v>
      </c>
      <c r="D489" s="163" t="s">
        <v>2696</v>
      </c>
      <c r="E489" s="164" t="n">
        <v>7500</v>
      </c>
      <c r="F489" s="165" t="s">
        <v>3864</v>
      </c>
    </row>
    <row r="490" customFormat="false" ht="15" hidden="false" customHeight="true" outlineLevel="0" collapsed="false">
      <c r="A490" s="163" t="s">
        <v>2463</v>
      </c>
      <c r="B490" s="163" t="s">
        <v>894</v>
      </c>
      <c r="C490" s="163" t="s">
        <v>3820</v>
      </c>
      <c r="D490" s="163" t="s">
        <v>3821</v>
      </c>
      <c r="E490" s="164" t="n">
        <v>43000</v>
      </c>
      <c r="F490" s="165" t="s">
        <v>3874</v>
      </c>
    </row>
    <row r="491" customFormat="false" ht="15" hidden="false" customHeight="true" outlineLevel="0" collapsed="false">
      <c r="A491" s="163" t="s">
        <v>2463</v>
      </c>
      <c r="B491" s="163" t="s">
        <v>894</v>
      </c>
      <c r="C491" s="163" t="s">
        <v>3752</v>
      </c>
      <c r="D491" s="163" t="s">
        <v>3753</v>
      </c>
      <c r="E491" s="164" t="n">
        <v>35000</v>
      </c>
      <c r="F491" s="165" t="s">
        <v>3875</v>
      </c>
    </row>
    <row r="492" customFormat="false" ht="15" hidden="false" customHeight="true" outlineLevel="0" collapsed="false">
      <c r="A492" s="163" t="s">
        <v>2463</v>
      </c>
      <c r="B492" s="163" t="s">
        <v>894</v>
      </c>
      <c r="C492" s="163" t="s">
        <v>1109</v>
      </c>
      <c r="D492" s="163" t="s">
        <v>3755</v>
      </c>
      <c r="E492" s="164" t="n">
        <v>30000</v>
      </c>
      <c r="F492" s="165" t="s">
        <v>3876</v>
      </c>
    </row>
    <row r="493" customFormat="false" ht="15" hidden="false" customHeight="true" outlineLevel="0" collapsed="false">
      <c r="A493" s="163" t="s">
        <v>2463</v>
      </c>
      <c r="B493" s="163" t="s">
        <v>894</v>
      </c>
      <c r="C493" s="163" t="s">
        <v>3877</v>
      </c>
      <c r="D493" s="163" t="s">
        <v>3878</v>
      </c>
      <c r="E493" s="164" t="n">
        <v>25000</v>
      </c>
      <c r="F493" s="165" t="s">
        <v>3879</v>
      </c>
    </row>
    <row r="494" customFormat="false" ht="15" hidden="false" customHeight="true" outlineLevel="0" collapsed="false">
      <c r="A494" s="163" t="s">
        <v>2463</v>
      </c>
      <c r="B494" s="163" t="s">
        <v>894</v>
      </c>
      <c r="C494" s="163" t="s">
        <v>3823</v>
      </c>
      <c r="D494" s="163" t="s">
        <v>3824</v>
      </c>
      <c r="E494" s="164" t="n">
        <v>25000</v>
      </c>
      <c r="F494" s="165" t="s">
        <v>3880</v>
      </c>
    </row>
    <row r="495" customFormat="false" ht="15" hidden="false" customHeight="true" outlineLevel="0" collapsed="false">
      <c r="A495" s="163" t="s">
        <v>2463</v>
      </c>
      <c r="B495" s="163" t="s">
        <v>894</v>
      </c>
      <c r="C495" s="163" t="s">
        <v>3881</v>
      </c>
      <c r="D495" s="163" t="s">
        <v>3882</v>
      </c>
      <c r="E495" s="164" t="n">
        <v>25000</v>
      </c>
      <c r="F495" s="165" t="s">
        <v>3883</v>
      </c>
    </row>
    <row r="496" customFormat="false" ht="15" hidden="false" customHeight="true" outlineLevel="0" collapsed="false">
      <c r="A496" s="163" t="s">
        <v>2463</v>
      </c>
      <c r="B496" s="163" t="s">
        <v>894</v>
      </c>
      <c r="C496" s="163" t="s">
        <v>3357</v>
      </c>
      <c r="D496" s="163" t="s">
        <v>3358</v>
      </c>
      <c r="E496" s="164" t="n">
        <v>20000</v>
      </c>
      <c r="F496" s="165" t="s">
        <v>3884</v>
      </c>
    </row>
    <row r="497" customFormat="false" ht="15" hidden="false" customHeight="true" outlineLevel="0" collapsed="false">
      <c r="A497" s="163" t="s">
        <v>2463</v>
      </c>
      <c r="B497" s="163" t="s">
        <v>894</v>
      </c>
      <c r="C497" s="163" t="s">
        <v>3885</v>
      </c>
      <c r="D497" s="163" t="s">
        <v>3886</v>
      </c>
      <c r="E497" s="164" t="n">
        <v>20000</v>
      </c>
      <c r="F497" s="165" t="s">
        <v>3887</v>
      </c>
    </row>
    <row r="498" customFormat="false" ht="15" hidden="false" customHeight="true" outlineLevel="0" collapsed="false">
      <c r="A498" s="163" t="s">
        <v>2463</v>
      </c>
      <c r="B498" s="163" t="s">
        <v>894</v>
      </c>
      <c r="C498" s="163" t="s">
        <v>3888</v>
      </c>
      <c r="D498" s="163" t="s">
        <v>3889</v>
      </c>
      <c r="E498" s="164" t="n">
        <v>20000</v>
      </c>
      <c r="F498" s="165" t="s">
        <v>3890</v>
      </c>
    </row>
    <row r="499" customFormat="false" ht="15" hidden="false" customHeight="true" outlineLevel="0" collapsed="false">
      <c r="A499" s="163" t="s">
        <v>2463</v>
      </c>
      <c r="B499" s="163" t="s">
        <v>894</v>
      </c>
      <c r="C499" s="163" t="s">
        <v>3802</v>
      </c>
      <c r="D499" s="163" t="s">
        <v>3803</v>
      </c>
      <c r="E499" s="164" t="n">
        <v>20000</v>
      </c>
      <c r="F499" s="165" t="s">
        <v>3891</v>
      </c>
    </row>
    <row r="500" customFormat="false" ht="15" hidden="false" customHeight="true" outlineLevel="0" collapsed="false">
      <c r="A500" s="163" t="s">
        <v>2463</v>
      </c>
      <c r="B500" s="163" t="s">
        <v>894</v>
      </c>
      <c r="C500" s="163" t="s">
        <v>3892</v>
      </c>
      <c r="D500" s="163" t="s">
        <v>3893</v>
      </c>
      <c r="E500" s="164" t="n">
        <v>20000</v>
      </c>
      <c r="F500" s="165" t="s">
        <v>3894</v>
      </c>
    </row>
    <row r="501" customFormat="false" ht="15" hidden="false" customHeight="true" outlineLevel="0" collapsed="false">
      <c r="A501" s="163" t="s">
        <v>2463</v>
      </c>
      <c r="B501" s="163" t="s">
        <v>894</v>
      </c>
      <c r="C501" s="163" t="s">
        <v>3895</v>
      </c>
      <c r="D501" s="163" t="s">
        <v>3896</v>
      </c>
      <c r="E501" s="164" t="n">
        <v>10000</v>
      </c>
      <c r="F501" s="165" t="s">
        <v>3897</v>
      </c>
    </row>
    <row r="502" customFormat="false" ht="15" hidden="false" customHeight="true" outlineLevel="0" collapsed="false">
      <c r="A502" s="163" t="s">
        <v>2463</v>
      </c>
      <c r="B502" s="163" t="s">
        <v>894</v>
      </c>
      <c r="C502" s="163" t="s">
        <v>3898</v>
      </c>
      <c r="D502" s="163" t="s">
        <v>3899</v>
      </c>
      <c r="E502" s="164" t="n">
        <v>10000</v>
      </c>
      <c r="F502" s="165" t="s">
        <v>3900</v>
      </c>
    </row>
    <row r="503" customFormat="false" ht="15" hidden="false" customHeight="true" outlineLevel="0" collapsed="false">
      <c r="A503" s="163" t="s">
        <v>2463</v>
      </c>
      <c r="B503" s="163" t="s">
        <v>894</v>
      </c>
      <c r="C503" s="163" t="s">
        <v>3901</v>
      </c>
      <c r="D503" s="163" t="s">
        <v>3902</v>
      </c>
      <c r="E503" s="164" t="n">
        <v>10000</v>
      </c>
      <c r="F503" s="165" t="s">
        <v>3903</v>
      </c>
    </row>
    <row r="504" customFormat="false" ht="15" hidden="false" customHeight="true" outlineLevel="0" collapsed="false">
      <c r="A504" s="163" t="s">
        <v>2463</v>
      </c>
      <c r="B504" s="163" t="s">
        <v>894</v>
      </c>
      <c r="C504" s="163" t="s">
        <v>3904</v>
      </c>
      <c r="D504" s="163" t="s">
        <v>3905</v>
      </c>
      <c r="E504" s="164" t="n">
        <v>10000</v>
      </c>
      <c r="F504" s="165" t="s">
        <v>3906</v>
      </c>
    </row>
    <row r="505" customFormat="false" ht="15" hidden="false" customHeight="true" outlineLevel="0" collapsed="false">
      <c r="A505" s="163" t="s">
        <v>2463</v>
      </c>
      <c r="B505" s="163" t="s">
        <v>894</v>
      </c>
      <c r="C505" s="163" t="s">
        <v>3907</v>
      </c>
      <c r="D505" s="163" t="s">
        <v>3908</v>
      </c>
      <c r="E505" s="164" t="n">
        <v>10000</v>
      </c>
      <c r="F505" s="165" t="s">
        <v>3909</v>
      </c>
    </row>
    <row r="506" customFormat="false" ht="15" hidden="false" customHeight="true" outlineLevel="0" collapsed="false">
      <c r="A506" s="163" t="s">
        <v>2463</v>
      </c>
      <c r="B506" s="163" t="s">
        <v>894</v>
      </c>
      <c r="C506" s="163" t="s">
        <v>3910</v>
      </c>
      <c r="D506" s="163" t="s">
        <v>3911</v>
      </c>
      <c r="E506" s="164" t="n">
        <v>10000</v>
      </c>
      <c r="F506" s="165" t="s">
        <v>3912</v>
      </c>
    </row>
    <row r="507" customFormat="false" ht="15" hidden="false" customHeight="true" outlineLevel="0" collapsed="false">
      <c r="A507" s="163" t="s">
        <v>2463</v>
      </c>
      <c r="B507" s="163" t="s">
        <v>894</v>
      </c>
      <c r="C507" s="163" t="s">
        <v>3913</v>
      </c>
      <c r="D507" s="163" t="s">
        <v>3914</v>
      </c>
      <c r="E507" s="164" t="n">
        <v>10000</v>
      </c>
      <c r="F507" s="165" t="s">
        <v>3915</v>
      </c>
    </row>
    <row r="508" customFormat="false" ht="15" hidden="false" customHeight="true" outlineLevel="0" collapsed="false">
      <c r="A508" s="163" t="s">
        <v>2463</v>
      </c>
      <c r="B508" s="163" t="s">
        <v>894</v>
      </c>
      <c r="C508" s="163" t="s">
        <v>974</v>
      </c>
      <c r="D508" s="163" t="s">
        <v>1931</v>
      </c>
      <c r="E508" s="164" t="n">
        <v>7000</v>
      </c>
      <c r="F508" s="165" t="s">
        <v>3916</v>
      </c>
    </row>
    <row r="509" customFormat="false" ht="15" hidden="false" customHeight="true" outlineLevel="0" collapsed="false">
      <c r="A509" s="163" t="s">
        <v>2463</v>
      </c>
      <c r="B509" s="163" t="s">
        <v>894</v>
      </c>
      <c r="C509" s="163" t="s">
        <v>3917</v>
      </c>
      <c r="D509" s="163" t="s">
        <v>3918</v>
      </c>
      <c r="E509" s="164" t="n">
        <v>5000</v>
      </c>
      <c r="F509" s="165" t="s">
        <v>3919</v>
      </c>
    </row>
    <row r="510" customFormat="false" ht="15" hidden="false" customHeight="true" outlineLevel="0" collapsed="false">
      <c r="A510" s="163" t="s">
        <v>2463</v>
      </c>
      <c r="B510" s="163" t="s">
        <v>894</v>
      </c>
      <c r="C510" s="163" t="s">
        <v>3920</v>
      </c>
      <c r="D510" s="163" t="s">
        <v>3921</v>
      </c>
      <c r="E510" s="164" t="n">
        <v>5000</v>
      </c>
      <c r="F510" s="165" t="s">
        <v>3922</v>
      </c>
    </row>
    <row r="511" customFormat="false" ht="15" hidden="false" customHeight="true" outlineLevel="0" collapsed="false">
      <c r="A511" s="163" t="s">
        <v>2463</v>
      </c>
      <c r="B511" s="163" t="s">
        <v>894</v>
      </c>
      <c r="C511" s="163" t="s">
        <v>3923</v>
      </c>
      <c r="D511" s="163" t="s">
        <v>3924</v>
      </c>
      <c r="E511" s="164" t="n">
        <v>5000</v>
      </c>
      <c r="F511" s="165" t="s">
        <v>3925</v>
      </c>
    </row>
    <row r="512" customFormat="false" ht="15" hidden="false" customHeight="true" outlineLevel="0" collapsed="false">
      <c r="A512" s="163" t="s">
        <v>2463</v>
      </c>
      <c r="B512" s="163" t="s">
        <v>894</v>
      </c>
      <c r="C512" s="163" t="s">
        <v>3926</v>
      </c>
      <c r="D512" s="163" t="s">
        <v>3927</v>
      </c>
      <c r="E512" s="164" t="n">
        <v>5000</v>
      </c>
      <c r="F512" s="165" t="s">
        <v>3928</v>
      </c>
    </row>
    <row r="513" customFormat="false" ht="15" hidden="false" customHeight="true" outlineLevel="0" collapsed="false">
      <c r="A513" s="163" t="s">
        <v>2463</v>
      </c>
      <c r="B513" s="163" t="s">
        <v>894</v>
      </c>
      <c r="C513" s="163" t="s">
        <v>3929</v>
      </c>
      <c r="D513" s="163" t="s">
        <v>3930</v>
      </c>
      <c r="E513" s="164" t="n">
        <v>5000</v>
      </c>
      <c r="F513" s="165" t="s">
        <v>3931</v>
      </c>
    </row>
    <row r="514" customFormat="false" ht="15" hidden="false" customHeight="true" outlineLevel="0" collapsed="false">
      <c r="A514" s="163" t="s">
        <v>2463</v>
      </c>
      <c r="B514" s="163" t="s">
        <v>894</v>
      </c>
      <c r="C514" s="163" t="s">
        <v>400</v>
      </c>
      <c r="D514" s="163" t="s">
        <v>2628</v>
      </c>
      <c r="E514" s="164" t="n">
        <v>5000</v>
      </c>
      <c r="F514" s="165" t="s">
        <v>3932</v>
      </c>
    </row>
    <row r="515" customFormat="false" ht="15" hidden="false" customHeight="true" outlineLevel="0" collapsed="false">
      <c r="A515" s="163" t="s">
        <v>2463</v>
      </c>
      <c r="B515" s="163" t="s">
        <v>894</v>
      </c>
      <c r="C515" s="163" t="s">
        <v>3933</v>
      </c>
      <c r="D515" s="163" t="s">
        <v>3934</v>
      </c>
      <c r="E515" s="164" t="n">
        <v>5000</v>
      </c>
      <c r="F515" s="165" t="s">
        <v>3935</v>
      </c>
    </row>
    <row r="516" customFormat="false" ht="15" hidden="false" customHeight="true" outlineLevel="0" collapsed="false">
      <c r="A516" s="163" t="s">
        <v>2463</v>
      </c>
      <c r="B516" s="163" t="s">
        <v>894</v>
      </c>
      <c r="C516" s="163" t="s">
        <v>3468</v>
      </c>
      <c r="D516" s="163" t="s">
        <v>3469</v>
      </c>
      <c r="E516" s="164" t="n">
        <v>5000</v>
      </c>
      <c r="F516" s="165" t="s">
        <v>3936</v>
      </c>
    </row>
    <row r="517" customFormat="false" ht="15" hidden="false" customHeight="true" outlineLevel="0" collapsed="false">
      <c r="A517" s="163" t="s">
        <v>2463</v>
      </c>
      <c r="B517" s="163" t="s">
        <v>882</v>
      </c>
      <c r="C517" s="163" t="s">
        <v>2759</v>
      </c>
      <c r="D517" s="163" t="s">
        <v>2760</v>
      </c>
      <c r="E517" s="164" t="n">
        <v>230000</v>
      </c>
      <c r="F517" s="165" t="s">
        <v>3937</v>
      </c>
    </row>
    <row r="518" customFormat="false" ht="15" hidden="false" customHeight="true" outlineLevel="0" collapsed="false">
      <c r="A518" s="163" t="s">
        <v>2463</v>
      </c>
      <c r="B518" s="163" t="s">
        <v>882</v>
      </c>
      <c r="C518" s="163" t="s">
        <v>640</v>
      </c>
      <c r="D518" s="163" t="s">
        <v>1931</v>
      </c>
      <c r="E518" s="164" t="n">
        <v>30000</v>
      </c>
      <c r="F518" s="165" t="s">
        <v>3938</v>
      </c>
    </row>
    <row r="519" customFormat="false" ht="15" hidden="false" customHeight="true" outlineLevel="0" collapsed="false">
      <c r="A519" s="163" t="s">
        <v>2463</v>
      </c>
      <c r="B519" s="163" t="s">
        <v>882</v>
      </c>
      <c r="C519" s="163" t="s">
        <v>3939</v>
      </c>
      <c r="D519" s="163" t="s">
        <v>3940</v>
      </c>
      <c r="E519" s="164" t="n">
        <v>10000</v>
      </c>
      <c r="F519" s="165" t="s">
        <v>3941</v>
      </c>
    </row>
    <row r="520" customFormat="false" ht="15" hidden="false" customHeight="true" outlineLevel="0" collapsed="false">
      <c r="A520" s="163" t="s">
        <v>2463</v>
      </c>
      <c r="B520" s="163" t="s">
        <v>882</v>
      </c>
      <c r="C520" s="163" t="s">
        <v>240</v>
      </c>
      <c r="D520" s="163" t="s">
        <v>2418</v>
      </c>
      <c r="E520" s="164" t="n">
        <v>10000</v>
      </c>
      <c r="F520" s="165" t="s">
        <v>3942</v>
      </c>
    </row>
    <row r="521" customFormat="false" ht="15" hidden="false" customHeight="true" outlineLevel="0" collapsed="false">
      <c r="A521" s="163" t="s">
        <v>2463</v>
      </c>
      <c r="B521" s="163" t="s">
        <v>2328</v>
      </c>
      <c r="C521" s="163" t="s">
        <v>3943</v>
      </c>
      <c r="D521" s="163" t="s">
        <v>3944</v>
      </c>
      <c r="E521" s="164" t="n">
        <v>20000</v>
      </c>
      <c r="F521" s="165" t="s">
        <v>3945</v>
      </c>
    </row>
    <row r="522" customFormat="false" ht="15" hidden="false" customHeight="true" outlineLevel="0" collapsed="false">
      <c r="A522" s="163" t="s">
        <v>2463</v>
      </c>
      <c r="B522" s="163" t="s">
        <v>2328</v>
      </c>
      <c r="C522" s="163" t="s">
        <v>3946</v>
      </c>
      <c r="D522" s="163" t="s">
        <v>3947</v>
      </c>
      <c r="E522" s="164" t="n">
        <v>10000</v>
      </c>
      <c r="F522" s="165" t="s">
        <v>3948</v>
      </c>
    </row>
    <row r="523" customFormat="false" ht="15" hidden="false" customHeight="true" outlineLevel="0" collapsed="false">
      <c r="A523" s="163" t="s">
        <v>2463</v>
      </c>
      <c r="B523" s="163" t="s">
        <v>2328</v>
      </c>
      <c r="C523" s="163" t="s">
        <v>3949</v>
      </c>
      <c r="D523" s="163" t="s">
        <v>3950</v>
      </c>
      <c r="E523" s="164" t="n">
        <v>10000</v>
      </c>
      <c r="F523" s="165" t="s">
        <v>3951</v>
      </c>
    </row>
    <row r="524" customFormat="false" ht="15" hidden="false" customHeight="true" outlineLevel="0" collapsed="false">
      <c r="A524" s="163" t="s">
        <v>2463</v>
      </c>
      <c r="B524" s="163" t="s">
        <v>2328</v>
      </c>
      <c r="C524" s="163" t="s">
        <v>3952</v>
      </c>
      <c r="D524" s="163" t="s">
        <v>3953</v>
      </c>
      <c r="E524" s="164" t="n">
        <v>10000</v>
      </c>
      <c r="F524" s="165" t="s">
        <v>3951</v>
      </c>
    </row>
    <row r="525" customFormat="false" ht="15" hidden="false" customHeight="true" outlineLevel="0" collapsed="false">
      <c r="A525" s="163" t="s">
        <v>2463</v>
      </c>
      <c r="B525" s="163" t="s">
        <v>2342</v>
      </c>
      <c r="C525" s="163" t="s">
        <v>3881</v>
      </c>
      <c r="D525" s="163" t="s">
        <v>3882</v>
      </c>
      <c r="E525" s="164" t="n">
        <v>25000</v>
      </c>
      <c r="F525" s="165" t="s">
        <v>3954</v>
      </c>
    </row>
    <row r="526" customFormat="false" ht="15" hidden="false" customHeight="true" outlineLevel="0" collapsed="false">
      <c r="A526" s="163" t="s">
        <v>2463</v>
      </c>
      <c r="B526" s="163" t="s">
        <v>2342</v>
      </c>
      <c r="C526" s="163" t="s">
        <v>197</v>
      </c>
      <c r="D526" s="163" t="s">
        <v>1931</v>
      </c>
      <c r="E526" s="164" t="n">
        <v>15000</v>
      </c>
      <c r="F526" s="165" t="s">
        <v>3955</v>
      </c>
    </row>
    <row r="527" customFormat="false" ht="15" hidden="false" customHeight="true" outlineLevel="0" collapsed="false">
      <c r="A527" s="163" t="s">
        <v>2463</v>
      </c>
      <c r="B527" s="163" t="s">
        <v>2342</v>
      </c>
      <c r="C527" s="163" t="s">
        <v>3956</v>
      </c>
      <c r="D527" s="163" t="s">
        <v>3957</v>
      </c>
      <c r="E527" s="164" t="n">
        <v>15000</v>
      </c>
      <c r="F527" s="165" t="s">
        <v>3958</v>
      </c>
    </row>
    <row r="528" customFormat="false" ht="15" hidden="false" customHeight="true" outlineLevel="0" collapsed="false">
      <c r="A528" s="163" t="s">
        <v>2463</v>
      </c>
      <c r="B528" s="163" t="s">
        <v>2342</v>
      </c>
      <c r="C528" s="163" t="s">
        <v>3959</v>
      </c>
      <c r="D528" s="163" t="s">
        <v>3960</v>
      </c>
      <c r="E528" s="164" t="n">
        <v>15000</v>
      </c>
      <c r="F528" s="165" t="s">
        <v>3961</v>
      </c>
    </row>
    <row r="529" customFormat="false" ht="15" hidden="false" customHeight="true" outlineLevel="0" collapsed="false">
      <c r="A529" s="163" t="s">
        <v>2463</v>
      </c>
      <c r="B529" s="163" t="s">
        <v>2342</v>
      </c>
      <c r="C529" s="163" t="s">
        <v>230</v>
      </c>
      <c r="D529" s="163" t="s">
        <v>2077</v>
      </c>
      <c r="E529" s="164" t="n">
        <v>10000</v>
      </c>
      <c r="F529" s="165" t="s">
        <v>3962</v>
      </c>
    </row>
    <row r="530" customFormat="false" ht="15" hidden="false" customHeight="true" outlineLevel="0" collapsed="false">
      <c r="A530" s="163" t="s">
        <v>2463</v>
      </c>
      <c r="B530" s="163" t="s">
        <v>2342</v>
      </c>
      <c r="C530" s="163" t="s">
        <v>3334</v>
      </c>
      <c r="D530" s="163" t="s">
        <v>3335</v>
      </c>
      <c r="E530" s="164" t="n">
        <v>10000</v>
      </c>
      <c r="F530" s="165" t="s">
        <v>3963</v>
      </c>
    </row>
    <row r="531" customFormat="false" ht="15" hidden="false" customHeight="true" outlineLevel="0" collapsed="false">
      <c r="A531" s="163" t="s">
        <v>2463</v>
      </c>
      <c r="B531" s="163" t="s">
        <v>2766</v>
      </c>
      <c r="C531" s="163" t="s">
        <v>3823</v>
      </c>
      <c r="D531" s="163" t="s">
        <v>3824</v>
      </c>
      <c r="E531" s="164" t="n">
        <v>15000</v>
      </c>
      <c r="F531" s="165" t="s">
        <v>3964</v>
      </c>
    </row>
    <row r="532" customFormat="false" ht="15" hidden="false" customHeight="true" outlineLevel="0" collapsed="false">
      <c r="A532" s="163" t="s">
        <v>2463</v>
      </c>
      <c r="B532" s="163" t="s">
        <v>2766</v>
      </c>
      <c r="C532" s="163" t="s">
        <v>3758</v>
      </c>
      <c r="D532" s="163" t="s">
        <v>3759</v>
      </c>
      <c r="E532" s="164" t="n">
        <v>15000</v>
      </c>
      <c r="F532" s="165" t="s">
        <v>3965</v>
      </c>
    </row>
    <row r="533" customFormat="false" ht="15" hidden="false" customHeight="true" outlineLevel="0" collapsed="false">
      <c r="A533" s="163" t="s">
        <v>2463</v>
      </c>
      <c r="B533" s="163" t="s">
        <v>1743</v>
      </c>
      <c r="C533" s="163" t="s">
        <v>1109</v>
      </c>
      <c r="D533" s="163" t="s">
        <v>3755</v>
      </c>
      <c r="E533" s="164" t="n">
        <v>35000</v>
      </c>
      <c r="F533" s="165" t="s">
        <v>3966</v>
      </c>
    </row>
    <row r="534" customFormat="false" ht="15" hidden="false" customHeight="true" outlineLevel="0" collapsed="false">
      <c r="A534" s="163" t="s">
        <v>2463</v>
      </c>
      <c r="B534" s="163" t="s">
        <v>1743</v>
      </c>
      <c r="C534" s="163" t="s">
        <v>3967</v>
      </c>
      <c r="D534" s="163" t="s">
        <v>3968</v>
      </c>
      <c r="E534" s="164" t="n">
        <v>35000</v>
      </c>
      <c r="F534" s="165" t="s">
        <v>3969</v>
      </c>
    </row>
    <row r="535" customFormat="false" ht="15" hidden="false" customHeight="true" outlineLevel="0" collapsed="false">
      <c r="A535" s="163" t="s">
        <v>2463</v>
      </c>
      <c r="B535" s="163" t="s">
        <v>1743</v>
      </c>
      <c r="C535" s="163" t="s">
        <v>3793</v>
      </c>
      <c r="D535" s="163" t="s">
        <v>3794</v>
      </c>
      <c r="E535" s="164" t="n">
        <v>20000</v>
      </c>
      <c r="F535" s="165" t="s">
        <v>3970</v>
      </c>
    </row>
    <row r="536" customFormat="false" ht="15" hidden="false" customHeight="true" outlineLevel="0" collapsed="false">
      <c r="A536" s="163" t="s">
        <v>2463</v>
      </c>
      <c r="B536" s="163" t="s">
        <v>1743</v>
      </c>
      <c r="C536" s="163" t="s">
        <v>3868</v>
      </c>
      <c r="D536" s="163" t="s">
        <v>3869</v>
      </c>
      <c r="E536" s="164" t="n">
        <v>20000</v>
      </c>
      <c r="F536" s="165" t="s">
        <v>3971</v>
      </c>
    </row>
    <row r="537" customFormat="false" ht="15" hidden="false" customHeight="true" outlineLevel="0" collapsed="false">
      <c r="A537" s="163" t="s">
        <v>2463</v>
      </c>
      <c r="B537" s="163" t="s">
        <v>1743</v>
      </c>
      <c r="C537" s="163" t="s">
        <v>3762</v>
      </c>
      <c r="D537" s="163" t="s">
        <v>3763</v>
      </c>
      <c r="E537" s="164" t="n">
        <v>15000</v>
      </c>
      <c r="F537" s="165" t="s">
        <v>3972</v>
      </c>
    </row>
    <row r="538" customFormat="false" ht="15" hidden="false" customHeight="true" outlineLevel="0" collapsed="false">
      <c r="A538" s="163" t="s">
        <v>2463</v>
      </c>
      <c r="B538" s="163" t="s">
        <v>1743</v>
      </c>
      <c r="C538" s="163" t="s">
        <v>3973</v>
      </c>
      <c r="D538" s="163" t="s">
        <v>3974</v>
      </c>
      <c r="E538" s="164" t="n">
        <v>15000</v>
      </c>
      <c r="F538" s="165" t="s">
        <v>3975</v>
      </c>
    </row>
    <row r="539" customFormat="false" ht="15" hidden="false" customHeight="true" outlineLevel="0" collapsed="false">
      <c r="A539" s="163" t="s">
        <v>2463</v>
      </c>
      <c r="B539" s="163" t="s">
        <v>1743</v>
      </c>
      <c r="C539" s="163" t="s">
        <v>3976</v>
      </c>
      <c r="D539" s="163" t="s">
        <v>3977</v>
      </c>
      <c r="E539" s="164" t="n">
        <v>10000</v>
      </c>
      <c r="F539" s="165" t="s">
        <v>3978</v>
      </c>
    </row>
    <row r="540" customFormat="false" ht="15" hidden="false" customHeight="true" outlineLevel="0" collapsed="false">
      <c r="A540" s="163" t="s">
        <v>2463</v>
      </c>
      <c r="B540" s="163" t="s">
        <v>928</v>
      </c>
      <c r="C540" s="163" t="s">
        <v>3898</v>
      </c>
      <c r="D540" s="163" t="s">
        <v>3899</v>
      </c>
      <c r="E540" s="164" t="n">
        <v>40000</v>
      </c>
      <c r="F540" s="165" t="s">
        <v>3979</v>
      </c>
    </row>
    <row r="541" customFormat="false" ht="15" hidden="false" customHeight="true" outlineLevel="0" collapsed="false">
      <c r="A541" s="163" t="s">
        <v>2463</v>
      </c>
      <c r="B541" s="163" t="s">
        <v>928</v>
      </c>
      <c r="C541" s="163" t="s">
        <v>3980</v>
      </c>
      <c r="D541" s="163" t="s">
        <v>3981</v>
      </c>
      <c r="E541" s="164" t="n">
        <v>20000</v>
      </c>
      <c r="F541" s="165" t="s">
        <v>3982</v>
      </c>
    </row>
    <row r="542" customFormat="false" ht="15" hidden="false" customHeight="true" outlineLevel="0" collapsed="false">
      <c r="A542" s="163" t="s">
        <v>2463</v>
      </c>
      <c r="B542" s="163" t="s">
        <v>928</v>
      </c>
      <c r="C542" s="163" t="s">
        <v>240</v>
      </c>
      <c r="D542" s="163" t="s">
        <v>2418</v>
      </c>
      <c r="E542" s="164" t="n">
        <v>20000</v>
      </c>
      <c r="F542" s="165" t="s">
        <v>3983</v>
      </c>
    </row>
    <row r="543" customFormat="false" ht="15" hidden="false" customHeight="true" outlineLevel="0" collapsed="false">
      <c r="A543" s="163" t="s">
        <v>2463</v>
      </c>
      <c r="B543" s="163" t="s">
        <v>928</v>
      </c>
      <c r="C543" s="163" t="s">
        <v>424</v>
      </c>
      <c r="D543" s="163" t="s">
        <v>2630</v>
      </c>
      <c r="E543" s="164" t="n">
        <v>15000</v>
      </c>
      <c r="F543" s="165" t="s">
        <v>3984</v>
      </c>
    </row>
    <row r="544" customFormat="false" ht="15" hidden="false" customHeight="true" outlineLevel="0" collapsed="false">
      <c r="A544" s="163" t="s">
        <v>2463</v>
      </c>
      <c r="B544" s="163" t="s">
        <v>928</v>
      </c>
      <c r="C544" s="163" t="s">
        <v>3985</v>
      </c>
      <c r="D544" s="163" t="s">
        <v>3986</v>
      </c>
      <c r="E544" s="164" t="n">
        <v>15000</v>
      </c>
      <c r="F544" s="165" t="s">
        <v>3987</v>
      </c>
    </row>
    <row r="545" customFormat="false" ht="15" hidden="false" customHeight="true" outlineLevel="0" collapsed="false">
      <c r="A545" s="163" t="s">
        <v>2463</v>
      </c>
      <c r="B545" s="163" t="s">
        <v>928</v>
      </c>
      <c r="C545" s="163" t="s">
        <v>3319</v>
      </c>
      <c r="D545" s="163" t="s">
        <v>3320</v>
      </c>
      <c r="E545" s="164" t="n">
        <v>10000</v>
      </c>
      <c r="F545" s="165" t="s">
        <v>3988</v>
      </c>
    </row>
    <row r="546" customFormat="false" ht="15" hidden="false" customHeight="true" outlineLevel="0" collapsed="false">
      <c r="A546" s="163" t="s">
        <v>2463</v>
      </c>
      <c r="B546" s="163" t="s">
        <v>928</v>
      </c>
      <c r="C546" s="163" t="s">
        <v>3989</v>
      </c>
      <c r="D546" s="163" t="s">
        <v>3990</v>
      </c>
      <c r="E546" s="164" t="n">
        <v>10000</v>
      </c>
      <c r="F546" s="165" t="s">
        <v>3991</v>
      </c>
    </row>
    <row r="547" customFormat="false" ht="15" hidden="false" customHeight="true" outlineLevel="0" collapsed="false">
      <c r="A547" s="163" t="s">
        <v>2463</v>
      </c>
      <c r="B547" s="163" t="s">
        <v>928</v>
      </c>
      <c r="C547" s="163" t="s">
        <v>3992</v>
      </c>
      <c r="D547" s="163" t="s">
        <v>3993</v>
      </c>
      <c r="E547" s="164" t="n">
        <v>10000</v>
      </c>
      <c r="F547" s="165" t="s">
        <v>3994</v>
      </c>
    </row>
    <row r="548" customFormat="false" ht="15" hidden="false" customHeight="true" outlineLevel="0" collapsed="false">
      <c r="A548" s="163" t="s">
        <v>2463</v>
      </c>
      <c r="B548" s="163" t="s">
        <v>928</v>
      </c>
      <c r="C548" s="163" t="s">
        <v>3995</v>
      </c>
      <c r="D548" s="163" t="s">
        <v>3996</v>
      </c>
      <c r="E548" s="164" t="n">
        <v>5000</v>
      </c>
      <c r="F548" s="165" t="s">
        <v>3997</v>
      </c>
    </row>
    <row r="549" customFormat="false" ht="15" hidden="false" customHeight="true" outlineLevel="0" collapsed="false">
      <c r="A549" s="163" t="s">
        <v>2463</v>
      </c>
      <c r="B549" s="163" t="s">
        <v>928</v>
      </c>
      <c r="C549" s="163" t="s">
        <v>2167</v>
      </c>
      <c r="D549" s="163" t="s">
        <v>1931</v>
      </c>
      <c r="E549" s="164" t="n">
        <v>5000</v>
      </c>
      <c r="F549" s="165" t="s">
        <v>3060</v>
      </c>
    </row>
    <row r="550" customFormat="false" ht="15" hidden="false" customHeight="true" outlineLevel="0" collapsed="false">
      <c r="A550" s="163" t="s">
        <v>3017</v>
      </c>
      <c r="B550" s="163" t="s">
        <v>926</v>
      </c>
      <c r="C550" s="163" t="s">
        <v>3998</v>
      </c>
      <c r="D550" s="163" t="s">
        <v>3999</v>
      </c>
      <c r="E550" s="164" t="n">
        <v>40000</v>
      </c>
      <c r="F550" s="165" t="s">
        <v>4000</v>
      </c>
    </row>
    <row r="551" customFormat="false" ht="15" hidden="false" customHeight="true" outlineLevel="0" collapsed="false">
      <c r="A551" s="163" t="s">
        <v>3017</v>
      </c>
      <c r="B551" s="163" t="s">
        <v>926</v>
      </c>
      <c r="C551" s="163" t="s">
        <v>197</v>
      </c>
      <c r="D551" s="163" t="s">
        <v>1931</v>
      </c>
      <c r="E551" s="164" t="n">
        <v>25000</v>
      </c>
      <c r="F551" s="165" t="s">
        <v>4001</v>
      </c>
    </row>
    <row r="552" customFormat="false" ht="15" hidden="false" customHeight="true" outlineLevel="0" collapsed="false">
      <c r="A552" s="163" t="s">
        <v>3017</v>
      </c>
      <c r="B552" s="163" t="s">
        <v>926</v>
      </c>
      <c r="C552" s="163" t="s">
        <v>4002</v>
      </c>
      <c r="D552" s="163" t="s">
        <v>4003</v>
      </c>
      <c r="E552" s="164" t="n">
        <v>20000</v>
      </c>
      <c r="F552" s="165" t="s">
        <v>3060</v>
      </c>
    </row>
    <row r="553" customFormat="false" ht="15" hidden="false" customHeight="true" outlineLevel="0" collapsed="false">
      <c r="A553" s="163" t="s">
        <v>3017</v>
      </c>
      <c r="B553" s="163" t="s">
        <v>926</v>
      </c>
      <c r="C553" s="163" t="s">
        <v>3334</v>
      </c>
      <c r="D553" s="163" t="s">
        <v>3335</v>
      </c>
      <c r="E553" s="164" t="n">
        <v>15000</v>
      </c>
      <c r="F553" s="165" t="s">
        <v>4004</v>
      </c>
    </row>
    <row r="554" customFormat="false" ht="15" hidden="false" customHeight="true" outlineLevel="0" collapsed="false">
      <c r="A554" s="163" t="s">
        <v>3017</v>
      </c>
      <c r="B554" s="163" t="s">
        <v>957</v>
      </c>
      <c r="C554" s="163" t="s">
        <v>4005</v>
      </c>
      <c r="D554" s="163" t="s">
        <v>4006</v>
      </c>
      <c r="E554" s="164" t="n">
        <v>25000</v>
      </c>
      <c r="F554" s="165" t="s">
        <v>4007</v>
      </c>
    </row>
    <row r="555" customFormat="false" ht="15" hidden="false" customHeight="true" outlineLevel="0" collapsed="false">
      <c r="A555" s="163" t="s">
        <v>3017</v>
      </c>
      <c r="B555" s="163" t="s">
        <v>957</v>
      </c>
      <c r="C555" s="163" t="s">
        <v>4008</v>
      </c>
      <c r="D555" s="163" t="s">
        <v>4009</v>
      </c>
      <c r="E555" s="164" t="n">
        <v>25000</v>
      </c>
      <c r="F555" s="165" t="s">
        <v>4010</v>
      </c>
    </row>
    <row r="556" customFormat="false" ht="15" hidden="false" customHeight="true" outlineLevel="0" collapsed="false">
      <c r="A556" s="163" t="s">
        <v>3017</v>
      </c>
      <c r="B556" s="163" t="s">
        <v>957</v>
      </c>
      <c r="C556" s="163" t="s">
        <v>4011</v>
      </c>
      <c r="D556" s="163" t="s">
        <v>4012</v>
      </c>
      <c r="E556" s="164" t="n">
        <v>25000</v>
      </c>
      <c r="F556" s="165" t="s">
        <v>4013</v>
      </c>
    </row>
    <row r="557" customFormat="false" ht="15" hidden="false" customHeight="true" outlineLevel="0" collapsed="false">
      <c r="A557" s="163" t="s">
        <v>3017</v>
      </c>
      <c r="B557" s="163" t="s">
        <v>957</v>
      </c>
      <c r="C557" s="163" t="s">
        <v>4014</v>
      </c>
      <c r="D557" s="163" t="s">
        <v>4015</v>
      </c>
      <c r="E557" s="164" t="n">
        <v>20000</v>
      </c>
      <c r="F557" s="165" t="s">
        <v>4016</v>
      </c>
    </row>
    <row r="558" customFormat="false" ht="15" hidden="false" customHeight="true" outlineLevel="0" collapsed="false">
      <c r="A558" s="163" t="s">
        <v>3017</v>
      </c>
      <c r="B558" s="163" t="s">
        <v>957</v>
      </c>
      <c r="C558" s="163" t="s">
        <v>4017</v>
      </c>
      <c r="D558" s="163" t="s">
        <v>4018</v>
      </c>
      <c r="E558" s="164" t="n">
        <v>15000</v>
      </c>
      <c r="F558" s="165" t="s">
        <v>4019</v>
      </c>
    </row>
    <row r="559" customFormat="false" ht="15" hidden="false" customHeight="true" outlineLevel="0" collapsed="false">
      <c r="A559" s="163" t="s">
        <v>3017</v>
      </c>
      <c r="B559" s="163" t="s">
        <v>945</v>
      </c>
      <c r="C559" s="163" t="s">
        <v>4020</v>
      </c>
      <c r="D559" s="163" t="s">
        <v>4021</v>
      </c>
      <c r="E559" s="164" t="n">
        <v>11000</v>
      </c>
      <c r="F559" s="165" t="s">
        <v>4022</v>
      </c>
    </row>
    <row r="560" customFormat="false" ht="15" hidden="false" customHeight="true" outlineLevel="0" collapsed="false">
      <c r="A560" s="163" t="s">
        <v>3017</v>
      </c>
      <c r="B560" s="163" t="s">
        <v>945</v>
      </c>
      <c r="C560" s="163" t="s">
        <v>4023</v>
      </c>
      <c r="D560" s="163" t="s">
        <v>4024</v>
      </c>
      <c r="E560" s="164" t="n">
        <v>10000</v>
      </c>
      <c r="F560" s="165" t="s">
        <v>4025</v>
      </c>
    </row>
    <row r="561" customFormat="false" ht="15" hidden="false" customHeight="true" outlineLevel="0" collapsed="false">
      <c r="A561" s="163" t="s">
        <v>3017</v>
      </c>
      <c r="B561" s="163" t="s">
        <v>945</v>
      </c>
      <c r="C561" s="163" t="s">
        <v>925</v>
      </c>
      <c r="D561" s="163" t="s">
        <v>1931</v>
      </c>
      <c r="E561" s="164" t="n">
        <v>7500</v>
      </c>
      <c r="F561" s="165" t="s">
        <v>4026</v>
      </c>
    </row>
    <row r="562" customFormat="false" ht="15" hidden="false" customHeight="true" outlineLevel="0" collapsed="false">
      <c r="A562" s="163" t="s">
        <v>3017</v>
      </c>
      <c r="B562" s="163" t="s">
        <v>945</v>
      </c>
      <c r="C562" s="163" t="s">
        <v>925</v>
      </c>
      <c r="D562" s="163" t="s">
        <v>1931</v>
      </c>
      <c r="E562" s="164" t="n">
        <v>7500</v>
      </c>
      <c r="F562" s="165" t="s">
        <v>4027</v>
      </c>
    </row>
    <row r="563" customFormat="false" ht="15" hidden="false" customHeight="true" outlineLevel="0" collapsed="false">
      <c r="A563" s="163" t="s">
        <v>3017</v>
      </c>
      <c r="B563" s="163" t="s">
        <v>945</v>
      </c>
      <c r="C563" s="163" t="s">
        <v>925</v>
      </c>
      <c r="D563" s="163" t="s">
        <v>1931</v>
      </c>
      <c r="E563" s="164" t="n">
        <v>6000</v>
      </c>
      <c r="F563" s="165" t="s">
        <v>4028</v>
      </c>
    </row>
    <row r="564" customFormat="false" ht="15" hidden="false" customHeight="true" outlineLevel="0" collapsed="false">
      <c r="A564" s="163" t="s">
        <v>3017</v>
      </c>
      <c r="B564" s="163" t="s">
        <v>945</v>
      </c>
      <c r="C564" s="163" t="s">
        <v>4029</v>
      </c>
      <c r="D564" s="163" t="s">
        <v>4030</v>
      </c>
      <c r="E564" s="164" t="n">
        <v>5000</v>
      </c>
      <c r="F564" s="165" t="s">
        <v>4031</v>
      </c>
    </row>
    <row r="565" customFormat="false" ht="15" hidden="false" customHeight="true" outlineLevel="0" collapsed="false">
      <c r="A565" s="163" t="s">
        <v>3017</v>
      </c>
      <c r="B565" s="163" t="s">
        <v>945</v>
      </c>
      <c r="C565" s="163" t="s">
        <v>925</v>
      </c>
      <c r="D565" s="163" t="s">
        <v>1931</v>
      </c>
      <c r="E565" s="164" t="n">
        <v>3500</v>
      </c>
      <c r="F565" s="165" t="s">
        <v>4032</v>
      </c>
    </row>
    <row r="566" customFormat="false" ht="15" hidden="false" customHeight="true" outlineLevel="0" collapsed="false">
      <c r="A566" s="163" t="s">
        <v>3017</v>
      </c>
      <c r="B566" s="163" t="s">
        <v>945</v>
      </c>
      <c r="C566" s="163" t="s">
        <v>925</v>
      </c>
      <c r="D566" s="163" t="s">
        <v>1931</v>
      </c>
      <c r="E566" s="164" t="n">
        <v>3500</v>
      </c>
      <c r="F566" s="165" t="s">
        <v>4033</v>
      </c>
    </row>
    <row r="567" customFormat="false" ht="15" hidden="false" customHeight="true" outlineLevel="0" collapsed="false">
      <c r="A567" s="163" t="s">
        <v>3017</v>
      </c>
      <c r="B567" s="163" t="s">
        <v>945</v>
      </c>
      <c r="C567" s="163" t="s">
        <v>925</v>
      </c>
      <c r="D567" s="163" t="s">
        <v>1931</v>
      </c>
      <c r="E567" s="164" t="n">
        <v>3500</v>
      </c>
      <c r="F567" s="165" t="s">
        <v>4034</v>
      </c>
    </row>
    <row r="568" customFormat="false" ht="15" hidden="false" customHeight="true" outlineLevel="0" collapsed="false">
      <c r="A568" s="163" t="s">
        <v>3017</v>
      </c>
      <c r="B568" s="163" t="s">
        <v>945</v>
      </c>
      <c r="C568" s="163" t="s">
        <v>925</v>
      </c>
      <c r="D568" s="163" t="s">
        <v>1931</v>
      </c>
      <c r="E568" s="164" t="n">
        <v>3500</v>
      </c>
      <c r="F568" s="165" t="s">
        <v>4035</v>
      </c>
    </row>
    <row r="569" customFormat="false" ht="15" hidden="false" customHeight="true" outlineLevel="0" collapsed="false">
      <c r="A569" s="163" t="s">
        <v>3017</v>
      </c>
      <c r="B569" s="163" t="s">
        <v>945</v>
      </c>
      <c r="C569" s="163" t="s">
        <v>925</v>
      </c>
      <c r="D569" s="163" t="s">
        <v>1931</v>
      </c>
      <c r="E569" s="164" t="n">
        <v>3500</v>
      </c>
      <c r="F569" s="165" t="s">
        <v>4036</v>
      </c>
    </row>
    <row r="570" customFormat="false" ht="15" hidden="false" customHeight="true" outlineLevel="0" collapsed="false">
      <c r="A570" s="163" t="s">
        <v>3017</v>
      </c>
      <c r="B570" s="163" t="s">
        <v>945</v>
      </c>
      <c r="C570" s="163" t="s">
        <v>925</v>
      </c>
      <c r="D570" s="163" t="s">
        <v>1931</v>
      </c>
      <c r="E570" s="164" t="n">
        <v>3500</v>
      </c>
      <c r="F570" s="165" t="s">
        <v>4037</v>
      </c>
    </row>
    <row r="571" customFormat="false" ht="15" hidden="false" customHeight="true" outlineLevel="0" collapsed="false">
      <c r="A571" s="163" t="s">
        <v>3017</v>
      </c>
      <c r="B571" s="163" t="s">
        <v>945</v>
      </c>
      <c r="C571" s="163" t="s">
        <v>925</v>
      </c>
      <c r="D571" s="163" t="s">
        <v>1931</v>
      </c>
      <c r="E571" s="164" t="n">
        <v>3500</v>
      </c>
      <c r="F571" s="165" t="s">
        <v>4038</v>
      </c>
    </row>
    <row r="572" customFormat="false" ht="15" hidden="false" customHeight="true" outlineLevel="0" collapsed="false">
      <c r="A572" s="163" t="s">
        <v>3017</v>
      </c>
      <c r="B572" s="163" t="s">
        <v>945</v>
      </c>
      <c r="C572" s="163" t="s">
        <v>925</v>
      </c>
      <c r="D572" s="163" t="s">
        <v>1931</v>
      </c>
      <c r="E572" s="164" t="n">
        <v>3500</v>
      </c>
      <c r="F572" s="165" t="s">
        <v>4039</v>
      </c>
    </row>
    <row r="573" customFormat="false" ht="15" hidden="false" customHeight="true" outlineLevel="0" collapsed="false">
      <c r="A573" s="163" t="s">
        <v>3017</v>
      </c>
      <c r="B573" s="163" t="s">
        <v>3111</v>
      </c>
      <c r="C573" s="163" t="s">
        <v>4040</v>
      </c>
      <c r="D573" s="163" t="s">
        <v>4041</v>
      </c>
      <c r="E573" s="164" t="n">
        <v>20000</v>
      </c>
      <c r="F573" s="165" t="s">
        <v>4042</v>
      </c>
    </row>
    <row r="574" customFormat="false" ht="15" hidden="false" customHeight="true" outlineLevel="0" collapsed="false">
      <c r="A574" s="163" t="s">
        <v>3017</v>
      </c>
      <c r="B574" s="163" t="s">
        <v>3111</v>
      </c>
      <c r="C574" s="163" t="s">
        <v>4043</v>
      </c>
      <c r="D574" s="163" t="s">
        <v>4044</v>
      </c>
      <c r="E574" s="164" t="n">
        <v>15000</v>
      </c>
      <c r="F574" s="165" t="s">
        <v>4045</v>
      </c>
    </row>
    <row r="575" customFormat="false" ht="15" hidden="false" customHeight="true" outlineLevel="0" collapsed="false">
      <c r="A575" s="163" t="s">
        <v>3017</v>
      </c>
      <c r="B575" s="163" t="s">
        <v>3111</v>
      </c>
      <c r="C575" s="163" t="s">
        <v>3112</v>
      </c>
      <c r="D575" s="163" t="s">
        <v>3113</v>
      </c>
      <c r="E575" s="164" t="n">
        <v>15000</v>
      </c>
      <c r="F575" s="165" t="s">
        <v>4046</v>
      </c>
    </row>
    <row r="576" customFormat="false" ht="15" hidden="false" customHeight="true" outlineLevel="0" collapsed="false">
      <c r="A576" s="163" t="s">
        <v>3017</v>
      </c>
      <c r="B576" s="163" t="s">
        <v>3111</v>
      </c>
      <c r="C576" s="163" t="s">
        <v>4047</v>
      </c>
      <c r="D576" s="163" t="s">
        <v>4048</v>
      </c>
      <c r="E576" s="164" t="n">
        <v>10000</v>
      </c>
      <c r="F576" s="165" t="s">
        <v>4049</v>
      </c>
    </row>
    <row r="577" customFormat="false" ht="15" hidden="false" customHeight="true" outlineLevel="0" collapsed="false">
      <c r="A577" s="163" t="s">
        <v>3017</v>
      </c>
      <c r="B577" s="163" t="s">
        <v>3111</v>
      </c>
      <c r="C577" s="163" t="s">
        <v>4050</v>
      </c>
      <c r="D577" s="163" t="s">
        <v>4051</v>
      </c>
      <c r="E577" s="164" t="n">
        <v>10000</v>
      </c>
      <c r="F577" s="165" t="s">
        <v>4052</v>
      </c>
    </row>
    <row r="578" customFormat="false" ht="15" hidden="false" customHeight="true" outlineLevel="0" collapsed="false">
      <c r="A578" s="163" t="s">
        <v>3017</v>
      </c>
      <c r="B578" s="163" t="s">
        <v>3111</v>
      </c>
      <c r="C578" s="163" t="s">
        <v>4053</v>
      </c>
      <c r="D578" s="163" t="s">
        <v>4054</v>
      </c>
      <c r="E578" s="164" t="n">
        <v>10000</v>
      </c>
      <c r="F578" s="165" t="s">
        <v>4055</v>
      </c>
    </row>
    <row r="579" customFormat="false" ht="15" hidden="false" customHeight="true" outlineLevel="0" collapsed="false">
      <c r="A579" s="163" t="s">
        <v>3017</v>
      </c>
      <c r="B579" s="163" t="s">
        <v>3111</v>
      </c>
      <c r="C579" s="163" t="s">
        <v>4056</v>
      </c>
      <c r="D579" s="163" t="s">
        <v>4057</v>
      </c>
      <c r="E579" s="164" t="n">
        <v>10000</v>
      </c>
      <c r="F579" s="165" t="s">
        <v>4058</v>
      </c>
    </row>
    <row r="580" customFormat="false" ht="15" hidden="false" customHeight="true" outlineLevel="0" collapsed="false">
      <c r="A580" s="163" t="s">
        <v>3017</v>
      </c>
      <c r="B580" s="163" t="s">
        <v>3111</v>
      </c>
      <c r="C580" s="163" t="s">
        <v>4005</v>
      </c>
      <c r="D580" s="163" t="s">
        <v>4006</v>
      </c>
      <c r="E580" s="164" t="n">
        <v>10000</v>
      </c>
      <c r="F580" s="165" t="s">
        <v>4059</v>
      </c>
    </row>
    <row r="581" customFormat="false" ht="15" hidden="false" customHeight="true" outlineLevel="0" collapsed="false">
      <c r="A581" s="163" t="s">
        <v>3017</v>
      </c>
      <c r="B581" s="163" t="s">
        <v>1938</v>
      </c>
      <c r="C581" s="163" t="s">
        <v>4060</v>
      </c>
      <c r="D581" s="163" t="s">
        <v>4061</v>
      </c>
      <c r="E581" s="164" t="n">
        <v>20000</v>
      </c>
      <c r="F581" s="165" t="s">
        <v>4062</v>
      </c>
    </row>
    <row r="582" customFormat="false" ht="15" hidden="false" customHeight="true" outlineLevel="0" collapsed="false">
      <c r="A582" s="163" t="s">
        <v>3017</v>
      </c>
      <c r="B582" s="163" t="s">
        <v>1938</v>
      </c>
      <c r="C582" s="163" t="s">
        <v>4060</v>
      </c>
      <c r="D582" s="163" t="s">
        <v>4061</v>
      </c>
      <c r="E582" s="164" t="n">
        <v>20000</v>
      </c>
      <c r="F582" s="165" t="s">
        <v>4063</v>
      </c>
    </row>
    <row r="583" customFormat="false" ht="15" hidden="false" customHeight="true" outlineLevel="0" collapsed="false">
      <c r="A583" s="163" t="s">
        <v>3017</v>
      </c>
      <c r="B583" s="163" t="s">
        <v>1938</v>
      </c>
      <c r="C583" s="163" t="s">
        <v>4060</v>
      </c>
      <c r="D583" s="163" t="s">
        <v>4061</v>
      </c>
      <c r="E583" s="164" t="n">
        <v>20000</v>
      </c>
      <c r="F583" s="165" t="s">
        <v>4064</v>
      </c>
    </row>
    <row r="584" customFormat="false" ht="15" hidden="false" customHeight="true" outlineLevel="0" collapsed="false">
      <c r="A584" s="163" t="s">
        <v>3017</v>
      </c>
      <c r="B584" s="163" t="s">
        <v>1938</v>
      </c>
      <c r="C584" s="163" t="s">
        <v>4060</v>
      </c>
      <c r="D584" s="163" t="s">
        <v>4061</v>
      </c>
      <c r="E584" s="164" t="n">
        <v>20000</v>
      </c>
      <c r="F584" s="165" t="s">
        <v>4065</v>
      </c>
    </row>
    <row r="585" customFormat="false" ht="15" hidden="false" customHeight="true" outlineLevel="0" collapsed="false">
      <c r="A585" s="163" t="s">
        <v>3017</v>
      </c>
      <c r="B585" s="163" t="s">
        <v>1938</v>
      </c>
      <c r="C585" s="163" t="s">
        <v>4060</v>
      </c>
      <c r="D585" s="163" t="s">
        <v>4061</v>
      </c>
      <c r="E585" s="164" t="n">
        <v>20000</v>
      </c>
      <c r="F585" s="165" t="s">
        <v>4066</v>
      </c>
    </row>
    <row r="586" customFormat="false" ht="15" hidden="false" customHeight="true" outlineLevel="0" collapsed="false">
      <c r="A586" s="163" t="s">
        <v>3017</v>
      </c>
      <c r="B586" s="163" t="s">
        <v>1938</v>
      </c>
      <c r="C586" s="163" t="s">
        <v>4060</v>
      </c>
      <c r="D586" s="163" t="s">
        <v>4061</v>
      </c>
      <c r="E586" s="164" t="n">
        <v>20000</v>
      </c>
      <c r="F586" s="165" t="s">
        <v>4067</v>
      </c>
    </row>
    <row r="587" customFormat="false" ht="15" hidden="false" customHeight="true" outlineLevel="0" collapsed="false">
      <c r="A587" s="163" t="s">
        <v>3017</v>
      </c>
      <c r="B587" s="163" t="s">
        <v>1938</v>
      </c>
      <c r="C587" s="163" t="s">
        <v>4060</v>
      </c>
      <c r="D587" s="163" t="s">
        <v>4061</v>
      </c>
      <c r="E587" s="164" t="n">
        <v>20000</v>
      </c>
      <c r="F587" s="165" t="s">
        <v>4068</v>
      </c>
    </row>
    <row r="588" customFormat="false" ht="15" hidden="false" customHeight="true" outlineLevel="0" collapsed="false">
      <c r="A588" s="163" t="s">
        <v>3017</v>
      </c>
      <c r="B588" s="163" t="s">
        <v>1938</v>
      </c>
      <c r="C588" s="163" t="s">
        <v>4060</v>
      </c>
      <c r="D588" s="163" t="s">
        <v>4061</v>
      </c>
      <c r="E588" s="164" t="n">
        <v>20000</v>
      </c>
      <c r="F588" s="165" t="s">
        <v>4069</v>
      </c>
    </row>
    <row r="589" customFormat="false" ht="15" hidden="false" customHeight="true" outlineLevel="0" collapsed="false">
      <c r="A589" s="163" t="s">
        <v>3017</v>
      </c>
      <c r="B589" s="163" t="s">
        <v>1938</v>
      </c>
      <c r="C589" s="163" t="s">
        <v>4070</v>
      </c>
      <c r="D589" s="163" t="s">
        <v>4071</v>
      </c>
      <c r="E589" s="164" t="n">
        <v>20000</v>
      </c>
      <c r="F589" s="165" t="s">
        <v>4072</v>
      </c>
    </row>
    <row r="590" customFormat="false" ht="15" hidden="false" customHeight="true" outlineLevel="0" collapsed="false">
      <c r="A590" s="163" t="s">
        <v>3017</v>
      </c>
      <c r="B590" s="163" t="s">
        <v>1938</v>
      </c>
      <c r="C590" s="163" t="s">
        <v>4073</v>
      </c>
      <c r="D590" s="163" t="s">
        <v>4074</v>
      </c>
      <c r="E590" s="164" t="n">
        <v>20000</v>
      </c>
      <c r="F590" s="165" t="s">
        <v>4075</v>
      </c>
    </row>
    <row r="591" customFormat="false" ht="15" hidden="false" customHeight="true" outlineLevel="0" collapsed="false">
      <c r="A591" s="163" t="s">
        <v>3017</v>
      </c>
      <c r="B591" s="163" t="s">
        <v>1938</v>
      </c>
      <c r="C591" s="163" t="s">
        <v>4076</v>
      </c>
      <c r="D591" s="163" t="s">
        <v>4077</v>
      </c>
      <c r="E591" s="164" t="n">
        <v>20000</v>
      </c>
      <c r="F591" s="165" t="s">
        <v>4078</v>
      </c>
    </row>
    <row r="592" customFormat="false" ht="15" hidden="false" customHeight="true" outlineLevel="0" collapsed="false">
      <c r="A592" s="163" t="s">
        <v>3017</v>
      </c>
      <c r="B592" s="163" t="s">
        <v>1938</v>
      </c>
      <c r="C592" s="163" t="s">
        <v>4076</v>
      </c>
      <c r="D592" s="163" t="s">
        <v>4077</v>
      </c>
      <c r="E592" s="164" t="n">
        <v>20000</v>
      </c>
      <c r="F592" s="165" t="s">
        <v>4079</v>
      </c>
    </row>
    <row r="593" customFormat="false" ht="15" hidden="false" customHeight="true" outlineLevel="0" collapsed="false">
      <c r="A593" s="163" t="s">
        <v>3017</v>
      </c>
      <c r="B593" s="163" t="s">
        <v>1938</v>
      </c>
      <c r="C593" s="163" t="s">
        <v>4076</v>
      </c>
      <c r="D593" s="163" t="s">
        <v>4077</v>
      </c>
      <c r="E593" s="164" t="n">
        <v>20000</v>
      </c>
      <c r="F593" s="165" t="s">
        <v>4080</v>
      </c>
    </row>
    <row r="594" customFormat="false" ht="15" hidden="false" customHeight="true" outlineLevel="0" collapsed="false">
      <c r="A594" s="163" t="s">
        <v>3017</v>
      </c>
      <c r="B594" s="163" t="s">
        <v>1938</v>
      </c>
      <c r="C594" s="163" t="s">
        <v>4081</v>
      </c>
      <c r="D594" s="163" t="s">
        <v>4082</v>
      </c>
      <c r="E594" s="164" t="n">
        <v>20000</v>
      </c>
      <c r="F594" s="165" t="s">
        <v>4083</v>
      </c>
    </row>
    <row r="595" customFormat="false" ht="15" hidden="false" customHeight="true" outlineLevel="0" collapsed="false">
      <c r="A595" s="163" t="s">
        <v>3017</v>
      </c>
      <c r="B595" s="163" t="s">
        <v>1938</v>
      </c>
      <c r="C595" s="163" t="s">
        <v>4084</v>
      </c>
      <c r="D595" s="163" t="s">
        <v>4085</v>
      </c>
      <c r="E595" s="164" t="n">
        <v>20000</v>
      </c>
      <c r="F595" s="165" t="s">
        <v>4086</v>
      </c>
    </row>
    <row r="596" customFormat="false" ht="15" hidden="false" customHeight="true" outlineLevel="0" collapsed="false">
      <c r="A596" s="163" t="s">
        <v>3017</v>
      </c>
      <c r="B596" s="163" t="s">
        <v>1938</v>
      </c>
      <c r="C596" s="163" t="s">
        <v>4087</v>
      </c>
      <c r="D596" s="163" t="s">
        <v>4088</v>
      </c>
      <c r="E596" s="164" t="n">
        <v>20000</v>
      </c>
      <c r="F596" s="165" t="s">
        <v>4089</v>
      </c>
    </row>
    <row r="597" customFormat="false" ht="15" hidden="false" customHeight="true" outlineLevel="0" collapsed="false">
      <c r="A597" s="163" t="s">
        <v>3017</v>
      </c>
      <c r="B597" s="163" t="s">
        <v>1938</v>
      </c>
      <c r="C597" s="163" t="s">
        <v>4090</v>
      </c>
      <c r="D597" s="163" t="s">
        <v>4091</v>
      </c>
      <c r="E597" s="164" t="n">
        <v>20000</v>
      </c>
      <c r="F597" s="165" t="s">
        <v>4092</v>
      </c>
    </row>
    <row r="598" customFormat="false" ht="15" hidden="false" customHeight="true" outlineLevel="0" collapsed="false">
      <c r="A598" s="163" t="s">
        <v>3017</v>
      </c>
      <c r="B598" s="163" t="s">
        <v>691</v>
      </c>
      <c r="C598" s="163" t="s">
        <v>4060</v>
      </c>
      <c r="D598" s="163" t="s">
        <v>4061</v>
      </c>
      <c r="E598" s="164" t="n">
        <v>65000</v>
      </c>
      <c r="F598" s="165" t="s">
        <v>4093</v>
      </c>
    </row>
    <row r="599" customFormat="false" ht="15" hidden="false" customHeight="true" outlineLevel="0" collapsed="false">
      <c r="A599" s="163" t="s">
        <v>3017</v>
      </c>
      <c r="B599" s="163" t="s">
        <v>691</v>
      </c>
      <c r="C599" s="163" t="s">
        <v>4094</v>
      </c>
      <c r="D599" s="163" t="s">
        <v>4095</v>
      </c>
      <c r="E599" s="164" t="n">
        <v>25000</v>
      </c>
      <c r="F599" s="165" t="s">
        <v>4096</v>
      </c>
    </row>
    <row r="600" customFormat="false" ht="15" hidden="false" customHeight="true" outlineLevel="0" collapsed="false">
      <c r="A600" s="163" t="s">
        <v>3017</v>
      </c>
      <c r="B600" s="163" t="s">
        <v>691</v>
      </c>
      <c r="C600" s="163" t="s">
        <v>4097</v>
      </c>
      <c r="D600" s="163" t="s">
        <v>4098</v>
      </c>
      <c r="E600" s="164" t="n">
        <v>20000</v>
      </c>
      <c r="F600" s="165" t="s">
        <v>4099</v>
      </c>
    </row>
    <row r="601" customFormat="false" ht="15" hidden="false" customHeight="true" outlineLevel="0" collapsed="false">
      <c r="A601" s="163" t="s">
        <v>3017</v>
      </c>
      <c r="B601" s="163" t="s">
        <v>691</v>
      </c>
      <c r="C601" s="163" t="s">
        <v>4100</v>
      </c>
      <c r="D601" s="163" t="s">
        <v>4101</v>
      </c>
      <c r="E601" s="164" t="n">
        <v>12500</v>
      </c>
      <c r="F601" s="165" t="s">
        <v>4102</v>
      </c>
    </row>
    <row r="602" customFormat="false" ht="15" hidden="false" customHeight="true" outlineLevel="0" collapsed="false">
      <c r="A602" s="163" t="s">
        <v>3017</v>
      </c>
      <c r="B602" s="163" t="s">
        <v>691</v>
      </c>
      <c r="C602" s="163" t="s">
        <v>4103</v>
      </c>
      <c r="D602" s="163" t="s">
        <v>4104</v>
      </c>
      <c r="E602" s="164" t="n">
        <v>12500</v>
      </c>
      <c r="F602" s="165" t="s">
        <v>4105</v>
      </c>
    </row>
    <row r="603" customFormat="false" ht="15" hidden="false" customHeight="true" outlineLevel="0" collapsed="false">
      <c r="A603" s="163" t="s">
        <v>3017</v>
      </c>
      <c r="B603" s="163" t="s">
        <v>691</v>
      </c>
      <c r="C603" s="163" t="s">
        <v>4020</v>
      </c>
      <c r="D603" s="163" t="s">
        <v>4021</v>
      </c>
      <c r="E603" s="164" t="n">
        <v>10000</v>
      </c>
      <c r="F603" s="165" t="s">
        <v>4106</v>
      </c>
    </row>
    <row r="604" customFormat="false" ht="15" hidden="false" customHeight="true" outlineLevel="0" collapsed="false">
      <c r="A604" s="163" t="s">
        <v>3017</v>
      </c>
      <c r="B604" s="163" t="s">
        <v>2027</v>
      </c>
      <c r="C604" s="163" t="s">
        <v>4107</v>
      </c>
      <c r="D604" s="163" t="s">
        <v>4108</v>
      </c>
      <c r="E604" s="164" t="n">
        <v>30000</v>
      </c>
      <c r="F604" s="165" t="s">
        <v>4109</v>
      </c>
    </row>
    <row r="605" customFormat="false" ht="15" hidden="false" customHeight="true" outlineLevel="0" collapsed="false">
      <c r="A605" s="163" t="s">
        <v>3017</v>
      </c>
      <c r="B605" s="163" t="s">
        <v>2027</v>
      </c>
      <c r="C605" s="163" t="s">
        <v>3324</v>
      </c>
      <c r="D605" s="163" t="s">
        <v>3325</v>
      </c>
      <c r="E605" s="164" t="n">
        <v>20000</v>
      </c>
      <c r="F605" s="165" t="s">
        <v>4110</v>
      </c>
    </row>
    <row r="606" customFormat="false" ht="15" hidden="false" customHeight="true" outlineLevel="0" collapsed="false">
      <c r="A606" s="163" t="s">
        <v>3017</v>
      </c>
      <c r="B606" s="163" t="s">
        <v>2027</v>
      </c>
      <c r="C606" s="163" t="s">
        <v>3135</v>
      </c>
      <c r="D606" s="163" t="s">
        <v>3136</v>
      </c>
      <c r="E606" s="164" t="n">
        <v>20000</v>
      </c>
      <c r="F606" s="165" t="s">
        <v>4111</v>
      </c>
    </row>
    <row r="607" customFormat="false" ht="15" hidden="false" customHeight="true" outlineLevel="0" collapsed="false">
      <c r="A607" s="163" t="s">
        <v>3017</v>
      </c>
      <c r="B607" s="163" t="s">
        <v>2027</v>
      </c>
      <c r="C607" s="163" t="s">
        <v>4112</v>
      </c>
      <c r="D607" s="163" t="s">
        <v>4113</v>
      </c>
      <c r="E607" s="164" t="n">
        <v>20000</v>
      </c>
      <c r="F607" s="165" t="s">
        <v>4114</v>
      </c>
    </row>
    <row r="608" customFormat="false" ht="15" hidden="false" customHeight="true" outlineLevel="0" collapsed="false">
      <c r="A608" s="163" t="s">
        <v>3017</v>
      </c>
      <c r="B608" s="163" t="s">
        <v>2037</v>
      </c>
      <c r="C608" s="163" t="s">
        <v>4115</v>
      </c>
      <c r="D608" s="163" t="s">
        <v>4116</v>
      </c>
      <c r="E608" s="164" t="n">
        <v>40000</v>
      </c>
      <c r="F608" s="165" t="s">
        <v>4117</v>
      </c>
    </row>
    <row r="609" customFormat="false" ht="15" hidden="false" customHeight="true" outlineLevel="0" collapsed="false">
      <c r="A609" s="163" t="s">
        <v>3017</v>
      </c>
      <c r="B609" s="163" t="s">
        <v>2037</v>
      </c>
      <c r="C609" s="163" t="s">
        <v>4060</v>
      </c>
      <c r="D609" s="163" t="s">
        <v>4061</v>
      </c>
      <c r="E609" s="164" t="n">
        <v>30000</v>
      </c>
      <c r="F609" s="165" t="s">
        <v>4118</v>
      </c>
    </row>
    <row r="610" customFormat="false" ht="15" hidden="false" customHeight="true" outlineLevel="0" collapsed="false">
      <c r="A610" s="163" t="s">
        <v>3017</v>
      </c>
      <c r="B610" s="163" t="s">
        <v>2037</v>
      </c>
      <c r="C610" s="163" t="s">
        <v>4119</v>
      </c>
      <c r="D610" s="163" t="s">
        <v>4120</v>
      </c>
      <c r="E610" s="164" t="n">
        <v>20000</v>
      </c>
      <c r="F610" s="165" t="s">
        <v>4118</v>
      </c>
    </row>
    <row r="611" customFormat="false" ht="15" hidden="false" customHeight="true" outlineLevel="0" collapsed="false">
      <c r="A611" s="163" t="s">
        <v>3017</v>
      </c>
      <c r="B611" s="163" t="s">
        <v>2037</v>
      </c>
      <c r="C611" s="163" t="s">
        <v>4121</v>
      </c>
      <c r="D611" s="163" t="s">
        <v>4122</v>
      </c>
      <c r="E611" s="164" t="n">
        <v>20000</v>
      </c>
      <c r="F611" s="165" t="s">
        <v>4123</v>
      </c>
    </row>
    <row r="612" customFormat="false" ht="15" hidden="false" customHeight="true" outlineLevel="0" collapsed="false">
      <c r="A612" s="163" t="s">
        <v>3017</v>
      </c>
      <c r="B612" s="163" t="s">
        <v>2037</v>
      </c>
      <c r="C612" s="163" t="s">
        <v>4043</v>
      </c>
      <c r="D612" s="163" t="s">
        <v>4044</v>
      </c>
      <c r="E612" s="164" t="n">
        <v>20000</v>
      </c>
      <c r="F612" s="165" t="s">
        <v>4124</v>
      </c>
    </row>
    <row r="613" customFormat="false" ht="15" hidden="false" customHeight="true" outlineLevel="0" collapsed="false">
      <c r="A613" s="163" t="s">
        <v>3017</v>
      </c>
      <c r="B613" s="163" t="s">
        <v>2037</v>
      </c>
      <c r="C613" s="163" t="s">
        <v>4125</v>
      </c>
      <c r="D613" s="163" t="s">
        <v>4126</v>
      </c>
      <c r="E613" s="164" t="n">
        <v>20000</v>
      </c>
      <c r="F613" s="165" t="s">
        <v>4127</v>
      </c>
    </row>
    <row r="614" customFormat="false" ht="15" hidden="false" customHeight="true" outlineLevel="0" collapsed="false">
      <c r="A614" s="163" t="s">
        <v>3017</v>
      </c>
      <c r="B614" s="163" t="s">
        <v>2037</v>
      </c>
      <c r="C614" s="163" t="s">
        <v>240</v>
      </c>
      <c r="D614" s="163" t="s">
        <v>2418</v>
      </c>
      <c r="E614" s="164" t="n">
        <v>10000</v>
      </c>
      <c r="F614" s="165" t="s">
        <v>4128</v>
      </c>
    </row>
    <row r="615" customFormat="false" ht="15" hidden="false" customHeight="true" outlineLevel="0" collapsed="false">
      <c r="A615" s="163" t="s">
        <v>3017</v>
      </c>
      <c r="B615" s="163" t="s">
        <v>2037</v>
      </c>
      <c r="C615" s="163" t="s">
        <v>4129</v>
      </c>
      <c r="D615" s="163" t="s">
        <v>4130</v>
      </c>
      <c r="E615" s="164" t="n">
        <v>10000</v>
      </c>
      <c r="F615" s="165" t="s">
        <v>4131</v>
      </c>
    </row>
    <row r="616" customFormat="false" ht="15" hidden="false" customHeight="true" outlineLevel="0" collapsed="false">
      <c r="A616" s="163" t="s">
        <v>3017</v>
      </c>
      <c r="B616" s="163" t="s">
        <v>2037</v>
      </c>
      <c r="C616" s="163" t="s">
        <v>4029</v>
      </c>
      <c r="D616" s="163" t="s">
        <v>4030</v>
      </c>
      <c r="E616" s="164" t="n">
        <v>10000</v>
      </c>
      <c r="F616" s="165" t="s">
        <v>4132</v>
      </c>
    </row>
    <row r="617" customFormat="false" ht="15" hidden="false" customHeight="true" outlineLevel="0" collapsed="false">
      <c r="A617" s="163" t="s">
        <v>3017</v>
      </c>
      <c r="B617" s="163" t="s">
        <v>2037</v>
      </c>
      <c r="C617" s="163" t="s">
        <v>4133</v>
      </c>
      <c r="D617" s="163" t="s">
        <v>4134</v>
      </c>
      <c r="E617" s="164" t="n">
        <v>10000</v>
      </c>
      <c r="F617" s="165" t="s">
        <v>4135</v>
      </c>
    </row>
    <row r="618" customFormat="false" ht="15" hidden="false" customHeight="true" outlineLevel="0" collapsed="false">
      <c r="A618" s="163" t="s">
        <v>3017</v>
      </c>
      <c r="B618" s="163" t="s">
        <v>2037</v>
      </c>
      <c r="C618" s="163" t="s">
        <v>4014</v>
      </c>
      <c r="D618" s="163" t="s">
        <v>4015</v>
      </c>
      <c r="E618" s="164" t="n">
        <v>10000</v>
      </c>
      <c r="F618" s="165" t="s">
        <v>4136</v>
      </c>
    </row>
    <row r="619" customFormat="false" ht="15" hidden="false" customHeight="true" outlineLevel="0" collapsed="false">
      <c r="A619" s="163" t="s">
        <v>3017</v>
      </c>
      <c r="B619" s="163" t="s">
        <v>2037</v>
      </c>
      <c r="C619" s="163" t="s">
        <v>4137</v>
      </c>
      <c r="D619" s="163" t="s">
        <v>4138</v>
      </c>
      <c r="E619" s="164" t="n">
        <v>10000</v>
      </c>
      <c r="F619" s="165" t="s">
        <v>4139</v>
      </c>
    </row>
    <row r="620" customFormat="false" ht="15" hidden="false" customHeight="true" outlineLevel="0" collapsed="false">
      <c r="A620" s="163" t="s">
        <v>3017</v>
      </c>
      <c r="B620" s="163" t="s">
        <v>2037</v>
      </c>
      <c r="C620" s="163" t="s">
        <v>4140</v>
      </c>
      <c r="D620" s="163" t="s">
        <v>4141</v>
      </c>
      <c r="E620" s="164" t="n">
        <v>10000</v>
      </c>
      <c r="F620" s="165" t="s">
        <v>4142</v>
      </c>
    </row>
    <row r="621" customFormat="false" ht="15" hidden="false" customHeight="true" outlineLevel="0" collapsed="false">
      <c r="A621" s="163" t="s">
        <v>3017</v>
      </c>
      <c r="B621" s="163" t="s">
        <v>2037</v>
      </c>
      <c r="C621" s="163" t="s">
        <v>4143</v>
      </c>
      <c r="D621" s="163" t="s">
        <v>4144</v>
      </c>
      <c r="E621" s="164" t="n">
        <v>5000</v>
      </c>
      <c r="F621" s="165" t="s">
        <v>4132</v>
      </c>
    </row>
    <row r="622" customFormat="false" ht="15" hidden="false" customHeight="true" outlineLevel="0" collapsed="false">
      <c r="A622" s="163" t="s">
        <v>3017</v>
      </c>
      <c r="B622" s="163" t="s">
        <v>894</v>
      </c>
      <c r="C622" s="163" t="s">
        <v>4145</v>
      </c>
      <c r="D622" s="163" t="s">
        <v>4146</v>
      </c>
      <c r="E622" s="164" t="n">
        <v>30000</v>
      </c>
      <c r="F622" s="165" t="s">
        <v>4147</v>
      </c>
    </row>
    <row r="623" customFormat="false" ht="15" hidden="false" customHeight="true" outlineLevel="0" collapsed="false">
      <c r="A623" s="163" t="s">
        <v>3017</v>
      </c>
      <c r="B623" s="163" t="s">
        <v>894</v>
      </c>
      <c r="C623" s="163" t="s">
        <v>4005</v>
      </c>
      <c r="D623" s="163" t="s">
        <v>4006</v>
      </c>
      <c r="E623" s="164" t="n">
        <v>28000</v>
      </c>
      <c r="F623" s="165" t="s">
        <v>4148</v>
      </c>
    </row>
    <row r="624" customFormat="false" ht="15" hidden="false" customHeight="true" outlineLevel="0" collapsed="false">
      <c r="A624" s="163" t="s">
        <v>3017</v>
      </c>
      <c r="B624" s="163" t="s">
        <v>894</v>
      </c>
      <c r="C624" s="163" t="s">
        <v>4020</v>
      </c>
      <c r="D624" s="163" t="s">
        <v>4021</v>
      </c>
      <c r="E624" s="164" t="n">
        <v>20500</v>
      </c>
      <c r="F624" s="165" t="s">
        <v>4149</v>
      </c>
    </row>
    <row r="625" customFormat="false" ht="15" hidden="false" customHeight="true" outlineLevel="0" collapsed="false">
      <c r="A625" s="163" t="s">
        <v>3017</v>
      </c>
      <c r="B625" s="163" t="s">
        <v>894</v>
      </c>
      <c r="C625" s="163" t="s">
        <v>4150</v>
      </c>
      <c r="D625" s="163" t="s">
        <v>4151</v>
      </c>
      <c r="E625" s="164" t="n">
        <v>20000</v>
      </c>
      <c r="F625" s="165" t="s">
        <v>4152</v>
      </c>
    </row>
    <row r="626" customFormat="false" ht="15" hidden="false" customHeight="true" outlineLevel="0" collapsed="false">
      <c r="A626" s="163" t="s">
        <v>3017</v>
      </c>
      <c r="B626" s="163" t="s">
        <v>894</v>
      </c>
      <c r="C626" s="163" t="s">
        <v>4153</v>
      </c>
      <c r="D626" s="163" t="s">
        <v>4154</v>
      </c>
      <c r="E626" s="164" t="n">
        <v>20000</v>
      </c>
      <c r="F626" s="165" t="s">
        <v>4155</v>
      </c>
    </row>
    <row r="627" customFormat="false" ht="15" hidden="false" customHeight="true" outlineLevel="0" collapsed="false">
      <c r="A627" s="163" t="s">
        <v>3017</v>
      </c>
      <c r="B627" s="163" t="s">
        <v>894</v>
      </c>
      <c r="C627" s="163" t="s">
        <v>4156</v>
      </c>
      <c r="D627" s="163" t="s">
        <v>4157</v>
      </c>
      <c r="E627" s="164" t="n">
        <v>16000</v>
      </c>
      <c r="F627" s="165" t="s">
        <v>4158</v>
      </c>
    </row>
    <row r="628" customFormat="false" ht="15" hidden="false" customHeight="true" outlineLevel="0" collapsed="false">
      <c r="A628" s="163" t="s">
        <v>3017</v>
      </c>
      <c r="B628" s="163" t="s">
        <v>894</v>
      </c>
      <c r="C628" s="163" t="s">
        <v>3980</v>
      </c>
      <c r="D628" s="163" t="s">
        <v>3981</v>
      </c>
      <c r="E628" s="164" t="n">
        <v>10000</v>
      </c>
      <c r="F628" s="165" t="s">
        <v>4159</v>
      </c>
    </row>
    <row r="629" customFormat="false" ht="15" hidden="false" customHeight="true" outlineLevel="0" collapsed="false">
      <c r="A629" s="163" t="s">
        <v>3017</v>
      </c>
      <c r="B629" s="163" t="s">
        <v>894</v>
      </c>
      <c r="C629" s="163" t="s">
        <v>4160</v>
      </c>
      <c r="D629" s="163" t="s">
        <v>4161</v>
      </c>
      <c r="E629" s="164" t="n">
        <v>10000</v>
      </c>
      <c r="F629" s="165" t="s">
        <v>4162</v>
      </c>
    </row>
    <row r="630" customFormat="false" ht="15" hidden="false" customHeight="true" outlineLevel="0" collapsed="false">
      <c r="A630" s="163" t="s">
        <v>3017</v>
      </c>
      <c r="B630" s="163" t="s">
        <v>894</v>
      </c>
      <c r="C630" s="163" t="s">
        <v>4163</v>
      </c>
      <c r="D630" s="163" t="s">
        <v>4164</v>
      </c>
      <c r="E630" s="164" t="n">
        <v>10000</v>
      </c>
      <c r="F630" s="165" t="s">
        <v>4165</v>
      </c>
    </row>
    <row r="631" customFormat="false" ht="15" hidden="false" customHeight="true" outlineLevel="0" collapsed="false">
      <c r="A631" s="163" t="s">
        <v>3017</v>
      </c>
      <c r="B631" s="163" t="s">
        <v>894</v>
      </c>
      <c r="C631" s="163" t="s">
        <v>4166</v>
      </c>
      <c r="D631" s="163" t="s">
        <v>4167</v>
      </c>
      <c r="E631" s="164" t="n">
        <v>10000</v>
      </c>
      <c r="F631" s="165" t="s">
        <v>4168</v>
      </c>
    </row>
    <row r="632" customFormat="false" ht="15" hidden="false" customHeight="true" outlineLevel="0" collapsed="false">
      <c r="A632" s="163" t="s">
        <v>3017</v>
      </c>
      <c r="B632" s="163" t="s">
        <v>894</v>
      </c>
      <c r="C632" s="163" t="s">
        <v>4169</v>
      </c>
      <c r="D632" s="163" t="s">
        <v>4170</v>
      </c>
      <c r="E632" s="164" t="n">
        <v>10000</v>
      </c>
      <c r="F632" s="165" t="s">
        <v>4171</v>
      </c>
    </row>
    <row r="633" customFormat="false" ht="15" hidden="false" customHeight="true" outlineLevel="0" collapsed="false">
      <c r="A633" s="163" t="s">
        <v>3017</v>
      </c>
      <c r="B633" s="163" t="s">
        <v>894</v>
      </c>
      <c r="C633" s="163" t="s">
        <v>3771</v>
      </c>
      <c r="D633" s="163" t="s">
        <v>3772</v>
      </c>
      <c r="E633" s="164" t="n">
        <v>10000</v>
      </c>
      <c r="F633" s="165" t="s">
        <v>4172</v>
      </c>
    </row>
    <row r="634" customFormat="false" ht="15" hidden="false" customHeight="true" outlineLevel="0" collapsed="false">
      <c r="A634" s="163" t="s">
        <v>3017</v>
      </c>
      <c r="B634" s="163" t="s">
        <v>894</v>
      </c>
      <c r="C634" s="163" t="s">
        <v>4173</v>
      </c>
      <c r="D634" s="163" t="s">
        <v>4174</v>
      </c>
      <c r="E634" s="164" t="n">
        <v>10000</v>
      </c>
      <c r="F634" s="165" t="s">
        <v>4175</v>
      </c>
    </row>
    <row r="635" customFormat="false" ht="15" hidden="false" customHeight="true" outlineLevel="0" collapsed="false">
      <c r="A635" s="163" t="s">
        <v>3017</v>
      </c>
      <c r="B635" s="163" t="s">
        <v>894</v>
      </c>
      <c r="C635" s="163" t="s">
        <v>4133</v>
      </c>
      <c r="D635" s="163" t="s">
        <v>4134</v>
      </c>
      <c r="E635" s="164" t="n">
        <v>10000</v>
      </c>
      <c r="F635" s="165" t="s">
        <v>4176</v>
      </c>
    </row>
    <row r="636" customFormat="false" ht="15" hidden="false" customHeight="true" outlineLevel="0" collapsed="false">
      <c r="A636" s="163" t="s">
        <v>3017</v>
      </c>
      <c r="B636" s="163" t="s">
        <v>894</v>
      </c>
      <c r="C636" s="163" t="s">
        <v>1233</v>
      </c>
      <c r="D636" s="163" t="s">
        <v>2151</v>
      </c>
      <c r="E636" s="164" t="n">
        <v>10000</v>
      </c>
      <c r="F636" s="165" t="s">
        <v>4177</v>
      </c>
    </row>
    <row r="637" customFormat="false" ht="15" hidden="false" customHeight="true" outlineLevel="0" collapsed="false">
      <c r="A637" s="163" t="s">
        <v>3017</v>
      </c>
      <c r="B637" s="163" t="s">
        <v>894</v>
      </c>
      <c r="C637" s="163" t="s">
        <v>893</v>
      </c>
      <c r="D637" s="163" t="s">
        <v>1931</v>
      </c>
      <c r="E637" s="164" t="n">
        <v>9000</v>
      </c>
      <c r="F637" s="165" t="s">
        <v>4178</v>
      </c>
    </row>
    <row r="638" customFormat="false" ht="15" hidden="false" customHeight="true" outlineLevel="0" collapsed="false">
      <c r="A638" s="163" t="s">
        <v>3017</v>
      </c>
      <c r="B638" s="163" t="s">
        <v>894</v>
      </c>
      <c r="C638" s="163" t="s">
        <v>4020</v>
      </c>
      <c r="D638" s="163" t="s">
        <v>4021</v>
      </c>
      <c r="E638" s="164" t="n">
        <v>8000</v>
      </c>
      <c r="F638" s="165" t="s">
        <v>4179</v>
      </c>
    </row>
    <row r="639" customFormat="false" ht="15" hidden="false" customHeight="true" outlineLevel="0" collapsed="false">
      <c r="A639" s="163" t="s">
        <v>3017</v>
      </c>
      <c r="B639" s="163" t="s">
        <v>894</v>
      </c>
      <c r="C639" s="163" t="s">
        <v>4180</v>
      </c>
      <c r="D639" s="163" t="s">
        <v>4181</v>
      </c>
      <c r="E639" s="164" t="n">
        <v>6000</v>
      </c>
      <c r="F639" s="165" t="s">
        <v>4182</v>
      </c>
    </row>
    <row r="640" customFormat="false" ht="15" hidden="false" customHeight="true" outlineLevel="0" collapsed="false">
      <c r="A640" s="163" t="s">
        <v>3017</v>
      </c>
      <c r="B640" s="163" t="s">
        <v>894</v>
      </c>
      <c r="C640" s="163" t="s">
        <v>3357</v>
      </c>
      <c r="D640" s="163" t="s">
        <v>3358</v>
      </c>
      <c r="E640" s="164" t="n">
        <v>5000</v>
      </c>
      <c r="F640" s="165" t="s">
        <v>4183</v>
      </c>
    </row>
    <row r="641" customFormat="false" ht="15" hidden="false" customHeight="true" outlineLevel="0" collapsed="false">
      <c r="A641" s="163" t="s">
        <v>3017</v>
      </c>
      <c r="B641" s="163" t="s">
        <v>894</v>
      </c>
      <c r="C641" s="163" t="s">
        <v>4184</v>
      </c>
      <c r="D641" s="163" t="s">
        <v>4185</v>
      </c>
      <c r="E641" s="164" t="n">
        <v>5000</v>
      </c>
      <c r="F641" s="165" t="s">
        <v>4186</v>
      </c>
    </row>
    <row r="642" customFormat="false" ht="15" hidden="false" customHeight="true" outlineLevel="0" collapsed="false">
      <c r="A642" s="163" t="s">
        <v>3017</v>
      </c>
      <c r="B642" s="163" t="s">
        <v>894</v>
      </c>
      <c r="C642" s="163" t="s">
        <v>4187</v>
      </c>
      <c r="D642" s="163" t="s">
        <v>4188</v>
      </c>
      <c r="E642" s="164" t="n">
        <v>5000</v>
      </c>
      <c r="F642" s="165" t="s">
        <v>4189</v>
      </c>
    </row>
    <row r="643" customFormat="false" ht="15" hidden="false" customHeight="true" outlineLevel="0" collapsed="false">
      <c r="A643" s="163" t="s">
        <v>3017</v>
      </c>
      <c r="B643" s="163" t="s">
        <v>894</v>
      </c>
      <c r="C643" s="163" t="s">
        <v>4053</v>
      </c>
      <c r="D643" s="163" t="s">
        <v>4054</v>
      </c>
      <c r="E643" s="164" t="n">
        <v>5000</v>
      </c>
      <c r="F643" s="165" t="s">
        <v>4190</v>
      </c>
    </row>
    <row r="644" customFormat="false" ht="15" hidden="false" customHeight="true" outlineLevel="0" collapsed="false">
      <c r="A644" s="163" t="s">
        <v>3017</v>
      </c>
      <c r="B644" s="163" t="s">
        <v>894</v>
      </c>
      <c r="C644" s="163" t="s">
        <v>4191</v>
      </c>
      <c r="D644" s="163" t="s">
        <v>4192</v>
      </c>
      <c r="E644" s="164" t="n">
        <v>5000</v>
      </c>
      <c r="F644" s="165" t="s">
        <v>4147</v>
      </c>
    </row>
    <row r="645" customFormat="false" ht="15" hidden="false" customHeight="true" outlineLevel="0" collapsed="false">
      <c r="A645" s="163" t="s">
        <v>3017</v>
      </c>
      <c r="B645" s="163" t="s">
        <v>894</v>
      </c>
      <c r="C645" s="163" t="s">
        <v>3783</v>
      </c>
      <c r="D645" s="163" t="s">
        <v>3784</v>
      </c>
      <c r="E645" s="164" t="n">
        <v>5000</v>
      </c>
      <c r="F645" s="165" t="s">
        <v>4147</v>
      </c>
    </row>
    <row r="646" customFormat="false" ht="15" hidden="false" customHeight="true" outlineLevel="0" collapsed="false">
      <c r="A646" s="163" t="s">
        <v>3017</v>
      </c>
      <c r="B646" s="163" t="s">
        <v>894</v>
      </c>
      <c r="C646" s="163" t="s">
        <v>4193</v>
      </c>
      <c r="D646" s="163" t="s">
        <v>4194</v>
      </c>
      <c r="E646" s="164" t="n">
        <v>5000</v>
      </c>
      <c r="F646" s="165" t="s">
        <v>4195</v>
      </c>
    </row>
    <row r="647" customFormat="false" ht="15" hidden="false" customHeight="true" outlineLevel="0" collapsed="false">
      <c r="A647" s="163" t="s">
        <v>3017</v>
      </c>
      <c r="B647" s="163" t="s">
        <v>894</v>
      </c>
      <c r="C647" s="163" t="s">
        <v>4196</v>
      </c>
      <c r="D647" s="163" t="s">
        <v>4197</v>
      </c>
      <c r="E647" s="164" t="n">
        <v>5000</v>
      </c>
      <c r="F647" s="165" t="s">
        <v>4198</v>
      </c>
    </row>
    <row r="648" customFormat="false" ht="15" hidden="false" customHeight="true" outlineLevel="0" collapsed="false">
      <c r="A648" s="163" t="s">
        <v>3017</v>
      </c>
      <c r="B648" s="163" t="s">
        <v>894</v>
      </c>
      <c r="C648" s="163" t="s">
        <v>4199</v>
      </c>
      <c r="D648" s="163" t="s">
        <v>4200</v>
      </c>
      <c r="E648" s="164" t="n">
        <v>5000</v>
      </c>
      <c r="F648" s="165" t="s">
        <v>4147</v>
      </c>
    </row>
    <row r="649" customFormat="false" ht="15" hidden="false" customHeight="true" outlineLevel="0" collapsed="false">
      <c r="A649" s="163" t="s">
        <v>3017</v>
      </c>
      <c r="B649" s="163" t="s">
        <v>894</v>
      </c>
      <c r="C649" s="163" t="s">
        <v>4140</v>
      </c>
      <c r="D649" s="163" t="s">
        <v>4141</v>
      </c>
      <c r="E649" s="164" t="n">
        <v>5000</v>
      </c>
      <c r="F649" s="165" t="s">
        <v>4201</v>
      </c>
    </row>
    <row r="650" customFormat="false" ht="15" hidden="false" customHeight="true" outlineLevel="0" collapsed="false">
      <c r="A650" s="163" t="s">
        <v>3017</v>
      </c>
      <c r="B650" s="163" t="s">
        <v>894</v>
      </c>
      <c r="C650" s="163" t="s">
        <v>4202</v>
      </c>
      <c r="D650" s="163" t="s">
        <v>4203</v>
      </c>
      <c r="E650" s="164" t="n">
        <v>5000</v>
      </c>
      <c r="F650" s="165" t="s">
        <v>4204</v>
      </c>
    </row>
    <row r="651" customFormat="false" ht="15" hidden="false" customHeight="true" outlineLevel="0" collapsed="false">
      <c r="A651" s="163" t="s">
        <v>3017</v>
      </c>
      <c r="B651" s="163" t="s">
        <v>894</v>
      </c>
      <c r="C651" s="163" t="s">
        <v>4156</v>
      </c>
      <c r="D651" s="163" t="s">
        <v>4157</v>
      </c>
      <c r="E651" s="164" t="n">
        <v>5000</v>
      </c>
      <c r="F651" s="165" t="s">
        <v>4205</v>
      </c>
    </row>
    <row r="652" customFormat="false" ht="15" hidden="false" customHeight="true" outlineLevel="0" collapsed="false">
      <c r="A652" s="163" t="s">
        <v>3017</v>
      </c>
      <c r="B652" s="163" t="s">
        <v>894</v>
      </c>
      <c r="C652" s="163" t="s">
        <v>4206</v>
      </c>
      <c r="D652" s="163" t="s">
        <v>4207</v>
      </c>
      <c r="E652" s="164" t="n">
        <v>5000</v>
      </c>
      <c r="F652" s="165" t="s">
        <v>4208</v>
      </c>
    </row>
    <row r="653" customFormat="false" ht="15" hidden="false" customHeight="true" outlineLevel="0" collapsed="false">
      <c r="A653" s="163" t="s">
        <v>3017</v>
      </c>
      <c r="B653" s="163" t="s">
        <v>894</v>
      </c>
      <c r="C653" s="163" t="s">
        <v>273</v>
      </c>
      <c r="D653" s="163" t="s">
        <v>1891</v>
      </c>
      <c r="E653" s="164" t="n">
        <v>5000</v>
      </c>
      <c r="F653" s="165" t="s">
        <v>4209</v>
      </c>
    </row>
    <row r="654" customFormat="false" ht="15" hidden="false" customHeight="true" outlineLevel="0" collapsed="false">
      <c r="A654" s="163" t="s">
        <v>3017</v>
      </c>
      <c r="B654" s="163" t="s">
        <v>894</v>
      </c>
      <c r="C654" s="163" t="s">
        <v>4210</v>
      </c>
      <c r="D654" s="163" t="s">
        <v>4211</v>
      </c>
      <c r="E654" s="164" t="n">
        <v>5000</v>
      </c>
      <c r="F654" s="165" t="s">
        <v>4212</v>
      </c>
    </row>
    <row r="655" customFormat="false" ht="15" hidden="false" customHeight="true" outlineLevel="0" collapsed="false">
      <c r="A655" s="163" t="s">
        <v>3017</v>
      </c>
      <c r="B655" s="163" t="s">
        <v>894</v>
      </c>
      <c r="C655" s="163" t="s">
        <v>4213</v>
      </c>
      <c r="D655" s="163" t="s">
        <v>4214</v>
      </c>
      <c r="E655" s="164" t="n">
        <v>5000</v>
      </c>
      <c r="F655" s="165" t="s">
        <v>4215</v>
      </c>
    </row>
    <row r="656" customFormat="false" ht="15" hidden="false" customHeight="true" outlineLevel="0" collapsed="false">
      <c r="A656" s="163" t="s">
        <v>3017</v>
      </c>
      <c r="B656" s="163" t="s">
        <v>894</v>
      </c>
      <c r="C656" s="163" t="s">
        <v>4216</v>
      </c>
      <c r="D656" s="163" t="s">
        <v>4217</v>
      </c>
      <c r="E656" s="164" t="n">
        <v>5000</v>
      </c>
      <c r="F656" s="165" t="s">
        <v>4218</v>
      </c>
    </row>
    <row r="657" customFormat="false" ht="15" hidden="false" customHeight="true" outlineLevel="0" collapsed="false">
      <c r="A657" s="163" t="s">
        <v>3017</v>
      </c>
      <c r="B657" s="163" t="s">
        <v>894</v>
      </c>
      <c r="C657" s="163" t="s">
        <v>3643</v>
      </c>
      <c r="D657" s="163" t="s">
        <v>3644</v>
      </c>
      <c r="E657" s="164" t="n">
        <v>5000</v>
      </c>
      <c r="F657" s="165" t="s">
        <v>4219</v>
      </c>
    </row>
    <row r="658" customFormat="false" ht="15" hidden="false" customHeight="true" outlineLevel="0" collapsed="false">
      <c r="A658" s="163" t="s">
        <v>3017</v>
      </c>
      <c r="B658" s="163" t="s">
        <v>894</v>
      </c>
      <c r="C658" s="163" t="s">
        <v>3392</v>
      </c>
      <c r="D658" s="163" t="s">
        <v>3393</v>
      </c>
      <c r="E658" s="164" t="n">
        <v>5000</v>
      </c>
      <c r="F658" s="165" t="s">
        <v>4220</v>
      </c>
    </row>
    <row r="659" customFormat="false" ht="15" hidden="false" customHeight="true" outlineLevel="0" collapsed="false">
      <c r="A659" s="163" t="s">
        <v>3017</v>
      </c>
      <c r="B659" s="163" t="s">
        <v>894</v>
      </c>
      <c r="C659" s="163" t="s">
        <v>1268</v>
      </c>
      <c r="D659" s="163" t="s">
        <v>2426</v>
      </c>
      <c r="E659" s="164" t="n">
        <v>5000</v>
      </c>
      <c r="F659" s="165" t="s">
        <v>4221</v>
      </c>
    </row>
    <row r="660" customFormat="false" ht="15" hidden="false" customHeight="true" outlineLevel="0" collapsed="false">
      <c r="A660" s="163" t="s">
        <v>3017</v>
      </c>
      <c r="B660" s="163" t="s">
        <v>894</v>
      </c>
      <c r="C660" s="163" t="s">
        <v>3895</v>
      </c>
      <c r="D660" s="163" t="s">
        <v>3896</v>
      </c>
      <c r="E660" s="164" t="n">
        <v>5000</v>
      </c>
      <c r="F660" s="165" t="s">
        <v>4222</v>
      </c>
    </row>
    <row r="661" customFormat="false" ht="15" hidden="false" customHeight="true" outlineLevel="0" collapsed="false">
      <c r="A661" s="163" t="s">
        <v>3017</v>
      </c>
      <c r="B661" s="163" t="s">
        <v>894</v>
      </c>
      <c r="C661" s="163" t="s">
        <v>4223</v>
      </c>
      <c r="D661" s="163" t="s">
        <v>4224</v>
      </c>
      <c r="E661" s="164" t="n">
        <v>5000</v>
      </c>
      <c r="F661" s="165" t="s">
        <v>4225</v>
      </c>
    </row>
    <row r="662" customFormat="false" ht="15" hidden="false" customHeight="true" outlineLevel="0" collapsed="false">
      <c r="A662" s="163" t="s">
        <v>3017</v>
      </c>
      <c r="B662" s="163" t="s">
        <v>894</v>
      </c>
      <c r="C662" s="163" t="s">
        <v>4226</v>
      </c>
      <c r="D662" s="163" t="s">
        <v>4227</v>
      </c>
      <c r="E662" s="164" t="n">
        <v>5000</v>
      </c>
      <c r="F662" s="165" t="s">
        <v>4147</v>
      </c>
    </row>
    <row r="663" customFormat="false" ht="15" hidden="false" customHeight="true" outlineLevel="0" collapsed="false">
      <c r="A663" s="163" t="s">
        <v>3017</v>
      </c>
      <c r="B663" s="163" t="s">
        <v>894</v>
      </c>
      <c r="C663" s="163" t="s">
        <v>4143</v>
      </c>
      <c r="D663" s="163" t="s">
        <v>4144</v>
      </c>
      <c r="E663" s="164" t="n">
        <v>5000</v>
      </c>
      <c r="F663" s="165" t="s">
        <v>4228</v>
      </c>
    </row>
    <row r="664" customFormat="false" ht="15" hidden="false" customHeight="true" outlineLevel="0" collapsed="false">
      <c r="A664" s="163" t="s">
        <v>3017</v>
      </c>
      <c r="B664" s="163" t="s">
        <v>894</v>
      </c>
      <c r="C664" s="163" t="s">
        <v>4229</v>
      </c>
      <c r="D664" s="163" t="s">
        <v>4230</v>
      </c>
      <c r="E664" s="164" t="n">
        <v>5000</v>
      </c>
      <c r="F664" s="165" t="s">
        <v>4231</v>
      </c>
    </row>
    <row r="665" customFormat="false" ht="15" hidden="false" customHeight="true" outlineLevel="0" collapsed="false">
      <c r="A665" s="163" t="s">
        <v>3017</v>
      </c>
      <c r="B665" s="163" t="s">
        <v>894</v>
      </c>
      <c r="C665" s="163" t="s">
        <v>4232</v>
      </c>
      <c r="D665" s="163" t="s">
        <v>4233</v>
      </c>
      <c r="E665" s="164" t="n">
        <v>5000</v>
      </c>
      <c r="F665" s="165" t="s">
        <v>4234</v>
      </c>
    </row>
    <row r="666" customFormat="false" ht="15" hidden="false" customHeight="true" outlineLevel="0" collapsed="false">
      <c r="A666" s="163" t="s">
        <v>3017</v>
      </c>
      <c r="B666" s="163" t="s">
        <v>894</v>
      </c>
      <c r="C666" s="163" t="s">
        <v>4235</v>
      </c>
      <c r="D666" s="163" t="s">
        <v>4236</v>
      </c>
      <c r="E666" s="164" t="n">
        <v>5000</v>
      </c>
      <c r="F666" s="165" t="s">
        <v>4237</v>
      </c>
    </row>
    <row r="667" customFormat="false" ht="15" hidden="false" customHeight="true" outlineLevel="0" collapsed="false">
      <c r="A667" s="163" t="s">
        <v>3017</v>
      </c>
      <c r="B667" s="163" t="s">
        <v>894</v>
      </c>
      <c r="C667" s="163" t="s">
        <v>4020</v>
      </c>
      <c r="D667" s="163" t="s">
        <v>4021</v>
      </c>
      <c r="E667" s="164" t="n">
        <v>5000</v>
      </c>
      <c r="F667" s="165" t="s">
        <v>4147</v>
      </c>
    </row>
    <row r="668" customFormat="false" ht="15" hidden="false" customHeight="true" outlineLevel="0" collapsed="false">
      <c r="A668" s="163" t="s">
        <v>3017</v>
      </c>
      <c r="B668" s="163" t="s">
        <v>894</v>
      </c>
      <c r="C668" s="163" t="s">
        <v>4238</v>
      </c>
      <c r="D668" s="163" t="s">
        <v>4239</v>
      </c>
      <c r="E668" s="164" t="n">
        <v>5000</v>
      </c>
      <c r="F668" s="165" t="s">
        <v>4240</v>
      </c>
    </row>
    <row r="669" customFormat="false" ht="15" hidden="false" customHeight="true" outlineLevel="0" collapsed="false">
      <c r="A669" s="163" t="s">
        <v>3017</v>
      </c>
      <c r="B669" s="163" t="s">
        <v>894</v>
      </c>
      <c r="C669" s="163" t="s">
        <v>4002</v>
      </c>
      <c r="D669" s="163" t="s">
        <v>4003</v>
      </c>
      <c r="E669" s="164" t="n">
        <v>5000</v>
      </c>
      <c r="F669" s="165" t="s">
        <v>4001</v>
      </c>
    </row>
    <row r="670" customFormat="false" ht="15" hidden="false" customHeight="true" outlineLevel="0" collapsed="false">
      <c r="A670" s="163" t="s">
        <v>3017</v>
      </c>
      <c r="B670" s="163" t="s">
        <v>894</v>
      </c>
      <c r="C670" s="163" t="s">
        <v>4020</v>
      </c>
      <c r="D670" s="163" t="s">
        <v>4021</v>
      </c>
      <c r="E670" s="164" t="n">
        <v>2500</v>
      </c>
      <c r="F670" s="165" t="s">
        <v>4241</v>
      </c>
    </row>
    <row r="671" customFormat="false" ht="15" hidden="false" customHeight="true" outlineLevel="0" collapsed="false">
      <c r="A671" s="163" t="s">
        <v>3017</v>
      </c>
      <c r="B671" s="163" t="s">
        <v>882</v>
      </c>
      <c r="C671" s="163" t="s">
        <v>2759</v>
      </c>
      <c r="D671" s="163" t="s">
        <v>2760</v>
      </c>
      <c r="E671" s="164" t="n">
        <v>120000</v>
      </c>
      <c r="F671" s="165" t="s">
        <v>4242</v>
      </c>
    </row>
    <row r="672" customFormat="false" ht="15" hidden="false" customHeight="true" outlineLevel="0" collapsed="false">
      <c r="A672" s="163" t="s">
        <v>3017</v>
      </c>
      <c r="B672" s="163" t="s">
        <v>882</v>
      </c>
      <c r="C672" s="163" t="s">
        <v>4243</v>
      </c>
      <c r="D672" s="163" t="s">
        <v>4244</v>
      </c>
      <c r="E672" s="164" t="n">
        <v>80000</v>
      </c>
      <c r="F672" s="165" t="s">
        <v>4245</v>
      </c>
    </row>
    <row r="673" customFormat="false" ht="15" hidden="false" customHeight="true" outlineLevel="0" collapsed="false">
      <c r="A673" s="163" t="s">
        <v>3017</v>
      </c>
      <c r="B673" s="163" t="s">
        <v>882</v>
      </c>
      <c r="C673" s="163" t="s">
        <v>4156</v>
      </c>
      <c r="D673" s="163" t="s">
        <v>4157</v>
      </c>
      <c r="E673" s="164" t="n">
        <v>80000</v>
      </c>
      <c r="F673" s="165" t="s">
        <v>4246</v>
      </c>
    </row>
    <row r="674" customFormat="false" ht="15" hidden="false" customHeight="true" outlineLevel="0" collapsed="false">
      <c r="A674" s="163" t="s">
        <v>3017</v>
      </c>
      <c r="B674" s="163" t="s">
        <v>2328</v>
      </c>
      <c r="C674" s="163" t="s">
        <v>4247</v>
      </c>
      <c r="D674" s="163" t="s">
        <v>4248</v>
      </c>
      <c r="E674" s="164" t="n">
        <v>50000</v>
      </c>
      <c r="F674" s="165" t="s">
        <v>4249</v>
      </c>
    </row>
    <row r="675" customFormat="false" ht="15" hidden="false" customHeight="true" outlineLevel="0" collapsed="false">
      <c r="A675" s="163" t="s">
        <v>3017</v>
      </c>
      <c r="B675" s="163" t="s">
        <v>2342</v>
      </c>
      <c r="C675" s="163" t="s">
        <v>3149</v>
      </c>
      <c r="D675" s="163" t="s">
        <v>3150</v>
      </c>
      <c r="E675" s="164" t="n">
        <v>40000</v>
      </c>
      <c r="F675" s="165" t="s">
        <v>4250</v>
      </c>
    </row>
    <row r="676" customFormat="false" ht="15" hidden="false" customHeight="true" outlineLevel="0" collapsed="false">
      <c r="A676" s="163" t="s">
        <v>3017</v>
      </c>
      <c r="B676" s="163" t="s">
        <v>2342</v>
      </c>
      <c r="C676" s="163" t="s">
        <v>197</v>
      </c>
      <c r="D676" s="163" t="s">
        <v>1931</v>
      </c>
      <c r="E676" s="164" t="n">
        <v>20000</v>
      </c>
      <c r="F676" s="165" t="s">
        <v>4251</v>
      </c>
    </row>
    <row r="677" customFormat="false" ht="15" hidden="false" customHeight="true" outlineLevel="0" collapsed="false">
      <c r="A677" s="163" t="s">
        <v>3017</v>
      </c>
      <c r="B677" s="163" t="s">
        <v>2342</v>
      </c>
      <c r="C677" s="163" t="s">
        <v>3998</v>
      </c>
      <c r="D677" s="163" t="s">
        <v>3999</v>
      </c>
      <c r="E677" s="164" t="n">
        <v>10000</v>
      </c>
      <c r="F677" s="165" t="s">
        <v>4252</v>
      </c>
    </row>
    <row r="678" customFormat="false" ht="15" hidden="false" customHeight="true" outlineLevel="0" collapsed="false">
      <c r="A678" s="163" t="s">
        <v>3017</v>
      </c>
      <c r="B678" s="163" t="s">
        <v>2342</v>
      </c>
      <c r="C678" s="163" t="s">
        <v>4253</v>
      </c>
      <c r="D678" s="163" t="s">
        <v>4254</v>
      </c>
      <c r="E678" s="164" t="n">
        <v>10000</v>
      </c>
      <c r="F678" s="165" t="s">
        <v>4255</v>
      </c>
    </row>
    <row r="679" customFormat="false" ht="15" hidden="false" customHeight="true" outlineLevel="0" collapsed="false">
      <c r="A679" s="163" t="s">
        <v>3017</v>
      </c>
      <c r="B679" s="163" t="s">
        <v>2342</v>
      </c>
      <c r="C679" s="163" t="s">
        <v>230</v>
      </c>
      <c r="D679" s="163" t="s">
        <v>2077</v>
      </c>
      <c r="E679" s="164" t="n">
        <v>10000</v>
      </c>
      <c r="F679" s="165" t="s">
        <v>4256</v>
      </c>
    </row>
    <row r="680" customFormat="false" ht="15" hidden="false" customHeight="true" outlineLevel="0" collapsed="false">
      <c r="A680" s="163" t="s">
        <v>3017</v>
      </c>
      <c r="B680" s="163" t="s">
        <v>1743</v>
      </c>
      <c r="C680" s="163" t="s">
        <v>4005</v>
      </c>
      <c r="D680" s="163" t="s">
        <v>4006</v>
      </c>
      <c r="E680" s="164" t="n">
        <v>20000</v>
      </c>
      <c r="F680" s="165" t="s">
        <v>4257</v>
      </c>
    </row>
    <row r="681" customFormat="false" ht="15" hidden="false" customHeight="true" outlineLevel="0" collapsed="false">
      <c r="A681" s="163" t="s">
        <v>3017</v>
      </c>
      <c r="B681" s="163" t="s">
        <v>1743</v>
      </c>
      <c r="C681" s="163" t="s">
        <v>4005</v>
      </c>
      <c r="D681" s="163" t="s">
        <v>4006</v>
      </c>
      <c r="E681" s="164" t="n">
        <v>20000</v>
      </c>
      <c r="F681" s="165" t="s">
        <v>4258</v>
      </c>
    </row>
    <row r="682" customFormat="false" ht="15" hidden="false" customHeight="true" outlineLevel="0" collapsed="false">
      <c r="A682" s="163" t="s">
        <v>3017</v>
      </c>
      <c r="B682" s="163" t="s">
        <v>1743</v>
      </c>
      <c r="C682" s="163" t="s">
        <v>4005</v>
      </c>
      <c r="D682" s="163" t="s">
        <v>4006</v>
      </c>
      <c r="E682" s="164" t="n">
        <v>20000</v>
      </c>
      <c r="F682" s="165" t="s">
        <v>4259</v>
      </c>
    </row>
    <row r="683" customFormat="false" ht="15" hidden="false" customHeight="true" outlineLevel="0" collapsed="false">
      <c r="A683" s="163" t="s">
        <v>3017</v>
      </c>
      <c r="B683" s="163" t="s">
        <v>1743</v>
      </c>
      <c r="C683" s="163" t="s">
        <v>4260</v>
      </c>
      <c r="D683" s="163" t="s">
        <v>4261</v>
      </c>
      <c r="E683" s="164" t="n">
        <v>20000</v>
      </c>
      <c r="F683" s="165" t="s">
        <v>4262</v>
      </c>
    </row>
    <row r="684" customFormat="false" ht="15" hidden="false" customHeight="true" outlineLevel="0" collapsed="false">
      <c r="A684" s="163" t="s">
        <v>3017</v>
      </c>
      <c r="B684" s="163" t="s">
        <v>1743</v>
      </c>
      <c r="C684" s="163" t="s">
        <v>3210</v>
      </c>
      <c r="D684" s="163" t="s">
        <v>3211</v>
      </c>
      <c r="E684" s="164" t="n">
        <v>20000</v>
      </c>
      <c r="F684" s="165" t="s">
        <v>4263</v>
      </c>
    </row>
    <row r="685" customFormat="false" ht="15" hidden="false" customHeight="true" outlineLevel="0" collapsed="false">
      <c r="A685" s="163" t="s">
        <v>3017</v>
      </c>
      <c r="B685" s="163" t="s">
        <v>1743</v>
      </c>
      <c r="C685" s="163" t="s">
        <v>4011</v>
      </c>
      <c r="D685" s="163" t="s">
        <v>4012</v>
      </c>
      <c r="E685" s="164" t="n">
        <v>20000</v>
      </c>
      <c r="F685" s="165" t="s">
        <v>4264</v>
      </c>
    </row>
    <row r="686" customFormat="false" ht="15" hidden="false" customHeight="true" outlineLevel="0" collapsed="false">
      <c r="A686" s="163" t="s">
        <v>3017</v>
      </c>
      <c r="B686" s="163" t="s">
        <v>1743</v>
      </c>
      <c r="C686" s="163" t="s">
        <v>4265</v>
      </c>
      <c r="D686" s="163" t="s">
        <v>4266</v>
      </c>
      <c r="E686" s="164" t="n">
        <v>15000</v>
      </c>
      <c r="F686" s="165" t="s">
        <v>4267</v>
      </c>
    </row>
    <row r="687" customFormat="false" ht="15" hidden="false" customHeight="true" outlineLevel="0" collapsed="false">
      <c r="A687" s="163" t="s">
        <v>3017</v>
      </c>
      <c r="B687" s="163" t="s">
        <v>1743</v>
      </c>
      <c r="C687" s="163" t="s">
        <v>3771</v>
      </c>
      <c r="D687" s="163" t="s">
        <v>3772</v>
      </c>
      <c r="E687" s="164" t="n">
        <v>15000</v>
      </c>
      <c r="F687" s="165" t="s">
        <v>4268</v>
      </c>
    </row>
    <row r="688" customFormat="false" ht="15" hidden="false" customHeight="true" outlineLevel="0" collapsed="false">
      <c r="A688" s="163" t="s">
        <v>3017</v>
      </c>
      <c r="B688" s="163" t="s">
        <v>928</v>
      </c>
      <c r="C688" s="163" t="s">
        <v>4269</v>
      </c>
      <c r="D688" s="163" t="s">
        <v>4270</v>
      </c>
      <c r="E688" s="164" t="n">
        <v>10000</v>
      </c>
      <c r="F688" s="165" t="s">
        <v>4271</v>
      </c>
    </row>
    <row r="689" customFormat="false" ht="15" hidden="false" customHeight="true" outlineLevel="0" collapsed="false">
      <c r="A689" s="163" t="s">
        <v>3017</v>
      </c>
      <c r="B689" s="163" t="s">
        <v>928</v>
      </c>
      <c r="C689" s="163" t="s">
        <v>4014</v>
      </c>
      <c r="D689" s="163" t="s">
        <v>4015</v>
      </c>
      <c r="E689" s="164" t="n">
        <v>10000</v>
      </c>
      <c r="F689" s="165" t="s">
        <v>4272</v>
      </c>
    </row>
    <row r="690" customFormat="false" ht="15" hidden="false" customHeight="true" outlineLevel="0" collapsed="false">
      <c r="A690" s="163" t="s">
        <v>3017</v>
      </c>
      <c r="B690" s="163" t="s">
        <v>928</v>
      </c>
      <c r="C690" s="163" t="s">
        <v>4014</v>
      </c>
      <c r="D690" s="163" t="s">
        <v>4015</v>
      </c>
      <c r="E690" s="164" t="n">
        <v>10000</v>
      </c>
      <c r="F690" s="165" t="s">
        <v>4273</v>
      </c>
    </row>
    <row r="691" customFormat="false" ht="15" hidden="false" customHeight="true" outlineLevel="0" collapsed="false">
      <c r="A691" s="163" t="s">
        <v>3017</v>
      </c>
      <c r="B691" s="163" t="s">
        <v>928</v>
      </c>
      <c r="C691" s="163" t="s">
        <v>3395</v>
      </c>
      <c r="D691" s="163" t="s">
        <v>3396</v>
      </c>
      <c r="E691" s="164" t="n">
        <v>10000</v>
      </c>
      <c r="F691" s="165" t="s">
        <v>4147</v>
      </c>
    </row>
    <row r="692" customFormat="false" ht="15" hidden="false" customHeight="true" outlineLevel="0" collapsed="false">
      <c r="A692" s="163" t="s">
        <v>3017</v>
      </c>
      <c r="B692" s="163" t="s">
        <v>928</v>
      </c>
      <c r="C692" s="163" t="s">
        <v>4274</v>
      </c>
      <c r="D692" s="163" t="s">
        <v>4275</v>
      </c>
      <c r="E692" s="164" t="n">
        <v>10000</v>
      </c>
      <c r="F692" s="165" t="s">
        <v>4276</v>
      </c>
    </row>
    <row r="693" customFormat="false" ht="15" hidden="false" customHeight="true" outlineLevel="0" collapsed="false">
      <c r="A693" s="163" t="s">
        <v>3017</v>
      </c>
      <c r="B693" s="163" t="s">
        <v>928</v>
      </c>
      <c r="C693" s="163" t="s">
        <v>360</v>
      </c>
      <c r="D693" s="163" t="s">
        <v>2685</v>
      </c>
      <c r="E693" s="164" t="n">
        <v>6000</v>
      </c>
      <c r="F693" s="165" t="s">
        <v>4277</v>
      </c>
    </row>
    <row r="694" customFormat="false" ht="15" hidden="false" customHeight="true" outlineLevel="0" collapsed="false">
      <c r="A694" s="163" t="s">
        <v>3017</v>
      </c>
      <c r="B694" s="163" t="s">
        <v>928</v>
      </c>
      <c r="C694" s="163" t="s">
        <v>4278</v>
      </c>
      <c r="D694" s="163" t="s">
        <v>4279</v>
      </c>
      <c r="E694" s="164" t="n">
        <v>5000</v>
      </c>
      <c r="F694" s="165" t="s">
        <v>4280</v>
      </c>
    </row>
    <row r="695" customFormat="false" ht="15" hidden="false" customHeight="true" outlineLevel="0" collapsed="false">
      <c r="A695" s="163" t="s">
        <v>3017</v>
      </c>
      <c r="B695" s="163" t="s">
        <v>928</v>
      </c>
      <c r="C695" s="163" t="s">
        <v>328</v>
      </c>
      <c r="D695" s="163" t="s">
        <v>2660</v>
      </c>
      <c r="E695" s="164" t="n">
        <v>5000</v>
      </c>
      <c r="F695" s="165" t="s">
        <v>4281</v>
      </c>
    </row>
    <row r="696" customFormat="false" ht="15" hidden="false" customHeight="true" outlineLevel="0" collapsed="false">
      <c r="A696" s="163" t="s">
        <v>3017</v>
      </c>
      <c r="B696" s="163" t="s">
        <v>928</v>
      </c>
      <c r="C696" s="163" t="s">
        <v>3317</v>
      </c>
      <c r="D696" s="163" t="s">
        <v>3318</v>
      </c>
      <c r="E696" s="164" t="n">
        <v>5000</v>
      </c>
      <c r="F696" s="165" t="s">
        <v>4282</v>
      </c>
    </row>
    <row r="697" customFormat="false" ht="15" hidden="false" customHeight="true" outlineLevel="0" collapsed="false">
      <c r="A697" s="163" t="s">
        <v>3017</v>
      </c>
      <c r="B697" s="163" t="s">
        <v>928</v>
      </c>
      <c r="C697" s="163" t="s">
        <v>473</v>
      </c>
      <c r="D697" s="163" t="s">
        <v>2764</v>
      </c>
      <c r="E697" s="164" t="n">
        <v>5000</v>
      </c>
      <c r="F697" s="165" t="s">
        <v>4283</v>
      </c>
    </row>
    <row r="698" customFormat="false" ht="15" hidden="false" customHeight="true" outlineLevel="0" collapsed="false">
      <c r="A698" s="163" t="s">
        <v>3017</v>
      </c>
      <c r="B698" s="163" t="s">
        <v>928</v>
      </c>
      <c r="C698" s="163" t="s">
        <v>3980</v>
      </c>
      <c r="D698" s="163" t="s">
        <v>3981</v>
      </c>
      <c r="E698" s="164" t="n">
        <v>5000</v>
      </c>
      <c r="F698" s="165" t="s">
        <v>4284</v>
      </c>
    </row>
    <row r="699" customFormat="false" ht="15" hidden="false" customHeight="true" outlineLevel="0" collapsed="false">
      <c r="A699" s="163" t="s">
        <v>3017</v>
      </c>
      <c r="B699" s="163" t="s">
        <v>928</v>
      </c>
      <c r="C699" s="163" t="s">
        <v>3980</v>
      </c>
      <c r="D699" s="163" t="s">
        <v>3981</v>
      </c>
      <c r="E699" s="164" t="n">
        <v>5000</v>
      </c>
      <c r="F699" s="165" t="s">
        <v>4285</v>
      </c>
    </row>
    <row r="700" customFormat="false" ht="15" hidden="false" customHeight="true" outlineLevel="0" collapsed="false">
      <c r="A700" s="163" t="s">
        <v>3017</v>
      </c>
      <c r="B700" s="163" t="s">
        <v>928</v>
      </c>
      <c r="C700" s="163" t="s">
        <v>3980</v>
      </c>
      <c r="D700" s="163" t="s">
        <v>3981</v>
      </c>
      <c r="E700" s="164" t="n">
        <v>5000</v>
      </c>
      <c r="F700" s="165" t="s">
        <v>4286</v>
      </c>
    </row>
    <row r="701" customFormat="false" ht="15" hidden="false" customHeight="true" outlineLevel="0" collapsed="false">
      <c r="A701" s="163" t="s">
        <v>3017</v>
      </c>
      <c r="B701" s="163" t="s">
        <v>928</v>
      </c>
      <c r="C701" s="163" t="s">
        <v>4287</v>
      </c>
      <c r="D701" s="163" t="s">
        <v>4288</v>
      </c>
      <c r="E701" s="164" t="n">
        <v>5000</v>
      </c>
      <c r="F701" s="165" t="s">
        <v>4289</v>
      </c>
    </row>
    <row r="702" customFormat="false" ht="15" hidden="false" customHeight="true" outlineLevel="0" collapsed="false">
      <c r="A702" s="163" t="s">
        <v>3017</v>
      </c>
      <c r="B702" s="163" t="s">
        <v>928</v>
      </c>
      <c r="C702" s="163" t="s">
        <v>485</v>
      </c>
      <c r="D702" s="163" t="s">
        <v>2176</v>
      </c>
      <c r="E702" s="164" t="n">
        <v>5000</v>
      </c>
      <c r="F702" s="165" t="s">
        <v>4290</v>
      </c>
    </row>
    <row r="703" customFormat="false" ht="15" hidden="false" customHeight="true" outlineLevel="0" collapsed="false">
      <c r="A703" s="163" t="s">
        <v>3017</v>
      </c>
      <c r="B703" s="163" t="s">
        <v>928</v>
      </c>
      <c r="C703" s="163" t="s">
        <v>4291</v>
      </c>
      <c r="D703" s="163" t="s">
        <v>4292</v>
      </c>
      <c r="E703" s="164" t="n">
        <v>5000</v>
      </c>
      <c r="F703" s="165" t="s">
        <v>4293</v>
      </c>
    </row>
    <row r="704" customFormat="false" ht="15" hidden="false" customHeight="true" outlineLevel="0" collapsed="false">
      <c r="A704" s="163" t="s">
        <v>3017</v>
      </c>
      <c r="B704" s="163" t="s">
        <v>928</v>
      </c>
      <c r="C704" s="163" t="s">
        <v>4294</v>
      </c>
      <c r="D704" s="163" t="s">
        <v>4295</v>
      </c>
      <c r="E704" s="164" t="n">
        <v>5000</v>
      </c>
      <c r="F704" s="165" t="s">
        <v>4296</v>
      </c>
    </row>
    <row r="705" customFormat="false" ht="15" hidden="false" customHeight="true" outlineLevel="0" collapsed="false">
      <c r="A705" s="163" t="s">
        <v>3017</v>
      </c>
      <c r="B705" s="163" t="s">
        <v>928</v>
      </c>
      <c r="C705" s="163" t="s">
        <v>4297</v>
      </c>
      <c r="D705" s="163" t="s">
        <v>4298</v>
      </c>
      <c r="E705" s="164" t="n">
        <v>5000</v>
      </c>
      <c r="F705" s="165" t="s">
        <v>4299</v>
      </c>
    </row>
    <row r="706" customFormat="false" ht="15" hidden="false" customHeight="true" outlineLevel="0" collapsed="false">
      <c r="A706" s="163" t="s">
        <v>3017</v>
      </c>
      <c r="B706" s="163" t="s">
        <v>928</v>
      </c>
      <c r="C706" s="163" t="s">
        <v>4047</v>
      </c>
      <c r="D706" s="163" t="s">
        <v>4048</v>
      </c>
      <c r="E706" s="164" t="n">
        <v>5000</v>
      </c>
      <c r="F706" s="165" t="s">
        <v>4300</v>
      </c>
    </row>
    <row r="707" customFormat="false" ht="15" hidden="false" customHeight="true" outlineLevel="0" collapsed="false">
      <c r="A707" s="163" t="s">
        <v>3017</v>
      </c>
      <c r="B707" s="163" t="s">
        <v>928</v>
      </c>
      <c r="C707" s="163" t="s">
        <v>979</v>
      </c>
      <c r="D707" s="163" t="s">
        <v>4301</v>
      </c>
      <c r="E707" s="164" t="n">
        <v>5000</v>
      </c>
      <c r="F707" s="165" t="s">
        <v>4302</v>
      </c>
    </row>
    <row r="708" customFormat="false" ht="15" hidden="false" customHeight="true" outlineLevel="0" collapsed="false">
      <c r="A708" s="163" t="s">
        <v>3017</v>
      </c>
      <c r="B708" s="163" t="s">
        <v>928</v>
      </c>
      <c r="C708" s="163" t="s">
        <v>4303</v>
      </c>
      <c r="D708" s="163" t="s">
        <v>4304</v>
      </c>
      <c r="E708" s="164" t="n">
        <v>5000</v>
      </c>
      <c r="F708" s="165" t="s">
        <v>4305</v>
      </c>
    </row>
    <row r="709" customFormat="false" ht="15" hidden="false" customHeight="true" outlineLevel="0" collapsed="false">
      <c r="A709" s="163" t="s">
        <v>3017</v>
      </c>
      <c r="B709" s="163" t="s">
        <v>928</v>
      </c>
      <c r="C709" s="163" t="s">
        <v>473</v>
      </c>
      <c r="D709" s="163" t="s">
        <v>2764</v>
      </c>
      <c r="E709" s="164" t="n">
        <v>5000</v>
      </c>
      <c r="F709" s="165" t="s">
        <v>4306</v>
      </c>
    </row>
    <row r="710" customFormat="false" ht="15" hidden="false" customHeight="true" outlineLevel="0" collapsed="false">
      <c r="A710" s="163" t="s">
        <v>3017</v>
      </c>
      <c r="B710" s="163" t="s">
        <v>928</v>
      </c>
      <c r="C710" s="163" t="s">
        <v>4307</v>
      </c>
      <c r="D710" s="163" t="s">
        <v>4308</v>
      </c>
      <c r="E710" s="164" t="n">
        <v>5000</v>
      </c>
      <c r="F710" s="165" t="s">
        <v>4309</v>
      </c>
    </row>
    <row r="711" customFormat="false" ht="15" hidden="false" customHeight="true" outlineLevel="0" collapsed="false">
      <c r="A711" s="163" t="s">
        <v>3017</v>
      </c>
      <c r="B711" s="163" t="s">
        <v>928</v>
      </c>
      <c r="C711" s="163" t="s">
        <v>4156</v>
      </c>
      <c r="D711" s="163" t="s">
        <v>4157</v>
      </c>
      <c r="E711" s="164" t="n">
        <v>5000</v>
      </c>
      <c r="F711" s="165" t="s">
        <v>4310</v>
      </c>
    </row>
    <row r="712" customFormat="false" ht="15" hidden="false" customHeight="true" outlineLevel="0" collapsed="false">
      <c r="A712" s="163" t="s">
        <v>3017</v>
      </c>
      <c r="B712" s="163" t="s">
        <v>928</v>
      </c>
      <c r="C712" s="163" t="s">
        <v>4180</v>
      </c>
      <c r="D712" s="163" t="s">
        <v>4181</v>
      </c>
      <c r="E712" s="164" t="n">
        <v>4000</v>
      </c>
      <c r="F712" s="165" t="s">
        <v>4182</v>
      </c>
    </row>
    <row r="713" customFormat="false" ht="15" hidden="false" customHeight="true" outlineLevel="0" collapsed="false">
      <c r="A713" s="163" t="s">
        <v>3037</v>
      </c>
      <c r="B713" s="163" t="s">
        <v>926</v>
      </c>
      <c r="C713" s="163" t="s">
        <v>3114</v>
      </c>
      <c r="D713" s="163" t="s">
        <v>3115</v>
      </c>
      <c r="E713" s="164" t="n">
        <v>50000</v>
      </c>
      <c r="F713" s="165" t="s">
        <v>4311</v>
      </c>
    </row>
    <row r="714" customFormat="false" ht="15" hidden="false" customHeight="true" outlineLevel="0" collapsed="false">
      <c r="A714" s="163" t="s">
        <v>3037</v>
      </c>
      <c r="B714" s="163" t="s">
        <v>926</v>
      </c>
      <c r="C714" s="163" t="s">
        <v>424</v>
      </c>
      <c r="D714" s="163" t="s">
        <v>2630</v>
      </c>
      <c r="E714" s="164" t="n">
        <v>10000</v>
      </c>
      <c r="F714" s="165" t="s">
        <v>4312</v>
      </c>
    </row>
    <row r="715" customFormat="false" ht="15" hidden="false" customHeight="true" outlineLevel="0" collapsed="false">
      <c r="A715" s="163" t="s">
        <v>3037</v>
      </c>
      <c r="B715" s="163" t="s">
        <v>926</v>
      </c>
      <c r="C715" s="163" t="s">
        <v>4313</v>
      </c>
      <c r="D715" s="163" t="s">
        <v>4314</v>
      </c>
      <c r="E715" s="164" t="n">
        <v>10000</v>
      </c>
      <c r="F715" s="165" t="s">
        <v>4315</v>
      </c>
    </row>
    <row r="716" customFormat="false" ht="15" hidden="false" customHeight="true" outlineLevel="0" collapsed="false">
      <c r="A716" s="163" t="s">
        <v>3037</v>
      </c>
      <c r="B716" s="163" t="s">
        <v>926</v>
      </c>
      <c r="C716" s="163" t="s">
        <v>395</v>
      </c>
      <c r="D716" s="163" t="s">
        <v>2196</v>
      </c>
      <c r="E716" s="164" t="n">
        <v>10000</v>
      </c>
      <c r="F716" s="165" t="s">
        <v>4316</v>
      </c>
    </row>
    <row r="717" customFormat="false" ht="15" hidden="false" customHeight="true" outlineLevel="0" collapsed="false">
      <c r="A717" s="163" t="s">
        <v>3037</v>
      </c>
      <c r="B717" s="163" t="s">
        <v>926</v>
      </c>
      <c r="C717" s="163" t="s">
        <v>3145</v>
      </c>
      <c r="D717" s="163" t="s">
        <v>3146</v>
      </c>
      <c r="E717" s="164" t="n">
        <v>10000</v>
      </c>
      <c r="F717" s="165" t="s">
        <v>4317</v>
      </c>
    </row>
    <row r="718" customFormat="false" ht="15" hidden="false" customHeight="true" outlineLevel="0" collapsed="false">
      <c r="A718" s="163" t="s">
        <v>3037</v>
      </c>
      <c r="B718" s="163" t="s">
        <v>926</v>
      </c>
      <c r="C718" s="163" t="s">
        <v>4318</v>
      </c>
      <c r="D718" s="163" t="s">
        <v>4319</v>
      </c>
      <c r="E718" s="164" t="n">
        <v>10000</v>
      </c>
      <c r="F718" s="165" t="s">
        <v>4320</v>
      </c>
    </row>
    <row r="719" customFormat="false" ht="15" hidden="false" customHeight="true" outlineLevel="0" collapsed="false">
      <c r="A719" s="163" t="s">
        <v>3037</v>
      </c>
      <c r="B719" s="163" t="s">
        <v>957</v>
      </c>
      <c r="C719" s="163" t="s">
        <v>3114</v>
      </c>
      <c r="D719" s="163" t="s">
        <v>3115</v>
      </c>
      <c r="E719" s="164" t="n">
        <v>20000</v>
      </c>
      <c r="F719" s="165" t="s">
        <v>4321</v>
      </c>
    </row>
    <row r="720" customFormat="false" ht="15" hidden="false" customHeight="true" outlineLevel="0" collapsed="false">
      <c r="A720" s="163" t="s">
        <v>3037</v>
      </c>
      <c r="B720" s="163" t="s">
        <v>957</v>
      </c>
      <c r="C720" s="163" t="s">
        <v>4322</v>
      </c>
      <c r="D720" s="163" t="s">
        <v>4323</v>
      </c>
      <c r="E720" s="164" t="n">
        <v>5000</v>
      </c>
      <c r="F720" s="165" t="s">
        <v>4324</v>
      </c>
    </row>
    <row r="721" customFormat="false" ht="15" hidden="false" customHeight="true" outlineLevel="0" collapsed="false">
      <c r="A721" s="163" t="s">
        <v>3037</v>
      </c>
      <c r="B721" s="163" t="s">
        <v>957</v>
      </c>
      <c r="C721" s="163" t="s">
        <v>3088</v>
      </c>
      <c r="D721" s="163" t="s">
        <v>3089</v>
      </c>
      <c r="E721" s="164" t="n">
        <v>5000</v>
      </c>
      <c r="F721" s="165" t="s">
        <v>4325</v>
      </c>
    </row>
    <row r="722" customFormat="false" ht="15" hidden="false" customHeight="true" outlineLevel="0" collapsed="false">
      <c r="A722" s="163" t="s">
        <v>3037</v>
      </c>
      <c r="B722" s="163" t="s">
        <v>957</v>
      </c>
      <c r="C722" s="163" t="s">
        <v>4326</v>
      </c>
      <c r="D722" s="163" t="s">
        <v>4327</v>
      </c>
      <c r="E722" s="164" t="n">
        <v>5000</v>
      </c>
      <c r="F722" s="165" t="s">
        <v>4328</v>
      </c>
    </row>
    <row r="723" customFormat="false" ht="15" hidden="false" customHeight="true" outlineLevel="0" collapsed="false">
      <c r="A723" s="163" t="s">
        <v>3037</v>
      </c>
      <c r="B723" s="163" t="s">
        <v>957</v>
      </c>
      <c r="C723" s="163" t="s">
        <v>4329</v>
      </c>
      <c r="D723" s="163" t="s">
        <v>4330</v>
      </c>
      <c r="E723" s="164" t="n">
        <v>5000</v>
      </c>
      <c r="F723" s="165" t="s">
        <v>4331</v>
      </c>
    </row>
    <row r="724" customFormat="false" ht="15" hidden="false" customHeight="true" outlineLevel="0" collapsed="false">
      <c r="A724" s="163" t="s">
        <v>3037</v>
      </c>
      <c r="B724" s="163" t="s">
        <v>957</v>
      </c>
      <c r="C724" s="163" t="s">
        <v>4332</v>
      </c>
      <c r="D724" s="163" t="s">
        <v>4333</v>
      </c>
      <c r="E724" s="164" t="n">
        <v>5000</v>
      </c>
      <c r="F724" s="165" t="s">
        <v>4334</v>
      </c>
    </row>
    <row r="725" customFormat="false" ht="15" hidden="false" customHeight="true" outlineLevel="0" collapsed="false">
      <c r="A725" s="163" t="s">
        <v>3037</v>
      </c>
      <c r="B725" s="163" t="s">
        <v>957</v>
      </c>
      <c r="C725" s="163" t="s">
        <v>4335</v>
      </c>
      <c r="D725" s="163" t="s">
        <v>4336</v>
      </c>
      <c r="E725" s="164" t="n">
        <v>5000</v>
      </c>
      <c r="F725" s="165" t="s">
        <v>4337</v>
      </c>
    </row>
    <row r="726" customFormat="false" ht="15" hidden="false" customHeight="true" outlineLevel="0" collapsed="false">
      <c r="A726" s="163" t="s">
        <v>3037</v>
      </c>
      <c r="B726" s="163" t="s">
        <v>957</v>
      </c>
      <c r="C726" s="163" t="s">
        <v>3210</v>
      </c>
      <c r="D726" s="163" t="s">
        <v>3211</v>
      </c>
      <c r="E726" s="164" t="n">
        <v>5000</v>
      </c>
      <c r="F726" s="165" t="s">
        <v>4338</v>
      </c>
    </row>
    <row r="727" customFormat="false" ht="15" hidden="false" customHeight="true" outlineLevel="0" collapsed="false">
      <c r="A727" s="163" t="s">
        <v>3037</v>
      </c>
      <c r="B727" s="163" t="s">
        <v>957</v>
      </c>
      <c r="C727" s="163" t="s">
        <v>3210</v>
      </c>
      <c r="D727" s="163" t="s">
        <v>3211</v>
      </c>
      <c r="E727" s="164" t="n">
        <v>5000</v>
      </c>
      <c r="F727" s="165" t="s">
        <v>4339</v>
      </c>
    </row>
    <row r="728" customFormat="false" ht="15" hidden="false" customHeight="true" outlineLevel="0" collapsed="false">
      <c r="A728" s="163" t="s">
        <v>3037</v>
      </c>
      <c r="B728" s="163" t="s">
        <v>957</v>
      </c>
      <c r="C728" s="163" t="s">
        <v>4340</v>
      </c>
      <c r="D728" s="163" t="s">
        <v>4341</v>
      </c>
      <c r="E728" s="164" t="n">
        <v>5000</v>
      </c>
      <c r="F728" s="165" t="s">
        <v>4342</v>
      </c>
    </row>
    <row r="729" customFormat="false" ht="15" hidden="false" customHeight="true" outlineLevel="0" collapsed="false">
      <c r="A729" s="163" t="s">
        <v>3037</v>
      </c>
      <c r="B729" s="163" t="s">
        <v>957</v>
      </c>
      <c r="C729" s="163" t="s">
        <v>4343</v>
      </c>
      <c r="D729" s="163" t="s">
        <v>4344</v>
      </c>
      <c r="E729" s="164" t="n">
        <v>5000</v>
      </c>
      <c r="F729" s="165" t="s">
        <v>4345</v>
      </c>
    </row>
    <row r="730" customFormat="false" ht="15" hidden="false" customHeight="true" outlineLevel="0" collapsed="false">
      <c r="A730" s="163" t="s">
        <v>3037</v>
      </c>
      <c r="B730" s="163" t="s">
        <v>957</v>
      </c>
      <c r="C730" s="163" t="s">
        <v>4346</v>
      </c>
      <c r="D730" s="163" t="s">
        <v>4347</v>
      </c>
      <c r="E730" s="164" t="n">
        <v>5000</v>
      </c>
      <c r="F730" s="165" t="s">
        <v>4348</v>
      </c>
    </row>
    <row r="731" customFormat="false" ht="15" hidden="false" customHeight="true" outlineLevel="0" collapsed="false">
      <c r="A731" s="163" t="s">
        <v>3037</v>
      </c>
      <c r="B731" s="163" t="s">
        <v>957</v>
      </c>
      <c r="C731" s="163" t="s">
        <v>3122</v>
      </c>
      <c r="D731" s="163" t="s">
        <v>3123</v>
      </c>
      <c r="E731" s="164" t="n">
        <v>5000</v>
      </c>
      <c r="F731" s="165" t="s">
        <v>4349</v>
      </c>
    </row>
    <row r="732" customFormat="false" ht="15" hidden="false" customHeight="true" outlineLevel="0" collapsed="false">
      <c r="A732" s="163" t="s">
        <v>3037</v>
      </c>
      <c r="B732" s="163" t="s">
        <v>957</v>
      </c>
      <c r="C732" s="163" t="s">
        <v>4350</v>
      </c>
      <c r="D732" s="163" t="s">
        <v>4351</v>
      </c>
      <c r="E732" s="164" t="n">
        <v>5000</v>
      </c>
      <c r="F732" s="165" t="s">
        <v>4352</v>
      </c>
    </row>
    <row r="733" customFormat="false" ht="15" hidden="false" customHeight="true" outlineLevel="0" collapsed="false">
      <c r="A733" s="163" t="s">
        <v>3037</v>
      </c>
      <c r="B733" s="163" t="s">
        <v>957</v>
      </c>
      <c r="C733" s="163" t="s">
        <v>3219</v>
      </c>
      <c r="D733" s="163" t="s">
        <v>3220</v>
      </c>
      <c r="E733" s="164" t="n">
        <v>5000</v>
      </c>
      <c r="F733" s="165" t="s">
        <v>4353</v>
      </c>
    </row>
    <row r="734" customFormat="false" ht="15" hidden="false" customHeight="true" outlineLevel="0" collapsed="false">
      <c r="A734" s="163" t="s">
        <v>3037</v>
      </c>
      <c r="B734" s="163" t="s">
        <v>957</v>
      </c>
      <c r="C734" s="163" t="s">
        <v>4354</v>
      </c>
      <c r="D734" s="163" t="s">
        <v>4355</v>
      </c>
      <c r="E734" s="164" t="n">
        <v>5000</v>
      </c>
      <c r="F734" s="165" t="s">
        <v>4356</v>
      </c>
    </row>
    <row r="735" customFormat="false" ht="15" hidden="false" customHeight="true" outlineLevel="0" collapsed="false">
      <c r="A735" s="163" t="s">
        <v>3037</v>
      </c>
      <c r="B735" s="163" t="s">
        <v>957</v>
      </c>
      <c r="C735" s="163" t="s">
        <v>1264</v>
      </c>
      <c r="D735" s="163" t="s">
        <v>2227</v>
      </c>
      <c r="E735" s="164" t="n">
        <v>5000</v>
      </c>
      <c r="F735" s="165" t="s">
        <v>4357</v>
      </c>
    </row>
    <row r="736" customFormat="false" ht="15" hidden="false" customHeight="true" outlineLevel="0" collapsed="false">
      <c r="A736" s="163" t="s">
        <v>3037</v>
      </c>
      <c r="B736" s="163" t="s">
        <v>957</v>
      </c>
      <c r="C736" s="163" t="s">
        <v>3334</v>
      </c>
      <c r="D736" s="163" t="s">
        <v>3335</v>
      </c>
      <c r="E736" s="164" t="n">
        <v>5000</v>
      </c>
      <c r="F736" s="165" t="s">
        <v>4358</v>
      </c>
    </row>
    <row r="737" customFormat="false" ht="15" hidden="false" customHeight="true" outlineLevel="0" collapsed="false">
      <c r="A737" s="163" t="s">
        <v>3037</v>
      </c>
      <c r="B737" s="163" t="s">
        <v>957</v>
      </c>
      <c r="C737" s="163" t="s">
        <v>3102</v>
      </c>
      <c r="D737" s="163" t="s">
        <v>3103</v>
      </c>
      <c r="E737" s="164" t="n">
        <v>5000</v>
      </c>
      <c r="F737" s="165" t="s">
        <v>4359</v>
      </c>
    </row>
    <row r="738" customFormat="false" ht="15" hidden="false" customHeight="true" outlineLevel="0" collapsed="false">
      <c r="A738" s="163" t="s">
        <v>3037</v>
      </c>
      <c r="B738" s="163" t="s">
        <v>945</v>
      </c>
      <c r="C738" s="163" t="s">
        <v>4360</v>
      </c>
      <c r="D738" s="163" t="s">
        <v>4361</v>
      </c>
      <c r="E738" s="164" t="n">
        <v>10000</v>
      </c>
      <c r="F738" s="165" t="s">
        <v>4362</v>
      </c>
    </row>
    <row r="739" customFormat="false" ht="15" hidden="false" customHeight="true" outlineLevel="0" collapsed="false">
      <c r="A739" s="163" t="s">
        <v>3037</v>
      </c>
      <c r="B739" s="163" t="s">
        <v>945</v>
      </c>
      <c r="C739" s="163" t="s">
        <v>4363</v>
      </c>
      <c r="D739" s="163" t="s">
        <v>4364</v>
      </c>
      <c r="E739" s="164" t="n">
        <v>5000</v>
      </c>
      <c r="F739" s="165" t="s">
        <v>4365</v>
      </c>
    </row>
    <row r="740" customFormat="false" ht="15" hidden="false" customHeight="true" outlineLevel="0" collapsed="false">
      <c r="A740" s="163" t="s">
        <v>3037</v>
      </c>
      <c r="B740" s="163" t="s">
        <v>945</v>
      </c>
      <c r="C740" s="163" t="s">
        <v>4366</v>
      </c>
      <c r="D740" s="163" t="s">
        <v>4367</v>
      </c>
      <c r="E740" s="164" t="n">
        <v>5000</v>
      </c>
      <c r="F740" s="165" t="s">
        <v>4368</v>
      </c>
    </row>
    <row r="741" customFormat="false" ht="15" hidden="false" customHeight="true" outlineLevel="0" collapsed="false">
      <c r="A741" s="163" t="s">
        <v>3037</v>
      </c>
      <c r="B741" s="163" t="s">
        <v>945</v>
      </c>
      <c r="C741" s="163" t="s">
        <v>4369</v>
      </c>
      <c r="D741" s="163" t="s">
        <v>4370</v>
      </c>
      <c r="E741" s="164" t="n">
        <v>5000</v>
      </c>
      <c r="F741" s="165" t="s">
        <v>4371</v>
      </c>
    </row>
    <row r="742" customFormat="false" ht="15" hidden="false" customHeight="true" outlineLevel="0" collapsed="false">
      <c r="A742" s="163" t="s">
        <v>3037</v>
      </c>
      <c r="B742" s="163" t="s">
        <v>3111</v>
      </c>
      <c r="C742" s="163" t="s">
        <v>3114</v>
      </c>
      <c r="D742" s="163" t="s">
        <v>3115</v>
      </c>
      <c r="E742" s="164" t="n">
        <v>100000</v>
      </c>
      <c r="F742" s="165" t="s">
        <v>4372</v>
      </c>
    </row>
    <row r="743" customFormat="false" ht="15" hidden="false" customHeight="true" outlineLevel="0" collapsed="false">
      <c r="A743" s="163" t="s">
        <v>3037</v>
      </c>
      <c r="B743" s="163" t="s">
        <v>1938</v>
      </c>
      <c r="C743" s="163" t="s">
        <v>950</v>
      </c>
      <c r="D743" s="163" t="s">
        <v>4373</v>
      </c>
      <c r="E743" s="164" t="n">
        <v>20000</v>
      </c>
      <c r="F743" s="165" t="s">
        <v>4374</v>
      </c>
    </row>
    <row r="744" customFormat="false" ht="15" hidden="false" customHeight="true" outlineLevel="0" collapsed="false">
      <c r="A744" s="163" t="s">
        <v>3037</v>
      </c>
      <c r="B744" s="163" t="s">
        <v>1938</v>
      </c>
      <c r="C744" s="163" t="s">
        <v>3139</v>
      </c>
      <c r="D744" s="163" t="s">
        <v>3140</v>
      </c>
      <c r="E744" s="164" t="n">
        <v>20000</v>
      </c>
      <c r="F744" s="165" t="s">
        <v>4375</v>
      </c>
    </row>
    <row r="745" customFormat="false" ht="15" hidden="false" customHeight="true" outlineLevel="0" collapsed="false">
      <c r="A745" s="163" t="s">
        <v>3037</v>
      </c>
      <c r="B745" s="163" t="s">
        <v>1938</v>
      </c>
      <c r="C745" s="163" t="s">
        <v>3139</v>
      </c>
      <c r="D745" s="163" t="s">
        <v>3140</v>
      </c>
      <c r="E745" s="164" t="n">
        <v>20000</v>
      </c>
      <c r="F745" s="165" t="s">
        <v>4376</v>
      </c>
    </row>
    <row r="746" customFormat="false" ht="15" hidden="false" customHeight="true" outlineLevel="0" collapsed="false">
      <c r="A746" s="163" t="s">
        <v>3037</v>
      </c>
      <c r="B746" s="163" t="s">
        <v>1938</v>
      </c>
      <c r="C746" s="163" t="s">
        <v>3139</v>
      </c>
      <c r="D746" s="163" t="s">
        <v>3140</v>
      </c>
      <c r="E746" s="164" t="n">
        <v>20000</v>
      </c>
      <c r="F746" s="165" t="s">
        <v>4377</v>
      </c>
    </row>
    <row r="747" customFormat="false" ht="15" hidden="false" customHeight="true" outlineLevel="0" collapsed="false">
      <c r="A747" s="163" t="s">
        <v>3037</v>
      </c>
      <c r="B747" s="163" t="s">
        <v>1938</v>
      </c>
      <c r="C747" s="163" t="s">
        <v>4378</v>
      </c>
      <c r="D747" s="163" t="s">
        <v>4379</v>
      </c>
      <c r="E747" s="164" t="n">
        <v>20000</v>
      </c>
      <c r="F747" s="165" t="s">
        <v>4380</v>
      </c>
    </row>
    <row r="748" customFormat="false" ht="15" hidden="false" customHeight="true" outlineLevel="0" collapsed="false">
      <c r="A748" s="163" t="s">
        <v>3037</v>
      </c>
      <c r="B748" s="163" t="s">
        <v>1938</v>
      </c>
      <c r="C748" s="163" t="s">
        <v>935</v>
      </c>
      <c r="D748" s="163" t="s">
        <v>3162</v>
      </c>
      <c r="E748" s="164" t="n">
        <v>20000</v>
      </c>
      <c r="F748" s="165" t="s">
        <v>4381</v>
      </c>
    </row>
    <row r="749" customFormat="false" ht="15" hidden="false" customHeight="true" outlineLevel="0" collapsed="false">
      <c r="A749" s="163" t="s">
        <v>3037</v>
      </c>
      <c r="B749" s="163" t="s">
        <v>1938</v>
      </c>
      <c r="C749" s="163" t="s">
        <v>3063</v>
      </c>
      <c r="D749" s="163" t="s">
        <v>3064</v>
      </c>
      <c r="E749" s="164" t="n">
        <v>20000</v>
      </c>
      <c r="F749" s="165" t="s">
        <v>4382</v>
      </c>
    </row>
    <row r="750" customFormat="false" ht="15" hidden="false" customHeight="true" outlineLevel="0" collapsed="false">
      <c r="A750" s="163" t="s">
        <v>3037</v>
      </c>
      <c r="B750" s="163" t="s">
        <v>1938</v>
      </c>
      <c r="C750" s="163" t="s">
        <v>431</v>
      </c>
      <c r="D750" s="163" t="s">
        <v>2678</v>
      </c>
      <c r="E750" s="164" t="n">
        <v>20000</v>
      </c>
      <c r="F750" s="165" t="s">
        <v>4377</v>
      </c>
    </row>
    <row r="751" customFormat="false" ht="15" hidden="false" customHeight="true" outlineLevel="0" collapsed="false">
      <c r="A751" s="163" t="s">
        <v>3037</v>
      </c>
      <c r="B751" s="163" t="s">
        <v>1938</v>
      </c>
      <c r="C751" s="163" t="s">
        <v>431</v>
      </c>
      <c r="D751" s="163" t="s">
        <v>2678</v>
      </c>
      <c r="E751" s="164" t="n">
        <v>20000</v>
      </c>
      <c r="F751" s="165" t="s">
        <v>4383</v>
      </c>
    </row>
    <row r="752" customFormat="false" ht="15" hidden="false" customHeight="true" outlineLevel="0" collapsed="false">
      <c r="A752" s="163" t="s">
        <v>3037</v>
      </c>
      <c r="B752" s="163" t="s">
        <v>1938</v>
      </c>
      <c r="C752" s="163" t="s">
        <v>4384</v>
      </c>
      <c r="D752" s="163" t="s">
        <v>4385</v>
      </c>
      <c r="E752" s="164" t="n">
        <v>20000</v>
      </c>
      <c r="F752" s="165" t="s">
        <v>4386</v>
      </c>
    </row>
    <row r="753" customFormat="false" ht="15" hidden="false" customHeight="true" outlineLevel="0" collapsed="false">
      <c r="A753" s="163" t="s">
        <v>3037</v>
      </c>
      <c r="B753" s="163" t="s">
        <v>1938</v>
      </c>
      <c r="C753" s="163" t="s">
        <v>4384</v>
      </c>
      <c r="D753" s="163" t="s">
        <v>4385</v>
      </c>
      <c r="E753" s="164" t="n">
        <v>20000</v>
      </c>
      <c r="F753" s="165" t="s">
        <v>4377</v>
      </c>
    </row>
    <row r="754" customFormat="false" ht="15" hidden="false" customHeight="true" outlineLevel="0" collapsed="false">
      <c r="A754" s="163" t="s">
        <v>3037</v>
      </c>
      <c r="B754" s="163" t="s">
        <v>1938</v>
      </c>
      <c r="C754" s="163" t="s">
        <v>3135</v>
      </c>
      <c r="D754" s="163" t="s">
        <v>3136</v>
      </c>
      <c r="E754" s="164" t="n">
        <v>20000</v>
      </c>
      <c r="F754" s="165" t="s">
        <v>4387</v>
      </c>
    </row>
    <row r="755" customFormat="false" ht="15" hidden="false" customHeight="true" outlineLevel="0" collapsed="false">
      <c r="A755" s="163" t="s">
        <v>3037</v>
      </c>
      <c r="B755" s="163" t="s">
        <v>1938</v>
      </c>
      <c r="C755" s="163" t="s">
        <v>4388</v>
      </c>
      <c r="D755" s="163" t="s">
        <v>4389</v>
      </c>
      <c r="E755" s="164" t="n">
        <v>20000</v>
      </c>
      <c r="F755" s="165" t="s">
        <v>4382</v>
      </c>
    </row>
    <row r="756" customFormat="false" ht="15" hidden="false" customHeight="true" outlineLevel="0" collapsed="false">
      <c r="A756" s="163" t="s">
        <v>3037</v>
      </c>
      <c r="B756" s="163" t="s">
        <v>1938</v>
      </c>
      <c r="C756" s="163" t="s">
        <v>4390</v>
      </c>
      <c r="D756" s="163" t="s">
        <v>4391</v>
      </c>
      <c r="E756" s="164" t="n">
        <v>20000</v>
      </c>
      <c r="F756" s="165" t="s">
        <v>4392</v>
      </c>
    </row>
    <row r="757" customFormat="false" ht="15" hidden="false" customHeight="true" outlineLevel="0" collapsed="false">
      <c r="A757" s="163" t="s">
        <v>3037</v>
      </c>
      <c r="B757" s="163" t="s">
        <v>1938</v>
      </c>
      <c r="C757" s="163" t="s">
        <v>4390</v>
      </c>
      <c r="D757" s="163" t="s">
        <v>4391</v>
      </c>
      <c r="E757" s="164" t="n">
        <v>20000</v>
      </c>
      <c r="F757" s="165" t="s">
        <v>4386</v>
      </c>
    </row>
    <row r="758" customFormat="false" ht="15" hidden="false" customHeight="true" outlineLevel="0" collapsed="false">
      <c r="A758" s="163" t="s">
        <v>3037</v>
      </c>
      <c r="B758" s="163" t="s">
        <v>1938</v>
      </c>
      <c r="C758" s="163" t="s">
        <v>4393</v>
      </c>
      <c r="D758" s="163" t="s">
        <v>4394</v>
      </c>
      <c r="E758" s="164" t="n">
        <v>20000</v>
      </c>
      <c r="F758" s="165" t="s">
        <v>4395</v>
      </c>
    </row>
    <row r="759" customFormat="false" ht="15" hidden="false" customHeight="true" outlineLevel="0" collapsed="false">
      <c r="A759" s="163" t="s">
        <v>3037</v>
      </c>
      <c r="B759" s="163" t="s">
        <v>1938</v>
      </c>
      <c r="C759" s="163" t="s">
        <v>3139</v>
      </c>
      <c r="D759" s="163" t="s">
        <v>3140</v>
      </c>
      <c r="E759" s="164" t="n">
        <v>20000</v>
      </c>
      <c r="F759" s="165" t="s">
        <v>4375</v>
      </c>
    </row>
    <row r="760" customFormat="false" ht="15" hidden="false" customHeight="true" outlineLevel="0" collapsed="false">
      <c r="A760" s="163" t="s">
        <v>3037</v>
      </c>
      <c r="B760" s="163" t="s">
        <v>691</v>
      </c>
      <c r="C760" s="163" t="s">
        <v>4396</v>
      </c>
      <c r="D760" s="163" t="s">
        <v>4397</v>
      </c>
      <c r="E760" s="164" t="n">
        <v>50000</v>
      </c>
      <c r="F760" s="165" t="s">
        <v>4398</v>
      </c>
    </row>
    <row r="761" customFormat="false" ht="15" hidden="false" customHeight="true" outlineLevel="0" collapsed="false">
      <c r="A761" s="163" t="s">
        <v>3037</v>
      </c>
      <c r="B761" s="163" t="s">
        <v>691</v>
      </c>
      <c r="C761" s="163" t="s">
        <v>4399</v>
      </c>
      <c r="D761" s="163" t="s">
        <v>4400</v>
      </c>
      <c r="E761" s="164" t="n">
        <v>15000</v>
      </c>
      <c r="F761" s="165" t="s">
        <v>4401</v>
      </c>
    </row>
    <row r="762" customFormat="false" ht="15" hidden="false" customHeight="true" outlineLevel="0" collapsed="false">
      <c r="A762" s="163" t="s">
        <v>3037</v>
      </c>
      <c r="B762" s="163" t="s">
        <v>691</v>
      </c>
      <c r="C762" s="163" t="s">
        <v>3139</v>
      </c>
      <c r="D762" s="163" t="s">
        <v>3140</v>
      </c>
      <c r="E762" s="164" t="n">
        <v>10000</v>
      </c>
      <c r="F762" s="165" t="s">
        <v>4402</v>
      </c>
    </row>
    <row r="763" customFormat="false" ht="15" hidden="false" customHeight="true" outlineLevel="0" collapsed="false">
      <c r="A763" s="163" t="s">
        <v>3037</v>
      </c>
      <c r="B763" s="163" t="s">
        <v>691</v>
      </c>
      <c r="C763" s="163" t="s">
        <v>3290</v>
      </c>
      <c r="D763" s="163" t="s">
        <v>3291</v>
      </c>
      <c r="E763" s="164" t="n">
        <v>10000</v>
      </c>
      <c r="F763" s="165" t="s">
        <v>4403</v>
      </c>
    </row>
    <row r="764" customFormat="false" ht="15" hidden="false" customHeight="true" outlineLevel="0" collapsed="false">
      <c r="A764" s="163" t="s">
        <v>3037</v>
      </c>
      <c r="B764" s="163" t="s">
        <v>691</v>
      </c>
      <c r="C764" s="163" t="s">
        <v>3151</v>
      </c>
      <c r="D764" s="163" t="s">
        <v>3152</v>
      </c>
      <c r="E764" s="164" t="n">
        <v>10000</v>
      </c>
      <c r="F764" s="165" t="s">
        <v>4404</v>
      </c>
    </row>
    <row r="765" customFormat="false" ht="15" hidden="false" customHeight="true" outlineLevel="0" collapsed="false">
      <c r="A765" s="163" t="s">
        <v>3037</v>
      </c>
      <c r="B765" s="163" t="s">
        <v>691</v>
      </c>
      <c r="C765" s="163" t="s">
        <v>4405</v>
      </c>
      <c r="D765" s="163" t="s">
        <v>4406</v>
      </c>
      <c r="E765" s="164" t="n">
        <v>10000</v>
      </c>
      <c r="F765" s="165" t="s">
        <v>4407</v>
      </c>
    </row>
    <row r="766" customFormat="false" ht="15" hidden="false" customHeight="true" outlineLevel="0" collapsed="false">
      <c r="A766" s="163" t="s">
        <v>3037</v>
      </c>
      <c r="B766" s="163" t="s">
        <v>691</v>
      </c>
      <c r="C766" s="163" t="s">
        <v>4408</v>
      </c>
      <c r="D766" s="163" t="s">
        <v>4409</v>
      </c>
      <c r="E766" s="164" t="n">
        <v>10000</v>
      </c>
      <c r="F766" s="165" t="s">
        <v>4410</v>
      </c>
    </row>
    <row r="767" customFormat="false" ht="15" hidden="false" customHeight="true" outlineLevel="0" collapsed="false">
      <c r="A767" s="163" t="s">
        <v>3037</v>
      </c>
      <c r="B767" s="163" t="s">
        <v>691</v>
      </c>
      <c r="C767" s="163" t="s">
        <v>4411</v>
      </c>
      <c r="D767" s="163" t="s">
        <v>4412</v>
      </c>
      <c r="E767" s="164" t="n">
        <v>10000</v>
      </c>
      <c r="F767" s="165" t="s">
        <v>4413</v>
      </c>
    </row>
    <row r="768" customFormat="false" ht="15" hidden="false" customHeight="true" outlineLevel="0" collapsed="false">
      <c r="A768" s="163" t="s">
        <v>3037</v>
      </c>
      <c r="B768" s="163" t="s">
        <v>691</v>
      </c>
      <c r="C768" s="163" t="s">
        <v>4414</v>
      </c>
      <c r="D768" s="163" t="s">
        <v>4415</v>
      </c>
      <c r="E768" s="164" t="n">
        <v>10000</v>
      </c>
      <c r="F768" s="165" t="s">
        <v>4416</v>
      </c>
    </row>
    <row r="769" customFormat="false" ht="15" hidden="false" customHeight="true" outlineLevel="0" collapsed="false">
      <c r="A769" s="163" t="s">
        <v>3037</v>
      </c>
      <c r="B769" s="163" t="s">
        <v>691</v>
      </c>
      <c r="C769" s="163" t="s">
        <v>3208</v>
      </c>
      <c r="D769" s="163" t="s">
        <v>3209</v>
      </c>
      <c r="E769" s="164" t="n">
        <v>10000</v>
      </c>
      <c r="F769" s="165" t="s">
        <v>4417</v>
      </c>
    </row>
    <row r="770" customFormat="false" ht="15" hidden="false" customHeight="true" outlineLevel="0" collapsed="false">
      <c r="A770" s="163" t="s">
        <v>3037</v>
      </c>
      <c r="B770" s="163" t="s">
        <v>2027</v>
      </c>
      <c r="C770" s="163" t="s">
        <v>3317</v>
      </c>
      <c r="D770" s="163" t="s">
        <v>3318</v>
      </c>
      <c r="E770" s="164" t="n">
        <v>20000</v>
      </c>
      <c r="F770" s="165" t="s">
        <v>4418</v>
      </c>
    </row>
    <row r="771" customFormat="false" ht="15" hidden="false" customHeight="true" outlineLevel="0" collapsed="false">
      <c r="A771" s="163" t="s">
        <v>3037</v>
      </c>
      <c r="B771" s="163" t="s">
        <v>2027</v>
      </c>
      <c r="C771" s="163" t="s">
        <v>360</v>
      </c>
      <c r="D771" s="163" t="s">
        <v>2685</v>
      </c>
      <c r="E771" s="164" t="n">
        <v>20000</v>
      </c>
      <c r="F771" s="165" t="s">
        <v>4419</v>
      </c>
    </row>
    <row r="772" customFormat="false" ht="15" hidden="false" customHeight="true" outlineLevel="0" collapsed="false">
      <c r="A772" s="163" t="s">
        <v>3037</v>
      </c>
      <c r="B772" s="163" t="s">
        <v>2027</v>
      </c>
      <c r="C772" s="163" t="s">
        <v>4420</v>
      </c>
      <c r="D772" s="163" t="s">
        <v>4421</v>
      </c>
      <c r="E772" s="164" t="n">
        <v>20000</v>
      </c>
      <c r="F772" s="165" t="s">
        <v>4422</v>
      </c>
    </row>
    <row r="773" customFormat="false" ht="15" hidden="false" customHeight="true" outlineLevel="0" collapsed="false">
      <c r="A773" s="163" t="s">
        <v>3037</v>
      </c>
      <c r="B773" s="163" t="s">
        <v>2027</v>
      </c>
      <c r="C773" s="163" t="s">
        <v>4423</v>
      </c>
      <c r="D773" s="163" t="s">
        <v>4424</v>
      </c>
      <c r="E773" s="164" t="n">
        <v>10000</v>
      </c>
      <c r="F773" s="165" t="s">
        <v>4425</v>
      </c>
    </row>
    <row r="774" customFormat="false" ht="15" hidden="false" customHeight="true" outlineLevel="0" collapsed="false">
      <c r="A774" s="163" t="s">
        <v>3037</v>
      </c>
      <c r="B774" s="163" t="s">
        <v>2027</v>
      </c>
      <c r="C774" s="163" t="s">
        <v>473</v>
      </c>
      <c r="D774" s="163" t="s">
        <v>2764</v>
      </c>
      <c r="E774" s="164" t="n">
        <v>10000</v>
      </c>
      <c r="F774" s="165" t="s">
        <v>4426</v>
      </c>
    </row>
    <row r="775" customFormat="false" ht="15" hidden="false" customHeight="true" outlineLevel="0" collapsed="false">
      <c r="A775" s="163" t="s">
        <v>3037</v>
      </c>
      <c r="B775" s="163" t="s">
        <v>2027</v>
      </c>
      <c r="C775" s="163" t="s">
        <v>4427</v>
      </c>
      <c r="D775" s="163" t="s">
        <v>4428</v>
      </c>
      <c r="E775" s="164" t="n">
        <v>10000</v>
      </c>
      <c r="F775" s="165" t="s">
        <v>4429</v>
      </c>
    </row>
    <row r="776" customFormat="false" ht="15" hidden="false" customHeight="true" outlineLevel="0" collapsed="false">
      <c r="A776" s="163" t="s">
        <v>3037</v>
      </c>
      <c r="B776" s="163" t="s">
        <v>2037</v>
      </c>
      <c r="C776" s="163" t="s">
        <v>4360</v>
      </c>
      <c r="D776" s="163" t="s">
        <v>4361</v>
      </c>
      <c r="E776" s="164" t="n">
        <v>30000</v>
      </c>
      <c r="F776" s="165" t="s">
        <v>4362</v>
      </c>
    </row>
    <row r="777" customFormat="false" ht="15" hidden="false" customHeight="true" outlineLevel="0" collapsed="false">
      <c r="A777" s="163" t="s">
        <v>3037</v>
      </c>
      <c r="B777" s="163" t="s">
        <v>2037</v>
      </c>
      <c r="C777" s="163" t="s">
        <v>4430</v>
      </c>
      <c r="D777" s="163" t="s">
        <v>4431</v>
      </c>
      <c r="E777" s="164" t="n">
        <v>28000</v>
      </c>
      <c r="F777" s="165" t="s">
        <v>4432</v>
      </c>
    </row>
    <row r="778" customFormat="false" ht="15" hidden="false" customHeight="true" outlineLevel="0" collapsed="false">
      <c r="A778" s="163" t="s">
        <v>3037</v>
      </c>
      <c r="B778" s="163" t="s">
        <v>2037</v>
      </c>
      <c r="C778" s="163" t="s">
        <v>3215</v>
      </c>
      <c r="D778" s="163" t="s">
        <v>3216</v>
      </c>
      <c r="E778" s="164" t="n">
        <v>10000</v>
      </c>
      <c r="F778" s="165" t="s">
        <v>4433</v>
      </c>
    </row>
    <row r="779" customFormat="false" ht="15" hidden="false" customHeight="true" outlineLevel="0" collapsed="false">
      <c r="A779" s="163" t="s">
        <v>3037</v>
      </c>
      <c r="B779" s="163" t="s">
        <v>2037</v>
      </c>
      <c r="C779" s="163" t="s">
        <v>4434</v>
      </c>
      <c r="D779" s="163" t="s">
        <v>4435</v>
      </c>
      <c r="E779" s="164" t="n">
        <v>10000</v>
      </c>
      <c r="F779" s="165" t="s">
        <v>4436</v>
      </c>
    </row>
    <row r="780" customFormat="false" ht="15" hidden="false" customHeight="true" outlineLevel="0" collapsed="false">
      <c r="A780" s="163" t="s">
        <v>3037</v>
      </c>
      <c r="B780" s="163" t="s">
        <v>2037</v>
      </c>
      <c r="C780" s="163" t="s">
        <v>4437</v>
      </c>
      <c r="D780" s="163" t="s">
        <v>4438</v>
      </c>
      <c r="E780" s="164" t="n">
        <v>5000</v>
      </c>
      <c r="F780" s="165" t="s">
        <v>4439</v>
      </c>
    </row>
    <row r="781" customFormat="false" ht="15" hidden="false" customHeight="true" outlineLevel="0" collapsed="false">
      <c r="A781" s="163" t="s">
        <v>3037</v>
      </c>
      <c r="B781" s="163" t="s">
        <v>2037</v>
      </c>
      <c r="C781" s="163" t="s">
        <v>3444</v>
      </c>
      <c r="D781" s="163" t="s">
        <v>3445</v>
      </c>
      <c r="E781" s="164" t="n">
        <v>5000</v>
      </c>
      <c r="F781" s="165" t="s">
        <v>4440</v>
      </c>
    </row>
    <row r="782" customFormat="false" ht="15" hidden="false" customHeight="true" outlineLevel="0" collapsed="false">
      <c r="A782" s="163" t="s">
        <v>3037</v>
      </c>
      <c r="B782" s="163" t="s">
        <v>2037</v>
      </c>
      <c r="C782" s="163" t="s">
        <v>4441</v>
      </c>
      <c r="D782" s="163" t="s">
        <v>4442</v>
      </c>
      <c r="E782" s="164" t="n">
        <v>5000</v>
      </c>
      <c r="F782" s="165" t="s">
        <v>4443</v>
      </c>
    </row>
    <row r="783" customFormat="false" ht="15" hidden="false" customHeight="true" outlineLevel="0" collapsed="false">
      <c r="A783" s="163" t="s">
        <v>3037</v>
      </c>
      <c r="B783" s="163" t="s">
        <v>2037</v>
      </c>
      <c r="C783" s="163" t="s">
        <v>3099</v>
      </c>
      <c r="D783" s="163" t="s">
        <v>3100</v>
      </c>
      <c r="E783" s="164" t="n">
        <v>5000</v>
      </c>
      <c r="F783" s="165" t="s">
        <v>4444</v>
      </c>
    </row>
    <row r="784" customFormat="false" ht="15" hidden="false" customHeight="true" outlineLevel="0" collapsed="false">
      <c r="A784" s="163" t="s">
        <v>3037</v>
      </c>
      <c r="B784" s="163" t="s">
        <v>2037</v>
      </c>
      <c r="C784" s="163" t="s">
        <v>4445</v>
      </c>
      <c r="D784" s="163" t="s">
        <v>4446</v>
      </c>
      <c r="E784" s="164" t="n">
        <v>5000</v>
      </c>
      <c r="F784" s="165" t="s">
        <v>4447</v>
      </c>
    </row>
    <row r="785" customFormat="false" ht="15" hidden="false" customHeight="true" outlineLevel="0" collapsed="false">
      <c r="A785" s="163" t="s">
        <v>3037</v>
      </c>
      <c r="B785" s="163" t="s">
        <v>2037</v>
      </c>
      <c r="C785" s="163" t="s">
        <v>4448</v>
      </c>
      <c r="D785" s="163" t="s">
        <v>4449</v>
      </c>
      <c r="E785" s="164" t="n">
        <v>5000</v>
      </c>
      <c r="F785" s="165" t="s">
        <v>4371</v>
      </c>
    </row>
    <row r="786" customFormat="false" ht="15" hidden="false" customHeight="true" outlineLevel="0" collapsed="false">
      <c r="A786" s="163" t="s">
        <v>3037</v>
      </c>
      <c r="B786" s="163" t="s">
        <v>2037</v>
      </c>
      <c r="C786" s="163" t="s">
        <v>1860</v>
      </c>
      <c r="D786" s="163" t="s">
        <v>1861</v>
      </c>
      <c r="E786" s="164" t="n">
        <v>5000</v>
      </c>
      <c r="F786" s="165" t="s">
        <v>4450</v>
      </c>
    </row>
    <row r="787" customFormat="false" ht="15" hidden="false" customHeight="true" outlineLevel="0" collapsed="false">
      <c r="A787" s="163" t="s">
        <v>3037</v>
      </c>
      <c r="B787" s="163" t="s">
        <v>2037</v>
      </c>
      <c r="C787" s="163" t="s">
        <v>3309</v>
      </c>
      <c r="D787" s="163" t="s">
        <v>3310</v>
      </c>
      <c r="E787" s="164" t="n">
        <v>5000</v>
      </c>
      <c r="F787" s="165" t="s">
        <v>4451</v>
      </c>
    </row>
    <row r="788" customFormat="false" ht="15" hidden="false" customHeight="true" outlineLevel="0" collapsed="false">
      <c r="A788" s="163" t="s">
        <v>3037</v>
      </c>
      <c r="B788" s="163" t="s">
        <v>2037</v>
      </c>
      <c r="C788" s="163" t="s">
        <v>4452</v>
      </c>
      <c r="D788" s="163" t="s">
        <v>4453</v>
      </c>
      <c r="E788" s="164" t="n">
        <v>5000</v>
      </c>
      <c r="F788" s="165" t="s">
        <v>4454</v>
      </c>
    </row>
    <row r="789" customFormat="false" ht="15" hidden="false" customHeight="true" outlineLevel="0" collapsed="false">
      <c r="A789" s="163" t="s">
        <v>3037</v>
      </c>
      <c r="B789" s="163" t="s">
        <v>2037</v>
      </c>
      <c r="C789" s="163" t="s">
        <v>4455</v>
      </c>
      <c r="D789" s="163" t="s">
        <v>4456</v>
      </c>
      <c r="E789" s="164" t="n">
        <v>5000</v>
      </c>
      <c r="F789" s="165" t="s">
        <v>4433</v>
      </c>
    </row>
    <row r="790" customFormat="false" ht="15" hidden="false" customHeight="true" outlineLevel="0" collapsed="false">
      <c r="A790" s="163" t="s">
        <v>3037</v>
      </c>
      <c r="B790" s="163" t="s">
        <v>2037</v>
      </c>
      <c r="C790" s="163" t="s">
        <v>452</v>
      </c>
      <c r="D790" s="163" t="s">
        <v>1931</v>
      </c>
      <c r="E790" s="164" t="n">
        <v>5000</v>
      </c>
      <c r="F790" s="165" t="s">
        <v>4457</v>
      </c>
    </row>
    <row r="791" customFormat="false" ht="15" hidden="false" customHeight="true" outlineLevel="0" collapsed="false">
      <c r="A791" s="163" t="s">
        <v>3037</v>
      </c>
      <c r="B791" s="163" t="s">
        <v>894</v>
      </c>
      <c r="C791" s="163" t="s">
        <v>4229</v>
      </c>
      <c r="D791" s="163" t="s">
        <v>4230</v>
      </c>
      <c r="E791" s="164" t="n">
        <v>19000</v>
      </c>
      <c r="F791" s="165" t="s">
        <v>4458</v>
      </c>
    </row>
    <row r="792" customFormat="false" ht="15" hidden="false" customHeight="true" outlineLevel="0" collapsed="false">
      <c r="A792" s="163" t="s">
        <v>3037</v>
      </c>
      <c r="B792" s="163" t="s">
        <v>894</v>
      </c>
      <c r="C792" s="163" t="s">
        <v>3114</v>
      </c>
      <c r="D792" s="163" t="s">
        <v>3115</v>
      </c>
      <c r="E792" s="164" t="n">
        <v>19000</v>
      </c>
      <c r="F792" s="165" t="s">
        <v>4459</v>
      </c>
    </row>
    <row r="793" customFormat="false" ht="15" hidden="false" customHeight="true" outlineLevel="0" collapsed="false">
      <c r="A793" s="163" t="s">
        <v>3037</v>
      </c>
      <c r="B793" s="163" t="s">
        <v>894</v>
      </c>
      <c r="C793" s="163" t="s">
        <v>3090</v>
      </c>
      <c r="D793" s="163" t="s">
        <v>3091</v>
      </c>
      <c r="E793" s="164" t="n">
        <v>13500</v>
      </c>
      <c r="F793" s="165" t="s">
        <v>4460</v>
      </c>
    </row>
    <row r="794" customFormat="false" ht="15" hidden="false" customHeight="true" outlineLevel="0" collapsed="false">
      <c r="A794" s="163" t="s">
        <v>3037</v>
      </c>
      <c r="B794" s="163" t="s">
        <v>894</v>
      </c>
      <c r="C794" s="163" t="s">
        <v>3269</v>
      </c>
      <c r="D794" s="163" t="s">
        <v>3270</v>
      </c>
      <c r="E794" s="164" t="n">
        <v>10000</v>
      </c>
      <c r="F794" s="165" t="s">
        <v>4461</v>
      </c>
    </row>
    <row r="795" customFormat="false" ht="15" hidden="false" customHeight="true" outlineLevel="0" collapsed="false">
      <c r="A795" s="163" t="s">
        <v>3037</v>
      </c>
      <c r="B795" s="163" t="s">
        <v>894</v>
      </c>
      <c r="C795" s="163" t="s">
        <v>4462</v>
      </c>
      <c r="D795" s="163" t="s">
        <v>4463</v>
      </c>
      <c r="E795" s="164" t="n">
        <v>10000</v>
      </c>
      <c r="F795" s="165" t="s">
        <v>4464</v>
      </c>
    </row>
    <row r="796" customFormat="false" ht="15" hidden="false" customHeight="true" outlineLevel="0" collapsed="false">
      <c r="A796" s="163" t="s">
        <v>3037</v>
      </c>
      <c r="B796" s="163" t="s">
        <v>894</v>
      </c>
      <c r="C796" s="163" t="s">
        <v>893</v>
      </c>
      <c r="D796" s="163" t="s">
        <v>1931</v>
      </c>
      <c r="E796" s="164" t="n">
        <v>10000</v>
      </c>
      <c r="F796" s="165" t="s">
        <v>4465</v>
      </c>
    </row>
    <row r="797" customFormat="false" ht="15" hidden="false" customHeight="true" outlineLevel="0" collapsed="false">
      <c r="A797" s="163" t="s">
        <v>3037</v>
      </c>
      <c r="B797" s="163" t="s">
        <v>894</v>
      </c>
      <c r="C797" s="163" t="s">
        <v>893</v>
      </c>
      <c r="D797" s="163" t="s">
        <v>1931</v>
      </c>
      <c r="E797" s="164" t="n">
        <v>10000</v>
      </c>
      <c r="F797" s="165" t="s">
        <v>4466</v>
      </c>
    </row>
    <row r="798" customFormat="false" ht="15" hidden="false" customHeight="true" outlineLevel="0" collapsed="false">
      <c r="A798" s="163" t="s">
        <v>3037</v>
      </c>
      <c r="B798" s="163" t="s">
        <v>894</v>
      </c>
      <c r="C798" s="163" t="s">
        <v>4399</v>
      </c>
      <c r="D798" s="163" t="s">
        <v>4400</v>
      </c>
      <c r="E798" s="164" t="n">
        <v>10000</v>
      </c>
      <c r="F798" s="165" t="s">
        <v>4467</v>
      </c>
    </row>
    <row r="799" customFormat="false" ht="15" hidden="false" customHeight="true" outlineLevel="0" collapsed="false">
      <c r="A799" s="163" t="s">
        <v>3037</v>
      </c>
      <c r="B799" s="163" t="s">
        <v>894</v>
      </c>
      <c r="C799" s="163" t="s">
        <v>893</v>
      </c>
      <c r="D799" s="163" t="s">
        <v>1931</v>
      </c>
      <c r="E799" s="164" t="n">
        <v>9000</v>
      </c>
      <c r="F799" s="165" t="s">
        <v>4468</v>
      </c>
    </row>
    <row r="800" customFormat="false" ht="15" hidden="false" customHeight="true" outlineLevel="0" collapsed="false">
      <c r="A800" s="163" t="s">
        <v>3037</v>
      </c>
      <c r="B800" s="163" t="s">
        <v>894</v>
      </c>
      <c r="C800" s="163" t="s">
        <v>893</v>
      </c>
      <c r="D800" s="163" t="s">
        <v>1931</v>
      </c>
      <c r="E800" s="164" t="n">
        <v>8000</v>
      </c>
      <c r="F800" s="165" t="s">
        <v>4469</v>
      </c>
    </row>
    <row r="801" customFormat="false" ht="15" hidden="false" customHeight="true" outlineLevel="0" collapsed="false">
      <c r="A801" s="163" t="s">
        <v>3037</v>
      </c>
      <c r="B801" s="163" t="s">
        <v>894</v>
      </c>
      <c r="C801" s="163" t="s">
        <v>4470</v>
      </c>
      <c r="D801" s="163" t="s">
        <v>4471</v>
      </c>
      <c r="E801" s="164" t="n">
        <v>7500</v>
      </c>
      <c r="F801" s="165" t="s">
        <v>4472</v>
      </c>
    </row>
    <row r="802" customFormat="false" ht="15" hidden="false" customHeight="true" outlineLevel="0" collapsed="false">
      <c r="A802" s="163" t="s">
        <v>3037</v>
      </c>
      <c r="B802" s="163" t="s">
        <v>894</v>
      </c>
      <c r="C802" s="163" t="s">
        <v>4473</v>
      </c>
      <c r="D802" s="163" t="s">
        <v>4474</v>
      </c>
      <c r="E802" s="164" t="n">
        <v>7500</v>
      </c>
      <c r="F802" s="165" t="s">
        <v>4475</v>
      </c>
    </row>
    <row r="803" customFormat="false" ht="15" hidden="false" customHeight="true" outlineLevel="0" collapsed="false">
      <c r="A803" s="163" t="s">
        <v>3037</v>
      </c>
      <c r="B803" s="163" t="s">
        <v>894</v>
      </c>
      <c r="C803" s="163" t="s">
        <v>974</v>
      </c>
      <c r="D803" s="163" t="s">
        <v>1931</v>
      </c>
      <c r="E803" s="164" t="n">
        <v>7000</v>
      </c>
      <c r="F803" s="165" t="s">
        <v>4476</v>
      </c>
    </row>
    <row r="804" customFormat="false" ht="15" hidden="false" customHeight="true" outlineLevel="0" collapsed="false">
      <c r="A804" s="163" t="s">
        <v>3037</v>
      </c>
      <c r="B804" s="163" t="s">
        <v>894</v>
      </c>
      <c r="C804" s="163" t="s">
        <v>3255</v>
      </c>
      <c r="D804" s="163" t="s">
        <v>1931</v>
      </c>
      <c r="E804" s="164" t="n">
        <v>6000</v>
      </c>
      <c r="F804" s="165" t="s">
        <v>4477</v>
      </c>
    </row>
    <row r="805" customFormat="false" ht="15" hidden="false" customHeight="true" outlineLevel="0" collapsed="false">
      <c r="A805" s="163" t="s">
        <v>3037</v>
      </c>
      <c r="B805" s="163" t="s">
        <v>894</v>
      </c>
      <c r="C805" s="163" t="s">
        <v>4478</v>
      </c>
      <c r="D805" s="163" t="s">
        <v>4479</v>
      </c>
      <c r="E805" s="164" t="n">
        <v>5000</v>
      </c>
      <c r="F805" s="165" t="s">
        <v>4480</v>
      </c>
    </row>
    <row r="806" customFormat="false" ht="15" hidden="false" customHeight="true" outlineLevel="0" collapsed="false">
      <c r="A806" s="163" t="s">
        <v>3037</v>
      </c>
      <c r="B806" s="163" t="s">
        <v>894</v>
      </c>
      <c r="C806" s="163" t="s">
        <v>4481</v>
      </c>
      <c r="D806" s="163" t="s">
        <v>4482</v>
      </c>
      <c r="E806" s="164" t="n">
        <v>5000</v>
      </c>
      <c r="F806" s="165" t="s">
        <v>4483</v>
      </c>
    </row>
    <row r="807" customFormat="false" ht="15" hidden="false" customHeight="true" outlineLevel="0" collapsed="false">
      <c r="A807" s="163" t="s">
        <v>3037</v>
      </c>
      <c r="B807" s="163" t="s">
        <v>894</v>
      </c>
      <c r="C807" s="163" t="s">
        <v>4484</v>
      </c>
      <c r="D807" s="163" t="s">
        <v>4485</v>
      </c>
      <c r="E807" s="164" t="n">
        <v>5000</v>
      </c>
      <c r="F807" s="165" t="s">
        <v>4486</v>
      </c>
    </row>
    <row r="808" customFormat="false" ht="15" hidden="false" customHeight="true" outlineLevel="0" collapsed="false">
      <c r="A808" s="163" t="s">
        <v>3037</v>
      </c>
      <c r="B808" s="163" t="s">
        <v>894</v>
      </c>
      <c r="C808" s="163" t="s">
        <v>3188</v>
      </c>
      <c r="D808" s="163" t="s">
        <v>3189</v>
      </c>
      <c r="E808" s="164" t="n">
        <v>5000</v>
      </c>
      <c r="F808" s="165" t="s">
        <v>4487</v>
      </c>
    </row>
    <row r="809" customFormat="false" ht="15" hidden="false" customHeight="true" outlineLevel="0" collapsed="false">
      <c r="A809" s="163" t="s">
        <v>3037</v>
      </c>
      <c r="B809" s="163" t="s">
        <v>894</v>
      </c>
      <c r="C809" s="163" t="s">
        <v>4488</v>
      </c>
      <c r="D809" s="163" t="s">
        <v>4489</v>
      </c>
      <c r="E809" s="164" t="n">
        <v>5000</v>
      </c>
      <c r="F809" s="165" t="s">
        <v>4490</v>
      </c>
    </row>
    <row r="810" customFormat="false" ht="15" hidden="false" customHeight="true" outlineLevel="0" collapsed="false">
      <c r="A810" s="163" t="s">
        <v>3037</v>
      </c>
      <c r="B810" s="163" t="s">
        <v>894</v>
      </c>
      <c r="C810" s="163" t="s">
        <v>4491</v>
      </c>
      <c r="D810" s="163" t="s">
        <v>4492</v>
      </c>
      <c r="E810" s="164" t="n">
        <v>5000</v>
      </c>
      <c r="F810" s="165" t="s">
        <v>4493</v>
      </c>
    </row>
    <row r="811" customFormat="false" ht="15" hidden="false" customHeight="true" outlineLevel="0" collapsed="false">
      <c r="A811" s="163" t="s">
        <v>3037</v>
      </c>
      <c r="B811" s="163" t="s">
        <v>894</v>
      </c>
      <c r="C811" s="163" t="s">
        <v>4494</v>
      </c>
      <c r="D811" s="163" t="s">
        <v>4495</v>
      </c>
      <c r="E811" s="164" t="n">
        <v>5000</v>
      </c>
      <c r="F811" s="165" t="s">
        <v>4496</v>
      </c>
    </row>
    <row r="812" customFormat="false" ht="15" hidden="false" customHeight="true" outlineLevel="0" collapsed="false">
      <c r="A812" s="163" t="s">
        <v>3037</v>
      </c>
      <c r="B812" s="163" t="s">
        <v>894</v>
      </c>
      <c r="C812" s="163" t="s">
        <v>230</v>
      </c>
      <c r="D812" s="163" t="s">
        <v>2077</v>
      </c>
      <c r="E812" s="164" t="n">
        <v>5000</v>
      </c>
      <c r="F812" s="165" t="s">
        <v>4497</v>
      </c>
    </row>
    <row r="813" customFormat="false" ht="15" hidden="false" customHeight="true" outlineLevel="0" collapsed="false">
      <c r="A813" s="163" t="s">
        <v>3037</v>
      </c>
      <c r="B813" s="163" t="s">
        <v>894</v>
      </c>
      <c r="C813" s="163" t="s">
        <v>4498</v>
      </c>
      <c r="D813" s="163" t="s">
        <v>4499</v>
      </c>
      <c r="E813" s="164" t="n">
        <v>5000</v>
      </c>
      <c r="F813" s="165" t="s">
        <v>4500</v>
      </c>
    </row>
    <row r="814" customFormat="false" ht="15" hidden="false" customHeight="true" outlineLevel="0" collapsed="false">
      <c r="A814" s="163" t="s">
        <v>3037</v>
      </c>
      <c r="B814" s="163" t="s">
        <v>894</v>
      </c>
      <c r="C814" s="163" t="s">
        <v>893</v>
      </c>
      <c r="D814" s="163" t="s">
        <v>1931</v>
      </c>
      <c r="E814" s="164" t="n">
        <v>5000</v>
      </c>
      <c r="F814" s="165" t="s">
        <v>4501</v>
      </c>
    </row>
    <row r="815" customFormat="false" ht="15" hidden="false" customHeight="true" outlineLevel="0" collapsed="false">
      <c r="A815" s="163" t="s">
        <v>3037</v>
      </c>
      <c r="B815" s="163" t="s">
        <v>894</v>
      </c>
      <c r="C815" s="163" t="s">
        <v>893</v>
      </c>
      <c r="D815" s="163" t="s">
        <v>1931</v>
      </c>
      <c r="E815" s="164" t="n">
        <v>5000</v>
      </c>
      <c r="F815" s="165" t="s">
        <v>4502</v>
      </c>
    </row>
    <row r="816" customFormat="false" ht="15" hidden="false" customHeight="true" outlineLevel="0" collapsed="false">
      <c r="A816" s="163" t="s">
        <v>3037</v>
      </c>
      <c r="B816" s="163" t="s">
        <v>894</v>
      </c>
      <c r="C816" s="163" t="s">
        <v>4503</v>
      </c>
      <c r="D816" s="163" t="s">
        <v>4504</v>
      </c>
      <c r="E816" s="164" t="n">
        <v>5000</v>
      </c>
      <c r="F816" s="165" t="s">
        <v>4505</v>
      </c>
    </row>
    <row r="817" customFormat="false" ht="15" hidden="false" customHeight="true" outlineLevel="0" collapsed="false">
      <c r="A817" s="163" t="s">
        <v>3037</v>
      </c>
      <c r="B817" s="163" t="s">
        <v>894</v>
      </c>
      <c r="C817" s="163" t="s">
        <v>4506</v>
      </c>
      <c r="D817" s="163" t="s">
        <v>4507</v>
      </c>
      <c r="E817" s="164" t="n">
        <v>5000</v>
      </c>
      <c r="F817" s="165" t="s">
        <v>4508</v>
      </c>
    </row>
    <row r="818" customFormat="false" ht="15" hidden="false" customHeight="true" outlineLevel="0" collapsed="false">
      <c r="A818" s="163" t="s">
        <v>3037</v>
      </c>
      <c r="B818" s="163" t="s">
        <v>894</v>
      </c>
      <c r="C818" s="163" t="s">
        <v>4509</v>
      </c>
      <c r="D818" s="163" t="s">
        <v>4510</v>
      </c>
      <c r="E818" s="164" t="n">
        <v>5000</v>
      </c>
      <c r="F818" s="165" t="s">
        <v>4511</v>
      </c>
    </row>
    <row r="819" customFormat="false" ht="15" hidden="false" customHeight="true" outlineLevel="0" collapsed="false">
      <c r="A819" s="163" t="s">
        <v>3037</v>
      </c>
      <c r="B819" s="163" t="s">
        <v>894</v>
      </c>
      <c r="C819" s="163" t="s">
        <v>4512</v>
      </c>
      <c r="D819" s="163" t="s">
        <v>4513</v>
      </c>
      <c r="E819" s="164" t="n">
        <v>5000</v>
      </c>
      <c r="F819" s="165" t="s">
        <v>4514</v>
      </c>
    </row>
    <row r="820" customFormat="false" ht="15" hidden="false" customHeight="true" outlineLevel="0" collapsed="false">
      <c r="A820" s="163" t="s">
        <v>3037</v>
      </c>
      <c r="B820" s="163" t="s">
        <v>894</v>
      </c>
      <c r="C820" s="163" t="s">
        <v>4360</v>
      </c>
      <c r="D820" s="163" t="s">
        <v>4361</v>
      </c>
      <c r="E820" s="164" t="n">
        <v>5000</v>
      </c>
      <c r="F820" s="165" t="s">
        <v>4515</v>
      </c>
    </row>
    <row r="821" customFormat="false" ht="15" hidden="false" customHeight="true" outlineLevel="0" collapsed="false">
      <c r="A821" s="163" t="s">
        <v>3037</v>
      </c>
      <c r="B821" s="163" t="s">
        <v>894</v>
      </c>
      <c r="C821" s="163" t="s">
        <v>4516</v>
      </c>
      <c r="D821" s="163" t="s">
        <v>4517</v>
      </c>
      <c r="E821" s="164" t="n">
        <v>5000</v>
      </c>
      <c r="F821" s="165" t="s">
        <v>4518</v>
      </c>
    </row>
    <row r="822" customFormat="false" ht="15" hidden="false" customHeight="true" outlineLevel="0" collapsed="false">
      <c r="A822" s="163" t="s">
        <v>3037</v>
      </c>
      <c r="B822" s="163" t="s">
        <v>894</v>
      </c>
      <c r="C822" s="163" t="s">
        <v>4366</v>
      </c>
      <c r="D822" s="163" t="s">
        <v>4367</v>
      </c>
      <c r="E822" s="164" t="n">
        <v>5000</v>
      </c>
      <c r="F822" s="165" t="s">
        <v>4519</v>
      </c>
    </row>
    <row r="823" customFormat="false" ht="15" hidden="false" customHeight="true" outlineLevel="0" collapsed="false">
      <c r="A823" s="163" t="s">
        <v>3037</v>
      </c>
      <c r="B823" s="163" t="s">
        <v>894</v>
      </c>
      <c r="C823" s="163" t="s">
        <v>3783</v>
      </c>
      <c r="D823" s="163" t="s">
        <v>3784</v>
      </c>
      <c r="E823" s="164" t="n">
        <v>5000</v>
      </c>
      <c r="F823" s="165" t="s">
        <v>4520</v>
      </c>
    </row>
    <row r="824" customFormat="false" ht="15" hidden="false" customHeight="true" outlineLevel="0" collapsed="false">
      <c r="A824" s="163" t="s">
        <v>3037</v>
      </c>
      <c r="B824" s="163" t="s">
        <v>894</v>
      </c>
      <c r="C824" s="163" t="s">
        <v>240</v>
      </c>
      <c r="D824" s="163" t="s">
        <v>2418</v>
      </c>
      <c r="E824" s="164" t="n">
        <v>5000</v>
      </c>
      <c r="F824" s="165" t="s">
        <v>4521</v>
      </c>
    </row>
    <row r="825" customFormat="false" ht="15" hidden="false" customHeight="true" outlineLevel="0" collapsed="false">
      <c r="A825" s="163" t="s">
        <v>3037</v>
      </c>
      <c r="B825" s="163" t="s">
        <v>894</v>
      </c>
      <c r="C825" s="163" t="s">
        <v>372</v>
      </c>
      <c r="D825" s="163" t="s">
        <v>2692</v>
      </c>
      <c r="E825" s="164" t="n">
        <v>5000</v>
      </c>
      <c r="F825" s="165" t="s">
        <v>4522</v>
      </c>
    </row>
    <row r="826" customFormat="false" ht="15" hidden="false" customHeight="true" outlineLevel="0" collapsed="false">
      <c r="A826" s="163" t="s">
        <v>3037</v>
      </c>
      <c r="B826" s="163" t="s">
        <v>894</v>
      </c>
      <c r="C826" s="163" t="s">
        <v>4523</v>
      </c>
      <c r="D826" s="163" t="s">
        <v>4524</v>
      </c>
      <c r="E826" s="164" t="n">
        <v>5000</v>
      </c>
      <c r="F826" s="165" t="s">
        <v>4525</v>
      </c>
    </row>
    <row r="827" customFormat="false" ht="15" hidden="false" customHeight="true" outlineLevel="0" collapsed="false">
      <c r="A827" s="163" t="s">
        <v>3037</v>
      </c>
      <c r="B827" s="163" t="s">
        <v>894</v>
      </c>
      <c r="C827" s="163" t="s">
        <v>4526</v>
      </c>
      <c r="D827" s="163" t="s">
        <v>4527</v>
      </c>
      <c r="E827" s="164" t="n">
        <v>5000</v>
      </c>
      <c r="F827" s="165" t="s">
        <v>4528</v>
      </c>
    </row>
    <row r="828" customFormat="false" ht="15" hidden="false" customHeight="true" outlineLevel="0" collapsed="false">
      <c r="A828" s="163" t="s">
        <v>3037</v>
      </c>
      <c r="B828" s="163" t="s">
        <v>894</v>
      </c>
      <c r="C828" s="163" t="s">
        <v>1245</v>
      </c>
      <c r="D828" s="163" t="s">
        <v>2187</v>
      </c>
      <c r="E828" s="164" t="n">
        <v>5000</v>
      </c>
      <c r="F828" s="165" t="s">
        <v>4529</v>
      </c>
    </row>
    <row r="829" customFormat="false" ht="15" hidden="false" customHeight="true" outlineLevel="0" collapsed="false">
      <c r="A829" s="163" t="s">
        <v>3037</v>
      </c>
      <c r="B829" s="163" t="s">
        <v>894</v>
      </c>
      <c r="C829" s="163" t="s">
        <v>4530</v>
      </c>
      <c r="D829" s="163" t="s">
        <v>4531</v>
      </c>
      <c r="E829" s="164" t="n">
        <v>5000</v>
      </c>
      <c r="F829" s="165" t="s">
        <v>4532</v>
      </c>
    </row>
    <row r="830" customFormat="false" ht="15" hidden="false" customHeight="true" outlineLevel="0" collapsed="false">
      <c r="A830" s="163" t="s">
        <v>3037</v>
      </c>
      <c r="B830" s="163" t="s">
        <v>894</v>
      </c>
      <c r="C830" s="163" t="s">
        <v>1860</v>
      </c>
      <c r="D830" s="163" t="s">
        <v>1861</v>
      </c>
      <c r="E830" s="164" t="n">
        <v>5000</v>
      </c>
      <c r="F830" s="165" t="s">
        <v>4533</v>
      </c>
    </row>
    <row r="831" customFormat="false" ht="15" hidden="false" customHeight="true" outlineLevel="0" collapsed="false">
      <c r="A831" s="163" t="s">
        <v>3037</v>
      </c>
      <c r="B831" s="163" t="s">
        <v>894</v>
      </c>
      <c r="C831" s="163" t="s">
        <v>4534</v>
      </c>
      <c r="D831" s="163" t="s">
        <v>4535</v>
      </c>
      <c r="E831" s="164" t="n">
        <v>5000</v>
      </c>
      <c r="F831" s="165" t="s">
        <v>4533</v>
      </c>
    </row>
    <row r="832" customFormat="false" ht="15" hidden="false" customHeight="true" outlineLevel="0" collapsed="false">
      <c r="A832" s="163" t="s">
        <v>3037</v>
      </c>
      <c r="B832" s="163" t="s">
        <v>894</v>
      </c>
      <c r="C832" s="163" t="s">
        <v>4536</v>
      </c>
      <c r="D832" s="163" t="s">
        <v>4537</v>
      </c>
      <c r="E832" s="164" t="n">
        <v>5000</v>
      </c>
      <c r="F832" s="165" t="s">
        <v>4538</v>
      </c>
    </row>
    <row r="833" customFormat="false" ht="15" hidden="false" customHeight="true" outlineLevel="0" collapsed="false">
      <c r="A833" s="163" t="s">
        <v>3037</v>
      </c>
      <c r="B833" s="163" t="s">
        <v>894</v>
      </c>
      <c r="C833" s="163" t="s">
        <v>4393</v>
      </c>
      <c r="D833" s="163" t="s">
        <v>4394</v>
      </c>
      <c r="E833" s="164" t="n">
        <v>5000</v>
      </c>
      <c r="F833" s="165" t="s">
        <v>4539</v>
      </c>
    </row>
    <row r="834" customFormat="false" ht="15" hidden="false" customHeight="true" outlineLevel="0" collapsed="false">
      <c r="A834" s="163" t="s">
        <v>3037</v>
      </c>
      <c r="B834" s="163" t="s">
        <v>894</v>
      </c>
      <c r="C834" s="163" t="s">
        <v>3771</v>
      </c>
      <c r="D834" s="163" t="s">
        <v>3772</v>
      </c>
      <c r="E834" s="164" t="n">
        <v>5000</v>
      </c>
      <c r="F834" s="165" t="s">
        <v>3773</v>
      </c>
    </row>
    <row r="835" customFormat="false" ht="15" hidden="false" customHeight="true" outlineLevel="0" collapsed="false">
      <c r="A835" s="163" t="s">
        <v>3037</v>
      </c>
      <c r="B835" s="163" t="s">
        <v>894</v>
      </c>
      <c r="C835" s="163" t="s">
        <v>4540</v>
      </c>
      <c r="D835" s="163" t="s">
        <v>4541</v>
      </c>
      <c r="E835" s="164" t="n">
        <v>5000</v>
      </c>
      <c r="F835" s="165" t="s">
        <v>4542</v>
      </c>
    </row>
    <row r="836" customFormat="false" ht="15" hidden="false" customHeight="true" outlineLevel="0" collapsed="false">
      <c r="A836" s="163" t="s">
        <v>3037</v>
      </c>
      <c r="B836" s="163" t="s">
        <v>894</v>
      </c>
      <c r="C836" s="163" t="s">
        <v>4543</v>
      </c>
      <c r="D836" s="163" t="s">
        <v>4544</v>
      </c>
      <c r="E836" s="164" t="n">
        <v>5000</v>
      </c>
      <c r="F836" s="165" t="s">
        <v>4545</v>
      </c>
    </row>
    <row r="837" customFormat="false" ht="15" hidden="false" customHeight="true" outlineLevel="0" collapsed="false">
      <c r="A837" s="163" t="s">
        <v>3037</v>
      </c>
      <c r="B837" s="163" t="s">
        <v>894</v>
      </c>
      <c r="C837" s="163" t="s">
        <v>4546</v>
      </c>
      <c r="D837" s="163" t="s">
        <v>4547</v>
      </c>
      <c r="E837" s="164" t="n">
        <v>5000</v>
      </c>
      <c r="F837" s="165" t="s">
        <v>4548</v>
      </c>
    </row>
    <row r="838" customFormat="false" ht="15" hidden="false" customHeight="true" outlineLevel="0" collapsed="false">
      <c r="A838" s="163" t="s">
        <v>3037</v>
      </c>
      <c r="B838" s="163" t="s">
        <v>894</v>
      </c>
      <c r="C838" s="163" t="s">
        <v>3709</v>
      </c>
      <c r="D838" s="163" t="s">
        <v>3710</v>
      </c>
      <c r="E838" s="164" t="n">
        <v>5000</v>
      </c>
      <c r="F838" s="165" t="s">
        <v>4549</v>
      </c>
    </row>
    <row r="839" customFormat="false" ht="15" hidden="false" customHeight="true" outlineLevel="0" collapsed="false">
      <c r="A839" s="163" t="s">
        <v>3037</v>
      </c>
      <c r="B839" s="163" t="s">
        <v>894</v>
      </c>
      <c r="C839" s="163" t="s">
        <v>3122</v>
      </c>
      <c r="D839" s="163" t="s">
        <v>3123</v>
      </c>
      <c r="E839" s="164" t="n">
        <v>5000</v>
      </c>
      <c r="F839" s="165" t="s">
        <v>4550</v>
      </c>
    </row>
    <row r="840" customFormat="false" ht="15" hidden="false" customHeight="true" outlineLevel="0" collapsed="false">
      <c r="A840" s="163" t="s">
        <v>3037</v>
      </c>
      <c r="B840" s="163" t="s">
        <v>894</v>
      </c>
      <c r="C840" s="163" t="s">
        <v>4551</v>
      </c>
      <c r="D840" s="163" t="s">
        <v>4552</v>
      </c>
      <c r="E840" s="164" t="n">
        <v>5000</v>
      </c>
      <c r="F840" s="165" t="s">
        <v>4553</v>
      </c>
    </row>
    <row r="841" customFormat="false" ht="15" hidden="false" customHeight="true" outlineLevel="0" collapsed="false">
      <c r="A841" s="163" t="s">
        <v>3037</v>
      </c>
      <c r="B841" s="163" t="s">
        <v>894</v>
      </c>
      <c r="C841" s="163" t="s">
        <v>3835</v>
      </c>
      <c r="D841" s="163" t="s">
        <v>3836</v>
      </c>
      <c r="E841" s="164" t="n">
        <v>5000</v>
      </c>
      <c r="F841" s="165" t="s">
        <v>4554</v>
      </c>
    </row>
    <row r="842" customFormat="false" ht="15" hidden="false" customHeight="true" outlineLevel="0" collapsed="false">
      <c r="A842" s="163" t="s">
        <v>3037</v>
      </c>
      <c r="B842" s="163" t="s">
        <v>894</v>
      </c>
      <c r="C842" s="163" t="s">
        <v>4390</v>
      </c>
      <c r="D842" s="163" t="s">
        <v>4391</v>
      </c>
      <c r="E842" s="164" t="n">
        <v>5000</v>
      </c>
      <c r="F842" s="165" t="s">
        <v>4555</v>
      </c>
    </row>
    <row r="843" customFormat="false" ht="15" hidden="false" customHeight="true" outlineLevel="0" collapsed="false">
      <c r="A843" s="163" t="s">
        <v>3037</v>
      </c>
      <c r="B843" s="163" t="s">
        <v>894</v>
      </c>
      <c r="C843" s="163" t="s">
        <v>4556</v>
      </c>
      <c r="D843" s="163" t="s">
        <v>4557</v>
      </c>
      <c r="E843" s="164" t="n">
        <v>5000</v>
      </c>
      <c r="F843" s="165" t="s">
        <v>4558</v>
      </c>
    </row>
    <row r="844" customFormat="false" ht="15" hidden="false" customHeight="true" outlineLevel="0" collapsed="false">
      <c r="A844" s="163" t="s">
        <v>3037</v>
      </c>
      <c r="B844" s="163" t="s">
        <v>894</v>
      </c>
      <c r="C844" s="163" t="s">
        <v>4559</v>
      </c>
      <c r="D844" s="163" t="s">
        <v>4560</v>
      </c>
      <c r="E844" s="164" t="n">
        <v>5000</v>
      </c>
      <c r="F844" s="165" t="s">
        <v>4561</v>
      </c>
    </row>
    <row r="845" customFormat="false" ht="15" hidden="false" customHeight="true" outlineLevel="0" collapsed="false">
      <c r="A845" s="163" t="s">
        <v>3037</v>
      </c>
      <c r="B845" s="163" t="s">
        <v>894</v>
      </c>
      <c r="C845" s="163" t="s">
        <v>4562</v>
      </c>
      <c r="D845" s="163" t="s">
        <v>4563</v>
      </c>
      <c r="E845" s="164" t="n">
        <v>5000</v>
      </c>
      <c r="F845" s="165" t="s">
        <v>4564</v>
      </c>
    </row>
    <row r="846" customFormat="false" ht="15" hidden="false" customHeight="true" outlineLevel="0" collapsed="false">
      <c r="A846" s="163" t="s">
        <v>3037</v>
      </c>
      <c r="B846" s="163" t="s">
        <v>894</v>
      </c>
      <c r="C846" s="163" t="s">
        <v>3260</v>
      </c>
      <c r="D846" s="163" t="s">
        <v>3261</v>
      </c>
      <c r="E846" s="164" t="n">
        <v>5000</v>
      </c>
      <c r="F846" s="165" t="s">
        <v>4565</v>
      </c>
    </row>
    <row r="847" customFormat="false" ht="15" hidden="false" customHeight="true" outlineLevel="0" collapsed="false">
      <c r="A847" s="163" t="s">
        <v>3037</v>
      </c>
      <c r="B847" s="163" t="s">
        <v>894</v>
      </c>
      <c r="C847" s="163" t="s">
        <v>4566</v>
      </c>
      <c r="D847" s="163" t="s">
        <v>4567</v>
      </c>
      <c r="E847" s="164" t="n">
        <v>5000</v>
      </c>
      <c r="F847" s="165" t="s">
        <v>4568</v>
      </c>
    </row>
    <row r="848" customFormat="false" ht="15" hidden="false" customHeight="true" outlineLevel="0" collapsed="false">
      <c r="A848" s="163" t="s">
        <v>3037</v>
      </c>
      <c r="B848" s="163" t="s">
        <v>894</v>
      </c>
      <c r="C848" s="163" t="s">
        <v>4569</v>
      </c>
      <c r="D848" s="163" t="s">
        <v>4570</v>
      </c>
      <c r="E848" s="164" t="n">
        <v>5000</v>
      </c>
      <c r="F848" s="165" t="s">
        <v>4571</v>
      </c>
    </row>
    <row r="849" customFormat="false" ht="15" hidden="false" customHeight="true" outlineLevel="0" collapsed="false">
      <c r="A849" s="163" t="s">
        <v>3037</v>
      </c>
      <c r="B849" s="163" t="s">
        <v>894</v>
      </c>
      <c r="C849" s="163" t="s">
        <v>4572</v>
      </c>
      <c r="D849" s="163" t="s">
        <v>4573</v>
      </c>
      <c r="E849" s="164" t="n">
        <v>5000</v>
      </c>
      <c r="F849" s="165" t="s">
        <v>4574</v>
      </c>
    </row>
    <row r="850" customFormat="false" ht="15" hidden="false" customHeight="true" outlineLevel="0" collapsed="false">
      <c r="A850" s="163" t="s">
        <v>3037</v>
      </c>
      <c r="B850" s="163" t="s">
        <v>894</v>
      </c>
      <c r="C850" s="163" t="s">
        <v>893</v>
      </c>
      <c r="D850" s="163" t="s">
        <v>1931</v>
      </c>
      <c r="E850" s="164" t="n">
        <v>5000</v>
      </c>
      <c r="F850" s="165" t="s">
        <v>4575</v>
      </c>
    </row>
    <row r="851" customFormat="false" ht="15" hidden="false" customHeight="true" outlineLevel="0" collapsed="false">
      <c r="A851" s="163" t="s">
        <v>3037</v>
      </c>
      <c r="B851" s="163" t="s">
        <v>894</v>
      </c>
      <c r="C851" s="163" t="s">
        <v>4576</v>
      </c>
      <c r="D851" s="163" t="s">
        <v>4577</v>
      </c>
      <c r="E851" s="164" t="n">
        <v>5000</v>
      </c>
      <c r="F851" s="165" t="s">
        <v>4578</v>
      </c>
    </row>
    <row r="852" customFormat="false" ht="15" hidden="false" customHeight="true" outlineLevel="0" collapsed="false">
      <c r="A852" s="163" t="s">
        <v>3037</v>
      </c>
      <c r="B852" s="163" t="s">
        <v>894</v>
      </c>
      <c r="C852" s="163" t="s">
        <v>452</v>
      </c>
      <c r="D852" s="163" t="s">
        <v>2102</v>
      </c>
      <c r="E852" s="164" t="n">
        <v>5000</v>
      </c>
      <c r="F852" s="165" t="s">
        <v>4579</v>
      </c>
    </row>
    <row r="853" customFormat="false" ht="15" hidden="false" customHeight="true" outlineLevel="0" collapsed="false">
      <c r="A853" s="163" t="s">
        <v>3037</v>
      </c>
      <c r="B853" s="163" t="s">
        <v>894</v>
      </c>
      <c r="C853" s="163" t="s">
        <v>925</v>
      </c>
      <c r="D853" s="163" t="s">
        <v>1931</v>
      </c>
      <c r="E853" s="164" t="n">
        <v>2500</v>
      </c>
      <c r="F853" s="165" t="s">
        <v>4580</v>
      </c>
    </row>
    <row r="854" customFormat="false" ht="15" hidden="false" customHeight="true" outlineLevel="0" collapsed="false">
      <c r="A854" s="163" t="s">
        <v>3037</v>
      </c>
      <c r="B854" s="163" t="s">
        <v>894</v>
      </c>
      <c r="C854" s="163" t="s">
        <v>925</v>
      </c>
      <c r="D854" s="163" t="s">
        <v>1931</v>
      </c>
      <c r="E854" s="164" t="n">
        <v>2000</v>
      </c>
      <c r="F854" s="165" t="s">
        <v>4581</v>
      </c>
    </row>
    <row r="855" customFormat="false" ht="15" hidden="false" customHeight="true" outlineLevel="0" collapsed="false">
      <c r="A855" s="163" t="s">
        <v>3037</v>
      </c>
      <c r="B855" s="163" t="s">
        <v>894</v>
      </c>
      <c r="C855" s="163" t="s">
        <v>925</v>
      </c>
      <c r="D855" s="163" t="s">
        <v>1931</v>
      </c>
      <c r="E855" s="164" t="n">
        <v>2000</v>
      </c>
      <c r="F855" s="165" t="s">
        <v>4582</v>
      </c>
    </row>
    <row r="856" customFormat="false" ht="15" hidden="false" customHeight="true" outlineLevel="0" collapsed="false">
      <c r="A856" s="163" t="s">
        <v>3037</v>
      </c>
      <c r="B856" s="163" t="s">
        <v>894</v>
      </c>
      <c r="C856" s="163" t="s">
        <v>925</v>
      </c>
      <c r="D856" s="163" t="s">
        <v>1931</v>
      </c>
      <c r="E856" s="164" t="n">
        <v>2000</v>
      </c>
      <c r="F856" s="165" t="s">
        <v>4583</v>
      </c>
    </row>
    <row r="857" customFormat="false" ht="15" hidden="false" customHeight="true" outlineLevel="0" collapsed="false">
      <c r="A857" s="163" t="s">
        <v>3037</v>
      </c>
      <c r="B857" s="163" t="s">
        <v>894</v>
      </c>
      <c r="C857" s="163" t="s">
        <v>925</v>
      </c>
      <c r="D857" s="163" t="s">
        <v>1931</v>
      </c>
      <c r="E857" s="164" t="n">
        <v>1500</v>
      </c>
      <c r="F857" s="165" t="s">
        <v>4584</v>
      </c>
    </row>
    <row r="858" customFormat="false" ht="15" hidden="false" customHeight="true" outlineLevel="0" collapsed="false">
      <c r="A858" s="163" t="s">
        <v>3037</v>
      </c>
      <c r="B858" s="163" t="s">
        <v>894</v>
      </c>
      <c r="C858" s="163" t="s">
        <v>925</v>
      </c>
      <c r="D858" s="163" t="s">
        <v>1931</v>
      </c>
      <c r="E858" s="164" t="n">
        <v>1500</v>
      </c>
      <c r="F858" s="165" t="s">
        <v>4585</v>
      </c>
    </row>
    <row r="859" customFormat="false" ht="15" hidden="false" customHeight="true" outlineLevel="0" collapsed="false">
      <c r="A859" s="163" t="s">
        <v>3037</v>
      </c>
      <c r="B859" s="163" t="s">
        <v>894</v>
      </c>
      <c r="C859" s="163" t="s">
        <v>925</v>
      </c>
      <c r="D859" s="163" t="s">
        <v>1931</v>
      </c>
      <c r="E859" s="164" t="n">
        <v>1000</v>
      </c>
      <c r="F859" s="165" t="s">
        <v>4586</v>
      </c>
    </row>
    <row r="860" customFormat="false" ht="15" hidden="false" customHeight="true" outlineLevel="0" collapsed="false">
      <c r="A860" s="163" t="s">
        <v>3037</v>
      </c>
      <c r="B860" s="163" t="s">
        <v>894</v>
      </c>
      <c r="C860" s="163" t="s">
        <v>925</v>
      </c>
      <c r="D860" s="163" t="s">
        <v>1931</v>
      </c>
      <c r="E860" s="164" t="n">
        <v>500</v>
      </c>
      <c r="F860" s="165" t="s">
        <v>4587</v>
      </c>
    </row>
    <row r="861" customFormat="false" ht="15" hidden="false" customHeight="true" outlineLevel="0" collapsed="false">
      <c r="A861" s="163" t="s">
        <v>3037</v>
      </c>
      <c r="B861" s="163" t="s">
        <v>894</v>
      </c>
      <c r="C861" s="163" t="s">
        <v>925</v>
      </c>
      <c r="D861" s="163" t="s">
        <v>1931</v>
      </c>
      <c r="E861" s="164" t="n">
        <v>500</v>
      </c>
      <c r="F861" s="165" t="s">
        <v>4588</v>
      </c>
    </row>
    <row r="862" customFormat="false" ht="15" hidden="false" customHeight="true" outlineLevel="0" collapsed="false">
      <c r="A862" s="163" t="s">
        <v>3037</v>
      </c>
      <c r="B862" s="163" t="s">
        <v>882</v>
      </c>
      <c r="C862" s="163" t="s">
        <v>3114</v>
      </c>
      <c r="D862" s="163" t="s">
        <v>3115</v>
      </c>
      <c r="E862" s="164" t="n">
        <v>250000</v>
      </c>
      <c r="F862" s="165" t="s">
        <v>4589</v>
      </c>
    </row>
    <row r="863" customFormat="false" ht="15" hidden="false" customHeight="true" outlineLevel="0" collapsed="false">
      <c r="A863" s="163" t="s">
        <v>3037</v>
      </c>
      <c r="B863" s="163" t="s">
        <v>882</v>
      </c>
      <c r="C863" s="163" t="s">
        <v>3061</v>
      </c>
      <c r="D863" s="163" t="s">
        <v>3062</v>
      </c>
      <c r="E863" s="164" t="n">
        <v>10000</v>
      </c>
      <c r="F863" s="165" t="s">
        <v>4590</v>
      </c>
    </row>
    <row r="864" customFormat="false" ht="15" hidden="false" customHeight="true" outlineLevel="0" collapsed="false">
      <c r="A864" s="163" t="s">
        <v>3037</v>
      </c>
      <c r="B864" s="163" t="s">
        <v>882</v>
      </c>
      <c r="C864" s="163" t="s">
        <v>4591</v>
      </c>
      <c r="D864" s="163" t="s">
        <v>4592</v>
      </c>
      <c r="E864" s="164" t="n">
        <v>10000</v>
      </c>
      <c r="F864" s="165" t="s">
        <v>4593</v>
      </c>
    </row>
    <row r="865" customFormat="false" ht="15" hidden="false" customHeight="true" outlineLevel="0" collapsed="false">
      <c r="A865" s="163" t="s">
        <v>3037</v>
      </c>
      <c r="B865" s="163" t="s">
        <v>882</v>
      </c>
      <c r="C865" s="163" t="s">
        <v>4594</v>
      </c>
      <c r="D865" s="163" t="s">
        <v>4595</v>
      </c>
      <c r="E865" s="164" t="n">
        <v>10000</v>
      </c>
      <c r="F865" s="165" t="s">
        <v>4596</v>
      </c>
    </row>
    <row r="866" customFormat="false" ht="15" hidden="false" customHeight="true" outlineLevel="0" collapsed="false">
      <c r="A866" s="163" t="s">
        <v>3037</v>
      </c>
      <c r="B866" s="163" t="s">
        <v>2328</v>
      </c>
      <c r="C866" s="163" t="s">
        <v>4597</v>
      </c>
      <c r="D866" s="163" t="s">
        <v>4598</v>
      </c>
      <c r="E866" s="164" t="n">
        <v>10000</v>
      </c>
      <c r="F866" s="165" t="s">
        <v>4599</v>
      </c>
    </row>
    <row r="867" customFormat="false" ht="15" hidden="false" customHeight="true" outlineLevel="0" collapsed="false">
      <c r="A867" s="163" t="s">
        <v>3037</v>
      </c>
      <c r="B867" s="163" t="s">
        <v>2328</v>
      </c>
      <c r="C867" s="163" t="s">
        <v>273</v>
      </c>
      <c r="D867" s="163" t="s">
        <v>1891</v>
      </c>
      <c r="E867" s="164" t="n">
        <v>10000</v>
      </c>
      <c r="F867" s="165" t="s">
        <v>4600</v>
      </c>
    </row>
    <row r="868" customFormat="false" ht="15" hidden="false" customHeight="true" outlineLevel="0" collapsed="false">
      <c r="A868" s="163" t="s">
        <v>3037</v>
      </c>
      <c r="B868" s="163" t="s">
        <v>2328</v>
      </c>
      <c r="C868" s="163" t="s">
        <v>4601</v>
      </c>
      <c r="D868" s="163" t="s">
        <v>4602</v>
      </c>
      <c r="E868" s="164" t="n">
        <v>10000</v>
      </c>
      <c r="F868" s="165" t="s">
        <v>4603</v>
      </c>
    </row>
    <row r="869" customFormat="false" ht="15" hidden="false" customHeight="true" outlineLevel="0" collapsed="false">
      <c r="A869" s="163" t="s">
        <v>3037</v>
      </c>
      <c r="B869" s="163" t="s">
        <v>2328</v>
      </c>
      <c r="C869" s="163" t="s">
        <v>4173</v>
      </c>
      <c r="D869" s="163" t="s">
        <v>4174</v>
      </c>
      <c r="E869" s="164" t="n">
        <v>10000</v>
      </c>
      <c r="F869" s="165" t="s">
        <v>4604</v>
      </c>
    </row>
    <row r="870" customFormat="false" ht="15" hidden="false" customHeight="true" outlineLevel="0" collapsed="false">
      <c r="A870" s="163" t="s">
        <v>3037</v>
      </c>
      <c r="B870" s="163" t="s">
        <v>2328</v>
      </c>
      <c r="C870" s="163" t="s">
        <v>4605</v>
      </c>
      <c r="D870" s="163" t="s">
        <v>4606</v>
      </c>
      <c r="E870" s="164" t="n">
        <v>10000</v>
      </c>
      <c r="F870" s="165" t="s">
        <v>4607</v>
      </c>
    </row>
    <row r="871" customFormat="false" ht="15" hidden="false" customHeight="true" outlineLevel="0" collapsed="false">
      <c r="A871" s="163" t="s">
        <v>3037</v>
      </c>
      <c r="B871" s="163" t="s">
        <v>2342</v>
      </c>
      <c r="C871" s="163" t="s">
        <v>3272</v>
      </c>
      <c r="D871" s="163" t="s">
        <v>3273</v>
      </c>
      <c r="E871" s="164" t="n">
        <v>40000</v>
      </c>
      <c r="F871" s="165" t="s">
        <v>4608</v>
      </c>
    </row>
    <row r="872" customFormat="false" ht="15" hidden="false" customHeight="true" outlineLevel="0" collapsed="false">
      <c r="A872" s="163" t="s">
        <v>3037</v>
      </c>
      <c r="B872" s="163" t="s">
        <v>2342</v>
      </c>
      <c r="C872" s="163" t="s">
        <v>4609</v>
      </c>
      <c r="D872" s="163" t="s">
        <v>4610</v>
      </c>
      <c r="E872" s="164" t="n">
        <v>10000</v>
      </c>
      <c r="F872" s="165" t="s">
        <v>4611</v>
      </c>
    </row>
    <row r="873" customFormat="false" ht="15" hidden="false" customHeight="true" outlineLevel="0" collapsed="false">
      <c r="A873" s="163" t="s">
        <v>3037</v>
      </c>
      <c r="B873" s="163" t="s">
        <v>2342</v>
      </c>
      <c r="C873" s="163" t="s">
        <v>3956</v>
      </c>
      <c r="D873" s="163" t="s">
        <v>3957</v>
      </c>
      <c r="E873" s="164" t="n">
        <v>10000</v>
      </c>
      <c r="F873" s="165" t="s">
        <v>4612</v>
      </c>
    </row>
    <row r="874" customFormat="false" ht="15" hidden="false" customHeight="true" outlineLevel="0" collapsed="false">
      <c r="A874" s="163" t="s">
        <v>3037</v>
      </c>
      <c r="B874" s="163" t="s">
        <v>2342</v>
      </c>
      <c r="C874" s="163" t="s">
        <v>4613</v>
      </c>
      <c r="D874" s="163" t="s">
        <v>4614</v>
      </c>
      <c r="E874" s="164" t="n">
        <v>10000</v>
      </c>
      <c r="F874" s="165" t="s">
        <v>4615</v>
      </c>
    </row>
    <row r="875" customFormat="false" ht="15" hidden="false" customHeight="true" outlineLevel="0" collapsed="false">
      <c r="A875" s="163" t="s">
        <v>3037</v>
      </c>
      <c r="B875" s="163" t="s">
        <v>2342</v>
      </c>
      <c r="C875" s="163" t="s">
        <v>3063</v>
      </c>
      <c r="D875" s="163" t="s">
        <v>3064</v>
      </c>
      <c r="E875" s="164" t="n">
        <v>10000</v>
      </c>
      <c r="F875" s="165" t="s">
        <v>4616</v>
      </c>
    </row>
    <row r="876" customFormat="false" ht="15" hidden="false" customHeight="true" outlineLevel="0" collapsed="false">
      <c r="A876" s="163" t="s">
        <v>3037</v>
      </c>
      <c r="B876" s="163" t="s">
        <v>2342</v>
      </c>
      <c r="C876" s="163" t="s">
        <v>452</v>
      </c>
      <c r="D876" s="163" t="s">
        <v>2102</v>
      </c>
      <c r="E876" s="164" t="n">
        <v>10000</v>
      </c>
      <c r="F876" s="165" t="s">
        <v>4617</v>
      </c>
    </row>
    <row r="877" customFormat="false" ht="15" hidden="false" customHeight="true" outlineLevel="0" collapsed="false">
      <c r="A877" s="163" t="s">
        <v>3037</v>
      </c>
      <c r="B877" s="163" t="s">
        <v>1743</v>
      </c>
      <c r="C877" s="163" t="s">
        <v>4329</v>
      </c>
      <c r="D877" s="163" t="s">
        <v>4330</v>
      </c>
      <c r="E877" s="164" t="n">
        <v>20000</v>
      </c>
      <c r="F877" s="165" t="s">
        <v>4618</v>
      </c>
    </row>
    <row r="878" customFormat="false" ht="15" hidden="false" customHeight="true" outlineLevel="0" collapsed="false">
      <c r="A878" s="163" t="s">
        <v>3037</v>
      </c>
      <c r="B878" s="163" t="s">
        <v>1743</v>
      </c>
      <c r="C878" s="163" t="s">
        <v>3114</v>
      </c>
      <c r="D878" s="163" t="s">
        <v>3115</v>
      </c>
      <c r="E878" s="164" t="n">
        <v>15000</v>
      </c>
      <c r="F878" s="165" t="s">
        <v>4619</v>
      </c>
    </row>
    <row r="879" customFormat="false" ht="15" hidden="false" customHeight="true" outlineLevel="0" collapsed="false">
      <c r="A879" s="163" t="s">
        <v>3037</v>
      </c>
      <c r="B879" s="163" t="s">
        <v>1743</v>
      </c>
      <c r="C879" s="163" t="s">
        <v>4620</v>
      </c>
      <c r="D879" s="163" t="s">
        <v>4621</v>
      </c>
      <c r="E879" s="164" t="n">
        <v>10000</v>
      </c>
      <c r="F879" s="165" t="s">
        <v>4622</v>
      </c>
    </row>
    <row r="880" customFormat="false" ht="15" hidden="false" customHeight="true" outlineLevel="0" collapsed="false">
      <c r="A880" s="163" t="s">
        <v>3037</v>
      </c>
      <c r="B880" s="163" t="s">
        <v>1743</v>
      </c>
      <c r="C880" s="163" t="s">
        <v>4623</v>
      </c>
      <c r="D880" s="163" t="s">
        <v>4624</v>
      </c>
      <c r="E880" s="164" t="n">
        <v>10000</v>
      </c>
      <c r="F880" s="165" t="s">
        <v>4625</v>
      </c>
    </row>
    <row r="881" customFormat="false" ht="15" hidden="false" customHeight="true" outlineLevel="0" collapsed="false">
      <c r="A881" s="163" t="s">
        <v>3037</v>
      </c>
      <c r="B881" s="163" t="s">
        <v>1743</v>
      </c>
      <c r="C881" s="163" t="s">
        <v>4322</v>
      </c>
      <c r="D881" s="163" t="s">
        <v>4323</v>
      </c>
      <c r="E881" s="164" t="n">
        <v>10000</v>
      </c>
      <c r="F881" s="165" t="s">
        <v>4626</v>
      </c>
    </row>
    <row r="882" customFormat="false" ht="15" hidden="false" customHeight="true" outlineLevel="0" collapsed="false">
      <c r="A882" s="163" t="s">
        <v>3037</v>
      </c>
      <c r="B882" s="163" t="s">
        <v>1743</v>
      </c>
      <c r="C882" s="163" t="s">
        <v>3276</v>
      </c>
      <c r="D882" s="163" t="s">
        <v>3277</v>
      </c>
      <c r="E882" s="164" t="n">
        <v>10000</v>
      </c>
      <c r="F882" s="165" t="s">
        <v>4627</v>
      </c>
    </row>
    <row r="883" customFormat="false" ht="15" hidden="false" customHeight="true" outlineLevel="0" collapsed="false">
      <c r="A883" s="163" t="s">
        <v>3037</v>
      </c>
      <c r="B883" s="163" t="s">
        <v>1743</v>
      </c>
      <c r="C883" s="163" t="s">
        <v>4628</v>
      </c>
      <c r="D883" s="163" t="s">
        <v>4629</v>
      </c>
      <c r="E883" s="164" t="n">
        <v>10000</v>
      </c>
      <c r="F883" s="165" t="s">
        <v>4630</v>
      </c>
    </row>
    <row r="884" customFormat="false" ht="15" hidden="false" customHeight="true" outlineLevel="0" collapsed="false">
      <c r="A884" s="163" t="s">
        <v>3037</v>
      </c>
      <c r="B884" s="163" t="s">
        <v>1743</v>
      </c>
      <c r="C884" s="163" t="s">
        <v>3114</v>
      </c>
      <c r="D884" s="163" t="s">
        <v>3115</v>
      </c>
      <c r="E884" s="164" t="n">
        <v>10000</v>
      </c>
      <c r="F884" s="165" t="s">
        <v>4631</v>
      </c>
    </row>
    <row r="885" customFormat="false" ht="15" hidden="false" customHeight="true" outlineLevel="0" collapsed="false">
      <c r="A885" s="163" t="s">
        <v>3037</v>
      </c>
      <c r="B885" s="163" t="s">
        <v>1743</v>
      </c>
      <c r="C885" s="163" t="s">
        <v>4632</v>
      </c>
      <c r="D885" s="163" t="s">
        <v>4633</v>
      </c>
      <c r="E885" s="164" t="n">
        <v>10000</v>
      </c>
      <c r="F885" s="165" t="s">
        <v>4634</v>
      </c>
    </row>
    <row r="886" customFormat="false" ht="15" hidden="false" customHeight="true" outlineLevel="0" collapsed="false">
      <c r="A886" s="163" t="s">
        <v>3037</v>
      </c>
      <c r="B886" s="163" t="s">
        <v>1743</v>
      </c>
      <c r="C886" s="163" t="s">
        <v>4635</v>
      </c>
      <c r="D886" s="163" t="s">
        <v>4636</v>
      </c>
      <c r="E886" s="164" t="n">
        <v>10000</v>
      </c>
      <c r="F886" s="165" t="s">
        <v>4637</v>
      </c>
    </row>
    <row r="887" customFormat="false" ht="15" hidden="false" customHeight="true" outlineLevel="0" collapsed="false">
      <c r="A887" s="163" t="s">
        <v>3037</v>
      </c>
      <c r="B887" s="163" t="s">
        <v>1743</v>
      </c>
      <c r="C887" s="163" t="s">
        <v>3071</v>
      </c>
      <c r="D887" s="163" t="s">
        <v>3072</v>
      </c>
      <c r="E887" s="164" t="n">
        <v>10000</v>
      </c>
      <c r="F887" s="165" t="s">
        <v>4638</v>
      </c>
    </row>
    <row r="888" customFormat="false" ht="15" hidden="false" customHeight="true" outlineLevel="0" collapsed="false">
      <c r="A888" s="163" t="s">
        <v>3037</v>
      </c>
      <c r="B888" s="163" t="s">
        <v>1743</v>
      </c>
      <c r="C888" s="163" t="s">
        <v>4639</v>
      </c>
      <c r="D888" s="163" t="s">
        <v>4640</v>
      </c>
      <c r="E888" s="164" t="n">
        <v>10000</v>
      </c>
      <c r="F888" s="165" t="s">
        <v>4641</v>
      </c>
    </row>
    <row r="889" customFormat="false" ht="15" hidden="false" customHeight="true" outlineLevel="0" collapsed="false">
      <c r="A889" s="163" t="s">
        <v>3037</v>
      </c>
      <c r="B889" s="163" t="s">
        <v>1743</v>
      </c>
      <c r="C889" s="163" t="s">
        <v>4642</v>
      </c>
      <c r="D889" s="163" t="s">
        <v>4643</v>
      </c>
      <c r="E889" s="164" t="n">
        <v>10000</v>
      </c>
      <c r="F889" s="165" t="s">
        <v>4644</v>
      </c>
    </row>
    <row r="890" customFormat="false" ht="15" hidden="false" customHeight="true" outlineLevel="0" collapsed="false">
      <c r="A890" s="163" t="s">
        <v>3037</v>
      </c>
      <c r="B890" s="163" t="s">
        <v>1743</v>
      </c>
      <c r="C890" s="163" t="s">
        <v>3085</v>
      </c>
      <c r="D890" s="163" t="s">
        <v>3086</v>
      </c>
      <c r="E890" s="164" t="n">
        <v>5000</v>
      </c>
      <c r="F890" s="165" t="s">
        <v>4645</v>
      </c>
    </row>
    <row r="891" customFormat="false" ht="15" hidden="false" customHeight="true" outlineLevel="0" collapsed="false">
      <c r="A891" s="163" t="s">
        <v>3037</v>
      </c>
      <c r="B891" s="163" t="s">
        <v>928</v>
      </c>
      <c r="C891" s="163" t="s">
        <v>3114</v>
      </c>
      <c r="D891" s="163" t="s">
        <v>3115</v>
      </c>
      <c r="E891" s="164" t="n">
        <v>18500</v>
      </c>
      <c r="F891" s="165" t="s">
        <v>4646</v>
      </c>
    </row>
    <row r="892" customFormat="false" ht="15" hidden="false" customHeight="true" outlineLevel="0" collapsed="false">
      <c r="A892" s="163" t="s">
        <v>3037</v>
      </c>
      <c r="B892" s="163" t="s">
        <v>928</v>
      </c>
      <c r="C892" s="163" t="s">
        <v>3102</v>
      </c>
      <c r="D892" s="163" t="s">
        <v>3103</v>
      </c>
      <c r="E892" s="164" t="n">
        <v>10000</v>
      </c>
      <c r="F892" s="165" t="s">
        <v>4647</v>
      </c>
    </row>
    <row r="893" customFormat="false" ht="15" hidden="false" customHeight="true" outlineLevel="0" collapsed="false">
      <c r="A893" s="163" t="s">
        <v>3037</v>
      </c>
      <c r="B893" s="163" t="s">
        <v>928</v>
      </c>
      <c r="C893" s="163" t="s">
        <v>4648</v>
      </c>
      <c r="D893" s="163" t="s">
        <v>4649</v>
      </c>
      <c r="E893" s="164" t="n">
        <v>10000</v>
      </c>
      <c r="F893" s="165" t="s">
        <v>4650</v>
      </c>
    </row>
    <row r="894" customFormat="false" ht="15" hidden="false" customHeight="true" outlineLevel="0" collapsed="false">
      <c r="A894" s="163" t="s">
        <v>3037</v>
      </c>
      <c r="B894" s="163" t="s">
        <v>928</v>
      </c>
      <c r="C894" s="163" t="s">
        <v>4651</v>
      </c>
      <c r="D894" s="163" t="s">
        <v>4652</v>
      </c>
      <c r="E894" s="164" t="n">
        <v>5000</v>
      </c>
      <c r="F894" s="165" t="s">
        <v>4653</v>
      </c>
    </row>
    <row r="895" customFormat="false" ht="15" hidden="false" customHeight="true" outlineLevel="0" collapsed="false">
      <c r="A895" s="163" t="s">
        <v>3037</v>
      </c>
      <c r="B895" s="163" t="s">
        <v>928</v>
      </c>
      <c r="C895" s="163" t="s">
        <v>3780</v>
      </c>
      <c r="D895" s="163" t="s">
        <v>3781</v>
      </c>
      <c r="E895" s="164" t="n">
        <v>5000</v>
      </c>
      <c r="F895" s="165" t="s">
        <v>4654</v>
      </c>
    </row>
    <row r="896" customFormat="false" ht="15" hidden="false" customHeight="true" outlineLevel="0" collapsed="false">
      <c r="A896" s="163" t="s">
        <v>3037</v>
      </c>
      <c r="B896" s="163" t="s">
        <v>928</v>
      </c>
      <c r="C896" s="163" t="s">
        <v>4655</v>
      </c>
      <c r="D896" s="163" t="s">
        <v>4656</v>
      </c>
      <c r="E896" s="164" t="n">
        <v>5000</v>
      </c>
      <c r="F896" s="165" t="s">
        <v>4657</v>
      </c>
    </row>
    <row r="897" customFormat="false" ht="15" hidden="false" customHeight="true" outlineLevel="0" collapsed="false">
      <c r="A897" s="163" t="s">
        <v>3037</v>
      </c>
      <c r="B897" s="163" t="s">
        <v>928</v>
      </c>
      <c r="C897" s="163" t="s">
        <v>3304</v>
      </c>
      <c r="D897" s="163" t="s">
        <v>3305</v>
      </c>
      <c r="E897" s="164" t="n">
        <v>5000</v>
      </c>
      <c r="F897" s="165" t="s">
        <v>4658</v>
      </c>
    </row>
    <row r="898" customFormat="false" ht="15" hidden="false" customHeight="true" outlineLevel="0" collapsed="false">
      <c r="A898" s="163" t="s">
        <v>3037</v>
      </c>
      <c r="B898" s="163" t="s">
        <v>928</v>
      </c>
      <c r="C898" s="163" t="s">
        <v>4659</v>
      </c>
      <c r="D898" s="163" t="s">
        <v>4660</v>
      </c>
      <c r="E898" s="164" t="n">
        <v>5000</v>
      </c>
      <c r="F898" s="165" t="s">
        <v>4661</v>
      </c>
    </row>
    <row r="899" customFormat="false" ht="15" hidden="false" customHeight="true" outlineLevel="0" collapsed="false">
      <c r="A899" s="163" t="s">
        <v>3037</v>
      </c>
      <c r="B899" s="163" t="s">
        <v>928</v>
      </c>
      <c r="C899" s="163" t="s">
        <v>3812</v>
      </c>
      <c r="D899" s="163" t="s">
        <v>3813</v>
      </c>
      <c r="E899" s="164" t="n">
        <v>5000</v>
      </c>
      <c r="F899" s="165" t="s">
        <v>4662</v>
      </c>
    </row>
    <row r="900" customFormat="false" ht="15" hidden="false" customHeight="true" outlineLevel="0" collapsed="false">
      <c r="A900" s="163" t="s">
        <v>3037</v>
      </c>
      <c r="B900" s="163" t="s">
        <v>928</v>
      </c>
      <c r="C900" s="163" t="s">
        <v>3243</v>
      </c>
      <c r="D900" s="163" t="s">
        <v>3244</v>
      </c>
      <c r="E900" s="164" t="n">
        <v>5000</v>
      </c>
      <c r="F900" s="165" t="s">
        <v>4663</v>
      </c>
    </row>
    <row r="901" customFormat="false" ht="15" hidden="false" customHeight="true" outlineLevel="0" collapsed="false">
      <c r="A901" s="163" t="s">
        <v>3037</v>
      </c>
      <c r="B901" s="163" t="s">
        <v>928</v>
      </c>
      <c r="C901" s="163" t="s">
        <v>3176</v>
      </c>
      <c r="D901" s="163" t="s">
        <v>3177</v>
      </c>
      <c r="E901" s="164" t="n">
        <v>5000</v>
      </c>
      <c r="F901" s="165" t="s">
        <v>4664</v>
      </c>
    </row>
    <row r="902" customFormat="false" ht="15" hidden="false" customHeight="true" outlineLevel="0" collapsed="false">
      <c r="A902" s="163" t="s">
        <v>3037</v>
      </c>
      <c r="B902" s="163" t="s">
        <v>928</v>
      </c>
      <c r="C902" s="163" t="s">
        <v>3063</v>
      </c>
      <c r="D902" s="163" t="s">
        <v>3064</v>
      </c>
      <c r="E902" s="164" t="n">
        <v>5000</v>
      </c>
      <c r="F902" s="165" t="s">
        <v>4665</v>
      </c>
    </row>
    <row r="903" customFormat="false" ht="15" hidden="false" customHeight="true" outlineLevel="0" collapsed="false">
      <c r="A903" s="163" t="s">
        <v>3037</v>
      </c>
      <c r="B903" s="163" t="s">
        <v>928</v>
      </c>
      <c r="C903" s="163" t="s">
        <v>4666</v>
      </c>
      <c r="D903" s="163" t="s">
        <v>4667</v>
      </c>
      <c r="E903" s="164" t="n">
        <v>5000</v>
      </c>
      <c r="F903" s="165" t="s">
        <v>4668</v>
      </c>
    </row>
    <row r="904" customFormat="false" ht="15" hidden="false" customHeight="true" outlineLevel="0" collapsed="false">
      <c r="A904" s="163" t="s">
        <v>3037</v>
      </c>
      <c r="B904" s="163" t="s">
        <v>928</v>
      </c>
      <c r="C904" s="163" t="s">
        <v>4669</v>
      </c>
      <c r="D904" s="163" t="s">
        <v>4670</v>
      </c>
      <c r="E904" s="164" t="n">
        <v>5000</v>
      </c>
      <c r="F904" s="165" t="s">
        <v>4671</v>
      </c>
    </row>
    <row r="905" customFormat="false" ht="15" hidden="false" customHeight="true" outlineLevel="0" collapsed="false">
      <c r="A905" s="163" t="s">
        <v>3037</v>
      </c>
      <c r="B905" s="163" t="s">
        <v>928</v>
      </c>
      <c r="C905" s="163" t="s">
        <v>4672</v>
      </c>
      <c r="D905" s="163" t="s">
        <v>4673</v>
      </c>
      <c r="E905" s="164" t="n">
        <v>5000</v>
      </c>
      <c r="F905" s="165" t="s">
        <v>4674</v>
      </c>
    </row>
    <row r="906" customFormat="false" ht="15" hidden="false" customHeight="true" outlineLevel="0" collapsed="false">
      <c r="A906" s="163" t="s">
        <v>3037</v>
      </c>
      <c r="B906" s="163" t="s">
        <v>928</v>
      </c>
      <c r="C906" s="163" t="s">
        <v>3145</v>
      </c>
      <c r="D906" s="163" t="s">
        <v>3146</v>
      </c>
      <c r="E906" s="164" t="n">
        <v>5000</v>
      </c>
      <c r="F906" s="165" t="s">
        <v>4317</v>
      </c>
    </row>
    <row r="907" customFormat="false" ht="15" hidden="false" customHeight="true" outlineLevel="0" collapsed="false">
      <c r="A907" s="163" t="s">
        <v>3037</v>
      </c>
      <c r="B907" s="163" t="s">
        <v>928</v>
      </c>
      <c r="C907" s="163" t="s">
        <v>4675</v>
      </c>
      <c r="D907" s="163" t="s">
        <v>4676</v>
      </c>
      <c r="E907" s="164" t="n">
        <v>5000</v>
      </c>
      <c r="F907" s="165" t="s">
        <v>4677</v>
      </c>
    </row>
    <row r="908" customFormat="false" ht="15" hidden="false" customHeight="true" outlineLevel="0" collapsed="false">
      <c r="A908" s="163" t="s">
        <v>3037</v>
      </c>
      <c r="B908" s="163" t="s">
        <v>928</v>
      </c>
      <c r="C908" s="163" t="s">
        <v>3163</v>
      </c>
      <c r="D908" s="163" t="s">
        <v>3164</v>
      </c>
      <c r="E908" s="164" t="n">
        <v>5000</v>
      </c>
      <c r="F908" s="165" t="s">
        <v>4678</v>
      </c>
    </row>
    <row r="909" customFormat="false" ht="15" hidden="false" customHeight="true" outlineLevel="0" collapsed="false">
      <c r="A909" s="163" t="s">
        <v>3037</v>
      </c>
      <c r="B909" s="163" t="s">
        <v>928</v>
      </c>
      <c r="C909" s="163" t="s">
        <v>4679</v>
      </c>
      <c r="D909" s="163" t="s">
        <v>4680</v>
      </c>
      <c r="E909" s="164" t="n">
        <v>5000</v>
      </c>
      <c r="F909" s="165" t="s">
        <v>4681</v>
      </c>
    </row>
    <row r="910" customFormat="false" ht="15" hidden="false" customHeight="true" outlineLevel="0" collapsed="false">
      <c r="A910" s="163" t="s">
        <v>3037</v>
      </c>
      <c r="B910" s="163" t="s">
        <v>928</v>
      </c>
      <c r="C910" s="163" t="s">
        <v>4682</v>
      </c>
      <c r="D910" s="163" t="s">
        <v>4683</v>
      </c>
      <c r="E910" s="164" t="n">
        <v>5000</v>
      </c>
      <c r="F910" s="165" t="s">
        <v>4684</v>
      </c>
    </row>
    <row r="911" customFormat="false" ht="15" hidden="false" customHeight="true" outlineLevel="0" collapsed="false">
      <c r="A911" s="163" t="s">
        <v>3037</v>
      </c>
      <c r="B911" s="163" t="s">
        <v>928</v>
      </c>
      <c r="C911" s="163" t="s">
        <v>1159</v>
      </c>
      <c r="D911" s="163" t="s">
        <v>1936</v>
      </c>
      <c r="E911" s="164" t="n">
        <v>5000</v>
      </c>
      <c r="F911" s="165" t="s">
        <v>4685</v>
      </c>
    </row>
    <row r="912" customFormat="false" ht="15" hidden="false" customHeight="true" outlineLevel="0" collapsed="false">
      <c r="A912" s="163" t="s">
        <v>3037</v>
      </c>
      <c r="B912" s="163" t="s">
        <v>928</v>
      </c>
      <c r="C912" s="163" t="s">
        <v>4686</v>
      </c>
      <c r="D912" s="163" t="s">
        <v>4687</v>
      </c>
      <c r="E912" s="164" t="n">
        <v>5000</v>
      </c>
      <c r="F912" s="165" t="s">
        <v>4688</v>
      </c>
    </row>
    <row r="913" customFormat="false" ht="15" hidden="false" customHeight="true" outlineLevel="0" collapsed="false">
      <c r="A913" s="163" t="s">
        <v>3037</v>
      </c>
      <c r="B913" s="163" t="s">
        <v>928</v>
      </c>
      <c r="C913" s="163" t="s">
        <v>4689</v>
      </c>
      <c r="D913" s="163" t="s">
        <v>4690</v>
      </c>
      <c r="E913" s="164" t="n">
        <v>5000</v>
      </c>
      <c r="F913" s="165" t="s">
        <v>4691</v>
      </c>
    </row>
    <row r="914" customFormat="false" ht="15" hidden="false" customHeight="true" outlineLevel="0" collapsed="false">
      <c r="A914" s="163" t="s">
        <v>3037</v>
      </c>
      <c r="B914" s="163" t="s">
        <v>928</v>
      </c>
      <c r="C914" s="163" t="s">
        <v>4692</v>
      </c>
      <c r="D914" s="163" t="s">
        <v>4693</v>
      </c>
      <c r="E914" s="164" t="n">
        <v>5000</v>
      </c>
      <c r="F914" s="165" t="s">
        <v>4694</v>
      </c>
    </row>
    <row r="915" customFormat="false" ht="15" hidden="false" customHeight="true" outlineLevel="0" collapsed="false">
      <c r="A915" s="163" t="s">
        <v>3037</v>
      </c>
      <c r="B915" s="163" t="s">
        <v>928</v>
      </c>
      <c r="C915" s="163" t="s">
        <v>4695</v>
      </c>
      <c r="D915" s="163" t="s">
        <v>4696</v>
      </c>
      <c r="E915" s="164" t="n">
        <v>5000</v>
      </c>
      <c r="F915" s="165" t="s">
        <v>4697</v>
      </c>
    </row>
    <row r="916" customFormat="false" ht="15" hidden="false" customHeight="true" outlineLevel="0" collapsed="false">
      <c r="A916" s="163" t="s">
        <v>3037</v>
      </c>
      <c r="B916" s="163" t="s">
        <v>928</v>
      </c>
      <c r="C916" s="163" t="s">
        <v>3090</v>
      </c>
      <c r="D916" s="163" t="s">
        <v>3091</v>
      </c>
      <c r="E916" s="164" t="n">
        <v>1500</v>
      </c>
      <c r="F916" s="165" t="s">
        <v>4698</v>
      </c>
    </row>
    <row r="917" customFormat="false" ht="15" hidden="false" customHeight="true" outlineLevel="0" collapsed="false">
      <c r="A917" s="163" t="s">
        <v>3055</v>
      </c>
      <c r="B917" s="163" t="s">
        <v>3055</v>
      </c>
      <c r="C917" s="163" t="s">
        <v>3771</v>
      </c>
      <c r="D917" s="163" t="s">
        <v>3772</v>
      </c>
      <c r="E917" s="164" t="n">
        <v>20000</v>
      </c>
      <c r="F917" s="165" t="s">
        <v>4699</v>
      </c>
    </row>
    <row r="918" customFormat="false" ht="15" hidden="false" customHeight="true" outlineLevel="0" collapsed="false">
      <c r="A918" s="163" t="s">
        <v>3055</v>
      </c>
      <c r="B918" s="163" t="s">
        <v>3055</v>
      </c>
      <c r="C918" s="163" t="s">
        <v>3498</v>
      </c>
      <c r="D918" s="163" t="s">
        <v>3499</v>
      </c>
      <c r="E918" s="164" t="n">
        <v>20000</v>
      </c>
      <c r="F918" s="165" t="s">
        <v>4700</v>
      </c>
    </row>
    <row r="919" customFormat="false" ht="15" hidden="false" customHeight="true" outlineLevel="0" collapsed="false">
      <c r="A919" s="163" t="s">
        <v>3055</v>
      </c>
      <c r="B919" s="163" t="s">
        <v>3055</v>
      </c>
      <c r="C919" s="163" t="s">
        <v>4701</v>
      </c>
      <c r="D919" s="163" t="s">
        <v>4702</v>
      </c>
      <c r="E919" s="164" t="n">
        <v>20000</v>
      </c>
      <c r="F919" s="165" t="s">
        <v>4703</v>
      </c>
    </row>
    <row r="920" customFormat="false" ht="15" hidden="false" customHeight="true" outlineLevel="0" collapsed="false">
      <c r="A920" s="163" t="s">
        <v>3055</v>
      </c>
      <c r="B920" s="163" t="s">
        <v>3055</v>
      </c>
      <c r="C920" s="163" t="s">
        <v>3180</v>
      </c>
      <c r="D920" s="163" t="s">
        <v>3181</v>
      </c>
      <c r="E920" s="164" t="n">
        <v>19777</v>
      </c>
      <c r="F920" s="165" t="s">
        <v>4704</v>
      </c>
    </row>
    <row r="921" customFormat="false" ht="15" hidden="false" customHeight="true" outlineLevel="0" collapsed="false">
      <c r="A921" s="163" t="s">
        <v>3055</v>
      </c>
      <c r="B921" s="163" t="s">
        <v>3055</v>
      </c>
      <c r="C921" s="163" t="s">
        <v>4705</v>
      </c>
      <c r="D921" s="163" t="s">
        <v>4706</v>
      </c>
      <c r="E921" s="164" t="n">
        <v>17777</v>
      </c>
      <c r="F921" s="165" t="s">
        <v>4707</v>
      </c>
    </row>
    <row r="922" customFormat="false" ht="15" hidden="false" customHeight="true" outlineLevel="0" collapsed="false">
      <c r="A922" s="163" t="s">
        <v>3055</v>
      </c>
      <c r="B922" s="163" t="s">
        <v>3055</v>
      </c>
      <c r="C922" s="163" t="s">
        <v>4708</v>
      </c>
      <c r="D922" s="163" t="s">
        <v>4709</v>
      </c>
      <c r="E922" s="164" t="n">
        <v>15000</v>
      </c>
      <c r="F922" s="165" t="s">
        <v>4710</v>
      </c>
    </row>
    <row r="923" customFormat="false" ht="15" hidden="false" customHeight="true" outlineLevel="0" collapsed="false">
      <c r="A923" s="163" t="s">
        <v>3055</v>
      </c>
      <c r="B923" s="163" t="s">
        <v>3055</v>
      </c>
      <c r="C923" s="163" t="s">
        <v>4711</v>
      </c>
      <c r="D923" s="163" t="s">
        <v>4712</v>
      </c>
      <c r="E923" s="164" t="n">
        <v>15000</v>
      </c>
      <c r="F923" s="165" t="s">
        <v>4713</v>
      </c>
    </row>
    <row r="924" customFormat="false" ht="15" hidden="false" customHeight="true" outlineLevel="0" collapsed="false">
      <c r="A924" s="163" t="s">
        <v>3055</v>
      </c>
      <c r="B924" s="163" t="s">
        <v>3055</v>
      </c>
      <c r="C924" s="163" t="s">
        <v>4714</v>
      </c>
      <c r="D924" s="163" t="s">
        <v>4715</v>
      </c>
      <c r="E924" s="164" t="n">
        <v>15000</v>
      </c>
      <c r="F924" s="165" t="s">
        <v>4716</v>
      </c>
    </row>
    <row r="925" customFormat="false" ht="15" hidden="false" customHeight="true" outlineLevel="0" collapsed="false">
      <c r="A925" s="163" t="s">
        <v>3055</v>
      </c>
      <c r="B925" s="163" t="s">
        <v>3055</v>
      </c>
      <c r="C925" s="163" t="s">
        <v>4717</v>
      </c>
      <c r="D925" s="163" t="s">
        <v>4718</v>
      </c>
      <c r="E925" s="164" t="n">
        <v>12784</v>
      </c>
      <c r="F925" s="165" t="s">
        <v>4719</v>
      </c>
    </row>
    <row r="926" customFormat="false" ht="15" hidden="false" customHeight="true" outlineLevel="0" collapsed="false">
      <c r="A926" s="163" t="s">
        <v>3055</v>
      </c>
      <c r="B926" s="163" t="s">
        <v>3055</v>
      </c>
      <c r="C926" s="163" t="s">
        <v>2695</v>
      </c>
      <c r="D926" s="163" t="s">
        <v>2696</v>
      </c>
      <c r="E926" s="164" t="n">
        <v>10000</v>
      </c>
      <c r="F926" s="165" t="s">
        <v>4720</v>
      </c>
    </row>
    <row r="927" customFormat="false" ht="15" hidden="false" customHeight="true" outlineLevel="0" collapsed="false">
      <c r="A927" s="163" t="s">
        <v>3055</v>
      </c>
      <c r="B927" s="163" t="s">
        <v>3055</v>
      </c>
      <c r="C927" s="163" t="s">
        <v>1202</v>
      </c>
      <c r="D927" s="163" t="s">
        <v>2693</v>
      </c>
      <c r="E927" s="164" t="n">
        <v>10000</v>
      </c>
      <c r="F927" s="165" t="s">
        <v>4721</v>
      </c>
    </row>
    <row r="928" customFormat="false" ht="15" hidden="false" customHeight="true" outlineLevel="0" collapsed="false">
      <c r="A928" s="163" t="s">
        <v>3055</v>
      </c>
      <c r="B928" s="163" t="s">
        <v>3055</v>
      </c>
      <c r="C928" s="163" t="s">
        <v>452</v>
      </c>
      <c r="D928" s="163" t="s">
        <v>2102</v>
      </c>
      <c r="E928" s="164" t="n">
        <v>10000</v>
      </c>
      <c r="F928" s="165" t="s">
        <v>4722</v>
      </c>
    </row>
    <row r="929" customFormat="false" ht="15" hidden="false" customHeight="true" outlineLevel="0" collapsed="false">
      <c r="A929" s="163" t="s">
        <v>3055</v>
      </c>
      <c r="B929" s="163" t="s">
        <v>3055</v>
      </c>
      <c r="C929" s="163" t="s">
        <v>4723</v>
      </c>
      <c r="D929" s="163" t="s">
        <v>4724</v>
      </c>
      <c r="E929" s="164" t="n">
        <v>10000</v>
      </c>
      <c r="F929" s="165" t="s">
        <v>4725</v>
      </c>
    </row>
    <row r="930" customFormat="false" ht="15" hidden="false" customHeight="true" outlineLevel="0" collapsed="false">
      <c r="A930" s="163" t="s">
        <v>3055</v>
      </c>
      <c r="B930" s="163" t="s">
        <v>3055</v>
      </c>
      <c r="C930" s="163" t="s">
        <v>4726</v>
      </c>
      <c r="D930" s="163" t="s">
        <v>4727</v>
      </c>
      <c r="E930" s="164" t="n">
        <v>10000</v>
      </c>
      <c r="F930" s="165" t="s">
        <v>4728</v>
      </c>
    </row>
    <row r="931" customFormat="false" ht="15" hidden="false" customHeight="true" outlineLevel="0" collapsed="false">
      <c r="A931" s="163" t="s">
        <v>3055</v>
      </c>
      <c r="B931" s="163" t="s">
        <v>3055</v>
      </c>
      <c r="C931" s="163" t="s">
        <v>240</v>
      </c>
      <c r="D931" s="163" t="s">
        <v>2418</v>
      </c>
      <c r="E931" s="164" t="n">
        <v>10000</v>
      </c>
      <c r="F931" s="165" t="s">
        <v>4729</v>
      </c>
    </row>
    <row r="932" customFormat="false" ht="15" hidden="false" customHeight="true" outlineLevel="0" collapsed="false">
      <c r="A932" s="163" t="s">
        <v>3055</v>
      </c>
      <c r="B932" s="163" t="s">
        <v>3055</v>
      </c>
      <c r="C932" s="163" t="s">
        <v>3363</v>
      </c>
      <c r="D932" s="163" t="s">
        <v>3364</v>
      </c>
      <c r="E932" s="164" t="n">
        <v>10000</v>
      </c>
      <c r="F932" s="165" t="s">
        <v>4730</v>
      </c>
    </row>
    <row r="933" customFormat="false" ht="15" hidden="false" customHeight="true" outlineLevel="0" collapsed="false">
      <c r="A933" s="163" t="s">
        <v>3055</v>
      </c>
      <c r="B933" s="163" t="s">
        <v>3055</v>
      </c>
      <c r="C933" s="163" t="s">
        <v>4731</v>
      </c>
      <c r="D933" s="163" t="s">
        <v>4732</v>
      </c>
      <c r="E933" s="164" t="n">
        <v>10000</v>
      </c>
      <c r="F933" s="165" t="s">
        <v>4733</v>
      </c>
    </row>
    <row r="934" customFormat="false" ht="15" hidden="false" customHeight="true" outlineLevel="0" collapsed="false">
      <c r="A934" s="163" t="s">
        <v>3055</v>
      </c>
      <c r="B934" s="163" t="s">
        <v>3055</v>
      </c>
      <c r="C934" s="163" t="s">
        <v>3317</v>
      </c>
      <c r="D934" s="163" t="s">
        <v>3318</v>
      </c>
      <c r="E934" s="164" t="n">
        <v>10000</v>
      </c>
      <c r="F934" s="165" t="s">
        <v>4734</v>
      </c>
    </row>
    <row r="935" customFormat="false" ht="15" hidden="false" customHeight="true" outlineLevel="0" collapsed="false">
      <c r="A935" s="163" t="s">
        <v>3055</v>
      </c>
      <c r="B935" s="163" t="s">
        <v>3055</v>
      </c>
      <c r="C935" s="163" t="s">
        <v>3183</v>
      </c>
      <c r="D935" s="163" t="s">
        <v>3184</v>
      </c>
      <c r="E935" s="164" t="n">
        <v>8000</v>
      </c>
      <c r="F935" s="165" t="s">
        <v>4704</v>
      </c>
    </row>
    <row r="936" customFormat="false" ht="15" hidden="false" customHeight="true" outlineLevel="0" collapsed="false">
      <c r="A936" s="163" t="s">
        <v>3055</v>
      </c>
      <c r="B936" s="163" t="s">
        <v>3055</v>
      </c>
      <c r="C936" s="163" t="s">
        <v>4735</v>
      </c>
      <c r="D936" s="163" t="s">
        <v>4736</v>
      </c>
      <c r="E936" s="164" t="n">
        <v>7777</v>
      </c>
      <c r="F936" s="165" t="s">
        <v>4737</v>
      </c>
    </row>
    <row r="937" customFormat="false" ht="15" hidden="false" customHeight="true" outlineLevel="0" collapsed="false">
      <c r="A937" s="163" t="s">
        <v>3055</v>
      </c>
      <c r="B937" s="163" t="s">
        <v>3055</v>
      </c>
      <c r="C937" s="163" t="s">
        <v>4717</v>
      </c>
      <c r="D937" s="163" t="s">
        <v>4718</v>
      </c>
      <c r="E937" s="164" t="n">
        <v>7777</v>
      </c>
      <c r="F937" s="165" t="s">
        <v>4738</v>
      </c>
    </row>
    <row r="938" customFormat="false" ht="15" hidden="false" customHeight="true" outlineLevel="0" collapsed="false">
      <c r="A938" s="163" t="s">
        <v>3055</v>
      </c>
      <c r="B938" s="163" t="s">
        <v>3055</v>
      </c>
      <c r="C938" s="163" t="s">
        <v>925</v>
      </c>
      <c r="D938" s="163" t="s">
        <v>1931</v>
      </c>
      <c r="E938" s="164" t="n">
        <v>7777</v>
      </c>
      <c r="F938" s="165" t="s">
        <v>4739</v>
      </c>
    </row>
    <row r="939" customFormat="false" ht="15" hidden="false" customHeight="true" outlineLevel="0" collapsed="false">
      <c r="A939" s="163" t="s">
        <v>3055</v>
      </c>
      <c r="B939" s="163" t="s">
        <v>3055</v>
      </c>
      <c r="C939" s="163" t="s">
        <v>3385</v>
      </c>
      <c r="D939" s="163" t="s">
        <v>3386</v>
      </c>
      <c r="E939" s="164" t="n">
        <v>7777</v>
      </c>
      <c r="F939" s="165" t="s">
        <v>4740</v>
      </c>
    </row>
    <row r="940" customFormat="false" ht="15" hidden="false" customHeight="true" outlineLevel="0" collapsed="false">
      <c r="A940" s="163" t="s">
        <v>3055</v>
      </c>
      <c r="B940" s="163" t="s">
        <v>3055</v>
      </c>
      <c r="C940" s="163" t="s">
        <v>4363</v>
      </c>
      <c r="D940" s="163" t="s">
        <v>4364</v>
      </c>
      <c r="E940" s="164" t="n">
        <v>7777</v>
      </c>
      <c r="F940" s="165" t="s">
        <v>4741</v>
      </c>
    </row>
    <row r="941" customFormat="false" ht="15" hidden="false" customHeight="true" outlineLevel="0" collapsed="false">
      <c r="A941" s="163" t="s">
        <v>3055</v>
      </c>
      <c r="B941" s="163" t="s">
        <v>3055</v>
      </c>
      <c r="C941" s="163" t="s">
        <v>408</v>
      </c>
      <c r="D941" s="163" t="s">
        <v>2082</v>
      </c>
      <c r="E941" s="164" t="n">
        <v>7777</v>
      </c>
      <c r="F941" s="165" t="s">
        <v>4742</v>
      </c>
    </row>
    <row r="942" customFormat="false" ht="15" hidden="false" customHeight="true" outlineLevel="0" collapsed="false">
      <c r="A942" s="163" t="s">
        <v>3055</v>
      </c>
      <c r="B942" s="163" t="s">
        <v>3055</v>
      </c>
      <c r="C942" s="163" t="s">
        <v>4743</v>
      </c>
      <c r="D942" s="163" t="s">
        <v>4744</v>
      </c>
      <c r="E942" s="164" t="n">
        <v>5000</v>
      </c>
      <c r="F942" s="165" t="s">
        <v>4745</v>
      </c>
    </row>
    <row r="943" customFormat="false" ht="15" hidden="false" customHeight="true" outlineLevel="0" collapsed="false">
      <c r="A943" s="163" t="s">
        <v>3055</v>
      </c>
      <c r="B943" s="163" t="s">
        <v>3055</v>
      </c>
      <c r="C943" s="163" t="s">
        <v>4746</v>
      </c>
      <c r="D943" s="163" t="s">
        <v>4747</v>
      </c>
      <c r="E943" s="164" t="n">
        <v>5000</v>
      </c>
      <c r="F943" s="165" t="s">
        <v>4748</v>
      </c>
    </row>
    <row r="944" customFormat="false" ht="15" hidden="false" customHeight="true" outlineLevel="0" collapsed="false">
      <c r="A944" s="163" t="s">
        <v>3055</v>
      </c>
      <c r="B944" s="163" t="s">
        <v>3055</v>
      </c>
      <c r="C944" s="163" t="s">
        <v>4749</v>
      </c>
      <c r="D944" s="163" t="s">
        <v>4750</v>
      </c>
      <c r="E944" s="164" t="n">
        <v>5000</v>
      </c>
      <c r="F944" s="165" t="s">
        <v>4741</v>
      </c>
    </row>
    <row r="945" customFormat="false" ht="15" hidden="false" customHeight="true" outlineLevel="0" collapsed="false">
      <c r="A945" s="163" t="s">
        <v>3055</v>
      </c>
      <c r="B945" s="163" t="s">
        <v>3055</v>
      </c>
      <c r="C945" s="163" t="s">
        <v>3093</v>
      </c>
      <c r="D945" s="163" t="s">
        <v>3094</v>
      </c>
      <c r="E945" s="164" t="n">
        <v>5000</v>
      </c>
      <c r="F945" s="165" t="s">
        <v>4741</v>
      </c>
    </row>
    <row r="946" customFormat="false" ht="15" hidden="false" customHeight="true" outlineLevel="0" collapsed="false">
      <c r="A946" s="163" t="s">
        <v>3055</v>
      </c>
      <c r="B946" s="163" t="s">
        <v>3055</v>
      </c>
      <c r="C946" s="163" t="s">
        <v>1193</v>
      </c>
      <c r="D946" s="163" t="s">
        <v>2092</v>
      </c>
      <c r="E946" s="164" t="n">
        <v>5000</v>
      </c>
      <c r="F946" s="165" t="s">
        <v>4741</v>
      </c>
    </row>
    <row r="947" customFormat="false" ht="15" hidden="false" customHeight="true" outlineLevel="0" collapsed="false">
      <c r="A947" s="163" t="s">
        <v>3055</v>
      </c>
      <c r="B947" s="163" t="s">
        <v>3055</v>
      </c>
      <c r="C947" s="163" t="s">
        <v>4751</v>
      </c>
      <c r="D947" s="163" t="s">
        <v>4752</v>
      </c>
      <c r="E947" s="164" t="n">
        <v>5000</v>
      </c>
      <c r="F947" s="165" t="s">
        <v>4741</v>
      </c>
    </row>
    <row r="948" customFormat="false" ht="15" hidden="false" customHeight="true" outlineLevel="0" collapsed="false">
      <c r="A948" s="163" t="s">
        <v>3055</v>
      </c>
      <c r="B948" s="163" t="s">
        <v>3055</v>
      </c>
      <c r="C948" s="163" t="s">
        <v>3428</v>
      </c>
      <c r="D948" s="163" t="s">
        <v>3429</v>
      </c>
      <c r="E948" s="164" t="n">
        <v>5000</v>
      </c>
      <c r="F948" s="165" t="s">
        <v>4741</v>
      </c>
    </row>
    <row r="949" customFormat="false" ht="15" hidden="false" customHeight="true" outlineLevel="0" collapsed="false">
      <c r="A949" s="163" t="s">
        <v>3055</v>
      </c>
      <c r="B949" s="163" t="s">
        <v>3055</v>
      </c>
      <c r="C949" s="163" t="s">
        <v>473</v>
      </c>
      <c r="D949" s="163" t="s">
        <v>2764</v>
      </c>
      <c r="E949" s="164" t="n">
        <v>5000</v>
      </c>
      <c r="F949" s="165" t="s">
        <v>4753</v>
      </c>
    </row>
    <row r="950" customFormat="false" ht="15" hidden="false" customHeight="true" outlineLevel="0" collapsed="false">
      <c r="A950" s="163" t="s">
        <v>3052</v>
      </c>
      <c r="B950" s="163" t="s">
        <v>3052</v>
      </c>
      <c r="C950" s="163" t="s">
        <v>4754</v>
      </c>
      <c r="D950" s="163" t="s">
        <v>4755</v>
      </c>
      <c r="E950" s="164" t="n">
        <v>38750</v>
      </c>
      <c r="F950" s="165" t="s">
        <v>4756</v>
      </c>
    </row>
    <row r="951" customFormat="false" ht="15" hidden="false" customHeight="true" outlineLevel="0" collapsed="false">
      <c r="A951" s="163" t="s">
        <v>3052</v>
      </c>
      <c r="B951" s="163" t="s">
        <v>3052</v>
      </c>
      <c r="C951" s="163" t="s">
        <v>4757</v>
      </c>
      <c r="D951" s="163" t="s">
        <v>4758</v>
      </c>
      <c r="E951" s="164" t="n">
        <v>38750</v>
      </c>
      <c r="F951" s="165" t="s">
        <v>3060</v>
      </c>
    </row>
    <row r="952" customFormat="false" ht="15" hidden="false" customHeight="true" outlineLevel="0" collapsed="false">
      <c r="A952" s="163" t="s">
        <v>3052</v>
      </c>
      <c r="B952" s="163" t="s">
        <v>3052</v>
      </c>
      <c r="C952" s="163" t="s">
        <v>4153</v>
      </c>
      <c r="D952" s="163" t="s">
        <v>4154</v>
      </c>
      <c r="E952" s="164" t="n">
        <v>38750</v>
      </c>
      <c r="F952" s="165" t="s">
        <v>4759</v>
      </c>
    </row>
    <row r="953" customFormat="false" ht="15" hidden="false" customHeight="true" outlineLevel="0" collapsed="false">
      <c r="A953" s="163" t="s">
        <v>3052</v>
      </c>
      <c r="B953" s="163" t="s">
        <v>3052</v>
      </c>
      <c r="C953" s="163" t="s">
        <v>4760</v>
      </c>
      <c r="D953" s="163" t="s">
        <v>4761</v>
      </c>
      <c r="E953" s="164" t="n">
        <v>38750</v>
      </c>
      <c r="F953" s="165" t="s">
        <v>4762</v>
      </c>
    </row>
    <row r="954" customFormat="false" ht="15" hidden="false" customHeight="true" outlineLevel="0" collapsed="false">
      <c r="A954" s="163" t="s">
        <v>3052</v>
      </c>
      <c r="B954" s="163" t="s">
        <v>3052</v>
      </c>
      <c r="C954" s="163" t="s">
        <v>4763</v>
      </c>
      <c r="D954" s="163" t="s">
        <v>4764</v>
      </c>
      <c r="E954" s="164" t="n">
        <v>23750</v>
      </c>
      <c r="F954" s="165" t="s">
        <v>4765</v>
      </c>
    </row>
    <row r="955" customFormat="false" ht="15" hidden="false" customHeight="true" outlineLevel="0" collapsed="false">
      <c r="A955" s="163" t="s">
        <v>3052</v>
      </c>
      <c r="B955" s="163" t="s">
        <v>3052</v>
      </c>
      <c r="C955" s="163" t="s">
        <v>4766</v>
      </c>
      <c r="D955" s="163" t="s">
        <v>4767</v>
      </c>
      <c r="E955" s="164" t="n">
        <v>18750</v>
      </c>
      <c r="F955" s="165" t="s">
        <v>4768</v>
      </c>
    </row>
    <row r="956" customFormat="false" ht="15" hidden="false" customHeight="true" outlineLevel="0" collapsed="false">
      <c r="A956" s="163" t="s">
        <v>3052</v>
      </c>
      <c r="B956" s="163" t="s">
        <v>3052</v>
      </c>
      <c r="C956" s="163" t="s">
        <v>4769</v>
      </c>
      <c r="D956" s="163" t="s">
        <v>4770</v>
      </c>
      <c r="E956" s="164" t="n">
        <v>15000</v>
      </c>
      <c r="F956" s="165" t="s">
        <v>4765</v>
      </c>
    </row>
    <row r="957" customFormat="false" ht="15" hidden="false" customHeight="true" outlineLevel="0" collapsed="false">
      <c r="A957" s="163" t="s">
        <v>3052</v>
      </c>
      <c r="B957" s="163" t="s">
        <v>3052</v>
      </c>
      <c r="C957" s="163" t="s">
        <v>4771</v>
      </c>
      <c r="D957" s="163" t="s">
        <v>4772</v>
      </c>
      <c r="E957" s="164" t="n">
        <v>15000</v>
      </c>
      <c r="F957" s="165" t="s">
        <v>4773</v>
      </c>
    </row>
    <row r="958" customFormat="false" ht="15" hidden="false" customHeight="true" outlineLevel="0" collapsed="false">
      <c r="A958" s="163" t="s">
        <v>3052</v>
      </c>
      <c r="B958" s="163" t="s">
        <v>3052</v>
      </c>
      <c r="C958" s="163" t="s">
        <v>4774</v>
      </c>
      <c r="D958" s="163" t="s">
        <v>4775</v>
      </c>
      <c r="E958" s="164" t="n">
        <v>11000</v>
      </c>
      <c r="F958" s="165" t="s">
        <v>4776</v>
      </c>
    </row>
    <row r="959" customFormat="false" ht="15" hidden="false" customHeight="true" outlineLevel="0" collapsed="false">
      <c r="A959" s="163" t="s">
        <v>3052</v>
      </c>
      <c r="B959" s="163" t="s">
        <v>3052</v>
      </c>
      <c r="C959" s="163" t="s">
        <v>4777</v>
      </c>
      <c r="D959" s="163" t="s">
        <v>4778</v>
      </c>
      <c r="E959" s="164" t="n">
        <v>10250</v>
      </c>
      <c r="F959" s="165" t="s">
        <v>4779</v>
      </c>
    </row>
    <row r="960" customFormat="false" ht="15" hidden="false" customHeight="true" outlineLevel="0" collapsed="false">
      <c r="A960" s="163" t="s">
        <v>3052</v>
      </c>
      <c r="B960" s="163" t="s">
        <v>3052</v>
      </c>
      <c r="C960" s="163" t="s">
        <v>4087</v>
      </c>
      <c r="D960" s="163" t="s">
        <v>4088</v>
      </c>
      <c r="E960" s="164" t="n">
        <v>10000</v>
      </c>
      <c r="F960" s="165" t="s">
        <v>4780</v>
      </c>
    </row>
    <row r="961" customFormat="false" ht="15" hidden="false" customHeight="true" outlineLevel="0" collapsed="false">
      <c r="A961" s="163" t="s">
        <v>3052</v>
      </c>
      <c r="B961" s="163" t="s">
        <v>3052</v>
      </c>
      <c r="C961" s="163" t="s">
        <v>4781</v>
      </c>
      <c r="D961" s="163" t="s">
        <v>4782</v>
      </c>
      <c r="E961" s="164" t="n">
        <v>10000</v>
      </c>
      <c r="F961" s="165" t="s">
        <v>4783</v>
      </c>
    </row>
    <row r="962" customFormat="false" ht="15" hidden="false" customHeight="true" outlineLevel="0" collapsed="false">
      <c r="A962" s="163" t="s">
        <v>3052</v>
      </c>
      <c r="B962" s="163" t="s">
        <v>3052</v>
      </c>
      <c r="C962" s="163" t="s">
        <v>4784</v>
      </c>
      <c r="D962" s="163" t="s">
        <v>4785</v>
      </c>
      <c r="E962" s="164" t="n">
        <v>10000</v>
      </c>
      <c r="F962" s="165" t="s">
        <v>4786</v>
      </c>
    </row>
    <row r="963" customFormat="false" ht="15" hidden="false" customHeight="true" outlineLevel="0" collapsed="false">
      <c r="A963" s="163" t="s">
        <v>3052</v>
      </c>
      <c r="B963" s="163" t="s">
        <v>3052</v>
      </c>
      <c r="C963" s="163" t="s">
        <v>4787</v>
      </c>
      <c r="D963" s="163" t="s">
        <v>4788</v>
      </c>
      <c r="E963" s="164" t="n">
        <v>10000</v>
      </c>
      <c r="F963" s="165" t="s">
        <v>3060</v>
      </c>
    </row>
    <row r="964" customFormat="false" ht="15" hidden="false" customHeight="true" outlineLevel="0" collapsed="false">
      <c r="A964" s="163" t="s">
        <v>3052</v>
      </c>
      <c r="B964" s="163" t="s">
        <v>3052</v>
      </c>
      <c r="C964" s="163" t="s">
        <v>4247</v>
      </c>
      <c r="D964" s="163" t="s">
        <v>4248</v>
      </c>
      <c r="E964" s="164" t="n">
        <v>10000</v>
      </c>
      <c r="F964" s="165" t="s">
        <v>3060</v>
      </c>
    </row>
    <row r="965" customFormat="false" ht="15" hidden="false" customHeight="true" outlineLevel="0" collapsed="false">
      <c r="A965" s="163" t="s">
        <v>3052</v>
      </c>
      <c r="B965" s="163" t="s">
        <v>3052</v>
      </c>
      <c r="C965" s="163" t="s">
        <v>4789</v>
      </c>
      <c r="D965" s="163" t="s">
        <v>4790</v>
      </c>
      <c r="E965" s="164" t="n">
        <v>10000</v>
      </c>
      <c r="F965" s="165" t="s">
        <v>4791</v>
      </c>
    </row>
    <row r="966" customFormat="false" ht="15" hidden="false" customHeight="true" outlineLevel="0" collapsed="false">
      <c r="A966" s="163" t="s">
        <v>3052</v>
      </c>
      <c r="B966" s="163" t="s">
        <v>3052</v>
      </c>
      <c r="C966" s="163" t="s">
        <v>4792</v>
      </c>
      <c r="D966" s="163" t="s">
        <v>4793</v>
      </c>
      <c r="E966" s="164" t="n">
        <v>10000</v>
      </c>
      <c r="F966" s="165" t="s">
        <v>3060</v>
      </c>
    </row>
    <row r="967" customFormat="false" ht="15" hidden="false" customHeight="true" outlineLevel="0" collapsed="false">
      <c r="A967" s="163" t="s">
        <v>3052</v>
      </c>
      <c r="B967" s="163" t="s">
        <v>3052</v>
      </c>
      <c r="C967" s="163" t="s">
        <v>4794</v>
      </c>
      <c r="D967" s="163" t="s">
        <v>4795</v>
      </c>
      <c r="E967" s="164" t="n">
        <v>10000</v>
      </c>
      <c r="F967" s="165" t="s">
        <v>4796</v>
      </c>
    </row>
    <row r="968" customFormat="false" ht="15" hidden="false" customHeight="true" outlineLevel="0" collapsed="false">
      <c r="A968" s="163" t="s">
        <v>3052</v>
      </c>
      <c r="B968" s="163" t="s">
        <v>3052</v>
      </c>
      <c r="C968" s="163" t="s">
        <v>4797</v>
      </c>
      <c r="D968" s="163" t="s">
        <v>4798</v>
      </c>
      <c r="E968" s="164" t="n">
        <v>10000</v>
      </c>
      <c r="F968" s="165" t="s">
        <v>4799</v>
      </c>
    </row>
    <row r="969" customFormat="false" ht="15" hidden="false" customHeight="true" outlineLevel="0" collapsed="false">
      <c r="A969" s="163" t="s">
        <v>3052</v>
      </c>
      <c r="B969" s="163" t="s">
        <v>3052</v>
      </c>
      <c r="C969" s="163" t="s">
        <v>4073</v>
      </c>
      <c r="D969" s="163" t="s">
        <v>4074</v>
      </c>
      <c r="E969" s="164" t="n">
        <v>10000</v>
      </c>
      <c r="F969" s="165" t="s">
        <v>4800</v>
      </c>
    </row>
    <row r="970" customFormat="false" ht="15" hidden="false" customHeight="true" outlineLevel="0" collapsed="false">
      <c r="A970" s="163" t="s">
        <v>3052</v>
      </c>
      <c r="B970" s="163" t="s">
        <v>3052</v>
      </c>
      <c r="C970" s="163" t="s">
        <v>4784</v>
      </c>
      <c r="D970" s="163" t="s">
        <v>4785</v>
      </c>
      <c r="E970" s="164" t="n">
        <v>10000</v>
      </c>
      <c r="F970" s="165" t="s">
        <v>4801</v>
      </c>
    </row>
    <row r="971" customFormat="false" ht="15" hidden="false" customHeight="true" outlineLevel="0" collapsed="false">
      <c r="A971" s="163" t="s">
        <v>3052</v>
      </c>
      <c r="B971" s="163" t="s">
        <v>3052</v>
      </c>
      <c r="C971" s="163" t="s">
        <v>4802</v>
      </c>
      <c r="D971" s="163" t="s">
        <v>4803</v>
      </c>
      <c r="E971" s="164" t="n">
        <v>10000</v>
      </c>
      <c r="F971" s="165" t="s">
        <v>4804</v>
      </c>
    </row>
    <row r="972" customFormat="false" ht="15" hidden="false" customHeight="true" outlineLevel="0" collapsed="false">
      <c r="A972" s="163" t="s">
        <v>3052</v>
      </c>
      <c r="B972" s="163" t="s">
        <v>3052</v>
      </c>
      <c r="C972" s="163" t="s">
        <v>1876</v>
      </c>
      <c r="D972" s="163" t="s">
        <v>1877</v>
      </c>
      <c r="E972" s="164" t="n">
        <v>10000</v>
      </c>
      <c r="F972" s="165" t="s">
        <v>4805</v>
      </c>
    </row>
    <row r="973" customFormat="false" ht="15" hidden="false" customHeight="true" outlineLevel="0" collapsed="false">
      <c r="A973" s="163" t="s">
        <v>3052</v>
      </c>
      <c r="B973" s="163" t="s">
        <v>3052</v>
      </c>
      <c r="C973" s="163" t="s">
        <v>372</v>
      </c>
      <c r="D973" s="163" t="s">
        <v>2692</v>
      </c>
      <c r="E973" s="164" t="n">
        <v>10000</v>
      </c>
      <c r="F973" s="165" t="s">
        <v>4806</v>
      </c>
    </row>
    <row r="974" customFormat="false" ht="15" hidden="false" customHeight="true" outlineLevel="0" collapsed="false">
      <c r="A974" s="163" t="s">
        <v>3052</v>
      </c>
      <c r="B974" s="163" t="s">
        <v>3052</v>
      </c>
      <c r="C974" s="163" t="s">
        <v>3112</v>
      </c>
      <c r="D974" s="163" t="s">
        <v>3113</v>
      </c>
      <c r="E974" s="164" t="n">
        <v>9000</v>
      </c>
      <c r="F974" s="165" t="s">
        <v>4807</v>
      </c>
    </row>
    <row r="975" customFormat="false" ht="15" hidden="false" customHeight="true" outlineLevel="0" collapsed="false">
      <c r="A975" s="163" t="s">
        <v>3052</v>
      </c>
      <c r="B975" s="163" t="s">
        <v>3052</v>
      </c>
      <c r="C975" s="163" t="s">
        <v>4229</v>
      </c>
      <c r="D975" s="163" t="s">
        <v>4230</v>
      </c>
      <c r="E975" s="164" t="n">
        <v>9000</v>
      </c>
      <c r="F975" s="165" t="s">
        <v>3060</v>
      </c>
    </row>
    <row r="976" customFormat="false" ht="15" hidden="false" customHeight="true" outlineLevel="0" collapsed="false">
      <c r="A976" s="163" t="s">
        <v>3052</v>
      </c>
      <c r="B976" s="163" t="s">
        <v>3052</v>
      </c>
      <c r="C976" s="163" t="s">
        <v>4808</v>
      </c>
      <c r="D976" s="163" t="s">
        <v>4809</v>
      </c>
      <c r="E976" s="164" t="n">
        <v>8750</v>
      </c>
      <c r="F976" s="165" t="s">
        <v>4810</v>
      </c>
    </row>
    <row r="977" customFormat="false" ht="15" hidden="false" customHeight="true" outlineLevel="0" collapsed="false">
      <c r="A977" s="163" t="s">
        <v>3052</v>
      </c>
      <c r="B977" s="163" t="s">
        <v>3052</v>
      </c>
      <c r="C977" s="163" t="s">
        <v>991</v>
      </c>
      <c r="D977" s="163" t="s">
        <v>3769</v>
      </c>
      <c r="E977" s="164" t="n">
        <v>8750</v>
      </c>
      <c r="F977" s="165" t="s">
        <v>4811</v>
      </c>
    </row>
    <row r="978" customFormat="false" ht="15" hidden="false" customHeight="true" outlineLevel="0" collapsed="false">
      <c r="A978" s="163" t="s">
        <v>3052</v>
      </c>
      <c r="B978" s="163" t="s">
        <v>3052</v>
      </c>
      <c r="C978" s="163" t="s">
        <v>4812</v>
      </c>
      <c r="D978" s="163" t="s">
        <v>4813</v>
      </c>
      <c r="E978" s="164" t="n">
        <v>8750</v>
      </c>
      <c r="F978" s="165" t="s">
        <v>4814</v>
      </c>
    </row>
    <row r="979" customFormat="false" ht="15" hidden="false" customHeight="true" outlineLevel="0" collapsed="false">
      <c r="A979" s="163" t="s">
        <v>3052</v>
      </c>
      <c r="B979" s="163" t="s">
        <v>3052</v>
      </c>
      <c r="C979" s="163" t="s">
        <v>4815</v>
      </c>
      <c r="D979" s="163" t="s">
        <v>4816</v>
      </c>
      <c r="E979" s="164" t="n">
        <v>8550</v>
      </c>
      <c r="F979" s="165" t="s">
        <v>4817</v>
      </c>
    </row>
    <row r="980" customFormat="false" ht="15" hidden="false" customHeight="true" outlineLevel="0" collapsed="false">
      <c r="A980" s="163" t="s">
        <v>3052</v>
      </c>
      <c r="B980" s="163" t="s">
        <v>3052</v>
      </c>
      <c r="C980" s="163" t="s">
        <v>4818</v>
      </c>
      <c r="D980" s="163" t="s">
        <v>4819</v>
      </c>
      <c r="E980" s="164" t="n">
        <v>8000</v>
      </c>
      <c r="F980" s="165" t="s">
        <v>4820</v>
      </c>
    </row>
    <row r="981" customFormat="false" ht="15" hidden="false" customHeight="true" outlineLevel="0" collapsed="false">
      <c r="A981" s="163" t="s">
        <v>3052</v>
      </c>
      <c r="B981" s="163" t="s">
        <v>3052</v>
      </c>
      <c r="C981" s="163" t="s">
        <v>485</v>
      </c>
      <c r="D981" s="163" t="s">
        <v>2176</v>
      </c>
      <c r="E981" s="164" t="n">
        <v>8000</v>
      </c>
      <c r="F981" s="165" t="s">
        <v>4821</v>
      </c>
    </row>
    <row r="982" customFormat="false" ht="15" hidden="false" customHeight="true" outlineLevel="0" collapsed="false">
      <c r="A982" s="163" t="s">
        <v>3052</v>
      </c>
      <c r="B982" s="163" t="s">
        <v>3052</v>
      </c>
      <c r="C982" s="163" t="s">
        <v>473</v>
      </c>
      <c r="D982" s="163" t="s">
        <v>2764</v>
      </c>
      <c r="E982" s="164" t="n">
        <v>8000</v>
      </c>
      <c r="F982" s="165" t="s">
        <v>4822</v>
      </c>
    </row>
    <row r="983" customFormat="false" ht="15" hidden="false" customHeight="true" outlineLevel="0" collapsed="false">
      <c r="A983" s="163" t="s">
        <v>3052</v>
      </c>
      <c r="B983" s="163" t="s">
        <v>3052</v>
      </c>
      <c r="C983" s="163" t="s">
        <v>4823</v>
      </c>
      <c r="D983" s="163" t="s">
        <v>4824</v>
      </c>
      <c r="E983" s="164" t="n">
        <v>7750</v>
      </c>
      <c r="F983" s="165" t="s">
        <v>4825</v>
      </c>
    </row>
    <row r="984" customFormat="false" ht="15" hidden="false" customHeight="true" outlineLevel="0" collapsed="false">
      <c r="A984" s="163" t="s">
        <v>3052</v>
      </c>
      <c r="B984" s="163" t="s">
        <v>3052</v>
      </c>
      <c r="C984" s="163" t="s">
        <v>4826</v>
      </c>
      <c r="D984" s="163" t="s">
        <v>4827</v>
      </c>
      <c r="E984" s="164" t="n">
        <v>7600</v>
      </c>
      <c r="F984" s="165" t="s">
        <v>4828</v>
      </c>
    </row>
    <row r="985" customFormat="false" ht="15" hidden="false" customHeight="true" outlineLevel="0" collapsed="false">
      <c r="A985" s="163" t="s">
        <v>3052</v>
      </c>
      <c r="B985" s="163" t="s">
        <v>3052</v>
      </c>
      <c r="C985" s="163" t="s">
        <v>4829</v>
      </c>
      <c r="D985" s="163" t="s">
        <v>4830</v>
      </c>
      <c r="E985" s="164" t="n">
        <v>7600</v>
      </c>
      <c r="F985" s="165" t="s">
        <v>4831</v>
      </c>
    </row>
    <row r="986" customFormat="false" ht="15" hidden="false" customHeight="true" outlineLevel="0" collapsed="false">
      <c r="A986" s="163" t="s">
        <v>3052</v>
      </c>
      <c r="B986" s="163" t="s">
        <v>3052</v>
      </c>
      <c r="C986" s="163" t="s">
        <v>974</v>
      </c>
      <c r="D986" s="163" t="s">
        <v>1931</v>
      </c>
      <c r="E986" s="164" t="n">
        <v>7000</v>
      </c>
      <c r="F986" s="165" t="s">
        <v>4832</v>
      </c>
    </row>
    <row r="987" customFormat="false" ht="15" hidden="false" customHeight="true" outlineLevel="0" collapsed="false">
      <c r="A987" s="163" t="s">
        <v>3052</v>
      </c>
      <c r="B987" s="163" t="s">
        <v>3052</v>
      </c>
      <c r="C987" s="163" t="s">
        <v>3895</v>
      </c>
      <c r="D987" s="163" t="s">
        <v>3896</v>
      </c>
      <c r="E987" s="164" t="n">
        <v>7000</v>
      </c>
      <c r="F987" s="165" t="s">
        <v>4833</v>
      </c>
    </row>
    <row r="988" customFormat="false" ht="15" hidden="false" customHeight="true" outlineLevel="0" collapsed="false">
      <c r="A988" s="163" t="s">
        <v>3052</v>
      </c>
      <c r="B988" s="163" t="s">
        <v>3052</v>
      </c>
      <c r="C988" s="163" t="s">
        <v>4834</v>
      </c>
      <c r="D988" s="163" t="s">
        <v>4835</v>
      </c>
      <c r="E988" s="164" t="n">
        <v>6500</v>
      </c>
      <c r="F988" s="165" t="s">
        <v>4836</v>
      </c>
    </row>
    <row r="989" customFormat="false" ht="15" hidden="false" customHeight="true" outlineLevel="0" collapsed="false">
      <c r="A989" s="163" t="s">
        <v>3052</v>
      </c>
      <c r="B989" s="163" t="s">
        <v>3052</v>
      </c>
      <c r="C989" s="163" t="s">
        <v>3675</v>
      </c>
      <c r="D989" s="163" t="s">
        <v>3676</v>
      </c>
      <c r="E989" s="164" t="n">
        <v>5750</v>
      </c>
      <c r="F989" s="165" t="s">
        <v>4837</v>
      </c>
    </row>
    <row r="990" customFormat="false" ht="15" hidden="false" customHeight="true" outlineLevel="0" collapsed="false">
      <c r="A990" s="163" t="s">
        <v>3052</v>
      </c>
      <c r="B990" s="163" t="s">
        <v>3052</v>
      </c>
      <c r="C990" s="163" t="s">
        <v>4838</v>
      </c>
      <c r="D990" s="163" t="s">
        <v>4839</v>
      </c>
      <c r="E990" s="164" t="n">
        <v>5750</v>
      </c>
      <c r="F990" s="165" t="s">
        <v>4840</v>
      </c>
    </row>
    <row r="991" customFormat="false" ht="15" hidden="false" customHeight="true" outlineLevel="0" collapsed="false">
      <c r="A991" s="163" t="s">
        <v>3052</v>
      </c>
      <c r="B991" s="163" t="s">
        <v>3052</v>
      </c>
      <c r="C991" s="163" t="s">
        <v>4841</v>
      </c>
      <c r="D991" s="163" t="s">
        <v>4842</v>
      </c>
      <c r="E991" s="164" t="n">
        <v>5750</v>
      </c>
      <c r="F991" s="165" t="s">
        <v>3060</v>
      </c>
    </row>
    <row r="992" customFormat="false" ht="15" hidden="false" customHeight="true" outlineLevel="0" collapsed="false">
      <c r="A992" s="163" t="s">
        <v>3052</v>
      </c>
      <c r="B992" s="163" t="s">
        <v>3052</v>
      </c>
      <c r="C992" s="163" t="s">
        <v>4843</v>
      </c>
      <c r="D992" s="163" t="s">
        <v>4844</v>
      </c>
      <c r="E992" s="164" t="n">
        <v>5250</v>
      </c>
      <c r="F992" s="165" t="s">
        <v>4845</v>
      </c>
    </row>
    <row r="993" customFormat="false" ht="15" hidden="false" customHeight="true" outlineLevel="0" collapsed="false">
      <c r="A993" s="163" t="s">
        <v>3052</v>
      </c>
      <c r="B993" s="163" t="s">
        <v>3052</v>
      </c>
      <c r="C993" s="163" t="s">
        <v>4047</v>
      </c>
      <c r="D993" s="163" t="s">
        <v>4048</v>
      </c>
      <c r="E993" s="164" t="n">
        <v>5000</v>
      </c>
      <c r="F993" s="165" t="s">
        <v>4846</v>
      </c>
    </row>
    <row r="994" customFormat="false" ht="15" hidden="false" customHeight="true" outlineLevel="0" collapsed="false">
      <c r="A994" s="163" t="s">
        <v>3052</v>
      </c>
      <c r="B994" s="163" t="s">
        <v>3052</v>
      </c>
      <c r="C994" s="163" t="s">
        <v>4213</v>
      </c>
      <c r="D994" s="163" t="s">
        <v>4214</v>
      </c>
      <c r="E994" s="164" t="n">
        <v>5000</v>
      </c>
      <c r="F994" s="165" t="s">
        <v>4847</v>
      </c>
    </row>
    <row r="995" customFormat="false" ht="15" hidden="false" customHeight="true" outlineLevel="0" collapsed="false">
      <c r="A995" s="163" t="s">
        <v>3052</v>
      </c>
      <c r="B995" s="163" t="s">
        <v>3052</v>
      </c>
      <c r="C995" s="163" t="s">
        <v>4848</v>
      </c>
      <c r="D995" s="163" t="s">
        <v>4849</v>
      </c>
      <c r="E995" s="164" t="n">
        <v>5000</v>
      </c>
      <c r="F995" s="165" t="s">
        <v>3060</v>
      </c>
    </row>
    <row r="996" customFormat="false" ht="15" hidden="false" customHeight="true" outlineLevel="0" collapsed="false">
      <c r="A996" s="163" t="s">
        <v>3052</v>
      </c>
      <c r="B996" s="163" t="s">
        <v>3052</v>
      </c>
      <c r="C996" s="163" t="s">
        <v>4850</v>
      </c>
      <c r="D996" s="163" t="s">
        <v>4851</v>
      </c>
      <c r="E996" s="164" t="n">
        <v>5000</v>
      </c>
      <c r="F996" s="165" t="s">
        <v>3060</v>
      </c>
    </row>
    <row r="997" customFormat="false" ht="15" hidden="false" customHeight="true" outlineLevel="0" collapsed="false">
      <c r="A997" s="163" t="s">
        <v>3052</v>
      </c>
      <c r="B997" s="163" t="s">
        <v>3052</v>
      </c>
      <c r="C997" s="163" t="s">
        <v>4318</v>
      </c>
      <c r="D997" s="163" t="s">
        <v>4319</v>
      </c>
      <c r="E997" s="164" t="n">
        <v>5000</v>
      </c>
      <c r="F997" s="165" t="s">
        <v>4852</v>
      </c>
    </row>
    <row r="998" customFormat="false" ht="15" hidden="false" customHeight="true" outlineLevel="0" collapsed="false">
      <c r="A998" s="163" t="s">
        <v>3052</v>
      </c>
      <c r="B998" s="163" t="s">
        <v>3052</v>
      </c>
      <c r="C998" s="163" t="s">
        <v>1169</v>
      </c>
      <c r="D998" s="163" t="s">
        <v>2801</v>
      </c>
      <c r="E998" s="164" t="n">
        <v>5000</v>
      </c>
      <c r="F998" s="165" t="s">
        <v>4776</v>
      </c>
    </row>
    <row r="999" customFormat="false" ht="15" hidden="false" customHeight="true" outlineLevel="0" collapsed="false">
      <c r="A999" s="163" t="s">
        <v>3052</v>
      </c>
      <c r="B999" s="163" t="s">
        <v>3052</v>
      </c>
      <c r="C999" s="163" t="s">
        <v>4853</v>
      </c>
      <c r="D999" s="163" t="s">
        <v>4854</v>
      </c>
      <c r="E999" s="164" t="n">
        <v>5000</v>
      </c>
      <c r="F999" s="165" t="s">
        <v>4855</v>
      </c>
    </row>
    <row r="1000" customFormat="false" ht="15" hidden="false" customHeight="true" outlineLevel="0" collapsed="false">
      <c r="A1000" s="163" t="s">
        <v>3052</v>
      </c>
      <c r="B1000" s="163" t="s">
        <v>3052</v>
      </c>
      <c r="C1000" s="163" t="s">
        <v>4856</v>
      </c>
      <c r="D1000" s="163" t="s">
        <v>4857</v>
      </c>
      <c r="E1000" s="164" t="n">
        <v>5000</v>
      </c>
      <c r="F1000" s="165" t="s">
        <v>4858</v>
      </c>
    </row>
    <row r="1001" customFormat="false" ht="15" hidden="false" customHeight="true" outlineLevel="0" collapsed="false">
      <c r="A1001" s="163" t="s">
        <v>3052</v>
      </c>
      <c r="B1001" s="163" t="s">
        <v>3052</v>
      </c>
      <c r="C1001" s="163" t="s">
        <v>4859</v>
      </c>
      <c r="D1001" s="163" t="s">
        <v>4860</v>
      </c>
      <c r="E1001" s="164" t="n">
        <v>5000</v>
      </c>
      <c r="F1001" s="165" t="s">
        <v>4861</v>
      </c>
    </row>
    <row r="1002" customFormat="false" ht="15" hidden="false" customHeight="true" outlineLevel="0" collapsed="false">
      <c r="A1002" s="163" t="s">
        <v>3052</v>
      </c>
      <c r="B1002" s="163" t="s">
        <v>3052</v>
      </c>
      <c r="C1002" s="163" t="s">
        <v>4862</v>
      </c>
      <c r="D1002" s="163" t="s">
        <v>4863</v>
      </c>
      <c r="E1002" s="164" t="n">
        <v>5000</v>
      </c>
      <c r="F1002" s="165" t="s">
        <v>4864</v>
      </c>
    </row>
    <row r="1003" customFormat="false" ht="15" hidden="false" customHeight="true" outlineLevel="0" collapsed="false">
      <c r="A1003" s="163" t="s">
        <v>3052</v>
      </c>
      <c r="B1003" s="163" t="s">
        <v>3052</v>
      </c>
      <c r="C1003" s="163" t="s">
        <v>1860</v>
      </c>
      <c r="D1003" s="163" t="s">
        <v>1861</v>
      </c>
      <c r="E1003" s="164" t="n">
        <v>5000</v>
      </c>
      <c r="F1003" s="165" t="s">
        <v>4865</v>
      </c>
    </row>
    <row r="1004" customFormat="false" ht="15" hidden="false" customHeight="true" outlineLevel="0" collapsed="false">
      <c r="A1004" s="163" t="s">
        <v>3052</v>
      </c>
      <c r="B1004" s="163" t="s">
        <v>3052</v>
      </c>
      <c r="C1004" s="163" t="s">
        <v>4866</v>
      </c>
      <c r="D1004" s="163" t="s">
        <v>4867</v>
      </c>
      <c r="E1004" s="164" t="n">
        <v>5000</v>
      </c>
      <c r="F1004" s="165" t="s">
        <v>4868</v>
      </c>
    </row>
    <row r="1005" customFormat="false" ht="15" hidden="false" customHeight="true" outlineLevel="0" collapsed="false">
      <c r="A1005" s="163" t="s">
        <v>3052</v>
      </c>
      <c r="B1005" s="163" t="s">
        <v>3052</v>
      </c>
      <c r="C1005" s="163" t="s">
        <v>4869</v>
      </c>
      <c r="D1005" s="163" t="s">
        <v>4870</v>
      </c>
      <c r="E1005" s="164" t="n">
        <v>5000</v>
      </c>
      <c r="F1005" s="165" t="s">
        <v>4871</v>
      </c>
    </row>
    <row r="1006" customFormat="false" ht="15" hidden="false" customHeight="true" outlineLevel="0" collapsed="false">
      <c r="A1006" s="163" t="s">
        <v>3052</v>
      </c>
      <c r="B1006" s="163" t="s">
        <v>3052</v>
      </c>
      <c r="C1006" s="163" t="s">
        <v>3777</v>
      </c>
      <c r="D1006" s="163" t="s">
        <v>3778</v>
      </c>
      <c r="E1006" s="164" t="n">
        <v>5000</v>
      </c>
      <c r="F1006" s="165" t="s">
        <v>4872</v>
      </c>
    </row>
    <row r="1007" customFormat="false" ht="15" hidden="false" customHeight="true" outlineLevel="0" collapsed="false">
      <c r="A1007" s="163" t="s">
        <v>3052</v>
      </c>
      <c r="B1007" s="163" t="s">
        <v>3052</v>
      </c>
      <c r="C1007" s="163" t="s">
        <v>3276</v>
      </c>
      <c r="D1007" s="163" t="s">
        <v>3277</v>
      </c>
      <c r="E1007" s="164" t="n">
        <v>5000</v>
      </c>
      <c r="F1007" s="165" t="s">
        <v>4873</v>
      </c>
    </row>
    <row r="1008" customFormat="false" ht="15" hidden="false" customHeight="true" outlineLevel="0" collapsed="false">
      <c r="A1008" s="163" t="s">
        <v>3052</v>
      </c>
      <c r="B1008" s="163" t="s">
        <v>3052</v>
      </c>
      <c r="C1008" s="163" t="s">
        <v>4874</v>
      </c>
      <c r="D1008" s="163" t="s">
        <v>4875</v>
      </c>
      <c r="E1008" s="164" t="n">
        <v>5000</v>
      </c>
      <c r="F1008" s="165" t="s">
        <v>4858</v>
      </c>
    </row>
    <row r="1009" customFormat="false" ht="15" hidden="false" customHeight="true" outlineLevel="0" collapsed="false">
      <c r="A1009" s="163" t="s">
        <v>3052</v>
      </c>
      <c r="B1009" s="163" t="s">
        <v>3052</v>
      </c>
      <c r="C1009" s="163" t="s">
        <v>4876</v>
      </c>
      <c r="D1009" s="163" t="s">
        <v>4877</v>
      </c>
      <c r="E1009" s="164" t="n">
        <v>5000</v>
      </c>
      <c r="F1009" s="165" t="s">
        <v>4878</v>
      </c>
    </row>
    <row r="1010" customFormat="false" ht="15" hidden="false" customHeight="true" outlineLevel="0" collapsed="false">
      <c r="A1010" s="163" t="s">
        <v>3052</v>
      </c>
      <c r="B1010" s="163" t="s">
        <v>3052</v>
      </c>
      <c r="C1010" s="163" t="s">
        <v>925</v>
      </c>
      <c r="D1010" s="163" t="s">
        <v>1931</v>
      </c>
      <c r="E1010" s="164" t="n">
        <v>2500</v>
      </c>
      <c r="F1010" s="165" t="s">
        <v>4879</v>
      </c>
    </row>
    <row r="1011" customFormat="false" ht="15" hidden="false" customHeight="true" outlineLevel="0" collapsed="false">
      <c r="A1011" s="163" t="s">
        <v>3052</v>
      </c>
      <c r="B1011" s="163" t="s">
        <v>3052</v>
      </c>
      <c r="C1011" s="163" t="s">
        <v>197</v>
      </c>
      <c r="D1011" s="163" t="s">
        <v>1931</v>
      </c>
      <c r="E1011" s="164" t="n">
        <v>1000</v>
      </c>
      <c r="F1011" s="165" t="s">
        <v>4880</v>
      </c>
    </row>
    <row r="1012" customFormat="false" ht="15" hidden="false" customHeight="true" outlineLevel="0" collapsed="false">
      <c r="A1012" s="163" t="s">
        <v>3008</v>
      </c>
      <c r="B1012" s="163" t="s">
        <v>926</v>
      </c>
      <c r="C1012" s="163" t="s">
        <v>4881</v>
      </c>
      <c r="D1012" s="163" t="s">
        <v>4882</v>
      </c>
      <c r="E1012" s="164" t="n">
        <v>45000</v>
      </c>
      <c r="F1012" s="165" t="s">
        <v>4883</v>
      </c>
    </row>
    <row r="1013" customFormat="false" ht="15" hidden="false" customHeight="true" outlineLevel="0" collapsed="false">
      <c r="A1013" s="163" t="s">
        <v>3008</v>
      </c>
      <c r="B1013" s="163" t="s">
        <v>926</v>
      </c>
      <c r="C1013" s="163" t="s">
        <v>473</v>
      </c>
      <c r="D1013" s="163" t="s">
        <v>2764</v>
      </c>
      <c r="E1013" s="164" t="n">
        <v>25000</v>
      </c>
      <c r="F1013" s="165" t="s">
        <v>4883</v>
      </c>
    </row>
    <row r="1014" customFormat="false" ht="15" hidden="false" customHeight="true" outlineLevel="0" collapsed="false">
      <c r="A1014" s="163" t="s">
        <v>3008</v>
      </c>
      <c r="B1014" s="163" t="s">
        <v>926</v>
      </c>
      <c r="C1014" s="163" t="s">
        <v>3615</v>
      </c>
      <c r="D1014" s="163" t="s">
        <v>3616</v>
      </c>
      <c r="E1014" s="164" t="n">
        <v>20000</v>
      </c>
      <c r="F1014" s="165" t="s">
        <v>4883</v>
      </c>
    </row>
    <row r="1015" customFormat="false" ht="15" hidden="false" customHeight="true" outlineLevel="0" collapsed="false">
      <c r="A1015" s="163" t="s">
        <v>3008</v>
      </c>
      <c r="B1015" s="163" t="s">
        <v>926</v>
      </c>
      <c r="C1015" s="163" t="s">
        <v>4884</v>
      </c>
      <c r="D1015" s="163" t="s">
        <v>4885</v>
      </c>
      <c r="E1015" s="164" t="n">
        <v>10000</v>
      </c>
      <c r="F1015" s="165" t="s">
        <v>4886</v>
      </c>
    </row>
    <row r="1016" customFormat="false" ht="15" hidden="false" customHeight="true" outlineLevel="0" collapsed="false">
      <c r="A1016" s="163" t="s">
        <v>3008</v>
      </c>
      <c r="B1016" s="163" t="s">
        <v>957</v>
      </c>
      <c r="C1016" s="163" t="s">
        <v>4887</v>
      </c>
      <c r="D1016" s="163" t="s">
        <v>4888</v>
      </c>
      <c r="E1016" s="164" t="n">
        <v>20000</v>
      </c>
      <c r="F1016" s="165" t="s">
        <v>4883</v>
      </c>
    </row>
    <row r="1017" customFormat="false" ht="15" hidden="false" customHeight="true" outlineLevel="0" collapsed="false">
      <c r="A1017" s="163" t="s">
        <v>3008</v>
      </c>
      <c r="B1017" s="163" t="s">
        <v>957</v>
      </c>
      <c r="C1017" s="163" t="s">
        <v>3210</v>
      </c>
      <c r="D1017" s="163" t="s">
        <v>3211</v>
      </c>
      <c r="E1017" s="164" t="n">
        <v>15000</v>
      </c>
      <c r="F1017" s="165" t="s">
        <v>4889</v>
      </c>
    </row>
    <row r="1018" customFormat="false" ht="15" hidden="false" customHeight="true" outlineLevel="0" collapsed="false">
      <c r="A1018" s="163" t="s">
        <v>3008</v>
      </c>
      <c r="B1018" s="163" t="s">
        <v>957</v>
      </c>
      <c r="C1018" s="163" t="s">
        <v>4890</v>
      </c>
      <c r="D1018" s="163" t="s">
        <v>4891</v>
      </c>
      <c r="E1018" s="164" t="n">
        <v>10000</v>
      </c>
      <c r="F1018" s="165" t="s">
        <v>4892</v>
      </c>
    </row>
    <row r="1019" customFormat="false" ht="15" hidden="false" customHeight="true" outlineLevel="0" collapsed="false">
      <c r="A1019" s="163" t="s">
        <v>3008</v>
      </c>
      <c r="B1019" s="163" t="s">
        <v>957</v>
      </c>
      <c r="C1019" s="163" t="s">
        <v>4893</v>
      </c>
      <c r="D1019" s="163" t="s">
        <v>4894</v>
      </c>
      <c r="E1019" s="164" t="n">
        <v>10000</v>
      </c>
      <c r="F1019" s="165" t="s">
        <v>4883</v>
      </c>
    </row>
    <row r="1020" customFormat="false" ht="15" hidden="false" customHeight="true" outlineLevel="0" collapsed="false">
      <c r="A1020" s="163" t="s">
        <v>3008</v>
      </c>
      <c r="B1020" s="163" t="s">
        <v>957</v>
      </c>
      <c r="C1020" s="163" t="s">
        <v>3210</v>
      </c>
      <c r="D1020" s="163" t="s">
        <v>3211</v>
      </c>
      <c r="E1020" s="164" t="n">
        <v>10000</v>
      </c>
      <c r="F1020" s="165" t="s">
        <v>4883</v>
      </c>
    </row>
    <row r="1021" customFormat="false" ht="15" hidden="false" customHeight="true" outlineLevel="0" collapsed="false">
      <c r="A1021" s="163" t="s">
        <v>3008</v>
      </c>
      <c r="B1021" s="163" t="s">
        <v>957</v>
      </c>
      <c r="C1021" s="163" t="s">
        <v>3210</v>
      </c>
      <c r="D1021" s="163" t="s">
        <v>3211</v>
      </c>
      <c r="E1021" s="164" t="n">
        <v>10000</v>
      </c>
      <c r="F1021" s="165" t="s">
        <v>4895</v>
      </c>
    </row>
    <row r="1022" customFormat="false" ht="15" hidden="false" customHeight="true" outlineLevel="0" collapsed="false">
      <c r="A1022" s="163" t="s">
        <v>3008</v>
      </c>
      <c r="B1022" s="163" t="s">
        <v>957</v>
      </c>
      <c r="C1022" s="163" t="s">
        <v>4896</v>
      </c>
      <c r="D1022" s="163" t="s">
        <v>4897</v>
      </c>
      <c r="E1022" s="164" t="n">
        <v>7000</v>
      </c>
      <c r="F1022" s="165" t="s">
        <v>4883</v>
      </c>
    </row>
    <row r="1023" customFormat="false" ht="15" hidden="false" customHeight="true" outlineLevel="0" collapsed="false">
      <c r="A1023" s="163" t="s">
        <v>3008</v>
      </c>
      <c r="B1023" s="163" t="s">
        <v>957</v>
      </c>
      <c r="C1023" s="163" t="s">
        <v>4898</v>
      </c>
      <c r="D1023" s="163" t="s">
        <v>4899</v>
      </c>
      <c r="E1023" s="164" t="n">
        <v>7000</v>
      </c>
      <c r="F1023" s="165" t="s">
        <v>4883</v>
      </c>
    </row>
    <row r="1024" customFormat="false" ht="15" hidden="false" customHeight="true" outlineLevel="0" collapsed="false">
      <c r="A1024" s="163" t="s">
        <v>3008</v>
      </c>
      <c r="B1024" s="163" t="s">
        <v>957</v>
      </c>
      <c r="C1024" s="163" t="s">
        <v>4900</v>
      </c>
      <c r="D1024" s="163" t="s">
        <v>4901</v>
      </c>
      <c r="E1024" s="164" t="n">
        <v>6000</v>
      </c>
      <c r="F1024" s="165" t="s">
        <v>4883</v>
      </c>
    </row>
    <row r="1025" customFormat="false" ht="15" hidden="false" customHeight="true" outlineLevel="0" collapsed="false">
      <c r="A1025" s="163" t="s">
        <v>3008</v>
      </c>
      <c r="B1025" s="163" t="s">
        <v>957</v>
      </c>
      <c r="C1025" s="163" t="s">
        <v>4902</v>
      </c>
      <c r="D1025" s="163" t="s">
        <v>4903</v>
      </c>
      <c r="E1025" s="164" t="n">
        <v>5000</v>
      </c>
      <c r="F1025" s="165" t="s">
        <v>4883</v>
      </c>
    </row>
    <row r="1026" customFormat="false" ht="15" hidden="false" customHeight="true" outlineLevel="0" collapsed="false">
      <c r="A1026" s="163" t="s">
        <v>3008</v>
      </c>
      <c r="B1026" s="163" t="s">
        <v>957</v>
      </c>
      <c r="C1026" s="163" t="s">
        <v>4904</v>
      </c>
      <c r="D1026" s="163" t="s">
        <v>4905</v>
      </c>
      <c r="E1026" s="164" t="n">
        <v>5000</v>
      </c>
      <c r="F1026" s="165" t="s">
        <v>4883</v>
      </c>
    </row>
    <row r="1027" customFormat="false" ht="15" hidden="false" customHeight="true" outlineLevel="0" collapsed="false">
      <c r="A1027" s="163" t="s">
        <v>3008</v>
      </c>
      <c r="B1027" s="163" t="s">
        <v>957</v>
      </c>
      <c r="C1027" s="163" t="s">
        <v>4906</v>
      </c>
      <c r="D1027" s="163" t="s">
        <v>4907</v>
      </c>
      <c r="E1027" s="164" t="n">
        <v>5000</v>
      </c>
      <c r="F1027" s="165" t="s">
        <v>4883</v>
      </c>
    </row>
    <row r="1028" customFormat="false" ht="15" hidden="false" customHeight="true" outlineLevel="0" collapsed="false">
      <c r="A1028" s="163" t="s">
        <v>3008</v>
      </c>
      <c r="B1028" s="163" t="s">
        <v>945</v>
      </c>
      <c r="C1028" s="163" t="s">
        <v>3556</v>
      </c>
      <c r="D1028" s="163" t="s">
        <v>3557</v>
      </c>
      <c r="E1028" s="164" t="n">
        <v>15000</v>
      </c>
      <c r="F1028" s="165" t="s">
        <v>4883</v>
      </c>
    </row>
    <row r="1029" customFormat="false" ht="15" hidden="false" customHeight="true" outlineLevel="0" collapsed="false">
      <c r="A1029" s="163" t="s">
        <v>3008</v>
      </c>
      <c r="B1029" s="163" t="s">
        <v>945</v>
      </c>
      <c r="C1029" s="163" t="s">
        <v>4908</v>
      </c>
      <c r="D1029" s="163" t="s">
        <v>4909</v>
      </c>
      <c r="E1029" s="164" t="n">
        <v>10000</v>
      </c>
      <c r="F1029" s="165" t="s">
        <v>4883</v>
      </c>
    </row>
    <row r="1030" customFormat="false" ht="15" hidden="false" customHeight="true" outlineLevel="0" collapsed="false">
      <c r="A1030" s="163" t="s">
        <v>3008</v>
      </c>
      <c r="B1030" s="163" t="s">
        <v>945</v>
      </c>
      <c r="C1030" s="163" t="s">
        <v>4910</v>
      </c>
      <c r="D1030" s="163" t="s">
        <v>4911</v>
      </c>
      <c r="E1030" s="164" t="n">
        <v>5000</v>
      </c>
      <c r="F1030" s="165" t="s">
        <v>4883</v>
      </c>
    </row>
    <row r="1031" customFormat="false" ht="15" hidden="false" customHeight="true" outlineLevel="0" collapsed="false">
      <c r="A1031" s="163" t="s">
        <v>3008</v>
      </c>
      <c r="B1031" s="163" t="s">
        <v>945</v>
      </c>
      <c r="C1031" s="163" t="s">
        <v>4912</v>
      </c>
      <c r="D1031" s="163" t="s">
        <v>4913</v>
      </c>
      <c r="E1031" s="164" t="n">
        <v>5000</v>
      </c>
      <c r="F1031" s="165" t="s">
        <v>4883</v>
      </c>
    </row>
    <row r="1032" customFormat="false" ht="15" hidden="false" customHeight="true" outlineLevel="0" collapsed="false">
      <c r="A1032" s="163" t="s">
        <v>3008</v>
      </c>
      <c r="B1032" s="163" t="s">
        <v>945</v>
      </c>
      <c r="C1032" s="163" t="s">
        <v>4914</v>
      </c>
      <c r="D1032" s="163" t="s">
        <v>4915</v>
      </c>
      <c r="E1032" s="164" t="n">
        <v>5000</v>
      </c>
      <c r="F1032" s="165" t="s">
        <v>4883</v>
      </c>
    </row>
    <row r="1033" customFormat="false" ht="15" hidden="false" customHeight="true" outlineLevel="0" collapsed="false">
      <c r="A1033" s="163" t="s">
        <v>3008</v>
      </c>
      <c r="B1033" s="163" t="s">
        <v>945</v>
      </c>
      <c r="C1033" s="163" t="s">
        <v>4916</v>
      </c>
      <c r="D1033" s="163" t="s">
        <v>4917</v>
      </c>
      <c r="E1033" s="164" t="n">
        <v>5000</v>
      </c>
      <c r="F1033" s="165" t="s">
        <v>4883</v>
      </c>
    </row>
    <row r="1034" customFormat="false" ht="15" hidden="false" customHeight="true" outlineLevel="0" collapsed="false">
      <c r="A1034" s="163" t="s">
        <v>3008</v>
      </c>
      <c r="B1034" s="163" t="s">
        <v>945</v>
      </c>
      <c r="C1034" s="163" t="s">
        <v>4918</v>
      </c>
      <c r="D1034" s="163" t="s">
        <v>4919</v>
      </c>
      <c r="E1034" s="164" t="n">
        <v>5000</v>
      </c>
      <c r="F1034" s="165" t="s">
        <v>4920</v>
      </c>
    </row>
    <row r="1035" customFormat="false" ht="15" hidden="false" customHeight="true" outlineLevel="0" collapsed="false">
      <c r="A1035" s="163" t="s">
        <v>3008</v>
      </c>
      <c r="B1035" s="163" t="s">
        <v>3111</v>
      </c>
      <c r="C1035" s="163" t="s">
        <v>4921</v>
      </c>
      <c r="D1035" s="163" t="s">
        <v>4922</v>
      </c>
      <c r="E1035" s="164" t="n">
        <v>25000</v>
      </c>
      <c r="F1035" s="165" t="s">
        <v>4883</v>
      </c>
    </row>
    <row r="1036" customFormat="false" ht="15" hidden="false" customHeight="true" outlineLevel="0" collapsed="false">
      <c r="A1036" s="163" t="s">
        <v>3008</v>
      </c>
      <c r="B1036" s="163" t="s">
        <v>3111</v>
      </c>
      <c r="C1036" s="163" t="s">
        <v>4923</v>
      </c>
      <c r="D1036" s="163" t="s">
        <v>4924</v>
      </c>
      <c r="E1036" s="164" t="n">
        <v>20000</v>
      </c>
      <c r="F1036" s="165" t="s">
        <v>4925</v>
      </c>
    </row>
    <row r="1037" customFormat="false" ht="15" hidden="false" customHeight="true" outlineLevel="0" collapsed="false">
      <c r="A1037" s="163" t="s">
        <v>3008</v>
      </c>
      <c r="B1037" s="163" t="s">
        <v>3111</v>
      </c>
      <c r="C1037" s="163" t="s">
        <v>4926</v>
      </c>
      <c r="D1037" s="163" t="s">
        <v>4927</v>
      </c>
      <c r="E1037" s="164" t="n">
        <v>15000</v>
      </c>
      <c r="F1037" s="165" t="s">
        <v>4928</v>
      </c>
    </row>
    <row r="1038" customFormat="false" ht="15" hidden="false" customHeight="true" outlineLevel="0" collapsed="false">
      <c r="A1038" s="163" t="s">
        <v>3008</v>
      </c>
      <c r="B1038" s="163" t="s">
        <v>3111</v>
      </c>
      <c r="C1038" s="163" t="s">
        <v>4896</v>
      </c>
      <c r="D1038" s="163" t="s">
        <v>4897</v>
      </c>
      <c r="E1038" s="164" t="n">
        <v>10000</v>
      </c>
      <c r="F1038" s="165" t="s">
        <v>4883</v>
      </c>
    </row>
    <row r="1039" customFormat="false" ht="15" hidden="false" customHeight="true" outlineLevel="0" collapsed="false">
      <c r="A1039" s="163" t="s">
        <v>3008</v>
      </c>
      <c r="B1039" s="163" t="s">
        <v>3111</v>
      </c>
      <c r="C1039" s="163" t="s">
        <v>4929</v>
      </c>
      <c r="D1039" s="163" t="s">
        <v>4930</v>
      </c>
      <c r="E1039" s="164" t="n">
        <v>10000</v>
      </c>
      <c r="F1039" s="165" t="s">
        <v>4883</v>
      </c>
    </row>
    <row r="1040" customFormat="false" ht="15" hidden="false" customHeight="true" outlineLevel="0" collapsed="false">
      <c r="A1040" s="163" t="s">
        <v>3008</v>
      </c>
      <c r="B1040" s="163" t="s">
        <v>3111</v>
      </c>
      <c r="C1040" s="163" t="s">
        <v>4931</v>
      </c>
      <c r="D1040" s="163" t="s">
        <v>4932</v>
      </c>
      <c r="E1040" s="164" t="n">
        <v>10000</v>
      </c>
      <c r="F1040" s="165" t="s">
        <v>4883</v>
      </c>
    </row>
    <row r="1041" customFormat="false" ht="15" hidden="false" customHeight="true" outlineLevel="0" collapsed="false">
      <c r="A1041" s="163" t="s">
        <v>3008</v>
      </c>
      <c r="B1041" s="163" t="s">
        <v>3111</v>
      </c>
      <c r="C1041" s="163" t="s">
        <v>240</v>
      </c>
      <c r="D1041" s="163" t="s">
        <v>2418</v>
      </c>
      <c r="E1041" s="164" t="n">
        <v>10000</v>
      </c>
      <c r="F1041" s="165" t="s">
        <v>4883</v>
      </c>
    </row>
    <row r="1042" customFormat="false" ht="15" hidden="false" customHeight="true" outlineLevel="0" collapsed="false">
      <c r="A1042" s="163" t="s">
        <v>3008</v>
      </c>
      <c r="B1042" s="163" t="s">
        <v>1938</v>
      </c>
      <c r="C1042" s="163" t="s">
        <v>950</v>
      </c>
      <c r="D1042" s="163" t="s">
        <v>4373</v>
      </c>
      <c r="E1042" s="164" t="n">
        <v>20000</v>
      </c>
      <c r="F1042" s="165" t="s">
        <v>4933</v>
      </c>
    </row>
    <row r="1043" customFormat="false" ht="15" hidden="false" customHeight="true" outlineLevel="0" collapsed="false">
      <c r="A1043" s="163" t="s">
        <v>3008</v>
      </c>
      <c r="B1043" s="163" t="s">
        <v>1938</v>
      </c>
      <c r="C1043" s="163" t="s">
        <v>4478</v>
      </c>
      <c r="D1043" s="163" t="s">
        <v>4479</v>
      </c>
      <c r="E1043" s="164" t="n">
        <v>20000</v>
      </c>
      <c r="F1043" s="165" t="s">
        <v>4934</v>
      </c>
    </row>
    <row r="1044" customFormat="false" ht="15" hidden="false" customHeight="true" outlineLevel="0" collapsed="false">
      <c r="A1044" s="163" t="s">
        <v>3008</v>
      </c>
      <c r="B1044" s="163" t="s">
        <v>1938</v>
      </c>
      <c r="C1044" s="163" t="s">
        <v>4478</v>
      </c>
      <c r="D1044" s="163" t="s">
        <v>4479</v>
      </c>
      <c r="E1044" s="164" t="n">
        <v>20000</v>
      </c>
      <c r="F1044" s="165" t="s">
        <v>4935</v>
      </c>
    </row>
    <row r="1045" customFormat="false" ht="15" hidden="false" customHeight="true" outlineLevel="0" collapsed="false">
      <c r="A1045" s="163" t="s">
        <v>3008</v>
      </c>
      <c r="B1045" s="163" t="s">
        <v>1938</v>
      </c>
      <c r="C1045" s="163" t="s">
        <v>4478</v>
      </c>
      <c r="D1045" s="163" t="s">
        <v>4479</v>
      </c>
      <c r="E1045" s="164" t="n">
        <v>20000</v>
      </c>
      <c r="F1045" s="165" t="s">
        <v>4936</v>
      </c>
    </row>
    <row r="1046" customFormat="false" ht="15" hidden="false" customHeight="true" outlineLevel="0" collapsed="false">
      <c r="A1046" s="163" t="s">
        <v>3008</v>
      </c>
      <c r="B1046" s="163" t="s">
        <v>1938</v>
      </c>
      <c r="C1046" s="163" t="s">
        <v>4478</v>
      </c>
      <c r="D1046" s="163" t="s">
        <v>4479</v>
      </c>
      <c r="E1046" s="164" t="n">
        <v>20000</v>
      </c>
      <c r="F1046" s="165" t="s">
        <v>4937</v>
      </c>
    </row>
    <row r="1047" customFormat="false" ht="15" hidden="false" customHeight="true" outlineLevel="0" collapsed="false">
      <c r="A1047" s="163" t="s">
        <v>3008</v>
      </c>
      <c r="B1047" s="163" t="s">
        <v>1938</v>
      </c>
      <c r="C1047" s="163" t="s">
        <v>260</v>
      </c>
      <c r="D1047" s="163" t="s">
        <v>2097</v>
      </c>
      <c r="E1047" s="164" t="n">
        <v>20000</v>
      </c>
      <c r="F1047" s="165" t="s">
        <v>4938</v>
      </c>
    </row>
    <row r="1048" customFormat="false" ht="15" hidden="false" customHeight="true" outlineLevel="0" collapsed="false">
      <c r="A1048" s="163" t="s">
        <v>3008</v>
      </c>
      <c r="B1048" s="163" t="s">
        <v>1938</v>
      </c>
      <c r="C1048" s="163" t="s">
        <v>3595</v>
      </c>
      <c r="D1048" s="163" t="s">
        <v>3596</v>
      </c>
      <c r="E1048" s="164" t="n">
        <v>20000</v>
      </c>
      <c r="F1048" s="165" t="s">
        <v>4939</v>
      </c>
    </row>
    <row r="1049" customFormat="false" ht="15" hidden="false" customHeight="true" outlineLevel="0" collapsed="false">
      <c r="A1049" s="163" t="s">
        <v>3008</v>
      </c>
      <c r="B1049" s="163" t="s">
        <v>1938</v>
      </c>
      <c r="C1049" s="163" t="s">
        <v>4940</v>
      </c>
      <c r="D1049" s="163" t="s">
        <v>4941</v>
      </c>
      <c r="E1049" s="164" t="n">
        <v>20000</v>
      </c>
      <c r="F1049" s="165" t="s">
        <v>4942</v>
      </c>
    </row>
    <row r="1050" customFormat="false" ht="15" hidden="false" customHeight="true" outlineLevel="0" collapsed="false">
      <c r="A1050" s="163" t="s">
        <v>3008</v>
      </c>
      <c r="B1050" s="163" t="s">
        <v>1938</v>
      </c>
      <c r="C1050" s="163" t="s">
        <v>4940</v>
      </c>
      <c r="D1050" s="163" t="s">
        <v>4941</v>
      </c>
      <c r="E1050" s="164" t="n">
        <v>20000</v>
      </c>
      <c r="F1050" s="165" t="s">
        <v>4943</v>
      </c>
    </row>
    <row r="1051" customFormat="false" ht="15" hidden="false" customHeight="true" outlineLevel="0" collapsed="false">
      <c r="A1051" s="163" t="s">
        <v>3008</v>
      </c>
      <c r="B1051" s="163" t="s">
        <v>1938</v>
      </c>
      <c r="C1051" s="163" t="s">
        <v>332</v>
      </c>
      <c r="D1051" s="163" t="s">
        <v>2673</v>
      </c>
      <c r="E1051" s="164" t="n">
        <v>20000</v>
      </c>
      <c r="F1051" s="165" t="s">
        <v>4944</v>
      </c>
    </row>
    <row r="1052" customFormat="false" ht="15" hidden="false" customHeight="true" outlineLevel="0" collapsed="false">
      <c r="A1052" s="163" t="s">
        <v>3008</v>
      </c>
      <c r="B1052" s="163" t="s">
        <v>1938</v>
      </c>
      <c r="C1052" s="163" t="s">
        <v>3425</v>
      </c>
      <c r="D1052" s="163" t="s">
        <v>3426</v>
      </c>
      <c r="E1052" s="164" t="n">
        <v>20000</v>
      </c>
      <c r="F1052" s="165" t="s">
        <v>4945</v>
      </c>
    </row>
    <row r="1053" customFormat="false" ht="15" hidden="false" customHeight="true" outlineLevel="0" collapsed="false">
      <c r="A1053" s="163" t="s">
        <v>3008</v>
      </c>
      <c r="B1053" s="163" t="s">
        <v>1938</v>
      </c>
      <c r="C1053" s="163" t="s">
        <v>4946</v>
      </c>
      <c r="D1053" s="163" t="s">
        <v>4947</v>
      </c>
      <c r="E1053" s="164" t="n">
        <v>20000</v>
      </c>
      <c r="F1053" s="165" t="s">
        <v>4948</v>
      </c>
    </row>
    <row r="1054" customFormat="false" ht="15" hidden="false" customHeight="true" outlineLevel="0" collapsed="false">
      <c r="A1054" s="163" t="s">
        <v>3008</v>
      </c>
      <c r="B1054" s="163" t="s">
        <v>1938</v>
      </c>
      <c r="C1054" s="163" t="s">
        <v>4946</v>
      </c>
      <c r="D1054" s="163" t="s">
        <v>4947</v>
      </c>
      <c r="E1054" s="164" t="n">
        <v>20000</v>
      </c>
      <c r="F1054" s="165" t="s">
        <v>4949</v>
      </c>
    </row>
    <row r="1055" customFormat="false" ht="15" hidden="false" customHeight="true" outlineLevel="0" collapsed="false">
      <c r="A1055" s="163" t="s">
        <v>3008</v>
      </c>
      <c r="B1055" s="163" t="s">
        <v>1938</v>
      </c>
      <c r="C1055" s="163" t="s">
        <v>3615</v>
      </c>
      <c r="D1055" s="163" t="s">
        <v>3616</v>
      </c>
      <c r="E1055" s="164" t="n">
        <v>20000</v>
      </c>
      <c r="F1055" s="165" t="s">
        <v>4950</v>
      </c>
    </row>
    <row r="1056" customFormat="false" ht="15" hidden="false" customHeight="true" outlineLevel="0" collapsed="false">
      <c r="A1056" s="163" t="s">
        <v>3008</v>
      </c>
      <c r="B1056" s="163" t="s">
        <v>1938</v>
      </c>
      <c r="C1056" s="163" t="s">
        <v>3135</v>
      </c>
      <c r="D1056" s="163" t="s">
        <v>3136</v>
      </c>
      <c r="E1056" s="164" t="n">
        <v>20000</v>
      </c>
      <c r="F1056" s="165" t="s">
        <v>4951</v>
      </c>
    </row>
    <row r="1057" customFormat="false" ht="15" hidden="false" customHeight="true" outlineLevel="0" collapsed="false">
      <c r="A1057" s="163" t="s">
        <v>3008</v>
      </c>
      <c r="B1057" s="163" t="s">
        <v>1938</v>
      </c>
      <c r="C1057" s="163" t="s">
        <v>4890</v>
      </c>
      <c r="D1057" s="163" t="s">
        <v>4891</v>
      </c>
      <c r="E1057" s="164" t="n">
        <v>20000</v>
      </c>
      <c r="F1057" s="165" t="s">
        <v>4952</v>
      </c>
    </row>
    <row r="1058" customFormat="false" ht="15" hidden="false" customHeight="true" outlineLevel="0" collapsed="false">
      <c r="A1058" s="163" t="s">
        <v>3008</v>
      </c>
      <c r="B1058" s="163" t="s">
        <v>1938</v>
      </c>
      <c r="C1058" s="163" t="s">
        <v>4269</v>
      </c>
      <c r="D1058" s="163" t="s">
        <v>4270</v>
      </c>
      <c r="E1058" s="164" t="n">
        <v>20000</v>
      </c>
      <c r="F1058" s="165" t="s">
        <v>4937</v>
      </c>
    </row>
    <row r="1059" customFormat="false" ht="15" hidden="false" customHeight="true" outlineLevel="0" collapsed="false">
      <c r="A1059" s="163" t="s">
        <v>3008</v>
      </c>
      <c r="B1059" s="163" t="s">
        <v>691</v>
      </c>
      <c r="C1059" s="163" t="s">
        <v>4953</v>
      </c>
      <c r="D1059" s="163" t="s">
        <v>4954</v>
      </c>
      <c r="E1059" s="164" t="n">
        <v>35000</v>
      </c>
      <c r="F1059" s="165" t="s">
        <v>4883</v>
      </c>
    </row>
    <row r="1060" customFormat="false" ht="15" hidden="false" customHeight="true" outlineLevel="0" collapsed="false">
      <c r="A1060" s="163" t="s">
        <v>3008</v>
      </c>
      <c r="B1060" s="163" t="s">
        <v>691</v>
      </c>
      <c r="C1060" s="163" t="s">
        <v>4955</v>
      </c>
      <c r="D1060" s="163" t="s">
        <v>4956</v>
      </c>
      <c r="E1060" s="164" t="n">
        <v>30000</v>
      </c>
      <c r="F1060" s="165" t="s">
        <v>4883</v>
      </c>
    </row>
    <row r="1061" customFormat="false" ht="15" hidden="false" customHeight="true" outlineLevel="0" collapsed="false">
      <c r="A1061" s="163" t="s">
        <v>3008</v>
      </c>
      <c r="B1061" s="163" t="s">
        <v>691</v>
      </c>
      <c r="C1061" s="163" t="s">
        <v>3615</v>
      </c>
      <c r="D1061" s="163" t="s">
        <v>3616</v>
      </c>
      <c r="E1061" s="164" t="n">
        <v>25000</v>
      </c>
      <c r="F1061" s="165" t="s">
        <v>4883</v>
      </c>
    </row>
    <row r="1062" customFormat="false" ht="15" hidden="false" customHeight="true" outlineLevel="0" collapsed="false">
      <c r="A1062" s="163" t="s">
        <v>3008</v>
      </c>
      <c r="B1062" s="163" t="s">
        <v>691</v>
      </c>
      <c r="C1062" s="163" t="s">
        <v>4957</v>
      </c>
      <c r="D1062" s="163" t="s">
        <v>4958</v>
      </c>
      <c r="E1062" s="164" t="n">
        <v>20000</v>
      </c>
      <c r="F1062" s="165" t="s">
        <v>4883</v>
      </c>
    </row>
    <row r="1063" customFormat="false" ht="15" hidden="false" customHeight="true" outlineLevel="0" collapsed="false">
      <c r="A1063" s="163" t="s">
        <v>3008</v>
      </c>
      <c r="B1063" s="163" t="s">
        <v>691</v>
      </c>
      <c r="C1063" s="163" t="s">
        <v>4890</v>
      </c>
      <c r="D1063" s="163" t="s">
        <v>4891</v>
      </c>
      <c r="E1063" s="164" t="n">
        <v>15000</v>
      </c>
      <c r="F1063" s="165" t="s">
        <v>4959</v>
      </c>
    </row>
    <row r="1064" customFormat="false" ht="15" hidden="false" customHeight="true" outlineLevel="0" collapsed="false">
      <c r="A1064" s="163" t="s">
        <v>3008</v>
      </c>
      <c r="B1064" s="163" t="s">
        <v>691</v>
      </c>
      <c r="C1064" s="163" t="s">
        <v>4960</v>
      </c>
      <c r="D1064" s="163" t="s">
        <v>4961</v>
      </c>
      <c r="E1064" s="164" t="n">
        <v>10000</v>
      </c>
      <c r="F1064" s="165" t="s">
        <v>4883</v>
      </c>
    </row>
    <row r="1065" customFormat="false" ht="15" hidden="false" customHeight="true" outlineLevel="0" collapsed="false">
      <c r="A1065" s="163" t="s">
        <v>3008</v>
      </c>
      <c r="B1065" s="163" t="s">
        <v>691</v>
      </c>
      <c r="C1065" s="163" t="s">
        <v>260</v>
      </c>
      <c r="D1065" s="163" t="s">
        <v>2097</v>
      </c>
      <c r="E1065" s="164" t="n">
        <v>10000</v>
      </c>
      <c r="F1065" s="165" t="s">
        <v>4962</v>
      </c>
    </row>
    <row r="1066" customFormat="false" ht="15" hidden="false" customHeight="true" outlineLevel="0" collapsed="false">
      <c r="A1066" s="163" t="s">
        <v>3008</v>
      </c>
      <c r="B1066" s="163" t="s">
        <v>2027</v>
      </c>
      <c r="C1066" s="163" t="s">
        <v>3210</v>
      </c>
      <c r="D1066" s="163" t="s">
        <v>3211</v>
      </c>
      <c r="E1066" s="164" t="n">
        <v>25000</v>
      </c>
      <c r="F1066" s="165" t="s">
        <v>4883</v>
      </c>
    </row>
    <row r="1067" customFormat="false" ht="15" hidden="false" customHeight="true" outlineLevel="0" collapsed="false">
      <c r="A1067" s="163" t="s">
        <v>3008</v>
      </c>
      <c r="B1067" s="163" t="s">
        <v>2027</v>
      </c>
      <c r="C1067" s="163" t="s">
        <v>4420</v>
      </c>
      <c r="D1067" s="163" t="s">
        <v>4421</v>
      </c>
      <c r="E1067" s="164" t="n">
        <v>25000</v>
      </c>
      <c r="F1067" s="165" t="s">
        <v>4963</v>
      </c>
    </row>
    <row r="1068" customFormat="false" ht="15" hidden="false" customHeight="true" outlineLevel="0" collapsed="false">
      <c r="A1068" s="163" t="s">
        <v>3008</v>
      </c>
      <c r="B1068" s="163" t="s">
        <v>2027</v>
      </c>
      <c r="C1068" s="163" t="s">
        <v>3163</v>
      </c>
      <c r="D1068" s="163" t="s">
        <v>3164</v>
      </c>
      <c r="E1068" s="164" t="n">
        <v>20000</v>
      </c>
      <c r="F1068" s="165" t="s">
        <v>4883</v>
      </c>
    </row>
    <row r="1069" customFormat="false" ht="15" hidden="false" customHeight="true" outlineLevel="0" collapsed="false">
      <c r="A1069" s="163" t="s">
        <v>3008</v>
      </c>
      <c r="B1069" s="163" t="s">
        <v>2027</v>
      </c>
      <c r="C1069" s="163" t="s">
        <v>360</v>
      </c>
      <c r="D1069" s="163" t="s">
        <v>2685</v>
      </c>
      <c r="E1069" s="164" t="n">
        <v>20000</v>
      </c>
      <c r="F1069" s="165" t="s">
        <v>4883</v>
      </c>
    </row>
    <row r="1070" customFormat="false" ht="15" hidden="false" customHeight="true" outlineLevel="0" collapsed="false">
      <c r="A1070" s="163" t="s">
        <v>3008</v>
      </c>
      <c r="B1070" s="163" t="s">
        <v>2037</v>
      </c>
      <c r="C1070" s="163" t="s">
        <v>1202</v>
      </c>
      <c r="D1070" s="163" t="s">
        <v>2693</v>
      </c>
      <c r="E1070" s="164" t="n">
        <v>72500</v>
      </c>
      <c r="F1070" s="165" t="s">
        <v>4883</v>
      </c>
    </row>
    <row r="1071" customFormat="false" ht="15" hidden="false" customHeight="true" outlineLevel="0" collapsed="false">
      <c r="A1071" s="163" t="s">
        <v>3008</v>
      </c>
      <c r="B1071" s="163" t="s">
        <v>2037</v>
      </c>
      <c r="C1071" s="163" t="s">
        <v>4964</v>
      </c>
      <c r="D1071" s="163" t="s">
        <v>4965</v>
      </c>
      <c r="E1071" s="164" t="n">
        <v>50000</v>
      </c>
      <c r="F1071" s="165" t="s">
        <v>4883</v>
      </c>
    </row>
    <row r="1072" customFormat="false" ht="15" hidden="false" customHeight="true" outlineLevel="0" collapsed="false">
      <c r="A1072" s="163" t="s">
        <v>3008</v>
      </c>
      <c r="B1072" s="163" t="s">
        <v>2037</v>
      </c>
      <c r="C1072" s="163" t="s">
        <v>2695</v>
      </c>
      <c r="D1072" s="163" t="s">
        <v>2696</v>
      </c>
      <c r="E1072" s="164" t="n">
        <v>30000</v>
      </c>
      <c r="F1072" s="165" t="s">
        <v>4883</v>
      </c>
    </row>
    <row r="1073" customFormat="false" ht="15" hidden="false" customHeight="true" outlineLevel="0" collapsed="false">
      <c r="A1073" s="163" t="s">
        <v>3008</v>
      </c>
      <c r="B1073" s="163" t="s">
        <v>2037</v>
      </c>
      <c r="C1073" s="163" t="s">
        <v>3556</v>
      </c>
      <c r="D1073" s="163" t="s">
        <v>3557</v>
      </c>
      <c r="E1073" s="164" t="n">
        <v>20000</v>
      </c>
      <c r="F1073" s="165" t="s">
        <v>4883</v>
      </c>
    </row>
    <row r="1074" customFormat="false" ht="15" hidden="false" customHeight="true" outlineLevel="0" collapsed="false">
      <c r="A1074" s="163" t="s">
        <v>3008</v>
      </c>
      <c r="B1074" s="163" t="s">
        <v>2037</v>
      </c>
      <c r="C1074" s="163" t="s">
        <v>4966</v>
      </c>
      <c r="D1074" s="163" t="s">
        <v>4967</v>
      </c>
      <c r="E1074" s="164" t="n">
        <v>20000</v>
      </c>
      <c r="F1074" s="165" t="s">
        <v>4883</v>
      </c>
    </row>
    <row r="1075" customFormat="false" ht="15" hidden="false" customHeight="true" outlineLevel="0" collapsed="false">
      <c r="A1075" s="163" t="s">
        <v>3008</v>
      </c>
      <c r="B1075" s="163" t="s">
        <v>2037</v>
      </c>
      <c r="C1075" s="163" t="s">
        <v>4931</v>
      </c>
      <c r="D1075" s="163" t="s">
        <v>4932</v>
      </c>
      <c r="E1075" s="164" t="n">
        <v>15000</v>
      </c>
      <c r="F1075" s="165" t="s">
        <v>4883</v>
      </c>
    </row>
    <row r="1076" customFormat="false" ht="15" hidden="false" customHeight="true" outlineLevel="0" collapsed="false">
      <c r="A1076" s="163" t="s">
        <v>3008</v>
      </c>
      <c r="B1076" s="163" t="s">
        <v>2037</v>
      </c>
      <c r="C1076" s="163" t="s">
        <v>4129</v>
      </c>
      <c r="D1076" s="163" t="s">
        <v>4130</v>
      </c>
      <c r="E1076" s="164" t="n">
        <v>10000</v>
      </c>
      <c r="F1076" s="165" t="s">
        <v>4883</v>
      </c>
    </row>
    <row r="1077" customFormat="false" ht="15" hidden="false" customHeight="true" outlineLevel="0" collapsed="false">
      <c r="A1077" s="163" t="s">
        <v>3008</v>
      </c>
      <c r="B1077" s="163" t="s">
        <v>2037</v>
      </c>
      <c r="C1077" s="163" t="s">
        <v>4910</v>
      </c>
      <c r="D1077" s="163" t="s">
        <v>4911</v>
      </c>
      <c r="E1077" s="164" t="n">
        <v>7500</v>
      </c>
      <c r="F1077" s="165" t="s">
        <v>4883</v>
      </c>
    </row>
    <row r="1078" customFormat="false" ht="15" hidden="false" customHeight="true" outlineLevel="0" collapsed="false">
      <c r="A1078" s="163" t="s">
        <v>3008</v>
      </c>
      <c r="B1078" s="163" t="s">
        <v>894</v>
      </c>
      <c r="C1078" s="163" t="s">
        <v>3556</v>
      </c>
      <c r="D1078" s="163" t="s">
        <v>3557</v>
      </c>
      <c r="E1078" s="164" t="n">
        <v>25000</v>
      </c>
      <c r="F1078" s="165" t="s">
        <v>4883</v>
      </c>
    </row>
    <row r="1079" customFormat="false" ht="15" hidden="false" customHeight="true" outlineLevel="0" collapsed="false">
      <c r="A1079" s="163" t="s">
        <v>3008</v>
      </c>
      <c r="B1079" s="163" t="s">
        <v>894</v>
      </c>
      <c r="C1079" s="163" t="s">
        <v>4968</v>
      </c>
      <c r="D1079" s="163" t="s">
        <v>4969</v>
      </c>
      <c r="E1079" s="164" t="n">
        <v>20000</v>
      </c>
      <c r="F1079" s="165" t="s">
        <v>4883</v>
      </c>
    </row>
    <row r="1080" customFormat="false" ht="15" hidden="false" customHeight="true" outlineLevel="0" collapsed="false">
      <c r="A1080" s="163" t="s">
        <v>3008</v>
      </c>
      <c r="B1080" s="163" t="s">
        <v>894</v>
      </c>
      <c r="C1080" s="163" t="s">
        <v>4890</v>
      </c>
      <c r="D1080" s="163" t="s">
        <v>4891</v>
      </c>
      <c r="E1080" s="164" t="n">
        <v>10000</v>
      </c>
      <c r="F1080" s="165" t="s">
        <v>4883</v>
      </c>
    </row>
    <row r="1081" customFormat="false" ht="15" hidden="false" customHeight="true" outlineLevel="0" collapsed="false">
      <c r="A1081" s="163" t="s">
        <v>3008</v>
      </c>
      <c r="B1081" s="163" t="s">
        <v>894</v>
      </c>
      <c r="C1081" s="163" t="s">
        <v>3635</v>
      </c>
      <c r="D1081" s="163" t="s">
        <v>3636</v>
      </c>
      <c r="E1081" s="164" t="n">
        <v>10000</v>
      </c>
      <c r="F1081" s="165" t="s">
        <v>4970</v>
      </c>
    </row>
    <row r="1082" customFormat="false" ht="15" hidden="false" customHeight="true" outlineLevel="0" collapsed="false">
      <c r="A1082" s="163" t="s">
        <v>3008</v>
      </c>
      <c r="B1082" s="163" t="s">
        <v>894</v>
      </c>
      <c r="C1082" s="163" t="s">
        <v>4971</v>
      </c>
      <c r="D1082" s="163" t="s">
        <v>4972</v>
      </c>
      <c r="E1082" s="164" t="n">
        <v>10000</v>
      </c>
      <c r="F1082" s="165" t="s">
        <v>4883</v>
      </c>
    </row>
    <row r="1083" customFormat="false" ht="15" hidden="false" customHeight="true" outlineLevel="0" collapsed="false">
      <c r="A1083" s="163" t="s">
        <v>3008</v>
      </c>
      <c r="B1083" s="163" t="s">
        <v>894</v>
      </c>
      <c r="C1083" s="163" t="s">
        <v>197</v>
      </c>
      <c r="D1083" s="163" t="s">
        <v>1931</v>
      </c>
      <c r="E1083" s="164" t="n">
        <v>10000</v>
      </c>
      <c r="F1083" s="165" t="s">
        <v>4883</v>
      </c>
    </row>
    <row r="1084" customFormat="false" ht="15" hidden="false" customHeight="true" outlineLevel="0" collapsed="false">
      <c r="A1084" s="163" t="s">
        <v>3008</v>
      </c>
      <c r="B1084" s="163" t="s">
        <v>894</v>
      </c>
      <c r="C1084" s="163" t="s">
        <v>473</v>
      </c>
      <c r="D1084" s="163" t="s">
        <v>2764</v>
      </c>
      <c r="E1084" s="164" t="n">
        <v>10000</v>
      </c>
      <c r="F1084" s="165" t="s">
        <v>4883</v>
      </c>
    </row>
    <row r="1085" customFormat="false" ht="15" hidden="false" customHeight="true" outlineLevel="0" collapsed="false">
      <c r="A1085" s="163" t="s">
        <v>3008</v>
      </c>
      <c r="B1085" s="163" t="s">
        <v>894</v>
      </c>
      <c r="C1085" s="163" t="s">
        <v>4973</v>
      </c>
      <c r="D1085" s="163" t="s">
        <v>4974</v>
      </c>
      <c r="E1085" s="164" t="n">
        <v>10000</v>
      </c>
      <c r="F1085" s="165" t="s">
        <v>4883</v>
      </c>
    </row>
    <row r="1086" customFormat="false" ht="15" hidden="false" customHeight="true" outlineLevel="0" collapsed="false">
      <c r="A1086" s="163" t="s">
        <v>3008</v>
      </c>
      <c r="B1086" s="163" t="s">
        <v>894</v>
      </c>
      <c r="C1086" s="163" t="s">
        <v>4975</v>
      </c>
      <c r="D1086" s="163" t="s">
        <v>4976</v>
      </c>
      <c r="E1086" s="164" t="n">
        <v>10000</v>
      </c>
      <c r="F1086" s="165" t="s">
        <v>4883</v>
      </c>
    </row>
    <row r="1087" customFormat="false" ht="15" hidden="false" customHeight="true" outlineLevel="0" collapsed="false">
      <c r="A1087" s="163" t="s">
        <v>3008</v>
      </c>
      <c r="B1087" s="163" t="s">
        <v>894</v>
      </c>
      <c r="C1087" s="163" t="s">
        <v>4977</v>
      </c>
      <c r="D1087" s="163" t="s">
        <v>4978</v>
      </c>
      <c r="E1087" s="164" t="n">
        <v>10000</v>
      </c>
      <c r="F1087" s="165" t="s">
        <v>4883</v>
      </c>
    </row>
    <row r="1088" customFormat="false" ht="15" hidden="false" customHeight="true" outlineLevel="0" collapsed="false">
      <c r="A1088" s="163" t="s">
        <v>3008</v>
      </c>
      <c r="B1088" s="163" t="s">
        <v>894</v>
      </c>
      <c r="C1088" s="163" t="s">
        <v>4966</v>
      </c>
      <c r="D1088" s="163" t="s">
        <v>4967</v>
      </c>
      <c r="E1088" s="164" t="n">
        <v>10000</v>
      </c>
      <c r="F1088" s="165" t="s">
        <v>4883</v>
      </c>
    </row>
    <row r="1089" customFormat="false" ht="15" hidden="false" customHeight="true" outlineLevel="0" collapsed="false">
      <c r="A1089" s="163" t="s">
        <v>3008</v>
      </c>
      <c r="B1089" s="163" t="s">
        <v>894</v>
      </c>
      <c r="C1089" s="163" t="s">
        <v>4979</v>
      </c>
      <c r="D1089" s="163" t="s">
        <v>4980</v>
      </c>
      <c r="E1089" s="164" t="n">
        <v>10000</v>
      </c>
      <c r="F1089" s="165" t="s">
        <v>4883</v>
      </c>
    </row>
    <row r="1090" customFormat="false" ht="15" hidden="false" customHeight="true" outlineLevel="0" collapsed="false">
      <c r="A1090" s="163" t="s">
        <v>3008</v>
      </c>
      <c r="B1090" s="163" t="s">
        <v>894</v>
      </c>
      <c r="C1090" s="163" t="s">
        <v>893</v>
      </c>
      <c r="D1090" s="163" t="s">
        <v>1931</v>
      </c>
      <c r="E1090" s="164" t="n">
        <v>10000</v>
      </c>
      <c r="F1090" s="165" t="s">
        <v>4981</v>
      </c>
    </row>
    <row r="1091" customFormat="false" ht="15" hidden="false" customHeight="true" outlineLevel="0" collapsed="false">
      <c r="A1091" s="163" t="s">
        <v>3008</v>
      </c>
      <c r="B1091" s="163" t="s">
        <v>894</v>
      </c>
      <c r="C1091" s="163" t="s">
        <v>4982</v>
      </c>
      <c r="D1091" s="163" t="s">
        <v>4983</v>
      </c>
      <c r="E1091" s="164" t="n">
        <v>10000</v>
      </c>
      <c r="F1091" s="165" t="s">
        <v>4883</v>
      </c>
    </row>
    <row r="1092" customFormat="false" ht="15" hidden="false" customHeight="true" outlineLevel="0" collapsed="false">
      <c r="A1092" s="163" t="s">
        <v>3008</v>
      </c>
      <c r="B1092" s="163" t="s">
        <v>894</v>
      </c>
      <c r="C1092" s="163" t="s">
        <v>4984</v>
      </c>
      <c r="D1092" s="163" t="s">
        <v>4985</v>
      </c>
      <c r="E1092" s="164" t="n">
        <v>8000</v>
      </c>
      <c r="F1092" s="165" t="s">
        <v>4883</v>
      </c>
    </row>
    <row r="1093" customFormat="false" ht="15" hidden="false" customHeight="true" outlineLevel="0" collapsed="false">
      <c r="A1093" s="163" t="s">
        <v>3008</v>
      </c>
      <c r="B1093" s="163" t="s">
        <v>894</v>
      </c>
      <c r="C1093" s="163" t="s">
        <v>4923</v>
      </c>
      <c r="D1093" s="163" t="s">
        <v>4924</v>
      </c>
      <c r="E1093" s="164" t="n">
        <v>8000</v>
      </c>
      <c r="F1093" s="165" t="s">
        <v>4883</v>
      </c>
    </row>
    <row r="1094" customFormat="false" ht="15" hidden="false" customHeight="true" outlineLevel="0" collapsed="false">
      <c r="A1094" s="163" t="s">
        <v>3008</v>
      </c>
      <c r="B1094" s="163" t="s">
        <v>894</v>
      </c>
      <c r="C1094" s="163" t="s">
        <v>4986</v>
      </c>
      <c r="D1094" s="163" t="s">
        <v>4987</v>
      </c>
      <c r="E1094" s="164" t="n">
        <v>8000</v>
      </c>
      <c r="F1094" s="165" t="s">
        <v>4883</v>
      </c>
    </row>
    <row r="1095" customFormat="false" ht="15" hidden="false" customHeight="true" outlineLevel="0" collapsed="false">
      <c r="A1095" s="163" t="s">
        <v>3008</v>
      </c>
      <c r="B1095" s="163" t="s">
        <v>894</v>
      </c>
      <c r="C1095" s="163" t="s">
        <v>4988</v>
      </c>
      <c r="D1095" s="163" t="s">
        <v>4989</v>
      </c>
      <c r="E1095" s="164" t="n">
        <v>8000</v>
      </c>
      <c r="F1095" s="165" t="s">
        <v>4883</v>
      </c>
    </row>
    <row r="1096" customFormat="false" ht="15" hidden="false" customHeight="true" outlineLevel="0" collapsed="false">
      <c r="A1096" s="163" t="s">
        <v>3008</v>
      </c>
      <c r="B1096" s="163" t="s">
        <v>894</v>
      </c>
      <c r="C1096" s="163" t="s">
        <v>4990</v>
      </c>
      <c r="D1096" s="163" t="s">
        <v>4991</v>
      </c>
      <c r="E1096" s="164" t="n">
        <v>8000</v>
      </c>
      <c r="F1096" s="165" t="s">
        <v>4992</v>
      </c>
    </row>
    <row r="1097" customFormat="false" ht="15" hidden="false" customHeight="true" outlineLevel="0" collapsed="false">
      <c r="A1097" s="163" t="s">
        <v>3008</v>
      </c>
      <c r="B1097" s="163" t="s">
        <v>894</v>
      </c>
      <c r="C1097" s="163" t="s">
        <v>4993</v>
      </c>
      <c r="D1097" s="163" t="s">
        <v>4994</v>
      </c>
      <c r="E1097" s="164" t="n">
        <v>7500</v>
      </c>
      <c r="F1097" s="165" t="s">
        <v>4883</v>
      </c>
    </row>
    <row r="1098" customFormat="false" ht="15" hidden="false" customHeight="true" outlineLevel="0" collapsed="false">
      <c r="A1098" s="163" t="s">
        <v>3008</v>
      </c>
      <c r="B1098" s="163" t="s">
        <v>894</v>
      </c>
      <c r="C1098" s="163" t="s">
        <v>4995</v>
      </c>
      <c r="D1098" s="163" t="s">
        <v>4996</v>
      </c>
      <c r="E1098" s="164" t="n">
        <v>7000</v>
      </c>
      <c r="F1098" s="165" t="s">
        <v>4997</v>
      </c>
    </row>
    <row r="1099" customFormat="false" ht="15" hidden="false" customHeight="true" outlineLevel="0" collapsed="false">
      <c r="A1099" s="163" t="s">
        <v>3008</v>
      </c>
      <c r="B1099" s="163" t="s">
        <v>894</v>
      </c>
      <c r="C1099" s="163" t="s">
        <v>4998</v>
      </c>
      <c r="D1099" s="163" t="s">
        <v>4999</v>
      </c>
      <c r="E1099" s="164" t="n">
        <v>6500</v>
      </c>
      <c r="F1099" s="165" t="s">
        <v>4883</v>
      </c>
    </row>
    <row r="1100" customFormat="false" ht="15" hidden="false" customHeight="true" outlineLevel="0" collapsed="false">
      <c r="A1100" s="163" t="s">
        <v>3008</v>
      </c>
      <c r="B1100" s="163" t="s">
        <v>894</v>
      </c>
      <c r="C1100" s="163" t="s">
        <v>4966</v>
      </c>
      <c r="D1100" s="163" t="s">
        <v>4967</v>
      </c>
      <c r="E1100" s="164" t="n">
        <v>6000</v>
      </c>
      <c r="F1100" s="165" t="s">
        <v>4883</v>
      </c>
    </row>
    <row r="1101" customFormat="false" ht="15" hidden="false" customHeight="true" outlineLevel="0" collapsed="false">
      <c r="A1101" s="163" t="s">
        <v>3008</v>
      </c>
      <c r="B1101" s="163" t="s">
        <v>894</v>
      </c>
      <c r="C1101" s="163" t="s">
        <v>2953</v>
      </c>
      <c r="D1101" s="163" t="s">
        <v>2954</v>
      </c>
      <c r="E1101" s="164" t="n">
        <v>5500</v>
      </c>
      <c r="F1101" s="165" t="s">
        <v>4883</v>
      </c>
    </row>
    <row r="1102" customFormat="false" ht="15" hidden="false" customHeight="true" outlineLevel="0" collapsed="false">
      <c r="A1102" s="163" t="s">
        <v>3008</v>
      </c>
      <c r="B1102" s="163" t="s">
        <v>894</v>
      </c>
      <c r="C1102" s="163" t="s">
        <v>5000</v>
      </c>
      <c r="D1102" s="163" t="s">
        <v>5001</v>
      </c>
      <c r="E1102" s="164" t="n">
        <v>5500</v>
      </c>
      <c r="F1102" s="165" t="s">
        <v>5002</v>
      </c>
    </row>
    <row r="1103" customFormat="false" ht="15" hidden="false" customHeight="true" outlineLevel="0" collapsed="false">
      <c r="A1103" s="163" t="s">
        <v>3008</v>
      </c>
      <c r="B1103" s="163" t="s">
        <v>894</v>
      </c>
      <c r="C1103" s="163" t="s">
        <v>5003</v>
      </c>
      <c r="D1103" s="163" t="s">
        <v>5004</v>
      </c>
      <c r="E1103" s="164" t="n">
        <v>5000</v>
      </c>
      <c r="F1103" s="165" t="s">
        <v>5005</v>
      </c>
    </row>
    <row r="1104" customFormat="false" ht="15" hidden="false" customHeight="true" outlineLevel="0" collapsed="false">
      <c r="A1104" s="163" t="s">
        <v>3008</v>
      </c>
      <c r="B1104" s="163" t="s">
        <v>894</v>
      </c>
      <c r="C1104" s="163" t="s">
        <v>5006</v>
      </c>
      <c r="D1104" s="163" t="s">
        <v>5007</v>
      </c>
      <c r="E1104" s="164" t="n">
        <v>5000</v>
      </c>
      <c r="F1104" s="165" t="s">
        <v>4883</v>
      </c>
    </row>
    <row r="1105" customFormat="false" ht="15" hidden="false" customHeight="true" outlineLevel="0" collapsed="false">
      <c r="A1105" s="163" t="s">
        <v>3008</v>
      </c>
      <c r="B1105" s="163" t="s">
        <v>894</v>
      </c>
      <c r="C1105" s="163" t="s">
        <v>2780</v>
      </c>
      <c r="D1105" s="163" t="s">
        <v>2429</v>
      </c>
      <c r="E1105" s="164" t="n">
        <v>5000</v>
      </c>
      <c r="F1105" s="165" t="s">
        <v>4883</v>
      </c>
    </row>
    <row r="1106" customFormat="false" ht="15" hidden="false" customHeight="true" outlineLevel="0" collapsed="false">
      <c r="A1106" s="163" t="s">
        <v>3008</v>
      </c>
      <c r="B1106" s="163" t="s">
        <v>894</v>
      </c>
      <c r="C1106" s="163" t="s">
        <v>5008</v>
      </c>
      <c r="D1106" s="163" t="s">
        <v>5009</v>
      </c>
      <c r="E1106" s="164" t="n">
        <v>5000</v>
      </c>
      <c r="F1106" s="165" t="s">
        <v>4883</v>
      </c>
    </row>
    <row r="1107" customFormat="false" ht="15" hidden="false" customHeight="true" outlineLevel="0" collapsed="false">
      <c r="A1107" s="163" t="s">
        <v>3008</v>
      </c>
      <c r="B1107" s="163" t="s">
        <v>894</v>
      </c>
      <c r="C1107" s="163" t="s">
        <v>230</v>
      </c>
      <c r="D1107" s="163" t="s">
        <v>2077</v>
      </c>
      <c r="E1107" s="164" t="n">
        <v>5000</v>
      </c>
      <c r="F1107" s="165" t="s">
        <v>4883</v>
      </c>
    </row>
    <row r="1108" customFormat="false" ht="15" hidden="false" customHeight="true" outlineLevel="0" collapsed="false">
      <c r="A1108" s="163" t="s">
        <v>3008</v>
      </c>
      <c r="B1108" s="163" t="s">
        <v>894</v>
      </c>
      <c r="C1108" s="163" t="s">
        <v>5010</v>
      </c>
      <c r="D1108" s="163" t="s">
        <v>1931</v>
      </c>
      <c r="E1108" s="164" t="n">
        <v>5000</v>
      </c>
      <c r="F1108" s="165" t="s">
        <v>4883</v>
      </c>
    </row>
    <row r="1109" customFormat="false" ht="15" hidden="false" customHeight="true" outlineLevel="0" collapsed="false">
      <c r="A1109" s="163" t="s">
        <v>3008</v>
      </c>
      <c r="B1109" s="163" t="s">
        <v>894</v>
      </c>
      <c r="C1109" s="163" t="s">
        <v>4881</v>
      </c>
      <c r="D1109" s="163" t="s">
        <v>4882</v>
      </c>
      <c r="E1109" s="164" t="n">
        <v>5000</v>
      </c>
      <c r="F1109" s="165" t="s">
        <v>4883</v>
      </c>
    </row>
    <row r="1110" customFormat="false" ht="15" hidden="false" customHeight="true" outlineLevel="0" collapsed="false">
      <c r="A1110" s="163" t="s">
        <v>3008</v>
      </c>
      <c r="B1110" s="163" t="s">
        <v>894</v>
      </c>
      <c r="C1110" s="163" t="s">
        <v>5011</v>
      </c>
      <c r="D1110" s="163" t="s">
        <v>5012</v>
      </c>
      <c r="E1110" s="164" t="n">
        <v>5000</v>
      </c>
      <c r="F1110" s="165" t="s">
        <v>4883</v>
      </c>
    </row>
    <row r="1111" customFormat="false" ht="15" hidden="false" customHeight="true" outlineLevel="0" collapsed="false">
      <c r="A1111" s="163" t="s">
        <v>3008</v>
      </c>
      <c r="B1111" s="163" t="s">
        <v>894</v>
      </c>
      <c r="C1111" s="163" t="s">
        <v>5013</v>
      </c>
      <c r="D1111" s="163" t="s">
        <v>5014</v>
      </c>
      <c r="E1111" s="164" t="n">
        <v>5000</v>
      </c>
      <c r="F1111" s="165" t="s">
        <v>4883</v>
      </c>
    </row>
    <row r="1112" customFormat="false" ht="15" hidden="false" customHeight="true" outlineLevel="0" collapsed="false">
      <c r="A1112" s="163" t="s">
        <v>3008</v>
      </c>
      <c r="B1112" s="163" t="s">
        <v>894</v>
      </c>
      <c r="C1112" s="163" t="s">
        <v>5015</v>
      </c>
      <c r="D1112" s="163" t="s">
        <v>5016</v>
      </c>
      <c r="E1112" s="164" t="n">
        <v>5000</v>
      </c>
      <c r="F1112" s="165" t="s">
        <v>4883</v>
      </c>
    </row>
    <row r="1113" customFormat="false" ht="15" hidden="false" customHeight="true" outlineLevel="0" collapsed="false">
      <c r="A1113" s="163" t="s">
        <v>3008</v>
      </c>
      <c r="B1113" s="163" t="s">
        <v>894</v>
      </c>
      <c r="C1113" s="163" t="s">
        <v>5017</v>
      </c>
      <c r="D1113" s="163" t="s">
        <v>5018</v>
      </c>
      <c r="E1113" s="164" t="n">
        <v>5000</v>
      </c>
      <c r="F1113" s="165" t="s">
        <v>4883</v>
      </c>
    </row>
    <row r="1114" customFormat="false" ht="15" hidden="false" customHeight="true" outlineLevel="0" collapsed="false">
      <c r="A1114" s="163" t="s">
        <v>3008</v>
      </c>
      <c r="B1114" s="163" t="s">
        <v>894</v>
      </c>
      <c r="C1114" s="163" t="s">
        <v>5019</v>
      </c>
      <c r="D1114" s="163" t="s">
        <v>5020</v>
      </c>
      <c r="E1114" s="164" t="n">
        <v>5000</v>
      </c>
      <c r="F1114" s="165" t="s">
        <v>4883</v>
      </c>
    </row>
    <row r="1115" customFormat="false" ht="15" hidden="false" customHeight="true" outlineLevel="0" collapsed="false">
      <c r="A1115" s="163" t="s">
        <v>3008</v>
      </c>
      <c r="B1115" s="163" t="s">
        <v>894</v>
      </c>
      <c r="C1115" s="163" t="s">
        <v>5021</v>
      </c>
      <c r="D1115" s="163" t="s">
        <v>5022</v>
      </c>
      <c r="E1115" s="164" t="n">
        <v>5000</v>
      </c>
      <c r="F1115" s="165" t="s">
        <v>5023</v>
      </c>
    </row>
    <row r="1116" customFormat="false" ht="15" hidden="false" customHeight="true" outlineLevel="0" collapsed="false">
      <c r="A1116" s="163" t="s">
        <v>3008</v>
      </c>
      <c r="B1116" s="163" t="s">
        <v>894</v>
      </c>
      <c r="C1116" s="163" t="s">
        <v>5024</v>
      </c>
      <c r="D1116" s="163" t="s">
        <v>5025</v>
      </c>
      <c r="E1116" s="164" t="n">
        <v>5000</v>
      </c>
      <c r="F1116" s="165" t="s">
        <v>4883</v>
      </c>
    </row>
    <row r="1117" customFormat="false" ht="15" hidden="false" customHeight="true" outlineLevel="0" collapsed="false">
      <c r="A1117" s="163" t="s">
        <v>3008</v>
      </c>
      <c r="B1117" s="163" t="s">
        <v>894</v>
      </c>
      <c r="C1117" s="163" t="s">
        <v>5026</v>
      </c>
      <c r="D1117" s="163" t="s">
        <v>5027</v>
      </c>
      <c r="E1117" s="164" t="n">
        <v>5000</v>
      </c>
      <c r="F1117" s="165" t="s">
        <v>4883</v>
      </c>
    </row>
    <row r="1118" customFormat="false" ht="15" hidden="false" customHeight="true" outlineLevel="0" collapsed="false">
      <c r="A1118" s="163" t="s">
        <v>3008</v>
      </c>
      <c r="B1118" s="163" t="s">
        <v>894</v>
      </c>
      <c r="C1118" s="163" t="s">
        <v>5028</v>
      </c>
      <c r="D1118" s="163" t="s">
        <v>1931</v>
      </c>
      <c r="E1118" s="164" t="n">
        <v>5000</v>
      </c>
      <c r="F1118" s="165" t="s">
        <v>5029</v>
      </c>
    </row>
    <row r="1119" customFormat="false" ht="15" hidden="false" customHeight="true" outlineLevel="0" collapsed="false">
      <c r="A1119" s="163" t="s">
        <v>3008</v>
      </c>
      <c r="B1119" s="163" t="s">
        <v>894</v>
      </c>
      <c r="C1119" s="163" t="s">
        <v>3706</v>
      </c>
      <c r="D1119" s="163" t="s">
        <v>3707</v>
      </c>
      <c r="E1119" s="164" t="n">
        <v>5000</v>
      </c>
      <c r="F1119" s="165" t="s">
        <v>4883</v>
      </c>
    </row>
    <row r="1120" customFormat="false" ht="15" hidden="false" customHeight="true" outlineLevel="0" collapsed="false">
      <c r="A1120" s="163" t="s">
        <v>3008</v>
      </c>
      <c r="B1120" s="163" t="s">
        <v>894</v>
      </c>
      <c r="C1120" s="163" t="s">
        <v>3706</v>
      </c>
      <c r="D1120" s="163" t="s">
        <v>3707</v>
      </c>
      <c r="E1120" s="164" t="n">
        <v>5000</v>
      </c>
      <c r="F1120" s="165" t="s">
        <v>5030</v>
      </c>
    </row>
    <row r="1121" customFormat="false" ht="15" hidden="false" customHeight="true" outlineLevel="0" collapsed="false">
      <c r="A1121" s="163" t="s">
        <v>3008</v>
      </c>
      <c r="B1121" s="163" t="s">
        <v>894</v>
      </c>
      <c r="C1121" s="163" t="s">
        <v>5031</v>
      </c>
      <c r="D1121" s="163" t="s">
        <v>5032</v>
      </c>
      <c r="E1121" s="164" t="n">
        <v>5000</v>
      </c>
      <c r="F1121" s="165" t="s">
        <v>5033</v>
      </c>
    </row>
    <row r="1122" customFormat="false" ht="15" hidden="false" customHeight="true" outlineLevel="0" collapsed="false">
      <c r="A1122" s="163" t="s">
        <v>3008</v>
      </c>
      <c r="B1122" s="163" t="s">
        <v>894</v>
      </c>
      <c r="C1122" s="163" t="s">
        <v>5034</v>
      </c>
      <c r="D1122" s="163" t="s">
        <v>5035</v>
      </c>
      <c r="E1122" s="164" t="n">
        <v>5000</v>
      </c>
      <c r="F1122" s="165" t="s">
        <v>4883</v>
      </c>
    </row>
    <row r="1123" customFormat="false" ht="15" hidden="false" customHeight="true" outlineLevel="0" collapsed="false">
      <c r="A1123" s="163" t="s">
        <v>3008</v>
      </c>
      <c r="B1123" s="163" t="s">
        <v>894</v>
      </c>
      <c r="C1123" s="163" t="s">
        <v>5036</v>
      </c>
      <c r="D1123" s="163" t="s">
        <v>5037</v>
      </c>
      <c r="E1123" s="164" t="n">
        <v>5000</v>
      </c>
      <c r="F1123" s="165" t="s">
        <v>5038</v>
      </c>
    </row>
    <row r="1124" customFormat="false" ht="15" hidden="false" customHeight="true" outlineLevel="0" collapsed="false">
      <c r="A1124" s="163" t="s">
        <v>3008</v>
      </c>
      <c r="B1124" s="163" t="s">
        <v>894</v>
      </c>
      <c r="C1124" s="163" t="s">
        <v>5039</v>
      </c>
      <c r="D1124" s="163" t="s">
        <v>5040</v>
      </c>
      <c r="E1124" s="164" t="n">
        <v>5000</v>
      </c>
      <c r="F1124" s="165" t="s">
        <v>5041</v>
      </c>
    </row>
    <row r="1125" customFormat="false" ht="15" hidden="false" customHeight="true" outlineLevel="0" collapsed="false">
      <c r="A1125" s="163" t="s">
        <v>3008</v>
      </c>
      <c r="B1125" s="163" t="s">
        <v>894</v>
      </c>
      <c r="C1125" s="163" t="s">
        <v>4705</v>
      </c>
      <c r="D1125" s="163" t="s">
        <v>4706</v>
      </c>
      <c r="E1125" s="164" t="n">
        <v>5000</v>
      </c>
      <c r="F1125" s="165" t="s">
        <v>4883</v>
      </c>
    </row>
    <row r="1126" customFormat="false" ht="15" hidden="false" customHeight="true" outlineLevel="0" collapsed="false">
      <c r="A1126" s="163" t="s">
        <v>3008</v>
      </c>
      <c r="B1126" s="163" t="s">
        <v>894</v>
      </c>
      <c r="C1126" s="163" t="s">
        <v>5042</v>
      </c>
      <c r="D1126" s="163" t="s">
        <v>5043</v>
      </c>
      <c r="E1126" s="164" t="n">
        <v>5000</v>
      </c>
      <c r="F1126" s="165" t="s">
        <v>5044</v>
      </c>
    </row>
    <row r="1127" customFormat="false" ht="15" hidden="false" customHeight="true" outlineLevel="0" collapsed="false">
      <c r="A1127" s="163" t="s">
        <v>3008</v>
      </c>
      <c r="B1127" s="163" t="s">
        <v>894</v>
      </c>
      <c r="C1127" s="163" t="s">
        <v>5045</v>
      </c>
      <c r="D1127" s="163" t="s">
        <v>5046</v>
      </c>
      <c r="E1127" s="164" t="n">
        <v>4000</v>
      </c>
      <c r="F1127" s="165" t="s">
        <v>5047</v>
      </c>
    </row>
    <row r="1128" customFormat="false" ht="15" hidden="false" customHeight="true" outlineLevel="0" collapsed="false">
      <c r="A1128" s="163" t="s">
        <v>3008</v>
      </c>
      <c r="B1128" s="163" t="s">
        <v>894</v>
      </c>
      <c r="C1128" s="163" t="s">
        <v>5048</v>
      </c>
      <c r="D1128" s="163" t="s">
        <v>5049</v>
      </c>
      <c r="E1128" s="164" t="n">
        <v>4000</v>
      </c>
      <c r="F1128" s="165" t="s">
        <v>4883</v>
      </c>
    </row>
    <row r="1129" customFormat="false" ht="15" hidden="false" customHeight="true" outlineLevel="0" collapsed="false">
      <c r="A1129" s="163" t="s">
        <v>3008</v>
      </c>
      <c r="B1129" s="163" t="s">
        <v>894</v>
      </c>
      <c r="C1129" s="163" t="s">
        <v>5050</v>
      </c>
      <c r="D1129" s="163" t="s">
        <v>5051</v>
      </c>
      <c r="E1129" s="164" t="n">
        <v>2500</v>
      </c>
      <c r="F1129" s="165" t="s">
        <v>5052</v>
      </c>
    </row>
    <row r="1130" customFormat="false" ht="15" hidden="false" customHeight="true" outlineLevel="0" collapsed="false">
      <c r="A1130" s="163" t="s">
        <v>3008</v>
      </c>
      <c r="B1130" s="163" t="s">
        <v>894</v>
      </c>
      <c r="C1130" s="163" t="s">
        <v>5028</v>
      </c>
      <c r="D1130" s="163" t="s">
        <v>1931</v>
      </c>
      <c r="E1130" s="164" t="n">
        <v>2500</v>
      </c>
      <c r="F1130" s="165" t="s">
        <v>5053</v>
      </c>
    </row>
    <row r="1131" customFormat="false" ht="15" hidden="false" customHeight="true" outlineLevel="0" collapsed="false">
      <c r="A1131" s="163" t="s">
        <v>3008</v>
      </c>
      <c r="B1131" s="163" t="s">
        <v>894</v>
      </c>
      <c r="C1131" s="163" t="s">
        <v>5028</v>
      </c>
      <c r="D1131" s="163" t="s">
        <v>1931</v>
      </c>
      <c r="E1131" s="164" t="n">
        <v>2500</v>
      </c>
      <c r="F1131" s="165" t="s">
        <v>5054</v>
      </c>
    </row>
    <row r="1132" customFormat="false" ht="15" hidden="false" customHeight="true" outlineLevel="0" collapsed="false">
      <c r="A1132" s="163" t="s">
        <v>3008</v>
      </c>
      <c r="B1132" s="163" t="s">
        <v>894</v>
      </c>
      <c r="C1132" s="163" t="s">
        <v>5028</v>
      </c>
      <c r="D1132" s="163" t="s">
        <v>1931</v>
      </c>
      <c r="E1132" s="164" t="n">
        <v>2500</v>
      </c>
      <c r="F1132" s="165" t="s">
        <v>5055</v>
      </c>
    </row>
    <row r="1133" customFormat="false" ht="15" hidden="false" customHeight="true" outlineLevel="0" collapsed="false">
      <c r="A1133" s="163" t="s">
        <v>3008</v>
      </c>
      <c r="B1133" s="163" t="s">
        <v>894</v>
      </c>
      <c r="C1133" s="163" t="s">
        <v>5028</v>
      </c>
      <c r="D1133" s="163" t="s">
        <v>1931</v>
      </c>
      <c r="E1133" s="164" t="n">
        <v>2500</v>
      </c>
      <c r="F1133" s="165" t="s">
        <v>5056</v>
      </c>
    </row>
    <row r="1134" customFormat="false" ht="15" hidden="false" customHeight="true" outlineLevel="0" collapsed="false">
      <c r="A1134" s="163" t="s">
        <v>3008</v>
      </c>
      <c r="B1134" s="163" t="s">
        <v>894</v>
      </c>
      <c r="C1134" s="163" t="s">
        <v>5028</v>
      </c>
      <c r="D1134" s="163" t="s">
        <v>1931</v>
      </c>
      <c r="E1134" s="164" t="n">
        <v>2500</v>
      </c>
      <c r="F1134" s="165" t="s">
        <v>5057</v>
      </c>
    </row>
    <row r="1135" customFormat="false" ht="15" hidden="false" customHeight="true" outlineLevel="0" collapsed="false">
      <c r="A1135" s="163" t="s">
        <v>3008</v>
      </c>
      <c r="B1135" s="163" t="s">
        <v>894</v>
      </c>
      <c r="C1135" s="163" t="s">
        <v>5058</v>
      </c>
      <c r="D1135" s="163" t="s">
        <v>1931</v>
      </c>
      <c r="E1135" s="164" t="n">
        <v>2000</v>
      </c>
      <c r="F1135" s="165" t="s">
        <v>5059</v>
      </c>
    </row>
    <row r="1136" customFormat="false" ht="15" hidden="false" customHeight="true" outlineLevel="0" collapsed="false">
      <c r="A1136" s="163" t="s">
        <v>3008</v>
      </c>
      <c r="B1136" s="163" t="s">
        <v>894</v>
      </c>
      <c r="C1136" s="163" t="s">
        <v>925</v>
      </c>
      <c r="D1136" s="163" t="s">
        <v>1931</v>
      </c>
      <c r="E1136" s="164" t="n">
        <v>2000</v>
      </c>
      <c r="F1136" s="165" t="s">
        <v>5060</v>
      </c>
    </row>
    <row r="1137" customFormat="false" ht="15" hidden="false" customHeight="true" outlineLevel="0" collapsed="false">
      <c r="A1137" s="163" t="s">
        <v>3008</v>
      </c>
      <c r="B1137" s="163" t="s">
        <v>894</v>
      </c>
      <c r="C1137" s="163" t="s">
        <v>925</v>
      </c>
      <c r="D1137" s="163" t="s">
        <v>1931</v>
      </c>
      <c r="E1137" s="164" t="n">
        <v>2000</v>
      </c>
      <c r="F1137" s="165" t="s">
        <v>5061</v>
      </c>
    </row>
    <row r="1138" customFormat="false" ht="15" hidden="false" customHeight="true" outlineLevel="0" collapsed="false">
      <c r="A1138" s="163" t="s">
        <v>3008</v>
      </c>
      <c r="B1138" s="163" t="s">
        <v>894</v>
      </c>
      <c r="C1138" s="163" t="s">
        <v>925</v>
      </c>
      <c r="D1138" s="163" t="s">
        <v>1931</v>
      </c>
      <c r="E1138" s="164" t="n">
        <v>2000</v>
      </c>
      <c r="F1138" s="165" t="s">
        <v>5062</v>
      </c>
    </row>
    <row r="1139" customFormat="false" ht="15" hidden="false" customHeight="true" outlineLevel="0" collapsed="false">
      <c r="A1139" s="163" t="s">
        <v>3008</v>
      </c>
      <c r="B1139" s="163" t="s">
        <v>894</v>
      </c>
      <c r="C1139" s="163" t="s">
        <v>925</v>
      </c>
      <c r="D1139" s="163" t="s">
        <v>1931</v>
      </c>
      <c r="E1139" s="164" t="n">
        <v>2000</v>
      </c>
      <c r="F1139" s="165" t="s">
        <v>5063</v>
      </c>
    </row>
    <row r="1140" customFormat="false" ht="15" hidden="false" customHeight="true" outlineLevel="0" collapsed="false">
      <c r="A1140" s="163" t="s">
        <v>3008</v>
      </c>
      <c r="B1140" s="163" t="s">
        <v>894</v>
      </c>
      <c r="C1140" s="163" t="s">
        <v>925</v>
      </c>
      <c r="D1140" s="163" t="s">
        <v>1931</v>
      </c>
      <c r="E1140" s="164" t="n">
        <v>2000</v>
      </c>
      <c r="F1140" s="165" t="s">
        <v>5064</v>
      </c>
    </row>
    <row r="1141" customFormat="false" ht="15" hidden="false" customHeight="true" outlineLevel="0" collapsed="false">
      <c r="A1141" s="163" t="s">
        <v>3008</v>
      </c>
      <c r="B1141" s="163" t="s">
        <v>894</v>
      </c>
      <c r="C1141" s="163" t="s">
        <v>925</v>
      </c>
      <c r="D1141" s="163" t="s">
        <v>1931</v>
      </c>
      <c r="E1141" s="164" t="n">
        <v>2000</v>
      </c>
      <c r="F1141" s="165" t="s">
        <v>5065</v>
      </c>
    </row>
    <row r="1142" customFormat="false" ht="15" hidden="false" customHeight="true" outlineLevel="0" collapsed="false">
      <c r="A1142" s="163" t="s">
        <v>3008</v>
      </c>
      <c r="B1142" s="163" t="s">
        <v>882</v>
      </c>
      <c r="C1142" s="163" t="s">
        <v>2759</v>
      </c>
      <c r="D1142" s="163" t="s">
        <v>2760</v>
      </c>
      <c r="E1142" s="164" t="n">
        <v>85000</v>
      </c>
      <c r="F1142" s="165" t="s">
        <v>5066</v>
      </c>
    </row>
    <row r="1143" customFormat="false" ht="15" hidden="false" customHeight="true" outlineLevel="0" collapsed="false">
      <c r="A1143" s="163" t="s">
        <v>3008</v>
      </c>
      <c r="B1143" s="163" t="s">
        <v>882</v>
      </c>
      <c r="C1143" s="163" t="s">
        <v>640</v>
      </c>
      <c r="D1143" s="163" t="s">
        <v>1931</v>
      </c>
      <c r="E1143" s="164" t="n">
        <v>80000</v>
      </c>
      <c r="F1143" s="165" t="s">
        <v>4883</v>
      </c>
    </row>
    <row r="1144" customFormat="false" ht="15" hidden="false" customHeight="true" outlineLevel="0" collapsed="false">
      <c r="A1144" s="163" t="s">
        <v>3008</v>
      </c>
      <c r="B1144" s="163" t="s">
        <v>882</v>
      </c>
      <c r="C1144" s="163" t="s">
        <v>3112</v>
      </c>
      <c r="D1144" s="163" t="s">
        <v>3113</v>
      </c>
      <c r="E1144" s="164" t="n">
        <v>65000</v>
      </c>
      <c r="F1144" s="165" t="s">
        <v>5067</v>
      </c>
    </row>
    <row r="1145" customFormat="false" ht="15" hidden="false" customHeight="true" outlineLevel="0" collapsed="false">
      <c r="A1145" s="163" t="s">
        <v>3008</v>
      </c>
      <c r="B1145" s="163" t="s">
        <v>882</v>
      </c>
      <c r="C1145" s="163" t="s">
        <v>4990</v>
      </c>
      <c r="D1145" s="163" t="s">
        <v>4991</v>
      </c>
      <c r="E1145" s="164" t="n">
        <v>15000</v>
      </c>
      <c r="F1145" s="165" t="s">
        <v>4883</v>
      </c>
    </row>
    <row r="1146" customFormat="false" ht="15" hidden="false" customHeight="true" outlineLevel="0" collapsed="false">
      <c r="A1146" s="163" t="s">
        <v>3008</v>
      </c>
      <c r="B1146" s="163" t="s">
        <v>882</v>
      </c>
      <c r="C1146" s="163" t="s">
        <v>4979</v>
      </c>
      <c r="D1146" s="163" t="s">
        <v>4980</v>
      </c>
      <c r="E1146" s="164" t="n">
        <v>15000</v>
      </c>
      <c r="F1146" s="165" t="s">
        <v>4883</v>
      </c>
    </row>
    <row r="1147" customFormat="false" ht="15" hidden="false" customHeight="true" outlineLevel="0" collapsed="false">
      <c r="A1147" s="163" t="s">
        <v>3008</v>
      </c>
      <c r="B1147" s="163" t="s">
        <v>882</v>
      </c>
      <c r="C1147" s="163" t="s">
        <v>3939</v>
      </c>
      <c r="D1147" s="163" t="s">
        <v>3940</v>
      </c>
      <c r="E1147" s="164" t="n">
        <v>10000</v>
      </c>
      <c r="F1147" s="165" t="s">
        <v>4883</v>
      </c>
    </row>
    <row r="1148" customFormat="false" ht="15" hidden="false" customHeight="true" outlineLevel="0" collapsed="false">
      <c r="A1148" s="163" t="s">
        <v>3008</v>
      </c>
      <c r="B1148" s="163" t="s">
        <v>882</v>
      </c>
      <c r="C1148" s="163" t="s">
        <v>5068</v>
      </c>
      <c r="D1148" s="163" t="s">
        <v>5069</v>
      </c>
      <c r="E1148" s="164" t="n">
        <v>10000</v>
      </c>
      <c r="F1148" s="165" t="s">
        <v>5070</v>
      </c>
    </row>
    <row r="1149" customFormat="false" ht="15" hidden="false" customHeight="true" outlineLevel="0" collapsed="false">
      <c r="A1149" s="163" t="s">
        <v>3008</v>
      </c>
      <c r="B1149" s="163" t="s">
        <v>2328</v>
      </c>
      <c r="C1149" s="163" t="s">
        <v>5068</v>
      </c>
      <c r="D1149" s="163" t="s">
        <v>5069</v>
      </c>
      <c r="E1149" s="164" t="n">
        <v>20000</v>
      </c>
      <c r="F1149" s="165" t="s">
        <v>4883</v>
      </c>
    </row>
    <row r="1150" customFormat="false" ht="15" hidden="false" customHeight="true" outlineLevel="0" collapsed="false">
      <c r="A1150" s="163" t="s">
        <v>3008</v>
      </c>
      <c r="B1150" s="163" t="s">
        <v>2328</v>
      </c>
      <c r="C1150" s="163" t="s">
        <v>5071</v>
      </c>
      <c r="D1150" s="163" t="s">
        <v>5072</v>
      </c>
      <c r="E1150" s="164" t="n">
        <v>10000</v>
      </c>
      <c r="F1150" s="165" t="s">
        <v>5073</v>
      </c>
    </row>
    <row r="1151" customFormat="false" ht="15" hidden="false" customHeight="true" outlineLevel="0" collapsed="false">
      <c r="A1151" s="163" t="s">
        <v>3008</v>
      </c>
      <c r="B1151" s="163" t="s">
        <v>2328</v>
      </c>
      <c r="C1151" s="163" t="s">
        <v>5074</v>
      </c>
      <c r="D1151" s="163" t="s">
        <v>5075</v>
      </c>
      <c r="E1151" s="164" t="n">
        <v>10000</v>
      </c>
      <c r="F1151" s="165" t="s">
        <v>5076</v>
      </c>
    </row>
    <row r="1152" customFormat="false" ht="15" hidden="false" customHeight="true" outlineLevel="0" collapsed="false">
      <c r="A1152" s="163" t="s">
        <v>3008</v>
      </c>
      <c r="B1152" s="163" t="s">
        <v>2328</v>
      </c>
      <c r="C1152" s="163" t="s">
        <v>5000</v>
      </c>
      <c r="D1152" s="163" t="s">
        <v>5001</v>
      </c>
      <c r="E1152" s="164" t="n">
        <v>10000</v>
      </c>
      <c r="F1152" s="165" t="s">
        <v>4883</v>
      </c>
    </row>
    <row r="1153" customFormat="false" ht="15" hidden="false" customHeight="true" outlineLevel="0" collapsed="false">
      <c r="A1153" s="163" t="s">
        <v>3008</v>
      </c>
      <c r="B1153" s="163" t="s">
        <v>2342</v>
      </c>
      <c r="C1153" s="163" t="s">
        <v>197</v>
      </c>
      <c r="D1153" s="163" t="s">
        <v>1931</v>
      </c>
      <c r="E1153" s="164" t="n">
        <v>45000</v>
      </c>
      <c r="F1153" s="165" t="s">
        <v>4928</v>
      </c>
    </row>
    <row r="1154" customFormat="false" ht="15" hidden="false" customHeight="true" outlineLevel="0" collapsed="false">
      <c r="A1154" s="163" t="s">
        <v>3008</v>
      </c>
      <c r="B1154" s="163" t="s">
        <v>2342</v>
      </c>
      <c r="C1154" s="163" t="s">
        <v>3635</v>
      </c>
      <c r="D1154" s="163" t="s">
        <v>3636</v>
      </c>
      <c r="E1154" s="164" t="n">
        <v>15000</v>
      </c>
      <c r="F1154" s="165" t="s">
        <v>4928</v>
      </c>
    </row>
    <row r="1155" customFormat="false" ht="15" hidden="false" customHeight="true" outlineLevel="0" collapsed="false">
      <c r="A1155" s="163" t="s">
        <v>3008</v>
      </c>
      <c r="B1155" s="163" t="s">
        <v>2342</v>
      </c>
      <c r="C1155" s="163" t="s">
        <v>230</v>
      </c>
      <c r="D1155" s="163" t="s">
        <v>2077</v>
      </c>
      <c r="E1155" s="164" t="n">
        <v>11000</v>
      </c>
      <c r="F1155" s="165" t="s">
        <v>4883</v>
      </c>
    </row>
    <row r="1156" customFormat="false" ht="15" hidden="false" customHeight="true" outlineLevel="0" collapsed="false">
      <c r="A1156" s="163" t="s">
        <v>3008</v>
      </c>
      <c r="B1156" s="163" t="s">
        <v>2342</v>
      </c>
      <c r="C1156" s="163" t="s">
        <v>2953</v>
      </c>
      <c r="D1156" s="163" t="s">
        <v>2954</v>
      </c>
      <c r="E1156" s="164" t="n">
        <v>10000</v>
      </c>
      <c r="F1156" s="165" t="s">
        <v>4883</v>
      </c>
    </row>
    <row r="1157" customFormat="false" ht="15" hidden="false" customHeight="true" outlineLevel="0" collapsed="false">
      <c r="A1157" s="163" t="s">
        <v>3008</v>
      </c>
      <c r="B1157" s="163" t="s">
        <v>2342</v>
      </c>
      <c r="C1157" s="163" t="s">
        <v>5077</v>
      </c>
      <c r="D1157" s="163" t="s">
        <v>5078</v>
      </c>
      <c r="E1157" s="164" t="n">
        <v>9000</v>
      </c>
      <c r="F1157" s="165" t="s">
        <v>4883</v>
      </c>
    </row>
    <row r="1158" customFormat="false" ht="15" hidden="false" customHeight="true" outlineLevel="0" collapsed="false">
      <c r="A1158" s="163" t="s">
        <v>3008</v>
      </c>
      <c r="B1158" s="163" t="s">
        <v>2766</v>
      </c>
      <c r="C1158" s="163" t="s">
        <v>4890</v>
      </c>
      <c r="D1158" s="163" t="s">
        <v>4891</v>
      </c>
      <c r="E1158" s="164" t="n">
        <v>15000</v>
      </c>
      <c r="F1158" s="165" t="s">
        <v>5079</v>
      </c>
    </row>
    <row r="1159" customFormat="false" ht="15" hidden="false" customHeight="true" outlineLevel="0" collapsed="false">
      <c r="A1159" s="163" t="s">
        <v>3008</v>
      </c>
      <c r="B1159" s="163" t="s">
        <v>2766</v>
      </c>
      <c r="C1159" s="163" t="s">
        <v>4955</v>
      </c>
      <c r="D1159" s="163" t="s">
        <v>4956</v>
      </c>
      <c r="E1159" s="164" t="n">
        <v>15000</v>
      </c>
      <c r="F1159" s="165" t="s">
        <v>5080</v>
      </c>
    </row>
    <row r="1160" customFormat="false" ht="15" hidden="false" customHeight="true" outlineLevel="0" collapsed="false">
      <c r="A1160" s="163" t="s">
        <v>3008</v>
      </c>
      <c r="B1160" s="163" t="s">
        <v>2766</v>
      </c>
      <c r="C1160" s="163" t="s">
        <v>431</v>
      </c>
      <c r="D1160" s="163" t="s">
        <v>2678</v>
      </c>
      <c r="E1160" s="164" t="n">
        <v>15000</v>
      </c>
      <c r="F1160" s="165" t="s">
        <v>5081</v>
      </c>
    </row>
    <row r="1161" customFormat="false" ht="15" hidden="false" customHeight="true" outlineLevel="0" collapsed="false">
      <c r="A1161" s="163" t="s">
        <v>3008</v>
      </c>
      <c r="B1161" s="163" t="s">
        <v>2766</v>
      </c>
      <c r="C1161" s="163" t="s">
        <v>4478</v>
      </c>
      <c r="D1161" s="163" t="s">
        <v>4479</v>
      </c>
      <c r="E1161" s="164" t="n">
        <v>15000</v>
      </c>
      <c r="F1161" s="165" t="s">
        <v>5082</v>
      </c>
    </row>
    <row r="1162" customFormat="false" ht="15" hidden="false" customHeight="true" outlineLevel="0" collapsed="false">
      <c r="A1162" s="163" t="s">
        <v>3008</v>
      </c>
      <c r="B1162" s="163" t="s">
        <v>2766</v>
      </c>
      <c r="C1162" s="163" t="s">
        <v>4957</v>
      </c>
      <c r="D1162" s="163" t="s">
        <v>4958</v>
      </c>
      <c r="E1162" s="164" t="n">
        <v>15000</v>
      </c>
      <c r="F1162" s="165" t="s">
        <v>5083</v>
      </c>
    </row>
    <row r="1163" customFormat="false" ht="15" hidden="false" customHeight="true" outlineLevel="0" collapsed="false">
      <c r="A1163" s="163" t="s">
        <v>3008</v>
      </c>
      <c r="B1163" s="163" t="s">
        <v>1743</v>
      </c>
      <c r="C1163" s="163" t="s">
        <v>4887</v>
      </c>
      <c r="D1163" s="163" t="s">
        <v>4888</v>
      </c>
      <c r="E1163" s="164" t="n">
        <v>30000</v>
      </c>
      <c r="F1163" s="165" t="s">
        <v>4883</v>
      </c>
    </row>
    <row r="1164" customFormat="false" ht="15" hidden="false" customHeight="true" outlineLevel="0" collapsed="false">
      <c r="A1164" s="163" t="s">
        <v>3008</v>
      </c>
      <c r="B1164" s="163" t="s">
        <v>1743</v>
      </c>
      <c r="C1164" s="163" t="s">
        <v>4893</v>
      </c>
      <c r="D1164" s="163" t="s">
        <v>4894</v>
      </c>
      <c r="E1164" s="164" t="n">
        <v>25000</v>
      </c>
      <c r="F1164" s="165" t="s">
        <v>5084</v>
      </c>
    </row>
    <row r="1165" customFormat="false" ht="15" hidden="false" customHeight="true" outlineLevel="0" collapsed="false">
      <c r="A1165" s="163" t="s">
        <v>3008</v>
      </c>
      <c r="B1165" s="163" t="s">
        <v>1743</v>
      </c>
      <c r="C1165" s="163" t="s">
        <v>4898</v>
      </c>
      <c r="D1165" s="163" t="s">
        <v>4899</v>
      </c>
      <c r="E1165" s="164" t="n">
        <v>15000</v>
      </c>
      <c r="F1165" s="165" t="s">
        <v>4883</v>
      </c>
    </row>
    <row r="1166" customFormat="false" ht="15" hidden="false" customHeight="true" outlineLevel="0" collapsed="false">
      <c r="A1166" s="163" t="s">
        <v>3008</v>
      </c>
      <c r="B1166" s="163" t="s">
        <v>1743</v>
      </c>
      <c r="C1166" s="163" t="s">
        <v>4902</v>
      </c>
      <c r="D1166" s="163" t="s">
        <v>4903</v>
      </c>
      <c r="E1166" s="164" t="n">
        <v>15000</v>
      </c>
      <c r="F1166" s="165" t="s">
        <v>4883</v>
      </c>
    </row>
    <row r="1167" customFormat="false" ht="15" hidden="false" customHeight="true" outlineLevel="0" collapsed="false">
      <c r="A1167" s="163" t="s">
        <v>3008</v>
      </c>
      <c r="B1167" s="163" t="s">
        <v>1743</v>
      </c>
      <c r="C1167" s="163" t="s">
        <v>3210</v>
      </c>
      <c r="D1167" s="163" t="s">
        <v>3211</v>
      </c>
      <c r="E1167" s="164" t="n">
        <v>15000</v>
      </c>
      <c r="F1167" s="165" t="s">
        <v>5085</v>
      </c>
    </row>
    <row r="1168" customFormat="false" ht="15" hidden="false" customHeight="true" outlineLevel="0" collapsed="false">
      <c r="A1168" s="163" t="s">
        <v>3008</v>
      </c>
      <c r="B1168" s="163" t="s">
        <v>1743</v>
      </c>
      <c r="C1168" s="163" t="s">
        <v>4979</v>
      </c>
      <c r="D1168" s="163" t="s">
        <v>4980</v>
      </c>
      <c r="E1168" s="164" t="n">
        <v>15000</v>
      </c>
      <c r="F1168" s="165" t="s">
        <v>5086</v>
      </c>
    </row>
    <row r="1169" customFormat="false" ht="15" hidden="false" customHeight="true" outlineLevel="0" collapsed="false">
      <c r="A1169" s="163" t="s">
        <v>3008</v>
      </c>
      <c r="B1169" s="163" t="s">
        <v>1743</v>
      </c>
      <c r="C1169" s="163" t="s">
        <v>4900</v>
      </c>
      <c r="D1169" s="163" t="s">
        <v>4901</v>
      </c>
      <c r="E1169" s="164" t="n">
        <v>15000</v>
      </c>
      <c r="F1169" s="165" t="s">
        <v>4883</v>
      </c>
    </row>
    <row r="1170" customFormat="false" ht="15" hidden="false" customHeight="true" outlineLevel="0" collapsed="false">
      <c r="A1170" s="163" t="s">
        <v>3008</v>
      </c>
      <c r="B1170" s="163" t="s">
        <v>1743</v>
      </c>
      <c r="C1170" s="163" t="s">
        <v>4890</v>
      </c>
      <c r="D1170" s="163" t="s">
        <v>4891</v>
      </c>
      <c r="E1170" s="164" t="n">
        <v>10000</v>
      </c>
      <c r="F1170" s="165" t="s">
        <v>4883</v>
      </c>
    </row>
    <row r="1171" customFormat="false" ht="15" hidden="false" customHeight="true" outlineLevel="0" collapsed="false">
      <c r="A1171" s="163" t="s">
        <v>3008</v>
      </c>
      <c r="B1171" s="163" t="s">
        <v>1743</v>
      </c>
      <c r="C1171" s="163" t="s">
        <v>5087</v>
      </c>
      <c r="D1171" s="163" t="s">
        <v>5088</v>
      </c>
      <c r="E1171" s="164" t="n">
        <v>10000</v>
      </c>
      <c r="F1171" s="165" t="s">
        <v>5089</v>
      </c>
    </row>
    <row r="1172" customFormat="false" ht="15" hidden="false" customHeight="true" outlineLevel="0" collapsed="false">
      <c r="A1172" s="163" t="s">
        <v>3008</v>
      </c>
      <c r="B1172" s="163" t="s">
        <v>928</v>
      </c>
      <c r="C1172" s="163" t="s">
        <v>3622</v>
      </c>
      <c r="D1172" s="163" t="s">
        <v>3623</v>
      </c>
      <c r="E1172" s="164" t="n">
        <v>20000</v>
      </c>
      <c r="F1172" s="165" t="s">
        <v>4883</v>
      </c>
    </row>
    <row r="1173" customFormat="false" ht="15" hidden="false" customHeight="true" outlineLevel="0" collapsed="false">
      <c r="A1173" s="163" t="s">
        <v>3008</v>
      </c>
      <c r="B1173" s="163" t="s">
        <v>928</v>
      </c>
      <c r="C1173" s="163" t="s">
        <v>4931</v>
      </c>
      <c r="D1173" s="163" t="s">
        <v>4932</v>
      </c>
      <c r="E1173" s="164" t="n">
        <v>13000</v>
      </c>
      <c r="F1173" s="165" t="s">
        <v>4883</v>
      </c>
    </row>
    <row r="1174" customFormat="false" ht="15" hidden="false" customHeight="true" outlineLevel="0" collapsed="false">
      <c r="A1174" s="163" t="s">
        <v>3008</v>
      </c>
      <c r="B1174" s="163" t="s">
        <v>928</v>
      </c>
      <c r="C1174" s="163" t="s">
        <v>5090</v>
      </c>
      <c r="D1174" s="163" t="s">
        <v>5091</v>
      </c>
      <c r="E1174" s="164" t="n">
        <v>10000</v>
      </c>
      <c r="F1174" s="165" t="s">
        <v>4883</v>
      </c>
    </row>
    <row r="1175" customFormat="false" ht="15" hidden="false" customHeight="true" outlineLevel="0" collapsed="false">
      <c r="A1175" s="163" t="s">
        <v>3008</v>
      </c>
      <c r="B1175" s="163" t="s">
        <v>928</v>
      </c>
      <c r="C1175" s="163" t="s">
        <v>5092</v>
      </c>
      <c r="D1175" s="163" t="s">
        <v>5093</v>
      </c>
      <c r="E1175" s="164" t="n">
        <v>10000</v>
      </c>
      <c r="F1175" s="165" t="s">
        <v>4883</v>
      </c>
    </row>
    <row r="1176" customFormat="false" ht="15" hidden="false" customHeight="true" outlineLevel="0" collapsed="false">
      <c r="A1176" s="163" t="s">
        <v>3008</v>
      </c>
      <c r="B1176" s="163" t="s">
        <v>928</v>
      </c>
      <c r="C1176" s="163" t="s">
        <v>4318</v>
      </c>
      <c r="D1176" s="163" t="s">
        <v>4319</v>
      </c>
      <c r="E1176" s="164" t="n">
        <v>10000</v>
      </c>
      <c r="F1176" s="165" t="s">
        <v>5094</v>
      </c>
    </row>
    <row r="1177" customFormat="false" ht="15" hidden="false" customHeight="true" outlineLevel="0" collapsed="false">
      <c r="A1177" s="163" t="s">
        <v>3008</v>
      </c>
      <c r="B1177" s="163" t="s">
        <v>928</v>
      </c>
      <c r="C1177" s="163" t="s">
        <v>1159</v>
      </c>
      <c r="D1177" s="163" t="s">
        <v>1936</v>
      </c>
      <c r="E1177" s="164" t="n">
        <v>10000</v>
      </c>
      <c r="F1177" s="165" t="s">
        <v>5095</v>
      </c>
    </row>
    <row r="1178" customFormat="false" ht="15" hidden="false" customHeight="true" outlineLevel="0" collapsed="false">
      <c r="A1178" s="163" t="s">
        <v>3008</v>
      </c>
      <c r="B1178" s="163" t="s">
        <v>928</v>
      </c>
      <c r="C1178" s="163" t="s">
        <v>4908</v>
      </c>
      <c r="D1178" s="163" t="s">
        <v>4909</v>
      </c>
      <c r="E1178" s="164" t="n">
        <v>9000</v>
      </c>
      <c r="F1178" s="165" t="s">
        <v>4883</v>
      </c>
    </row>
    <row r="1179" customFormat="false" ht="15" hidden="false" customHeight="true" outlineLevel="0" collapsed="false">
      <c r="A1179" s="163" t="s">
        <v>3008</v>
      </c>
      <c r="B1179" s="163" t="s">
        <v>928</v>
      </c>
      <c r="C1179" s="163" t="s">
        <v>4923</v>
      </c>
      <c r="D1179" s="163" t="s">
        <v>4924</v>
      </c>
      <c r="E1179" s="164" t="n">
        <v>7000</v>
      </c>
      <c r="F1179" s="165" t="s">
        <v>4883</v>
      </c>
    </row>
    <row r="1180" customFormat="false" ht="15" hidden="false" customHeight="true" outlineLevel="0" collapsed="false">
      <c r="A1180" s="163" t="s">
        <v>3008</v>
      </c>
      <c r="B1180" s="163" t="s">
        <v>928</v>
      </c>
      <c r="C1180" s="163" t="s">
        <v>5096</v>
      </c>
      <c r="D1180" s="163" t="s">
        <v>5097</v>
      </c>
      <c r="E1180" s="164" t="n">
        <v>5000</v>
      </c>
      <c r="F1180" s="165" t="s">
        <v>4883</v>
      </c>
    </row>
    <row r="1181" customFormat="false" ht="15" hidden="false" customHeight="true" outlineLevel="0" collapsed="false">
      <c r="A1181" s="163" t="s">
        <v>3008</v>
      </c>
      <c r="B1181" s="163" t="s">
        <v>928</v>
      </c>
      <c r="C1181" s="163" t="s">
        <v>5098</v>
      </c>
      <c r="D1181" s="163" t="s">
        <v>5099</v>
      </c>
      <c r="E1181" s="164" t="n">
        <v>5000</v>
      </c>
      <c r="F1181" s="165" t="s">
        <v>4883</v>
      </c>
    </row>
    <row r="1182" customFormat="false" ht="15" hidden="false" customHeight="true" outlineLevel="0" collapsed="false">
      <c r="A1182" s="163" t="s">
        <v>3008</v>
      </c>
      <c r="B1182" s="163" t="s">
        <v>928</v>
      </c>
      <c r="C1182" s="163" t="s">
        <v>4984</v>
      </c>
      <c r="D1182" s="163" t="s">
        <v>4985</v>
      </c>
      <c r="E1182" s="164" t="n">
        <v>5000</v>
      </c>
      <c r="F1182" s="165" t="s">
        <v>4883</v>
      </c>
    </row>
    <row r="1183" customFormat="false" ht="15" hidden="false" customHeight="true" outlineLevel="0" collapsed="false">
      <c r="A1183" s="163" t="s">
        <v>3008</v>
      </c>
      <c r="B1183" s="163" t="s">
        <v>928</v>
      </c>
      <c r="C1183" s="163" t="s">
        <v>5100</v>
      </c>
      <c r="D1183" s="163" t="s">
        <v>5101</v>
      </c>
      <c r="E1183" s="164" t="n">
        <v>5000</v>
      </c>
      <c r="F1183" s="165" t="s">
        <v>4883</v>
      </c>
    </row>
    <row r="1184" customFormat="false" ht="15" hidden="false" customHeight="true" outlineLevel="0" collapsed="false">
      <c r="A1184" s="163" t="s">
        <v>3008</v>
      </c>
      <c r="B1184" s="163" t="s">
        <v>928</v>
      </c>
      <c r="C1184" s="163" t="s">
        <v>5050</v>
      </c>
      <c r="D1184" s="163" t="s">
        <v>5051</v>
      </c>
      <c r="E1184" s="164" t="n">
        <v>5000</v>
      </c>
      <c r="F1184" s="165" t="s">
        <v>4883</v>
      </c>
    </row>
    <row r="1185" customFormat="false" ht="15" hidden="false" customHeight="true" outlineLevel="0" collapsed="false">
      <c r="A1185" s="163" t="s">
        <v>3008</v>
      </c>
      <c r="B1185" s="163" t="s">
        <v>928</v>
      </c>
      <c r="C1185" s="163" t="s">
        <v>1199</v>
      </c>
      <c r="D1185" s="163" t="s">
        <v>1929</v>
      </c>
      <c r="E1185" s="164" t="n">
        <v>5000</v>
      </c>
      <c r="F1185" s="165" t="s">
        <v>4883</v>
      </c>
    </row>
    <row r="1186" customFormat="false" ht="15" hidden="false" customHeight="true" outlineLevel="0" collapsed="false">
      <c r="A1186" s="163" t="s">
        <v>3008</v>
      </c>
      <c r="B1186" s="163" t="s">
        <v>928</v>
      </c>
      <c r="C1186" s="163" t="s">
        <v>5102</v>
      </c>
      <c r="D1186" s="163" t="s">
        <v>5103</v>
      </c>
      <c r="E1186" s="164" t="n">
        <v>5000</v>
      </c>
      <c r="F1186" s="165" t="s">
        <v>5104</v>
      </c>
    </row>
    <row r="1187" customFormat="false" ht="15" hidden="false" customHeight="true" outlineLevel="0" collapsed="false">
      <c r="A1187" s="163" t="s">
        <v>3008</v>
      </c>
      <c r="B1187" s="163" t="s">
        <v>928</v>
      </c>
      <c r="C1187" s="163" t="s">
        <v>360</v>
      </c>
      <c r="D1187" s="163" t="s">
        <v>2685</v>
      </c>
      <c r="E1187" s="164" t="n">
        <v>5000</v>
      </c>
      <c r="F1187" s="165" t="s">
        <v>4883</v>
      </c>
    </row>
    <row r="1188" customFormat="false" ht="15" hidden="false" customHeight="true" outlineLevel="0" collapsed="false">
      <c r="A1188" s="163" t="s">
        <v>3008</v>
      </c>
      <c r="B1188" s="163" t="s">
        <v>928</v>
      </c>
      <c r="C1188" s="163" t="s">
        <v>549</v>
      </c>
      <c r="D1188" s="163" t="s">
        <v>2441</v>
      </c>
      <c r="E1188" s="164" t="n">
        <v>5000</v>
      </c>
      <c r="F1188" s="165" t="s">
        <v>5105</v>
      </c>
    </row>
    <row r="1189" customFormat="false" ht="15" hidden="false" customHeight="true" outlineLevel="0" collapsed="false">
      <c r="A1189" s="163" t="s">
        <v>3008</v>
      </c>
      <c r="B1189" s="163" t="s">
        <v>928</v>
      </c>
      <c r="C1189" s="163" t="s">
        <v>4966</v>
      </c>
      <c r="D1189" s="163" t="s">
        <v>4967</v>
      </c>
      <c r="E1189" s="164" t="n">
        <v>5000</v>
      </c>
      <c r="F1189" s="165" t="s">
        <v>4883</v>
      </c>
    </row>
    <row r="1190" customFormat="false" ht="15" hidden="false" customHeight="true" outlineLevel="0" collapsed="false">
      <c r="A1190" s="163" t="s">
        <v>3008</v>
      </c>
      <c r="B1190" s="163" t="s">
        <v>928</v>
      </c>
      <c r="C1190" s="163" t="s">
        <v>5106</v>
      </c>
      <c r="D1190" s="163" t="s">
        <v>5107</v>
      </c>
      <c r="E1190" s="164" t="n">
        <v>5000</v>
      </c>
      <c r="F1190" s="165" t="s">
        <v>4883</v>
      </c>
    </row>
    <row r="1191" customFormat="false" ht="15" hidden="false" customHeight="true" outlineLevel="0" collapsed="false">
      <c r="A1191" s="163" t="s">
        <v>3008</v>
      </c>
      <c r="B1191" s="163" t="s">
        <v>928</v>
      </c>
      <c r="C1191" s="163" t="s">
        <v>5045</v>
      </c>
      <c r="D1191" s="163" t="s">
        <v>5046</v>
      </c>
      <c r="E1191" s="164" t="n">
        <v>3000</v>
      </c>
      <c r="F1191" s="165" t="s">
        <v>4883</v>
      </c>
    </row>
    <row r="1192" customFormat="false" ht="15" hidden="false" customHeight="true" outlineLevel="0" collapsed="false">
      <c r="A1192" s="163" t="s">
        <v>3008</v>
      </c>
      <c r="B1192" s="163" t="s">
        <v>928</v>
      </c>
      <c r="C1192" s="163" t="s">
        <v>5045</v>
      </c>
      <c r="D1192" s="163" t="s">
        <v>5046</v>
      </c>
      <c r="E1192" s="164" t="n">
        <v>3000</v>
      </c>
      <c r="F1192" s="165" t="s">
        <v>5108</v>
      </c>
    </row>
    <row r="1193" customFormat="false" ht="15" hidden="false" customHeight="true" outlineLevel="0" collapsed="false">
      <c r="A1193" s="163" t="s">
        <v>3027</v>
      </c>
      <c r="B1193" s="163" t="s">
        <v>926</v>
      </c>
      <c r="C1193" s="163" t="s">
        <v>3145</v>
      </c>
      <c r="D1193" s="163" t="s">
        <v>3146</v>
      </c>
      <c r="E1193" s="164" t="n">
        <v>24000</v>
      </c>
      <c r="F1193" s="165" t="s">
        <v>5109</v>
      </c>
    </row>
    <row r="1194" customFormat="false" ht="15" hidden="false" customHeight="true" outlineLevel="0" collapsed="false">
      <c r="A1194" s="163" t="s">
        <v>3027</v>
      </c>
      <c r="B1194" s="163" t="s">
        <v>926</v>
      </c>
      <c r="C1194" s="163" t="s">
        <v>3063</v>
      </c>
      <c r="D1194" s="163" t="s">
        <v>3064</v>
      </c>
      <c r="E1194" s="164" t="n">
        <v>15000</v>
      </c>
      <c r="F1194" s="165" t="s">
        <v>5110</v>
      </c>
    </row>
    <row r="1195" customFormat="false" ht="15" hidden="false" customHeight="true" outlineLevel="0" collapsed="false">
      <c r="A1195" s="163" t="s">
        <v>3027</v>
      </c>
      <c r="B1195" s="163" t="s">
        <v>926</v>
      </c>
      <c r="C1195" s="163" t="s">
        <v>3108</v>
      </c>
      <c r="D1195" s="163" t="s">
        <v>3109</v>
      </c>
      <c r="E1195" s="164" t="n">
        <v>14000</v>
      </c>
      <c r="F1195" s="165" t="s">
        <v>5111</v>
      </c>
    </row>
    <row r="1196" customFormat="false" ht="15" hidden="false" customHeight="true" outlineLevel="0" collapsed="false">
      <c r="A1196" s="163" t="s">
        <v>3027</v>
      </c>
      <c r="B1196" s="163" t="s">
        <v>926</v>
      </c>
      <c r="C1196" s="163" t="s">
        <v>5112</v>
      </c>
      <c r="D1196" s="163" t="s">
        <v>5113</v>
      </c>
      <c r="E1196" s="164" t="n">
        <v>14000</v>
      </c>
      <c r="F1196" s="165" t="s">
        <v>5114</v>
      </c>
    </row>
    <row r="1197" customFormat="false" ht="15" hidden="false" customHeight="true" outlineLevel="0" collapsed="false">
      <c r="A1197" s="163" t="s">
        <v>3027</v>
      </c>
      <c r="B1197" s="163" t="s">
        <v>926</v>
      </c>
      <c r="C1197" s="163" t="s">
        <v>3061</v>
      </c>
      <c r="D1197" s="163" t="s">
        <v>3062</v>
      </c>
      <c r="E1197" s="164" t="n">
        <v>13000</v>
      </c>
      <c r="F1197" s="165" t="s">
        <v>5115</v>
      </c>
    </row>
    <row r="1198" customFormat="false" ht="15" hidden="false" customHeight="true" outlineLevel="0" collapsed="false">
      <c r="A1198" s="163" t="s">
        <v>3027</v>
      </c>
      <c r="B1198" s="163" t="s">
        <v>926</v>
      </c>
      <c r="C1198" s="163" t="s">
        <v>5116</v>
      </c>
      <c r="D1198" s="163" t="s">
        <v>5117</v>
      </c>
      <c r="E1198" s="164" t="n">
        <v>10000</v>
      </c>
      <c r="F1198" s="165" t="s">
        <v>5118</v>
      </c>
    </row>
    <row r="1199" customFormat="false" ht="15" hidden="false" customHeight="true" outlineLevel="0" collapsed="false">
      <c r="A1199" s="163" t="s">
        <v>3027</v>
      </c>
      <c r="B1199" s="163" t="s">
        <v>926</v>
      </c>
      <c r="C1199" s="163" t="s">
        <v>400</v>
      </c>
      <c r="D1199" s="163" t="s">
        <v>2628</v>
      </c>
      <c r="E1199" s="164" t="n">
        <v>10000</v>
      </c>
      <c r="F1199" s="165" t="s">
        <v>5119</v>
      </c>
    </row>
    <row r="1200" customFormat="false" ht="15" hidden="false" customHeight="true" outlineLevel="0" collapsed="false">
      <c r="A1200" s="163" t="s">
        <v>3027</v>
      </c>
      <c r="B1200" s="163" t="s">
        <v>957</v>
      </c>
      <c r="C1200" s="163" t="s">
        <v>3567</v>
      </c>
      <c r="D1200" s="163" t="s">
        <v>3568</v>
      </c>
      <c r="E1200" s="164" t="n">
        <v>30000</v>
      </c>
      <c r="F1200" s="165" t="s">
        <v>5120</v>
      </c>
    </row>
    <row r="1201" customFormat="false" ht="15" hidden="false" customHeight="true" outlineLevel="0" collapsed="false">
      <c r="A1201" s="163" t="s">
        <v>3027</v>
      </c>
      <c r="B1201" s="163" t="s">
        <v>957</v>
      </c>
      <c r="C1201" s="163" t="s">
        <v>5121</v>
      </c>
      <c r="D1201" s="163" t="s">
        <v>5122</v>
      </c>
      <c r="E1201" s="164" t="n">
        <v>22000</v>
      </c>
      <c r="F1201" s="165" t="s">
        <v>5123</v>
      </c>
    </row>
    <row r="1202" customFormat="false" ht="15" hidden="false" customHeight="true" outlineLevel="0" collapsed="false">
      <c r="A1202" s="163" t="s">
        <v>3027</v>
      </c>
      <c r="B1202" s="163" t="s">
        <v>957</v>
      </c>
      <c r="C1202" s="163" t="s">
        <v>4995</v>
      </c>
      <c r="D1202" s="163" t="s">
        <v>4996</v>
      </c>
      <c r="E1202" s="164" t="n">
        <v>20000</v>
      </c>
      <c r="F1202" s="165" t="s">
        <v>5124</v>
      </c>
    </row>
    <row r="1203" customFormat="false" ht="15" hidden="false" customHeight="true" outlineLevel="0" collapsed="false">
      <c r="A1203" s="163" t="s">
        <v>3027</v>
      </c>
      <c r="B1203" s="163" t="s">
        <v>957</v>
      </c>
      <c r="C1203" s="163" t="s">
        <v>3967</v>
      </c>
      <c r="D1203" s="163" t="s">
        <v>3968</v>
      </c>
      <c r="E1203" s="164" t="n">
        <v>13000</v>
      </c>
      <c r="F1203" s="165" t="s">
        <v>5125</v>
      </c>
    </row>
    <row r="1204" customFormat="false" ht="15" hidden="false" customHeight="true" outlineLevel="0" collapsed="false">
      <c r="A1204" s="163" t="s">
        <v>3027</v>
      </c>
      <c r="B1204" s="163" t="s">
        <v>957</v>
      </c>
      <c r="C1204" s="163" t="s">
        <v>4635</v>
      </c>
      <c r="D1204" s="163" t="s">
        <v>4636</v>
      </c>
      <c r="E1204" s="164" t="n">
        <v>11000</v>
      </c>
      <c r="F1204" s="165" t="s">
        <v>5126</v>
      </c>
    </row>
    <row r="1205" customFormat="false" ht="15" hidden="false" customHeight="true" outlineLevel="0" collapsed="false">
      <c r="A1205" s="163" t="s">
        <v>3027</v>
      </c>
      <c r="B1205" s="163" t="s">
        <v>957</v>
      </c>
      <c r="C1205" s="163" t="s">
        <v>5127</v>
      </c>
      <c r="D1205" s="163" t="s">
        <v>5128</v>
      </c>
      <c r="E1205" s="164" t="n">
        <v>7000</v>
      </c>
      <c r="F1205" s="165" t="s">
        <v>5129</v>
      </c>
    </row>
    <row r="1206" customFormat="false" ht="15" hidden="false" customHeight="true" outlineLevel="0" collapsed="false">
      <c r="A1206" s="163" t="s">
        <v>3027</v>
      </c>
      <c r="B1206" s="163" t="s">
        <v>957</v>
      </c>
      <c r="C1206" s="163" t="s">
        <v>5121</v>
      </c>
      <c r="D1206" s="163" t="s">
        <v>5122</v>
      </c>
      <c r="E1206" s="164" t="n">
        <v>7000</v>
      </c>
      <c r="F1206" s="165" t="s">
        <v>5130</v>
      </c>
    </row>
    <row r="1207" customFormat="false" ht="15" hidden="false" customHeight="true" outlineLevel="0" collapsed="false">
      <c r="A1207" s="163" t="s">
        <v>3027</v>
      </c>
      <c r="B1207" s="163" t="s">
        <v>945</v>
      </c>
      <c r="C1207" s="163" t="s">
        <v>5127</v>
      </c>
      <c r="D1207" s="163" t="s">
        <v>5128</v>
      </c>
      <c r="E1207" s="164" t="n">
        <v>22000</v>
      </c>
      <c r="F1207" s="165" t="s">
        <v>5131</v>
      </c>
    </row>
    <row r="1208" customFormat="false" ht="15" hidden="false" customHeight="true" outlineLevel="0" collapsed="false">
      <c r="A1208" s="163" t="s">
        <v>3027</v>
      </c>
      <c r="B1208" s="163" t="s">
        <v>945</v>
      </c>
      <c r="C1208" s="163" t="s">
        <v>5121</v>
      </c>
      <c r="D1208" s="163" t="s">
        <v>5122</v>
      </c>
      <c r="E1208" s="164" t="n">
        <v>10000</v>
      </c>
      <c r="F1208" s="165" t="s">
        <v>5132</v>
      </c>
    </row>
    <row r="1209" customFormat="false" ht="15" hidden="false" customHeight="true" outlineLevel="0" collapsed="false">
      <c r="A1209" s="163" t="s">
        <v>3027</v>
      </c>
      <c r="B1209" s="163" t="s">
        <v>945</v>
      </c>
      <c r="C1209" s="163" t="s">
        <v>3786</v>
      </c>
      <c r="D1209" s="163" t="s">
        <v>3787</v>
      </c>
      <c r="E1209" s="164" t="n">
        <v>5000</v>
      </c>
      <c r="F1209" s="165" t="s">
        <v>5133</v>
      </c>
    </row>
    <row r="1210" customFormat="false" ht="15" hidden="false" customHeight="true" outlineLevel="0" collapsed="false">
      <c r="A1210" s="163" t="s">
        <v>3027</v>
      </c>
      <c r="B1210" s="163" t="s">
        <v>945</v>
      </c>
      <c r="C1210" s="163" t="s">
        <v>452</v>
      </c>
      <c r="D1210" s="163" t="s">
        <v>2102</v>
      </c>
      <c r="E1210" s="164" t="n">
        <v>5000</v>
      </c>
      <c r="F1210" s="165" t="s">
        <v>5134</v>
      </c>
    </row>
    <row r="1211" customFormat="false" ht="15" hidden="false" customHeight="true" outlineLevel="0" collapsed="false">
      <c r="A1211" s="163" t="s">
        <v>3027</v>
      </c>
      <c r="B1211" s="163" t="s">
        <v>945</v>
      </c>
      <c r="C1211" s="163" t="s">
        <v>3131</v>
      </c>
      <c r="D1211" s="163" t="s">
        <v>3132</v>
      </c>
      <c r="E1211" s="164" t="n">
        <v>4000</v>
      </c>
      <c r="F1211" s="165" t="s">
        <v>5135</v>
      </c>
    </row>
    <row r="1212" customFormat="false" ht="15" hidden="false" customHeight="true" outlineLevel="0" collapsed="false">
      <c r="A1212" s="163" t="s">
        <v>3027</v>
      </c>
      <c r="B1212" s="163" t="s">
        <v>945</v>
      </c>
      <c r="C1212" s="163" t="s">
        <v>3131</v>
      </c>
      <c r="D1212" s="163" t="s">
        <v>3132</v>
      </c>
      <c r="E1212" s="164" t="n">
        <v>4000</v>
      </c>
      <c r="F1212" s="165" t="s">
        <v>5136</v>
      </c>
    </row>
    <row r="1213" customFormat="false" ht="15" hidden="false" customHeight="true" outlineLevel="0" collapsed="false">
      <c r="A1213" s="163" t="s">
        <v>3027</v>
      </c>
      <c r="B1213" s="163" t="s">
        <v>3111</v>
      </c>
      <c r="C1213" s="163" t="s">
        <v>3865</v>
      </c>
      <c r="D1213" s="163" t="s">
        <v>3866</v>
      </c>
      <c r="E1213" s="164" t="n">
        <v>30000</v>
      </c>
      <c r="F1213" s="165" t="s">
        <v>5137</v>
      </c>
    </row>
    <row r="1214" customFormat="false" ht="15" hidden="false" customHeight="true" outlineLevel="0" collapsed="false">
      <c r="A1214" s="163" t="s">
        <v>3027</v>
      </c>
      <c r="B1214" s="163" t="s">
        <v>3111</v>
      </c>
      <c r="C1214" s="163" t="s">
        <v>4452</v>
      </c>
      <c r="D1214" s="163" t="s">
        <v>4453</v>
      </c>
      <c r="E1214" s="164" t="n">
        <v>29000</v>
      </c>
      <c r="F1214" s="165" t="s">
        <v>5138</v>
      </c>
    </row>
    <row r="1215" customFormat="false" ht="15" hidden="false" customHeight="true" outlineLevel="0" collapsed="false">
      <c r="A1215" s="163" t="s">
        <v>3027</v>
      </c>
      <c r="B1215" s="163" t="s">
        <v>3111</v>
      </c>
      <c r="C1215" s="163" t="s">
        <v>5139</v>
      </c>
      <c r="D1215" s="163" t="s">
        <v>5140</v>
      </c>
      <c r="E1215" s="164" t="n">
        <v>20000</v>
      </c>
      <c r="F1215" s="165" t="s">
        <v>5141</v>
      </c>
    </row>
    <row r="1216" customFormat="false" ht="15" hidden="false" customHeight="true" outlineLevel="0" collapsed="false">
      <c r="A1216" s="163" t="s">
        <v>3027</v>
      </c>
      <c r="B1216" s="163" t="s">
        <v>3111</v>
      </c>
      <c r="C1216" s="163" t="s">
        <v>5142</v>
      </c>
      <c r="D1216" s="163" t="s">
        <v>5143</v>
      </c>
      <c r="E1216" s="164" t="n">
        <v>11000</v>
      </c>
      <c r="F1216" s="165" t="s">
        <v>5144</v>
      </c>
    </row>
    <row r="1217" customFormat="false" ht="15" hidden="false" customHeight="true" outlineLevel="0" collapsed="false">
      <c r="A1217" s="163" t="s">
        <v>3027</v>
      </c>
      <c r="B1217" s="163" t="s">
        <v>3111</v>
      </c>
      <c r="C1217" s="163" t="s">
        <v>5145</v>
      </c>
      <c r="D1217" s="163" t="s">
        <v>5146</v>
      </c>
      <c r="E1217" s="164" t="n">
        <v>10000</v>
      </c>
      <c r="F1217" s="165" t="s">
        <v>5147</v>
      </c>
    </row>
    <row r="1218" customFormat="false" ht="15" hidden="false" customHeight="true" outlineLevel="0" collapsed="false">
      <c r="A1218" s="163" t="s">
        <v>3027</v>
      </c>
      <c r="B1218" s="163" t="s">
        <v>1938</v>
      </c>
      <c r="C1218" s="163" t="s">
        <v>5148</v>
      </c>
      <c r="D1218" s="163" t="s">
        <v>5149</v>
      </c>
      <c r="E1218" s="164" t="n">
        <v>20000</v>
      </c>
      <c r="F1218" s="165" t="s">
        <v>5150</v>
      </c>
    </row>
    <row r="1219" customFormat="false" ht="15" hidden="false" customHeight="true" outlineLevel="0" collapsed="false">
      <c r="A1219" s="163" t="s">
        <v>3027</v>
      </c>
      <c r="B1219" s="163" t="s">
        <v>1938</v>
      </c>
      <c r="C1219" s="163" t="s">
        <v>5148</v>
      </c>
      <c r="D1219" s="163" t="s">
        <v>5149</v>
      </c>
      <c r="E1219" s="164" t="n">
        <v>20000</v>
      </c>
      <c r="F1219" s="165" t="s">
        <v>5151</v>
      </c>
    </row>
    <row r="1220" customFormat="false" ht="15" hidden="false" customHeight="true" outlineLevel="0" collapsed="false">
      <c r="A1220" s="163" t="s">
        <v>3027</v>
      </c>
      <c r="B1220" s="163" t="s">
        <v>1938</v>
      </c>
      <c r="C1220" s="163" t="s">
        <v>5152</v>
      </c>
      <c r="D1220" s="163" t="s">
        <v>5153</v>
      </c>
      <c r="E1220" s="164" t="n">
        <v>20000</v>
      </c>
      <c r="F1220" s="165" t="s">
        <v>5154</v>
      </c>
    </row>
    <row r="1221" customFormat="false" ht="15" hidden="false" customHeight="true" outlineLevel="0" collapsed="false">
      <c r="A1221" s="163" t="s">
        <v>3027</v>
      </c>
      <c r="B1221" s="163" t="s">
        <v>1938</v>
      </c>
      <c r="C1221" s="163" t="s">
        <v>452</v>
      </c>
      <c r="D1221" s="163" t="s">
        <v>1931</v>
      </c>
      <c r="E1221" s="164" t="n">
        <v>20000</v>
      </c>
      <c r="F1221" s="165" t="s">
        <v>5155</v>
      </c>
    </row>
    <row r="1222" customFormat="false" ht="15" hidden="false" customHeight="true" outlineLevel="0" collapsed="false">
      <c r="A1222" s="163" t="s">
        <v>3027</v>
      </c>
      <c r="B1222" s="163" t="s">
        <v>1938</v>
      </c>
      <c r="C1222" s="163" t="s">
        <v>3595</v>
      </c>
      <c r="D1222" s="163" t="s">
        <v>3596</v>
      </c>
      <c r="E1222" s="164" t="n">
        <v>20000</v>
      </c>
      <c r="F1222" s="165" t="s">
        <v>5156</v>
      </c>
    </row>
    <row r="1223" customFormat="false" ht="15" hidden="false" customHeight="true" outlineLevel="0" collapsed="false">
      <c r="A1223" s="163" t="s">
        <v>3027</v>
      </c>
      <c r="B1223" s="163" t="s">
        <v>1938</v>
      </c>
      <c r="C1223" s="163" t="s">
        <v>5157</v>
      </c>
      <c r="D1223" s="163" t="s">
        <v>5158</v>
      </c>
      <c r="E1223" s="164" t="n">
        <v>20000</v>
      </c>
      <c r="F1223" s="165" t="s">
        <v>5159</v>
      </c>
    </row>
    <row r="1224" customFormat="false" ht="15" hidden="false" customHeight="true" outlineLevel="0" collapsed="false">
      <c r="A1224" s="163" t="s">
        <v>3027</v>
      </c>
      <c r="B1224" s="163" t="s">
        <v>1938</v>
      </c>
      <c r="C1224" s="163" t="s">
        <v>5160</v>
      </c>
      <c r="D1224" s="163" t="s">
        <v>5161</v>
      </c>
      <c r="E1224" s="164" t="n">
        <v>20000</v>
      </c>
      <c r="F1224" s="165" t="s">
        <v>5162</v>
      </c>
    </row>
    <row r="1225" customFormat="false" ht="15" hidden="false" customHeight="true" outlineLevel="0" collapsed="false">
      <c r="A1225" s="163" t="s">
        <v>3027</v>
      </c>
      <c r="B1225" s="163" t="s">
        <v>1938</v>
      </c>
      <c r="C1225" s="163" t="s">
        <v>3131</v>
      </c>
      <c r="D1225" s="163" t="s">
        <v>3132</v>
      </c>
      <c r="E1225" s="164" t="n">
        <v>20000</v>
      </c>
      <c r="F1225" s="165" t="s">
        <v>5163</v>
      </c>
    </row>
    <row r="1226" customFormat="false" ht="15" hidden="false" customHeight="true" outlineLevel="0" collapsed="false">
      <c r="A1226" s="163" t="s">
        <v>3027</v>
      </c>
      <c r="B1226" s="163" t="s">
        <v>1938</v>
      </c>
      <c r="C1226" s="163" t="s">
        <v>3552</v>
      </c>
      <c r="D1226" s="163" t="s">
        <v>3553</v>
      </c>
      <c r="E1226" s="164" t="n">
        <v>20000</v>
      </c>
      <c r="F1226" s="165" t="s">
        <v>5164</v>
      </c>
    </row>
    <row r="1227" customFormat="false" ht="15" hidden="false" customHeight="true" outlineLevel="0" collapsed="false">
      <c r="A1227" s="163" t="s">
        <v>3027</v>
      </c>
      <c r="B1227" s="163" t="s">
        <v>1938</v>
      </c>
      <c r="C1227" s="163" t="s">
        <v>5165</v>
      </c>
      <c r="D1227" s="163" t="s">
        <v>5166</v>
      </c>
      <c r="E1227" s="164" t="n">
        <v>20000</v>
      </c>
      <c r="F1227" s="165" t="s">
        <v>5167</v>
      </c>
    </row>
    <row r="1228" customFormat="false" ht="15" hidden="false" customHeight="true" outlineLevel="0" collapsed="false">
      <c r="A1228" s="163" t="s">
        <v>3027</v>
      </c>
      <c r="B1228" s="163" t="s">
        <v>1938</v>
      </c>
      <c r="C1228" s="163" t="s">
        <v>5165</v>
      </c>
      <c r="D1228" s="163" t="s">
        <v>5166</v>
      </c>
      <c r="E1228" s="164" t="n">
        <v>20000</v>
      </c>
      <c r="F1228" s="165" t="s">
        <v>5168</v>
      </c>
    </row>
    <row r="1229" customFormat="false" ht="15" hidden="false" customHeight="true" outlineLevel="0" collapsed="false">
      <c r="A1229" s="163" t="s">
        <v>3027</v>
      </c>
      <c r="B1229" s="163" t="s">
        <v>1938</v>
      </c>
      <c r="C1229" s="163" t="s">
        <v>4946</v>
      </c>
      <c r="D1229" s="163" t="s">
        <v>4947</v>
      </c>
      <c r="E1229" s="164" t="n">
        <v>20000</v>
      </c>
      <c r="F1229" s="165" t="s">
        <v>5169</v>
      </c>
    </row>
    <row r="1230" customFormat="false" ht="15" hidden="false" customHeight="true" outlineLevel="0" collapsed="false">
      <c r="A1230" s="163" t="s">
        <v>3027</v>
      </c>
      <c r="B1230" s="163" t="s">
        <v>1938</v>
      </c>
      <c r="C1230" s="163" t="s">
        <v>3835</v>
      </c>
      <c r="D1230" s="163" t="s">
        <v>3836</v>
      </c>
      <c r="E1230" s="164" t="n">
        <v>20000</v>
      </c>
      <c r="F1230" s="165" t="s">
        <v>5170</v>
      </c>
    </row>
    <row r="1231" customFormat="false" ht="15" hidden="false" customHeight="true" outlineLevel="0" collapsed="false">
      <c r="A1231" s="163" t="s">
        <v>3027</v>
      </c>
      <c r="B1231" s="163" t="s">
        <v>1938</v>
      </c>
      <c r="C1231" s="163" t="s">
        <v>5171</v>
      </c>
      <c r="D1231" s="163" t="s">
        <v>5172</v>
      </c>
      <c r="E1231" s="164" t="n">
        <v>20000</v>
      </c>
      <c r="F1231" s="165" t="s">
        <v>5173</v>
      </c>
    </row>
    <row r="1232" customFormat="false" ht="15" hidden="false" customHeight="true" outlineLevel="0" collapsed="false">
      <c r="A1232" s="163" t="s">
        <v>3027</v>
      </c>
      <c r="B1232" s="163" t="s">
        <v>1938</v>
      </c>
      <c r="C1232" s="163" t="s">
        <v>3560</v>
      </c>
      <c r="D1232" s="163" t="s">
        <v>3561</v>
      </c>
      <c r="E1232" s="164" t="n">
        <v>20000</v>
      </c>
      <c r="F1232" s="165" t="s">
        <v>5174</v>
      </c>
    </row>
    <row r="1233" customFormat="false" ht="15" hidden="false" customHeight="true" outlineLevel="0" collapsed="false">
      <c r="A1233" s="163" t="s">
        <v>3027</v>
      </c>
      <c r="B1233" s="163" t="s">
        <v>1938</v>
      </c>
      <c r="C1233" s="163" t="s">
        <v>4717</v>
      </c>
      <c r="D1233" s="163" t="s">
        <v>4718</v>
      </c>
      <c r="E1233" s="164" t="n">
        <v>20000</v>
      </c>
      <c r="F1233" s="165" t="s">
        <v>5175</v>
      </c>
    </row>
    <row r="1234" customFormat="false" ht="15" hidden="false" customHeight="true" outlineLevel="0" collapsed="false">
      <c r="A1234" s="163" t="s">
        <v>3027</v>
      </c>
      <c r="B1234" s="163" t="s">
        <v>1938</v>
      </c>
      <c r="C1234" s="163" t="s">
        <v>3815</v>
      </c>
      <c r="D1234" s="163" t="s">
        <v>3816</v>
      </c>
      <c r="E1234" s="164" t="n">
        <v>20000</v>
      </c>
      <c r="F1234" s="165" t="s">
        <v>5176</v>
      </c>
    </row>
    <row r="1235" customFormat="false" ht="15" hidden="false" customHeight="true" outlineLevel="0" collapsed="false">
      <c r="A1235" s="163" t="s">
        <v>3027</v>
      </c>
      <c r="B1235" s="163" t="s">
        <v>691</v>
      </c>
      <c r="C1235" s="163" t="s">
        <v>5127</v>
      </c>
      <c r="D1235" s="163" t="s">
        <v>5128</v>
      </c>
      <c r="E1235" s="164" t="n">
        <v>20000</v>
      </c>
      <c r="F1235" s="165" t="s">
        <v>5177</v>
      </c>
    </row>
    <row r="1236" customFormat="false" ht="15" hidden="false" customHeight="true" outlineLevel="0" collapsed="false">
      <c r="A1236" s="163" t="s">
        <v>3027</v>
      </c>
      <c r="B1236" s="163" t="s">
        <v>691</v>
      </c>
      <c r="C1236" s="163" t="s">
        <v>5178</v>
      </c>
      <c r="D1236" s="163" t="s">
        <v>5179</v>
      </c>
      <c r="E1236" s="164" t="n">
        <v>20000</v>
      </c>
      <c r="F1236" s="165" t="s">
        <v>5180</v>
      </c>
    </row>
    <row r="1237" customFormat="false" ht="15" hidden="false" customHeight="true" outlineLevel="0" collapsed="false">
      <c r="A1237" s="163" t="s">
        <v>3027</v>
      </c>
      <c r="B1237" s="163" t="s">
        <v>691</v>
      </c>
      <c r="C1237" s="163" t="s">
        <v>431</v>
      </c>
      <c r="D1237" s="163" t="s">
        <v>2678</v>
      </c>
      <c r="E1237" s="164" t="n">
        <v>20000</v>
      </c>
      <c r="F1237" s="165" t="s">
        <v>5181</v>
      </c>
    </row>
    <row r="1238" customFormat="false" ht="15" hidden="false" customHeight="true" outlineLevel="0" collapsed="false">
      <c r="A1238" s="163" t="s">
        <v>3027</v>
      </c>
      <c r="B1238" s="163" t="s">
        <v>691</v>
      </c>
      <c r="C1238" s="163" t="s">
        <v>3560</v>
      </c>
      <c r="D1238" s="163" t="s">
        <v>3561</v>
      </c>
      <c r="E1238" s="164" t="n">
        <v>20000</v>
      </c>
      <c r="F1238" s="165" t="s">
        <v>5182</v>
      </c>
    </row>
    <row r="1239" customFormat="false" ht="15" hidden="false" customHeight="true" outlineLevel="0" collapsed="false">
      <c r="A1239" s="163" t="s">
        <v>3027</v>
      </c>
      <c r="B1239" s="163" t="s">
        <v>691</v>
      </c>
      <c r="C1239" s="163" t="s">
        <v>5183</v>
      </c>
      <c r="D1239" s="163" t="s">
        <v>5184</v>
      </c>
      <c r="E1239" s="164" t="n">
        <v>15000</v>
      </c>
      <c r="F1239" s="165" t="s">
        <v>5185</v>
      </c>
    </row>
    <row r="1240" customFormat="false" ht="15" hidden="false" customHeight="true" outlineLevel="0" collapsed="false">
      <c r="A1240" s="163" t="s">
        <v>3027</v>
      </c>
      <c r="B1240" s="163" t="s">
        <v>691</v>
      </c>
      <c r="C1240" s="163" t="s">
        <v>3309</v>
      </c>
      <c r="D1240" s="163" t="s">
        <v>3310</v>
      </c>
      <c r="E1240" s="164" t="n">
        <v>12500</v>
      </c>
      <c r="F1240" s="165" t="s">
        <v>5186</v>
      </c>
    </row>
    <row r="1241" customFormat="false" ht="15" hidden="false" customHeight="true" outlineLevel="0" collapsed="false">
      <c r="A1241" s="163" t="s">
        <v>3027</v>
      </c>
      <c r="B1241" s="163" t="s">
        <v>691</v>
      </c>
      <c r="C1241" s="163" t="s">
        <v>950</v>
      </c>
      <c r="D1241" s="163" t="s">
        <v>4373</v>
      </c>
      <c r="E1241" s="164" t="n">
        <v>10000</v>
      </c>
      <c r="F1241" s="165" t="s">
        <v>5187</v>
      </c>
    </row>
    <row r="1242" customFormat="false" ht="15" hidden="false" customHeight="true" outlineLevel="0" collapsed="false">
      <c r="A1242" s="163" t="s">
        <v>3027</v>
      </c>
      <c r="B1242" s="163" t="s">
        <v>691</v>
      </c>
      <c r="C1242" s="163" t="s">
        <v>5188</v>
      </c>
      <c r="D1242" s="163" t="s">
        <v>5189</v>
      </c>
      <c r="E1242" s="164" t="n">
        <v>10000</v>
      </c>
      <c r="F1242" s="165" t="s">
        <v>5180</v>
      </c>
    </row>
    <row r="1243" customFormat="false" ht="15" hidden="false" customHeight="true" outlineLevel="0" collapsed="false">
      <c r="A1243" s="163" t="s">
        <v>3027</v>
      </c>
      <c r="B1243" s="163" t="s">
        <v>691</v>
      </c>
      <c r="C1243" s="163" t="s">
        <v>5157</v>
      </c>
      <c r="D1243" s="163" t="s">
        <v>5158</v>
      </c>
      <c r="E1243" s="164" t="n">
        <v>10000</v>
      </c>
      <c r="F1243" s="165" t="s">
        <v>5190</v>
      </c>
    </row>
    <row r="1244" customFormat="false" ht="15" hidden="false" customHeight="true" outlineLevel="0" collapsed="false">
      <c r="A1244" s="163" t="s">
        <v>3027</v>
      </c>
      <c r="B1244" s="163" t="s">
        <v>691</v>
      </c>
      <c r="C1244" s="163" t="s">
        <v>5191</v>
      </c>
      <c r="D1244" s="163" t="s">
        <v>5192</v>
      </c>
      <c r="E1244" s="164" t="n">
        <v>7500</v>
      </c>
      <c r="F1244" s="165" t="s">
        <v>5180</v>
      </c>
    </row>
    <row r="1245" customFormat="false" ht="15" hidden="false" customHeight="true" outlineLevel="0" collapsed="false">
      <c r="A1245" s="163" t="s">
        <v>3027</v>
      </c>
      <c r="B1245" s="163" t="s">
        <v>2027</v>
      </c>
      <c r="C1245" s="163" t="s">
        <v>4995</v>
      </c>
      <c r="D1245" s="163" t="s">
        <v>4996</v>
      </c>
      <c r="E1245" s="164" t="n">
        <v>25000</v>
      </c>
      <c r="F1245" s="165" t="s">
        <v>5193</v>
      </c>
    </row>
    <row r="1246" customFormat="false" ht="15" hidden="false" customHeight="true" outlineLevel="0" collapsed="false">
      <c r="A1246" s="163" t="s">
        <v>3027</v>
      </c>
      <c r="B1246" s="163" t="s">
        <v>2027</v>
      </c>
      <c r="C1246" s="163" t="s">
        <v>4420</v>
      </c>
      <c r="D1246" s="163" t="s">
        <v>4421</v>
      </c>
      <c r="E1246" s="164" t="n">
        <v>20000</v>
      </c>
      <c r="F1246" s="165" t="s">
        <v>5194</v>
      </c>
    </row>
    <row r="1247" customFormat="false" ht="15" hidden="false" customHeight="true" outlineLevel="0" collapsed="false">
      <c r="A1247" s="163" t="s">
        <v>3027</v>
      </c>
      <c r="B1247" s="163" t="s">
        <v>2027</v>
      </c>
      <c r="C1247" s="163" t="s">
        <v>364</v>
      </c>
      <c r="D1247" s="163" t="s">
        <v>2687</v>
      </c>
      <c r="E1247" s="164" t="n">
        <v>20000</v>
      </c>
      <c r="F1247" s="165" t="s">
        <v>5195</v>
      </c>
    </row>
    <row r="1248" customFormat="false" ht="15" hidden="false" customHeight="true" outlineLevel="0" collapsed="false">
      <c r="A1248" s="163" t="s">
        <v>3027</v>
      </c>
      <c r="B1248" s="163" t="s">
        <v>2027</v>
      </c>
      <c r="C1248" s="163" t="s">
        <v>5196</v>
      </c>
      <c r="D1248" s="163" t="s">
        <v>5197</v>
      </c>
      <c r="E1248" s="164" t="n">
        <v>15000</v>
      </c>
      <c r="F1248" s="165" t="s">
        <v>5198</v>
      </c>
    </row>
    <row r="1249" customFormat="false" ht="15" hidden="false" customHeight="true" outlineLevel="0" collapsed="false">
      <c r="A1249" s="163" t="s">
        <v>3027</v>
      </c>
      <c r="B1249" s="163" t="s">
        <v>2027</v>
      </c>
      <c r="C1249" s="163" t="s">
        <v>5199</v>
      </c>
      <c r="D1249" s="163" t="s">
        <v>5200</v>
      </c>
      <c r="E1249" s="164" t="n">
        <v>10000</v>
      </c>
      <c r="F1249" s="165" t="s">
        <v>5201</v>
      </c>
    </row>
    <row r="1250" customFormat="false" ht="15" hidden="false" customHeight="true" outlineLevel="0" collapsed="false">
      <c r="A1250" s="163" t="s">
        <v>3027</v>
      </c>
      <c r="B1250" s="163" t="s">
        <v>2037</v>
      </c>
      <c r="C1250" s="163" t="s">
        <v>3622</v>
      </c>
      <c r="D1250" s="163" t="s">
        <v>3623</v>
      </c>
      <c r="E1250" s="164" t="n">
        <v>45000</v>
      </c>
      <c r="F1250" s="165" t="s">
        <v>5202</v>
      </c>
    </row>
    <row r="1251" customFormat="false" ht="15" hidden="false" customHeight="true" outlineLevel="0" collapsed="false">
      <c r="A1251" s="163" t="s">
        <v>3027</v>
      </c>
      <c r="B1251" s="163" t="s">
        <v>2037</v>
      </c>
      <c r="C1251" s="163" t="s">
        <v>2695</v>
      </c>
      <c r="D1251" s="163" t="s">
        <v>2696</v>
      </c>
      <c r="E1251" s="164" t="n">
        <v>40000</v>
      </c>
      <c r="F1251" s="165" t="s">
        <v>5203</v>
      </c>
    </row>
    <row r="1252" customFormat="false" ht="15" hidden="false" customHeight="true" outlineLevel="0" collapsed="false">
      <c r="A1252" s="163" t="s">
        <v>3027</v>
      </c>
      <c r="B1252" s="163" t="s">
        <v>2037</v>
      </c>
      <c r="C1252" s="163" t="s">
        <v>5121</v>
      </c>
      <c r="D1252" s="163" t="s">
        <v>5122</v>
      </c>
      <c r="E1252" s="164" t="n">
        <v>12000</v>
      </c>
      <c r="F1252" s="165" t="s">
        <v>5204</v>
      </c>
    </row>
    <row r="1253" customFormat="false" ht="15" hidden="false" customHeight="true" outlineLevel="0" collapsed="false">
      <c r="A1253" s="163" t="s">
        <v>3027</v>
      </c>
      <c r="B1253" s="163" t="s">
        <v>2037</v>
      </c>
      <c r="C1253" s="163" t="s">
        <v>5205</v>
      </c>
      <c r="D1253" s="163" t="s">
        <v>5206</v>
      </c>
      <c r="E1253" s="164" t="n">
        <v>10000</v>
      </c>
      <c r="F1253" s="165" t="s">
        <v>5207</v>
      </c>
    </row>
    <row r="1254" customFormat="false" ht="15" hidden="false" customHeight="true" outlineLevel="0" collapsed="false">
      <c r="A1254" s="163" t="s">
        <v>3027</v>
      </c>
      <c r="B1254" s="163" t="s">
        <v>2037</v>
      </c>
      <c r="C1254" s="163" t="s">
        <v>5208</v>
      </c>
      <c r="D1254" s="163" t="s">
        <v>5209</v>
      </c>
      <c r="E1254" s="164" t="n">
        <v>10000</v>
      </c>
      <c r="F1254" s="165" t="s">
        <v>5210</v>
      </c>
    </row>
    <row r="1255" customFormat="false" ht="15" hidden="false" customHeight="true" outlineLevel="0" collapsed="false">
      <c r="A1255" s="163" t="s">
        <v>3027</v>
      </c>
      <c r="B1255" s="163" t="s">
        <v>2037</v>
      </c>
      <c r="C1255" s="163" t="s">
        <v>4910</v>
      </c>
      <c r="D1255" s="163" t="s">
        <v>4911</v>
      </c>
      <c r="E1255" s="164" t="n">
        <v>10000</v>
      </c>
      <c r="F1255" s="165" t="s">
        <v>5211</v>
      </c>
    </row>
    <row r="1256" customFormat="false" ht="15" hidden="false" customHeight="true" outlineLevel="0" collapsed="false">
      <c r="A1256" s="163" t="s">
        <v>3027</v>
      </c>
      <c r="B1256" s="163" t="s">
        <v>2037</v>
      </c>
      <c r="C1256" s="163" t="s">
        <v>473</v>
      </c>
      <c r="D1256" s="163" t="s">
        <v>2764</v>
      </c>
      <c r="E1256" s="164" t="n">
        <v>10000</v>
      </c>
      <c r="F1256" s="165" t="s">
        <v>5212</v>
      </c>
    </row>
    <row r="1257" customFormat="false" ht="15" hidden="false" customHeight="true" outlineLevel="0" collapsed="false">
      <c r="A1257" s="163" t="s">
        <v>3027</v>
      </c>
      <c r="B1257" s="163" t="s">
        <v>2037</v>
      </c>
      <c r="C1257" s="163" t="s">
        <v>4452</v>
      </c>
      <c r="D1257" s="163" t="s">
        <v>4453</v>
      </c>
      <c r="E1257" s="164" t="n">
        <v>10000</v>
      </c>
      <c r="F1257" s="165" t="s">
        <v>5213</v>
      </c>
    </row>
    <row r="1258" customFormat="false" ht="15" hidden="false" customHeight="true" outlineLevel="0" collapsed="false">
      <c r="A1258" s="163" t="s">
        <v>3027</v>
      </c>
      <c r="B1258" s="163" t="s">
        <v>2037</v>
      </c>
      <c r="C1258" s="163" t="s">
        <v>5214</v>
      </c>
      <c r="D1258" s="163" t="s">
        <v>5215</v>
      </c>
      <c r="E1258" s="164" t="n">
        <v>10000</v>
      </c>
      <c r="F1258" s="165" t="s">
        <v>5216</v>
      </c>
    </row>
    <row r="1259" customFormat="false" ht="15" hidden="false" customHeight="true" outlineLevel="0" collapsed="false">
      <c r="A1259" s="163" t="s">
        <v>3027</v>
      </c>
      <c r="B1259" s="163" t="s">
        <v>2037</v>
      </c>
      <c r="C1259" s="163" t="s">
        <v>4173</v>
      </c>
      <c r="D1259" s="163" t="s">
        <v>4174</v>
      </c>
      <c r="E1259" s="164" t="n">
        <v>10000</v>
      </c>
      <c r="F1259" s="165" t="s">
        <v>5217</v>
      </c>
    </row>
    <row r="1260" customFormat="false" ht="15" hidden="false" customHeight="true" outlineLevel="0" collapsed="false">
      <c r="A1260" s="163" t="s">
        <v>3027</v>
      </c>
      <c r="B1260" s="163" t="s">
        <v>2037</v>
      </c>
      <c r="C1260" s="163" t="s">
        <v>4173</v>
      </c>
      <c r="D1260" s="163" t="s">
        <v>4174</v>
      </c>
      <c r="E1260" s="164" t="n">
        <v>10000</v>
      </c>
      <c r="F1260" s="165" t="s">
        <v>5218</v>
      </c>
    </row>
    <row r="1261" customFormat="false" ht="15" hidden="false" customHeight="true" outlineLevel="0" collapsed="false">
      <c r="A1261" s="163" t="s">
        <v>3027</v>
      </c>
      <c r="B1261" s="163" t="s">
        <v>2037</v>
      </c>
      <c r="C1261" s="163" t="s">
        <v>3865</v>
      </c>
      <c r="D1261" s="163" t="s">
        <v>3866</v>
      </c>
      <c r="E1261" s="164" t="n">
        <v>10000</v>
      </c>
      <c r="F1261" s="165" t="s">
        <v>5219</v>
      </c>
    </row>
    <row r="1262" customFormat="false" ht="15" hidden="false" customHeight="true" outlineLevel="0" collapsed="false">
      <c r="A1262" s="163" t="s">
        <v>3027</v>
      </c>
      <c r="B1262" s="163" t="s">
        <v>2037</v>
      </c>
      <c r="C1262" s="163" t="s">
        <v>5220</v>
      </c>
      <c r="D1262" s="163" t="s">
        <v>5221</v>
      </c>
      <c r="E1262" s="164" t="n">
        <v>8000</v>
      </c>
      <c r="F1262" s="165" t="s">
        <v>5222</v>
      </c>
    </row>
    <row r="1263" customFormat="false" ht="15" hidden="false" customHeight="true" outlineLevel="0" collapsed="false">
      <c r="A1263" s="163" t="s">
        <v>3027</v>
      </c>
      <c r="B1263" s="163" t="s">
        <v>894</v>
      </c>
      <c r="C1263" s="163" t="s">
        <v>5127</v>
      </c>
      <c r="D1263" s="163" t="s">
        <v>5128</v>
      </c>
      <c r="E1263" s="164" t="n">
        <v>37000</v>
      </c>
      <c r="F1263" s="165" t="s">
        <v>5223</v>
      </c>
    </row>
    <row r="1264" customFormat="false" ht="15" hidden="false" customHeight="true" outlineLevel="0" collapsed="false">
      <c r="A1264" s="163" t="s">
        <v>3027</v>
      </c>
      <c r="B1264" s="163" t="s">
        <v>894</v>
      </c>
      <c r="C1264" s="163" t="s">
        <v>5127</v>
      </c>
      <c r="D1264" s="163" t="s">
        <v>5128</v>
      </c>
      <c r="E1264" s="164" t="n">
        <v>36500</v>
      </c>
      <c r="F1264" s="165" t="s">
        <v>1161</v>
      </c>
    </row>
    <row r="1265" customFormat="false" ht="15" hidden="false" customHeight="true" outlineLevel="0" collapsed="false">
      <c r="A1265" s="163" t="s">
        <v>3027</v>
      </c>
      <c r="B1265" s="163" t="s">
        <v>894</v>
      </c>
      <c r="C1265" s="163" t="s">
        <v>640</v>
      </c>
      <c r="D1265" s="163" t="s">
        <v>1931</v>
      </c>
      <c r="E1265" s="164" t="n">
        <v>27500</v>
      </c>
      <c r="F1265" s="165" t="s">
        <v>5224</v>
      </c>
    </row>
    <row r="1266" customFormat="false" ht="15" hidden="false" customHeight="true" outlineLevel="0" collapsed="false">
      <c r="A1266" s="163" t="s">
        <v>3027</v>
      </c>
      <c r="B1266" s="163" t="s">
        <v>894</v>
      </c>
      <c r="C1266" s="163" t="s">
        <v>5225</v>
      </c>
      <c r="D1266" s="163" t="s">
        <v>5226</v>
      </c>
      <c r="E1266" s="164" t="n">
        <v>25000</v>
      </c>
      <c r="F1266" s="165" t="s">
        <v>5227</v>
      </c>
    </row>
    <row r="1267" customFormat="false" ht="15" hidden="false" customHeight="true" outlineLevel="0" collapsed="false">
      <c r="A1267" s="163" t="s">
        <v>3027</v>
      </c>
      <c r="B1267" s="163" t="s">
        <v>894</v>
      </c>
      <c r="C1267" s="163" t="s">
        <v>5228</v>
      </c>
      <c r="D1267" s="163" t="s">
        <v>5229</v>
      </c>
      <c r="E1267" s="164" t="n">
        <v>20000</v>
      </c>
      <c r="F1267" s="165" t="s">
        <v>5230</v>
      </c>
    </row>
    <row r="1268" customFormat="false" ht="15" hidden="false" customHeight="true" outlineLevel="0" collapsed="false">
      <c r="A1268" s="163" t="s">
        <v>3027</v>
      </c>
      <c r="B1268" s="163" t="s">
        <v>894</v>
      </c>
      <c r="C1268" s="163" t="s">
        <v>5191</v>
      </c>
      <c r="D1268" s="163" t="s">
        <v>5192</v>
      </c>
      <c r="E1268" s="164" t="n">
        <v>18000</v>
      </c>
      <c r="F1268" s="165" t="s">
        <v>5231</v>
      </c>
    </row>
    <row r="1269" customFormat="false" ht="15" hidden="false" customHeight="true" outlineLevel="0" collapsed="false">
      <c r="A1269" s="163" t="s">
        <v>3027</v>
      </c>
      <c r="B1269" s="163" t="s">
        <v>894</v>
      </c>
      <c r="C1269" s="163" t="s">
        <v>5232</v>
      </c>
      <c r="D1269" s="163" t="s">
        <v>5233</v>
      </c>
      <c r="E1269" s="164" t="n">
        <v>15000</v>
      </c>
      <c r="F1269" s="165" t="s">
        <v>5234</v>
      </c>
    </row>
    <row r="1270" customFormat="false" ht="15" hidden="false" customHeight="true" outlineLevel="0" collapsed="false">
      <c r="A1270" s="163" t="s">
        <v>3027</v>
      </c>
      <c r="B1270" s="163" t="s">
        <v>894</v>
      </c>
      <c r="C1270" s="163" t="s">
        <v>5235</v>
      </c>
      <c r="D1270" s="163" t="s">
        <v>5236</v>
      </c>
      <c r="E1270" s="164" t="n">
        <v>15000</v>
      </c>
      <c r="F1270" s="165" t="s">
        <v>5237</v>
      </c>
    </row>
    <row r="1271" customFormat="false" ht="15" hidden="false" customHeight="true" outlineLevel="0" collapsed="false">
      <c r="A1271" s="163" t="s">
        <v>3027</v>
      </c>
      <c r="B1271" s="163" t="s">
        <v>894</v>
      </c>
      <c r="C1271" s="163" t="s">
        <v>452</v>
      </c>
      <c r="D1271" s="163" t="s">
        <v>2102</v>
      </c>
      <c r="E1271" s="164" t="n">
        <v>15000</v>
      </c>
      <c r="F1271" s="165" t="s">
        <v>5134</v>
      </c>
    </row>
    <row r="1272" customFormat="false" ht="15" hidden="false" customHeight="true" outlineLevel="0" collapsed="false">
      <c r="A1272" s="163" t="s">
        <v>3027</v>
      </c>
      <c r="B1272" s="163" t="s">
        <v>894</v>
      </c>
      <c r="C1272" s="163" t="s">
        <v>3567</v>
      </c>
      <c r="D1272" s="163" t="s">
        <v>3568</v>
      </c>
      <c r="E1272" s="164" t="n">
        <v>13000</v>
      </c>
      <c r="F1272" s="165" t="s">
        <v>5238</v>
      </c>
    </row>
    <row r="1273" customFormat="false" ht="15" hidden="false" customHeight="true" outlineLevel="0" collapsed="false">
      <c r="A1273" s="163" t="s">
        <v>3027</v>
      </c>
      <c r="B1273" s="163" t="s">
        <v>894</v>
      </c>
      <c r="C1273" s="163" t="s">
        <v>4995</v>
      </c>
      <c r="D1273" s="163" t="s">
        <v>4996</v>
      </c>
      <c r="E1273" s="164" t="n">
        <v>11000</v>
      </c>
      <c r="F1273" s="165" t="s">
        <v>5239</v>
      </c>
    </row>
    <row r="1274" customFormat="false" ht="15" hidden="false" customHeight="true" outlineLevel="0" collapsed="false">
      <c r="A1274" s="163" t="s">
        <v>3027</v>
      </c>
      <c r="B1274" s="163" t="s">
        <v>894</v>
      </c>
      <c r="C1274" s="163" t="s">
        <v>5240</v>
      </c>
      <c r="D1274" s="163" t="s">
        <v>5241</v>
      </c>
      <c r="E1274" s="164" t="n">
        <v>10500</v>
      </c>
      <c r="F1274" s="165" t="s">
        <v>5242</v>
      </c>
    </row>
    <row r="1275" customFormat="false" ht="15" hidden="false" customHeight="true" outlineLevel="0" collapsed="false">
      <c r="A1275" s="163" t="s">
        <v>3027</v>
      </c>
      <c r="B1275" s="163" t="s">
        <v>894</v>
      </c>
      <c r="C1275" s="163" t="s">
        <v>925</v>
      </c>
      <c r="D1275" s="163" t="s">
        <v>1931</v>
      </c>
      <c r="E1275" s="164" t="n">
        <v>10000</v>
      </c>
      <c r="F1275" s="165" t="s">
        <v>5243</v>
      </c>
    </row>
    <row r="1276" customFormat="false" ht="15" hidden="false" customHeight="true" outlineLevel="0" collapsed="false">
      <c r="A1276" s="163" t="s">
        <v>3027</v>
      </c>
      <c r="B1276" s="163" t="s">
        <v>894</v>
      </c>
      <c r="C1276" s="163" t="s">
        <v>5244</v>
      </c>
      <c r="D1276" s="163" t="s">
        <v>5245</v>
      </c>
      <c r="E1276" s="164" t="n">
        <v>9000</v>
      </c>
      <c r="F1276" s="165" t="s">
        <v>5246</v>
      </c>
    </row>
    <row r="1277" customFormat="false" ht="15" hidden="false" customHeight="true" outlineLevel="0" collapsed="false">
      <c r="A1277" s="163" t="s">
        <v>3027</v>
      </c>
      <c r="B1277" s="163" t="s">
        <v>894</v>
      </c>
      <c r="C1277" s="163" t="s">
        <v>5247</v>
      </c>
      <c r="D1277" s="163" t="s">
        <v>5248</v>
      </c>
      <c r="E1277" s="164" t="n">
        <v>9000</v>
      </c>
      <c r="F1277" s="165" t="s">
        <v>5249</v>
      </c>
    </row>
    <row r="1278" customFormat="false" ht="15" hidden="false" customHeight="true" outlineLevel="0" collapsed="false">
      <c r="A1278" s="163" t="s">
        <v>3027</v>
      </c>
      <c r="B1278" s="163" t="s">
        <v>894</v>
      </c>
      <c r="C1278" s="163" t="s">
        <v>4910</v>
      </c>
      <c r="D1278" s="163" t="s">
        <v>4911</v>
      </c>
      <c r="E1278" s="164" t="n">
        <v>6500</v>
      </c>
      <c r="F1278" s="165" t="s">
        <v>5250</v>
      </c>
    </row>
    <row r="1279" customFormat="false" ht="15" hidden="false" customHeight="true" outlineLevel="0" collapsed="false">
      <c r="A1279" s="163" t="s">
        <v>3027</v>
      </c>
      <c r="B1279" s="163" t="s">
        <v>894</v>
      </c>
      <c r="C1279" s="163" t="s">
        <v>991</v>
      </c>
      <c r="D1279" s="163" t="s">
        <v>3769</v>
      </c>
      <c r="E1279" s="164" t="n">
        <v>6000</v>
      </c>
      <c r="F1279" s="165" t="s">
        <v>5251</v>
      </c>
    </row>
    <row r="1280" customFormat="false" ht="15" hidden="false" customHeight="true" outlineLevel="0" collapsed="false">
      <c r="A1280" s="163" t="s">
        <v>3027</v>
      </c>
      <c r="B1280" s="163" t="s">
        <v>894</v>
      </c>
      <c r="C1280" s="163" t="s">
        <v>5026</v>
      </c>
      <c r="D1280" s="163" t="s">
        <v>5027</v>
      </c>
      <c r="E1280" s="164" t="n">
        <v>6000</v>
      </c>
      <c r="F1280" s="165" t="s">
        <v>5252</v>
      </c>
    </row>
    <row r="1281" customFormat="false" ht="15" hidden="false" customHeight="true" outlineLevel="0" collapsed="false">
      <c r="A1281" s="163" t="s">
        <v>3027</v>
      </c>
      <c r="B1281" s="163" t="s">
        <v>894</v>
      </c>
      <c r="C1281" s="163" t="s">
        <v>5253</v>
      </c>
      <c r="D1281" s="163" t="s">
        <v>5254</v>
      </c>
      <c r="E1281" s="164" t="n">
        <v>5000</v>
      </c>
      <c r="F1281" s="165" t="s">
        <v>5255</v>
      </c>
    </row>
    <row r="1282" customFormat="false" ht="15" hidden="false" customHeight="true" outlineLevel="0" collapsed="false">
      <c r="A1282" s="163" t="s">
        <v>3027</v>
      </c>
      <c r="B1282" s="163" t="s">
        <v>894</v>
      </c>
      <c r="C1282" s="163" t="s">
        <v>3635</v>
      </c>
      <c r="D1282" s="163" t="s">
        <v>3636</v>
      </c>
      <c r="E1282" s="164" t="n">
        <v>5000</v>
      </c>
      <c r="F1282" s="165" t="s">
        <v>5256</v>
      </c>
    </row>
    <row r="1283" customFormat="false" ht="15" hidden="false" customHeight="true" outlineLevel="0" collapsed="false">
      <c r="A1283" s="163" t="s">
        <v>3027</v>
      </c>
      <c r="B1283" s="163" t="s">
        <v>894</v>
      </c>
      <c r="C1283" s="163" t="s">
        <v>230</v>
      </c>
      <c r="D1283" s="163" t="s">
        <v>2077</v>
      </c>
      <c r="E1283" s="164" t="n">
        <v>5000</v>
      </c>
      <c r="F1283" s="165" t="s">
        <v>5257</v>
      </c>
    </row>
    <row r="1284" customFormat="false" ht="15" hidden="false" customHeight="true" outlineLevel="0" collapsed="false">
      <c r="A1284" s="163" t="s">
        <v>3027</v>
      </c>
      <c r="B1284" s="163" t="s">
        <v>894</v>
      </c>
      <c r="C1284" s="163" t="s">
        <v>5157</v>
      </c>
      <c r="D1284" s="163" t="s">
        <v>5158</v>
      </c>
      <c r="E1284" s="164" t="n">
        <v>5000</v>
      </c>
      <c r="F1284" s="165" t="s">
        <v>5258</v>
      </c>
    </row>
    <row r="1285" customFormat="false" ht="15" hidden="false" customHeight="true" outlineLevel="0" collapsed="false">
      <c r="A1285" s="163" t="s">
        <v>3027</v>
      </c>
      <c r="B1285" s="163" t="s">
        <v>894</v>
      </c>
      <c r="C1285" s="163" t="s">
        <v>5178</v>
      </c>
      <c r="D1285" s="163" t="s">
        <v>5179</v>
      </c>
      <c r="E1285" s="164" t="n">
        <v>5000</v>
      </c>
      <c r="F1285" s="165" t="s">
        <v>5259</v>
      </c>
    </row>
    <row r="1286" customFormat="false" ht="15" hidden="false" customHeight="true" outlineLevel="0" collapsed="false">
      <c r="A1286" s="163" t="s">
        <v>3027</v>
      </c>
      <c r="B1286" s="163" t="s">
        <v>894</v>
      </c>
      <c r="C1286" s="163" t="s">
        <v>3243</v>
      </c>
      <c r="D1286" s="163" t="s">
        <v>3244</v>
      </c>
      <c r="E1286" s="164" t="n">
        <v>5000</v>
      </c>
      <c r="F1286" s="165" t="s">
        <v>5260</v>
      </c>
    </row>
    <row r="1287" customFormat="false" ht="15" hidden="false" customHeight="true" outlineLevel="0" collapsed="false">
      <c r="A1287" s="163" t="s">
        <v>3027</v>
      </c>
      <c r="B1287" s="163" t="s">
        <v>894</v>
      </c>
      <c r="C1287" s="163" t="s">
        <v>1221</v>
      </c>
      <c r="D1287" s="163" t="s">
        <v>1895</v>
      </c>
      <c r="E1287" s="164" t="n">
        <v>5000</v>
      </c>
      <c r="F1287" s="165" t="s">
        <v>5261</v>
      </c>
    </row>
    <row r="1288" customFormat="false" ht="15" hidden="false" customHeight="true" outlineLevel="0" collapsed="false">
      <c r="A1288" s="163" t="s">
        <v>3027</v>
      </c>
      <c r="B1288" s="163" t="s">
        <v>894</v>
      </c>
      <c r="C1288" s="163" t="s">
        <v>5262</v>
      </c>
      <c r="D1288" s="163" t="s">
        <v>5263</v>
      </c>
      <c r="E1288" s="164" t="n">
        <v>5000</v>
      </c>
      <c r="F1288" s="165" t="s">
        <v>5264</v>
      </c>
    </row>
    <row r="1289" customFormat="false" ht="15" hidden="false" customHeight="true" outlineLevel="0" collapsed="false">
      <c r="A1289" s="163" t="s">
        <v>3027</v>
      </c>
      <c r="B1289" s="163" t="s">
        <v>894</v>
      </c>
      <c r="C1289" s="163" t="s">
        <v>3131</v>
      </c>
      <c r="D1289" s="163" t="s">
        <v>3132</v>
      </c>
      <c r="E1289" s="164" t="n">
        <v>5000</v>
      </c>
      <c r="F1289" s="165" t="s">
        <v>5265</v>
      </c>
    </row>
    <row r="1290" customFormat="false" ht="15" hidden="false" customHeight="true" outlineLevel="0" collapsed="false">
      <c r="A1290" s="163" t="s">
        <v>3027</v>
      </c>
      <c r="B1290" s="163" t="s">
        <v>894</v>
      </c>
      <c r="C1290" s="163" t="s">
        <v>5266</v>
      </c>
      <c r="D1290" s="163" t="s">
        <v>5267</v>
      </c>
      <c r="E1290" s="164" t="n">
        <v>5000</v>
      </c>
      <c r="F1290" s="165" t="s">
        <v>5268</v>
      </c>
    </row>
    <row r="1291" customFormat="false" ht="15" hidden="false" customHeight="true" outlineLevel="0" collapsed="false">
      <c r="A1291" s="163" t="s">
        <v>3027</v>
      </c>
      <c r="B1291" s="163" t="s">
        <v>894</v>
      </c>
      <c r="C1291" s="163" t="s">
        <v>4946</v>
      </c>
      <c r="D1291" s="163" t="s">
        <v>4947</v>
      </c>
      <c r="E1291" s="164" t="n">
        <v>5000</v>
      </c>
      <c r="F1291" s="165" t="s">
        <v>5269</v>
      </c>
    </row>
    <row r="1292" customFormat="false" ht="15" hidden="false" customHeight="true" outlineLevel="0" collapsed="false">
      <c r="A1292" s="163" t="s">
        <v>3027</v>
      </c>
      <c r="B1292" s="163" t="s">
        <v>894</v>
      </c>
      <c r="C1292" s="163" t="s">
        <v>5112</v>
      </c>
      <c r="D1292" s="163" t="s">
        <v>5113</v>
      </c>
      <c r="E1292" s="164" t="n">
        <v>5000</v>
      </c>
      <c r="F1292" s="165" t="s">
        <v>5270</v>
      </c>
    </row>
    <row r="1293" customFormat="false" ht="15" hidden="false" customHeight="true" outlineLevel="0" collapsed="false">
      <c r="A1293" s="163" t="s">
        <v>3027</v>
      </c>
      <c r="B1293" s="163" t="s">
        <v>894</v>
      </c>
      <c r="C1293" s="163" t="s">
        <v>5271</v>
      </c>
      <c r="D1293" s="163" t="s">
        <v>5272</v>
      </c>
      <c r="E1293" s="164" t="n">
        <v>5000</v>
      </c>
      <c r="F1293" s="165" t="s">
        <v>5273</v>
      </c>
    </row>
    <row r="1294" customFormat="false" ht="15" hidden="false" customHeight="true" outlineLevel="0" collapsed="false">
      <c r="A1294" s="163" t="s">
        <v>3027</v>
      </c>
      <c r="B1294" s="163" t="s">
        <v>894</v>
      </c>
      <c r="C1294" s="163" t="s">
        <v>560</v>
      </c>
      <c r="D1294" s="163" t="s">
        <v>2450</v>
      </c>
      <c r="E1294" s="164" t="n">
        <v>5000</v>
      </c>
      <c r="F1294" s="165" t="s">
        <v>5274</v>
      </c>
    </row>
    <row r="1295" customFormat="false" ht="15" hidden="false" customHeight="true" outlineLevel="0" collapsed="false">
      <c r="A1295" s="163" t="s">
        <v>3027</v>
      </c>
      <c r="B1295" s="163" t="s">
        <v>894</v>
      </c>
      <c r="C1295" s="163" t="s">
        <v>3790</v>
      </c>
      <c r="D1295" s="163" t="s">
        <v>3791</v>
      </c>
      <c r="E1295" s="164" t="n">
        <v>5000</v>
      </c>
      <c r="F1295" s="165" t="s">
        <v>5275</v>
      </c>
    </row>
    <row r="1296" customFormat="false" ht="15" hidden="false" customHeight="true" outlineLevel="0" collapsed="false">
      <c r="A1296" s="163" t="s">
        <v>3027</v>
      </c>
      <c r="B1296" s="163" t="s">
        <v>894</v>
      </c>
      <c r="C1296" s="163" t="s">
        <v>3560</v>
      </c>
      <c r="D1296" s="163" t="s">
        <v>3561</v>
      </c>
      <c r="E1296" s="164" t="n">
        <v>5000</v>
      </c>
      <c r="F1296" s="165" t="s">
        <v>5276</v>
      </c>
    </row>
    <row r="1297" customFormat="false" ht="15" hidden="false" customHeight="true" outlineLevel="0" collapsed="false">
      <c r="A1297" s="163" t="s">
        <v>3027</v>
      </c>
      <c r="B1297" s="163" t="s">
        <v>894</v>
      </c>
      <c r="C1297" s="163" t="s">
        <v>4717</v>
      </c>
      <c r="D1297" s="163" t="s">
        <v>4718</v>
      </c>
      <c r="E1297" s="164" t="n">
        <v>5000</v>
      </c>
      <c r="F1297" s="165" t="s">
        <v>5277</v>
      </c>
    </row>
    <row r="1298" customFormat="false" ht="15" hidden="false" customHeight="true" outlineLevel="0" collapsed="false">
      <c r="A1298" s="163" t="s">
        <v>3027</v>
      </c>
      <c r="B1298" s="163" t="s">
        <v>894</v>
      </c>
      <c r="C1298" s="163" t="s">
        <v>5278</v>
      </c>
      <c r="D1298" s="163" t="s">
        <v>5279</v>
      </c>
      <c r="E1298" s="164" t="n">
        <v>5000</v>
      </c>
      <c r="F1298" s="165" t="s">
        <v>5280</v>
      </c>
    </row>
    <row r="1299" customFormat="false" ht="15" hidden="false" customHeight="true" outlineLevel="0" collapsed="false">
      <c r="A1299" s="163" t="s">
        <v>3027</v>
      </c>
      <c r="B1299" s="163" t="s">
        <v>894</v>
      </c>
      <c r="C1299" s="163" t="s">
        <v>893</v>
      </c>
      <c r="D1299" s="163" t="s">
        <v>1931</v>
      </c>
      <c r="E1299" s="164" t="n">
        <v>5000</v>
      </c>
      <c r="F1299" s="165" t="s">
        <v>5281</v>
      </c>
    </row>
    <row r="1300" customFormat="false" ht="15" hidden="false" customHeight="true" outlineLevel="0" collapsed="false">
      <c r="A1300" s="163" t="s">
        <v>3027</v>
      </c>
      <c r="B1300" s="163" t="s">
        <v>894</v>
      </c>
      <c r="C1300" s="163" t="s">
        <v>5028</v>
      </c>
      <c r="D1300" s="163" t="s">
        <v>1931</v>
      </c>
      <c r="E1300" s="164" t="n">
        <v>5000</v>
      </c>
      <c r="F1300" s="165" t="s">
        <v>5282</v>
      </c>
    </row>
    <row r="1301" customFormat="false" ht="15" hidden="false" customHeight="true" outlineLevel="0" collapsed="false">
      <c r="A1301" s="163" t="s">
        <v>3027</v>
      </c>
      <c r="B1301" s="163" t="s">
        <v>894</v>
      </c>
      <c r="C1301" s="163" t="s">
        <v>452</v>
      </c>
      <c r="D1301" s="163" t="s">
        <v>2102</v>
      </c>
      <c r="E1301" s="164" t="n">
        <v>5000</v>
      </c>
      <c r="F1301" s="165" t="s">
        <v>5283</v>
      </c>
    </row>
    <row r="1302" customFormat="false" ht="15" hidden="false" customHeight="true" outlineLevel="0" collapsed="false">
      <c r="A1302" s="163" t="s">
        <v>3027</v>
      </c>
      <c r="B1302" s="163" t="s">
        <v>894</v>
      </c>
      <c r="C1302" s="163" t="s">
        <v>5284</v>
      </c>
      <c r="D1302" s="163" t="s">
        <v>5285</v>
      </c>
      <c r="E1302" s="164" t="n">
        <v>5000</v>
      </c>
      <c r="F1302" s="165" t="s">
        <v>5286</v>
      </c>
    </row>
    <row r="1303" customFormat="false" ht="15" hidden="false" customHeight="true" outlineLevel="0" collapsed="false">
      <c r="A1303" s="163" t="s">
        <v>3027</v>
      </c>
      <c r="B1303" s="163" t="s">
        <v>882</v>
      </c>
      <c r="C1303" s="163" t="s">
        <v>2759</v>
      </c>
      <c r="D1303" s="163" t="s">
        <v>2760</v>
      </c>
      <c r="E1303" s="164" t="n">
        <v>260000</v>
      </c>
      <c r="F1303" s="165" t="s">
        <v>5287</v>
      </c>
    </row>
    <row r="1304" customFormat="false" ht="15" hidden="false" customHeight="true" outlineLevel="0" collapsed="false">
      <c r="A1304" s="163" t="s">
        <v>3027</v>
      </c>
      <c r="B1304" s="163" t="s">
        <v>882</v>
      </c>
      <c r="C1304" s="163" t="s">
        <v>640</v>
      </c>
      <c r="D1304" s="163" t="s">
        <v>1931</v>
      </c>
      <c r="E1304" s="164" t="n">
        <v>20000</v>
      </c>
      <c r="F1304" s="165" t="s">
        <v>5288</v>
      </c>
    </row>
    <row r="1305" customFormat="false" ht="15" hidden="false" customHeight="true" outlineLevel="0" collapsed="false">
      <c r="A1305" s="163" t="s">
        <v>3027</v>
      </c>
      <c r="B1305" s="163" t="s">
        <v>2328</v>
      </c>
      <c r="C1305" s="163" t="s">
        <v>5127</v>
      </c>
      <c r="D1305" s="163" t="s">
        <v>5128</v>
      </c>
      <c r="E1305" s="164" t="n">
        <v>22000</v>
      </c>
      <c r="F1305" s="165" t="s">
        <v>5289</v>
      </c>
    </row>
    <row r="1306" customFormat="false" ht="15" hidden="false" customHeight="true" outlineLevel="0" collapsed="false">
      <c r="A1306" s="163" t="s">
        <v>3027</v>
      </c>
      <c r="B1306" s="163" t="s">
        <v>2328</v>
      </c>
      <c r="C1306" s="163" t="s">
        <v>5290</v>
      </c>
      <c r="D1306" s="163" t="s">
        <v>5291</v>
      </c>
      <c r="E1306" s="164" t="n">
        <v>18000</v>
      </c>
      <c r="F1306" s="165" t="s">
        <v>5292</v>
      </c>
    </row>
    <row r="1307" customFormat="false" ht="15" hidden="false" customHeight="true" outlineLevel="0" collapsed="false">
      <c r="A1307" s="163" t="s">
        <v>3027</v>
      </c>
      <c r="B1307" s="163" t="s">
        <v>2328</v>
      </c>
      <c r="C1307" s="163" t="s">
        <v>5293</v>
      </c>
      <c r="D1307" s="163" t="s">
        <v>5294</v>
      </c>
      <c r="E1307" s="164" t="n">
        <v>10000</v>
      </c>
      <c r="F1307" s="165" t="s">
        <v>5293</v>
      </c>
    </row>
    <row r="1308" customFormat="false" ht="15" hidden="false" customHeight="true" outlineLevel="0" collapsed="false">
      <c r="A1308" s="163" t="s">
        <v>3027</v>
      </c>
      <c r="B1308" s="163" t="s">
        <v>2342</v>
      </c>
      <c r="C1308" s="163" t="s">
        <v>197</v>
      </c>
      <c r="D1308" s="163" t="s">
        <v>1931</v>
      </c>
      <c r="E1308" s="164" t="n">
        <v>15000</v>
      </c>
      <c r="F1308" s="165" t="s">
        <v>5295</v>
      </c>
    </row>
    <row r="1309" customFormat="false" ht="15" hidden="false" customHeight="true" outlineLevel="0" collapsed="false">
      <c r="A1309" s="163" t="s">
        <v>3027</v>
      </c>
      <c r="B1309" s="163" t="s">
        <v>2342</v>
      </c>
      <c r="C1309" s="163" t="s">
        <v>197</v>
      </c>
      <c r="D1309" s="163" t="s">
        <v>1931</v>
      </c>
      <c r="E1309" s="164" t="n">
        <v>15000</v>
      </c>
      <c r="F1309" s="165" t="s">
        <v>5296</v>
      </c>
    </row>
    <row r="1310" customFormat="false" ht="15" hidden="false" customHeight="true" outlineLevel="0" collapsed="false">
      <c r="A1310" s="163" t="s">
        <v>3027</v>
      </c>
      <c r="B1310" s="163" t="s">
        <v>2342</v>
      </c>
      <c r="C1310" s="163" t="s">
        <v>197</v>
      </c>
      <c r="D1310" s="163" t="s">
        <v>1931</v>
      </c>
      <c r="E1310" s="164" t="n">
        <v>15000</v>
      </c>
      <c r="F1310" s="165" t="s">
        <v>5297</v>
      </c>
    </row>
    <row r="1311" customFormat="false" ht="15" hidden="false" customHeight="true" outlineLevel="0" collapsed="false">
      <c r="A1311" s="163" t="s">
        <v>3027</v>
      </c>
      <c r="B1311" s="163" t="s">
        <v>2342</v>
      </c>
      <c r="C1311" s="163" t="s">
        <v>197</v>
      </c>
      <c r="D1311" s="163" t="s">
        <v>1931</v>
      </c>
      <c r="E1311" s="164" t="n">
        <v>12500</v>
      </c>
      <c r="F1311" s="165" t="s">
        <v>5298</v>
      </c>
    </row>
    <row r="1312" customFormat="false" ht="15" hidden="false" customHeight="true" outlineLevel="0" collapsed="false">
      <c r="A1312" s="163" t="s">
        <v>3027</v>
      </c>
      <c r="B1312" s="163" t="s">
        <v>2342</v>
      </c>
      <c r="C1312" s="163" t="s">
        <v>197</v>
      </c>
      <c r="D1312" s="163" t="s">
        <v>1931</v>
      </c>
      <c r="E1312" s="164" t="n">
        <v>12500</v>
      </c>
      <c r="F1312" s="165" t="s">
        <v>5299</v>
      </c>
    </row>
    <row r="1313" customFormat="false" ht="15" hidden="false" customHeight="true" outlineLevel="0" collapsed="false">
      <c r="A1313" s="163" t="s">
        <v>3027</v>
      </c>
      <c r="B1313" s="163" t="s">
        <v>2342</v>
      </c>
      <c r="C1313" s="163" t="s">
        <v>230</v>
      </c>
      <c r="D1313" s="163" t="s">
        <v>2077</v>
      </c>
      <c r="E1313" s="164" t="n">
        <v>10000</v>
      </c>
      <c r="F1313" s="165" t="s">
        <v>5300</v>
      </c>
    </row>
    <row r="1314" customFormat="false" ht="15" hidden="false" customHeight="true" outlineLevel="0" collapsed="false">
      <c r="A1314" s="163" t="s">
        <v>3027</v>
      </c>
      <c r="B1314" s="163" t="s">
        <v>2342</v>
      </c>
      <c r="C1314" s="163" t="s">
        <v>197</v>
      </c>
      <c r="D1314" s="163" t="s">
        <v>1931</v>
      </c>
      <c r="E1314" s="164" t="n">
        <v>10000</v>
      </c>
      <c r="F1314" s="165" t="s">
        <v>5301</v>
      </c>
    </row>
    <row r="1315" customFormat="false" ht="15" hidden="false" customHeight="true" outlineLevel="0" collapsed="false">
      <c r="A1315" s="163" t="s">
        <v>3027</v>
      </c>
      <c r="B1315" s="163" t="s">
        <v>1743</v>
      </c>
      <c r="C1315" s="163" t="s">
        <v>3967</v>
      </c>
      <c r="D1315" s="163" t="s">
        <v>3968</v>
      </c>
      <c r="E1315" s="164" t="n">
        <v>48000</v>
      </c>
      <c r="F1315" s="165" t="s">
        <v>5302</v>
      </c>
    </row>
    <row r="1316" customFormat="false" ht="15" hidden="false" customHeight="true" outlineLevel="0" collapsed="false">
      <c r="A1316" s="163" t="s">
        <v>3027</v>
      </c>
      <c r="B1316" s="163" t="s">
        <v>1743</v>
      </c>
      <c r="C1316" s="163" t="s">
        <v>5121</v>
      </c>
      <c r="D1316" s="163" t="s">
        <v>5122</v>
      </c>
      <c r="E1316" s="164" t="n">
        <v>28000</v>
      </c>
      <c r="F1316" s="165" t="s">
        <v>5303</v>
      </c>
    </row>
    <row r="1317" customFormat="false" ht="15" hidden="false" customHeight="true" outlineLevel="0" collapsed="false">
      <c r="A1317" s="163" t="s">
        <v>3027</v>
      </c>
      <c r="B1317" s="163" t="s">
        <v>1743</v>
      </c>
      <c r="C1317" s="163" t="s">
        <v>5121</v>
      </c>
      <c r="D1317" s="163" t="s">
        <v>5122</v>
      </c>
      <c r="E1317" s="164" t="n">
        <v>26000</v>
      </c>
      <c r="F1317" s="165" t="s">
        <v>5304</v>
      </c>
    </row>
    <row r="1318" customFormat="false" ht="15" hidden="false" customHeight="true" outlineLevel="0" collapsed="false">
      <c r="A1318" s="163" t="s">
        <v>3027</v>
      </c>
      <c r="B1318" s="163" t="s">
        <v>1743</v>
      </c>
      <c r="C1318" s="163" t="s">
        <v>4635</v>
      </c>
      <c r="D1318" s="163" t="s">
        <v>4636</v>
      </c>
      <c r="E1318" s="164" t="n">
        <v>14000</v>
      </c>
      <c r="F1318" s="165" t="s">
        <v>5126</v>
      </c>
    </row>
    <row r="1319" customFormat="false" ht="15" hidden="false" customHeight="true" outlineLevel="0" collapsed="false">
      <c r="A1319" s="163" t="s">
        <v>3027</v>
      </c>
      <c r="B1319" s="163" t="s">
        <v>1743</v>
      </c>
      <c r="C1319" s="163" t="s">
        <v>5121</v>
      </c>
      <c r="D1319" s="163" t="s">
        <v>5122</v>
      </c>
      <c r="E1319" s="164" t="n">
        <v>14000</v>
      </c>
      <c r="F1319" s="165" t="s">
        <v>5305</v>
      </c>
    </row>
    <row r="1320" customFormat="false" ht="15" hidden="false" customHeight="true" outlineLevel="0" collapsed="false">
      <c r="A1320" s="163" t="s">
        <v>3027</v>
      </c>
      <c r="B1320" s="163" t="s">
        <v>1743</v>
      </c>
      <c r="C1320" s="163" t="s">
        <v>4859</v>
      </c>
      <c r="D1320" s="163" t="s">
        <v>4860</v>
      </c>
      <c r="E1320" s="164" t="n">
        <v>10000</v>
      </c>
      <c r="F1320" s="165" t="s">
        <v>5306</v>
      </c>
    </row>
    <row r="1321" customFormat="false" ht="15" hidden="false" customHeight="true" outlineLevel="0" collapsed="false">
      <c r="A1321" s="163" t="s">
        <v>3027</v>
      </c>
      <c r="B1321" s="163" t="s">
        <v>1743</v>
      </c>
      <c r="C1321" s="163" t="s">
        <v>4350</v>
      </c>
      <c r="D1321" s="163" t="s">
        <v>4351</v>
      </c>
      <c r="E1321" s="164" t="n">
        <v>10000</v>
      </c>
      <c r="F1321" s="165" t="s">
        <v>5307</v>
      </c>
    </row>
    <row r="1322" customFormat="false" ht="15" hidden="false" customHeight="true" outlineLevel="0" collapsed="false">
      <c r="A1322" s="163" t="s">
        <v>3027</v>
      </c>
      <c r="B1322" s="163" t="s">
        <v>928</v>
      </c>
      <c r="C1322" s="163" t="s">
        <v>3560</v>
      </c>
      <c r="D1322" s="163" t="s">
        <v>3561</v>
      </c>
      <c r="E1322" s="164" t="n">
        <v>31000</v>
      </c>
      <c r="F1322" s="165" t="s">
        <v>5308</v>
      </c>
    </row>
    <row r="1323" customFormat="false" ht="15" hidden="false" customHeight="true" outlineLevel="0" collapsed="false">
      <c r="A1323" s="163" t="s">
        <v>3027</v>
      </c>
      <c r="B1323" s="163" t="s">
        <v>928</v>
      </c>
      <c r="C1323" s="163" t="s">
        <v>4995</v>
      </c>
      <c r="D1323" s="163" t="s">
        <v>4996</v>
      </c>
      <c r="E1323" s="164" t="n">
        <v>23500</v>
      </c>
      <c r="F1323" s="165" t="s">
        <v>5141</v>
      </c>
    </row>
    <row r="1324" customFormat="false" ht="15" hidden="false" customHeight="true" outlineLevel="0" collapsed="false">
      <c r="A1324" s="163" t="s">
        <v>3027</v>
      </c>
      <c r="B1324" s="163" t="s">
        <v>928</v>
      </c>
      <c r="C1324" s="163" t="s">
        <v>5121</v>
      </c>
      <c r="D1324" s="163" t="s">
        <v>5122</v>
      </c>
      <c r="E1324" s="164" t="n">
        <v>23000</v>
      </c>
      <c r="F1324" s="165" t="s">
        <v>5309</v>
      </c>
    </row>
    <row r="1325" customFormat="false" ht="15" hidden="false" customHeight="true" outlineLevel="0" collapsed="false">
      <c r="A1325" s="163" t="s">
        <v>3027</v>
      </c>
      <c r="B1325" s="163" t="s">
        <v>928</v>
      </c>
      <c r="C1325" s="163" t="s">
        <v>473</v>
      </c>
      <c r="D1325" s="163" t="s">
        <v>2764</v>
      </c>
      <c r="E1325" s="164" t="n">
        <v>16500</v>
      </c>
      <c r="F1325" s="165" t="s">
        <v>5310</v>
      </c>
    </row>
    <row r="1326" customFormat="false" ht="15" hidden="false" customHeight="true" outlineLevel="0" collapsed="false">
      <c r="A1326" s="163" t="s">
        <v>3027</v>
      </c>
      <c r="B1326" s="163" t="s">
        <v>928</v>
      </c>
      <c r="C1326" s="163" t="s">
        <v>5121</v>
      </c>
      <c r="D1326" s="163" t="s">
        <v>5122</v>
      </c>
      <c r="E1326" s="164" t="n">
        <v>9000</v>
      </c>
      <c r="F1326" s="165" t="s">
        <v>5311</v>
      </c>
    </row>
    <row r="1327" customFormat="false" ht="15" hidden="false" customHeight="true" outlineLevel="0" collapsed="false">
      <c r="A1327" s="163" t="s">
        <v>3027</v>
      </c>
      <c r="B1327" s="163" t="s">
        <v>928</v>
      </c>
      <c r="C1327" s="163" t="s">
        <v>3319</v>
      </c>
      <c r="D1327" s="163" t="s">
        <v>3320</v>
      </c>
      <c r="E1327" s="164" t="n">
        <v>8500</v>
      </c>
      <c r="F1327" s="165" t="s">
        <v>5312</v>
      </c>
    </row>
    <row r="1328" customFormat="false" ht="15" hidden="false" customHeight="true" outlineLevel="0" collapsed="false">
      <c r="A1328" s="163" t="s">
        <v>3027</v>
      </c>
      <c r="B1328" s="163" t="s">
        <v>928</v>
      </c>
      <c r="C1328" s="163" t="s">
        <v>5313</v>
      </c>
      <c r="D1328" s="163" t="s">
        <v>5314</v>
      </c>
      <c r="E1328" s="164" t="n">
        <v>8500</v>
      </c>
      <c r="F1328" s="165" t="s">
        <v>5315</v>
      </c>
    </row>
    <row r="1329" customFormat="false" ht="15" hidden="false" customHeight="true" outlineLevel="0" collapsed="false">
      <c r="A1329" s="163" t="s">
        <v>3027</v>
      </c>
      <c r="B1329" s="163" t="s">
        <v>928</v>
      </c>
      <c r="C1329" s="163" t="s">
        <v>5316</v>
      </c>
      <c r="D1329" s="163" t="s">
        <v>5317</v>
      </c>
      <c r="E1329" s="164" t="n">
        <v>5000</v>
      </c>
      <c r="F1329" s="165" t="s">
        <v>5318</v>
      </c>
    </row>
    <row r="1330" customFormat="false" ht="15" hidden="false" customHeight="true" outlineLevel="0" collapsed="false">
      <c r="A1330" s="163" t="s">
        <v>3027</v>
      </c>
      <c r="B1330" s="163" t="s">
        <v>928</v>
      </c>
      <c r="C1330" s="163" t="s">
        <v>5142</v>
      </c>
      <c r="D1330" s="163" t="s">
        <v>5143</v>
      </c>
      <c r="E1330" s="164" t="n">
        <v>5000</v>
      </c>
      <c r="F1330" s="165" t="s">
        <v>5319</v>
      </c>
    </row>
    <row r="1331" customFormat="false" ht="15" hidden="false" customHeight="true" outlineLevel="0" collapsed="false">
      <c r="A1331" s="163" t="s">
        <v>3027</v>
      </c>
      <c r="B1331" s="163" t="s">
        <v>928</v>
      </c>
      <c r="C1331" s="163" t="s">
        <v>5320</v>
      </c>
      <c r="D1331" s="163" t="s">
        <v>5321</v>
      </c>
      <c r="E1331" s="164" t="n">
        <v>5000</v>
      </c>
      <c r="F1331" s="165" t="s">
        <v>5322</v>
      </c>
    </row>
    <row r="1332" customFormat="false" ht="15" hidden="false" customHeight="true" outlineLevel="0" collapsed="false">
      <c r="A1332" s="163" t="s">
        <v>3027</v>
      </c>
      <c r="B1332" s="163" t="s">
        <v>928</v>
      </c>
      <c r="C1332" s="163" t="s">
        <v>5323</v>
      </c>
      <c r="D1332" s="163" t="s">
        <v>5324</v>
      </c>
      <c r="E1332" s="164" t="n">
        <v>5000</v>
      </c>
      <c r="F1332" s="165" t="s">
        <v>5325</v>
      </c>
    </row>
    <row r="1333" customFormat="false" ht="15" hidden="false" customHeight="true" outlineLevel="0" collapsed="false">
      <c r="A1333" s="163" t="s">
        <v>3027</v>
      </c>
      <c r="B1333" s="163" t="s">
        <v>928</v>
      </c>
      <c r="C1333" s="163" t="s">
        <v>400</v>
      </c>
      <c r="D1333" s="163" t="s">
        <v>2628</v>
      </c>
      <c r="E1333" s="164" t="n">
        <v>5000</v>
      </c>
      <c r="F1333" s="165" t="s">
        <v>5326</v>
      </c>
    </row>
    <row r="1334" customFormat="false" ht="15" hidden="false" customHeight="true" outlineLevel="0" collapsed="false">
      <c r="A1334" s="163" t="s">
        <v>3027</v>
      </c>
      <c r="B1334" s="163" t="s">
        <v>928</v>
      </c>
      <c r="C1334" s="163" t="s">
        <v>5327</v>
      </c>
      <c r="D1334" s="163" t="s">
        <v>5328</v>
      </c>
      <c r="E1334" s="164" t="n">
        <v>5000</v>
      </c>
      <c r="F1334" s="165" t="s">
        <v>5329</v>
      </c>
    </row>
    <row r="1335" customFormat="false" ht="15" hidden="false" customHeight="true" outlineLevel="0" collapsed="false">
      <c r="A1335" s="163" t="s">
        <v>602</v>
      </c>
      <c r="B1335" s="163" t="s">
        <v>926</v>
      </c>
      <c r="C1335" s="163" t="s">
        <v>1030</v>
      </c>
      <c r="D1335" s="163" t="s">
        <v>2791</v>
      </c>
      <c r="E1335" s="164" t="n">
        <v>40000</v>
      </c>
      <c r="F1335" s="165" t="s">
        <v>2792</v>
      </c>
    </row>
    <row r="1336" customFormat="false" ht="15" hidden="false" customHeight="true" outlineLevel="0" collapsed="false">
      <c r="A1336" s="163" t="s">
        <v>602</v>
      </c>
      <c r="B1336" s="163" t="s">
        <v>926</v>
      </c>
      <c r="C1336" s="163" t="s">
        <v>395</v>
      </c>
      <c r="D1336" s="163" t="s">
        <v>2196</v>
      </c>
      <c r="E1336" s="164" t="n">
        <v>15000</v>
      </c>
      <c r="F1336" s="165" t="s">
        <v>2793</v>
      </c>
    </row>
    <row r="1337" customFormat="false" ht="15" hidden="false" customHeight="true" outlineLevel="0" collapsed="false">
      <c r="A1337" s="163" t="s">
        <v>602</v>
      </c>
      <c r="B1337" s="163" t="s">
        <v>926</v>
      </c>
      <c r="C1337" s="163" t="s">
        <v>2632</v>
      </c>
      <c r="D1337" s="163" t="s">
        <v>2633</v>
      </c>
      <c r="E1337" s="164" t="n">
        <v>15000</v>
      </c>
      <c r="F1337" s="165" t="s">
        <v>2794</v>
      </c>
    </row>
    <row r="1338" customFormat="false" ht="15" hidden="false" customHeight="true" outlineLevel="0" collapsed="false">
      <c r="A1338" s="163" t="s">
        <v>602</v>
      </c>
      <c r="B1338" s="163" t="s">
        <v>926</v>
      </c>
      <c r="C1338" s="163" t="s">
        <v>1084</v>
      </c>
      <c r="D1338" s="163" t="s">
        <v>2062</v>
      </c>
      <c r="E1338" s="164" t="n">
        <v>15000</v>
      </c>
      <c r="F1338" s="165" t="s">
        <v>3060</v>
      </c>
    </row>
    <row r="1339" customFormat="false" ht="15" hidden="false" customHeight="true" outlineLevel="0" collapsed="false">
      <c r="A1339" s="163" t="s">
        <v>602</v>
      </c>
      <c r="B1339" s="163" t="s">
        <v>926</v>
      </c>
      <c r="C1339" s="163" t="s">
        <v>893</v>
      </c>
      <c r="D1339" s="163" t="s">
        <v>1931</v>
      </c>
      <c r="E1339" s="164" t="n">
        <v>15000</v>
      </c>
      <c r="F1339" s="165" t="s">
        <v>2795</v>
      </c>
    </row>
    <row r="1340" customFormat="false" ht="15" hidden="false" customHeight="true" outlineLevel="0" collapsed="false">
      <c r="A1340" s="163" t="s">
        <v>602</v>
      </c>
      <c r="B1340" s="163" t="s">
        <v>957</v>
      </c>
      <c r="C1340" s="163" t="s">
        <v>1095</v>
      </c>
      <c r="D1340" s="163" t="s">
        <v>1840</v>
      </c>
      <c r="E1340" s="164" t="n">
        <v>35000</v>
      </c>
      <c r="F1340" s="165" t="s">
        <v>2796</v>
      </c>
    </row>
    <row r="1341" customFormat="false" ht="15" hidden="false" customHeight="true" outlineLevel="0" collapsed="false">
      <c r="A1341" s="163" t="s">
        <v>602</v>
      </c>
      <c r="B1341" s="163" t="s">
        <v>957</v>
      </c>
      <c r="C1341" s="163" t="s">
        <v>1141</v>
      </c>
      <c r="D1341" s="163" t="s">
        <v>1847</v>
      </c>
      <c r="E1341" s="164" t="n">
        <v>17000</v>
      </c>
      <c r="F1341" s="165" t="s">
        <v>3060</v>
      </c>
    </row>
    <row r="1342" customFormat="false" ht="15" hidden="false" customHeight="true" outlineLevel="0" collapsed="false">
      <c r="A1342" s="163" t="s">
        <v>602</v>
      </c>
      <c r="B1342" s="163" t="s">
        <v>957</v>
      </c>
      <c r="C1342" s="163" t="s">
        <v>657</v>
      </c>
      <c r="D1342" s="163" t="s">
        <v>1849</v>
      </c>
      <c r="E1342" s="164" t="n">
        <v>16000</v>
      </c>
      <c r="F1342" s="165" t="s">
        <v>3060</v>
      </c>
    </row>
    <row r="1343" customFormat="false" ht="15" hidden="false" customHeight="true" outlineLevel="0" collapsed="false">
      <c r="A1343" s="163" t="s">
        <v>602</v>
      </c>
      <c r="B1343" s="163" t="s">
        <v>957</v>
      </c>
      <c r="C1343" s="163" t="s">
        <v>1195</v>
      </c>
      <c r="D1343" s="163" t="s">
        <v>1869</v>
      </c>
      <c r="E1343" s="164" t="n">
        <v>10000</v>
      </c>
      <c r="F1343" s="165" t="s">
        <v>3060</v>
      </c>
    </row>
    <row r="1344" customFormat="false" ht="15" hidden="false" customHeight="true" outlineLevel="0" collapsed="false">
      <c r="A1344" s="163" t="s">
        <v>602</v>
      </c>
      <c r="B1344" s="163" t="s">
        <v>957</v>
      </c>
      <c r="C1344" s="163" t="s">
        <v>477</v>
      </c>
      <c r="D1344" s="163" t="s">
        <v>1872</v>
      </c>
      <c r="E1344" s="164" t="n">
        <v>10000</v>
      </c>
      <c r="F1344" s="165" t="s">
        <v>3060</v>
      </c>
    </row>
    <row r="1345" customFormat="false" ht="15" hidden="false" customHeight="true" outlineLevel="0" collapsed="false">
      <c r="A1345" s="163" t="s">
        <v>602</v>
      </c>
      <c r="B1345" s="163" t="s">
        <v>957</v>
      </c>
      <c r="C1345" s="163" t="s">
        <v>1876</v>
      </c>
      <c r="D1345" s="163" t="s">
        <v>1877</v>
      </c>
      <c r="E1345" s="164" t="n">
        <v>9000</v>
      </c>
      <c r="F1345" s="165" t="s">
        <v>3060</v>
      </c>
    </row>
    <row r="1346" customFormat="false" ht="15" hidden="false" customHeight="true" outlineLevel="0" collapsed="false">
      <c r="A1346" s="163" t="s">
        <v>602</v>
      </c>
      <c r="B1346" s="163" t="s">
        <v>957</v>
      </c>
      <c r="C1346" s="163" t="s">
        <v>309</v>
      </c>
      <c r="D1346" s="163" t="s">
        <v>1865</v>
      </c>
      <c r="E1346" s="164" t="n">
        <v>8000</v>
      </c>
      <c r="F1346" s="165" t="s">
        <v>3060</v>
      </c>
    </row>
    <row r="1347" customFormat="false" ht="15" hidden="false" customHeight="true" outlineLevel="0" collapsed="false">
      <c r="A1347" s="163" t="s">
        <v>602</v>
      </c>
      <c r="B1347" s="163" t="s">
        <v>957</v>
      </c>
      <c r="C1347" s="163" t="s">
        <v>1227</v>
      </c>
      <c r="D1347" s="163" t="s">
        <v>1884</v>
      </c>
      <c r="E1347" s="164" t="n">
        <v>5000</v>
      </c>
      <c r="F1347" s="165" t="s">
        <v>3060</v>
      </c>
    </row>
    <row r="1348" customFormat="false" ht="15" hidden="false" customHeight="true" outlineLevel="0" collapsed="false">
      <c r="A1348" s="163" t="s">
        <v>602</v>
      </c>
      <c r="B1348" s="163" t="s">
        <v>945</v>
      </c>
      <c r="C1348" s="163" t="s">
        <v>388</v>
      </c>
      <c r="D1348" s="163" t="s">
        <v>1889</v>
      </c>
      <c r="E1348" s="164" t="n">
        <v>20000</v>
      </c>
      <c r="F1348" s="165" t="s">
        <v>3060</v>
      </c>
    </row>
    <row r="1349" customFormat="false" ht="15" hidden="false" customHeight="true" outlineLevel="0" collapsed="false">
      <c r="A1349" s="163" t="s">
        <v>602</v>
      </c>
      <c r="B1349" s="163" t="s">
        <v>945</v>
      </c>
      <c r="C1349" s="163" t="s">
        <v>380</v>
      </c>
      <c r="D1349" s="163" t="s">
        <v>1899</v>
      </c>
      <c r="E1349" s="164" t="n">
        <v>5000</v>
      </c>
      <c r="F1349" s="165" t="s">
        <v>3060</v>
      </c>
    </row>
    <row r="1350" customFormat="false" ht="15" hidden="false" customHeight="true" outlineLevel="0" collapsed="false">
      <c r="A1350" s="163" t="s">
        <v>602</v>
      </c>
      <c r="B1350" s="163" t="s">
        <v>3111</v>
      </c>
      <c r="C1350" s="163" t="s">
        <v>225</v>
      </c>
      <c r="D1350" s="163" t="s">
        <v>1887</v>
      </c>
      <c r="E1350" s="164" t="n">
        <v>15000</v>
      </c>
      <c r="F1350" s="165" t="s">
        <v>3060</v>
      </c>
    </row>
    <row r="1351" customFormat="false" ht="15" hidden="false" customHeight="true" outlineLevel="0" collapsed="false">
      <c r="A1351" s="163" t="s">
        <v>602</v>
      </c>
      <c r="B1351" s="163" t="s">
        <v>3111</v>
      </c>
      <c r="C1351" s="163" t="s">
        <v>1158</v>
      </c>
      <c r="D1351" s="163" t="s">
        <v>1916</v>
      </c>
      <c r="E1351" s="164" t="n">
        <v>15000</v>
      </c>
      <c r="F1351" s="165" t="s">
        <v>3060</v>
      </c>
    </row>
    <row r="1352" customFormat="false" ht="15" hidden="false" customHeight="true" outlineLevel="0" collapsed="false">
      <c r="A1352" s="163" t="s">
        <v>602</v>
      </c>
      <c r="B1352" s="163" t="s">
        <v>3111</v>
      </c>
      <c r="C1352" s="163" t="s">
        <v>1179</v>
      </c>
      <c r="D1352" s="163" t="s">
        <v>1918</v>
      </c>
      <c r="E1352" s="164" t="n">
        <v>15000</v>
      </c>
      <c r="F1352" s="165" t="s">
        <v>3060</v>
      </c>
    </row>
    <row r="1353" customFormat="false" ht="15" hidden="false" customHeight="true" outlineLevel="0" collapsed="false">
      <c r="A1353" s="163" t="s">
        <v>602</v>
      </c>
      <c r="B1353" s="163" t="s">
        <v>3111</v>
      </c>
      <c r="C1353" s="163" t="s">
        <v>1104</v>
      </c>
      <c r="D1353" s="163" t="s">
        <v>1917</v>
      </c>
      <c r="E1353" s="164" t="n">
        <v>15000</v>
      </c>
      <c r="F1353" s="165" t="s">
        <v>3060</v>
      </c>
    </row>
    <row r="1354" customFormat="false" ht="15" hidden="false" customHeight="true" outlineLevel="0" collapsed="false">
      <c r="A1354" s="163" t="s">
        <v>602</v>
      </c>
      <c r="B1354" s="163" t="s">
        <v>3111</v>
      </c>
      <c r="C1354" s="163" t="s">
        <v>281</v>
      </c>
      <c r="D1354" s="163" t="s">
        <v>1922</v>
      </c>
      <c r="E1354" s="164" t="n">
        <v>10000</v>
      </c>
      <c r="F1354" s="165" t="s">
        <v>3060</v>
      </c>
    </row>
    <row r="1355" customFormat="false" ht="15" hidden="false" customHeight="true" outlineLevel="0" collapsed="false">
      <c r="A1355" s="163" t="s">
        <v>602</v>
      </c>
      <c r="B1355" s="163" t="s">
        <v>3111</v>
      </c>
      <c r="C1355" s="163" t="s">
        <v>933</v>
      </c>
      <c r="D1355" s="163" t="s">
        <v>1925</v>
      </c>
      <c r="E1355" s="164" t="n">
        <v>10000</v>
      </c>
      <c r="F1355" s="165" t="s">
        <v>2797</v>
      </c>
    </row>
    <row r="1356" customFormat="false" ht="15" hidden="false" customHeight="true" outlineLevel="0" collapsed="false">
      <c r="A1356" s="163" t="s">
        <v>602</v>
      </c>
      <c r="B1356" s="163" t="s">
        <v>3111</v>
      </c>
      <c r="C1356" s="163" t="s">
        <v>1876</v>
      </c>
      <c r="D1356" s="163" t="s">
        <v>1877</v>
      </c>
      <c r="E1356" s="164" t="n">
        <v>10000</v>
      </c>
      <c r="F1356" s="165" t="s">
        <v>3060</v>
      </c>
    </row>
    <row r="1357" customFormat="false" ht="15" hidden="false" customHeight="true" outlineLevel="0" collapsed="false">
      <c r="A1357" s="163" t="s">
        <v>602</v>
      </c>
      <c r="B1357" s="163" t="s">
        <v>3111</v>
      </c>
      <c r="C1357" s="163" t="s">
        <v>1149</v>
      </c>
      <c r="D1357" s="163" t="s">
        <v>1933</v>
      </c>
      <c r="E1357" s="164" t="n">
        <v>10000</v>
      </c>
      <c r="F1357" s="165" t="s">
        <v>3060</v>
      </c>
    </row>
    <row r="1358" customFormat="false" ht="15" hidden="false" customHeight="true" outlineLevel="0" collapsed="false">
      <c r="A1358" s="163" t="s">
        <v>602</v>
      </c>
      <c r="B1358" s="163" t="s">
        <v>1938</v>
      </c>
      <c r="C1358" s="163" t="s">
        <v>290</v>
      </c>
      <c r="D1358" s="163" t="s">
        <v>1909</v>
      </c>
      <c r="E1358" s="164" t="n">
        <v>20000</v>
      </c>
      <c r="F1358" s="165" t="s">
        <v>2798</v>
      </c>
    </row>
    <row r="1359" customFormat="false" ht="15" hidden="false" customHeight="true" outlineLevel="0" collapsed="false">
      <c r="A1359" s="163" t="s">
        <v>602</v>
      </c>
      <c r="B1359" s="163" t="s">
        <v>1938</v>
      </c>
      <c r="C1359" s="163" t="s">
        <v>290</v>
      </c>
      <c r="D1359" s="163" t="s">
        <v>1909</v>
      </c>
      <c r="E1359" s="164" t="n">
        <v>20000</v>
      </c>
      <c r="F1359" s="165" t="s">
        <v>2799</v>
      </c>
    </row>
    <row r="1360" customFormat="false" ht="15" hidden="false" customHeight="true" outlineLevel="0" collapsed="false">
      <c r="A1360" s="163" t="s">
        <v>602</v>
      </c>
      <c r="B1360" s="163" t="s">
        <v>1938</v>
      </c>
      <c r="C1360" s="163" t="s">
        <v>290</v>
      </c>
      <c r="D1360" s="163" t="s">
        <v>1909</v>
      </c>
      <c r="E1360" s="164" t="n">
        <v>20000</v>
      </c>
      <c r="F1360" s="165" t="s">
        <v>2800</v>
      </c>
    </row>
    <row r="1361" customFormat="false" ht="15" hidden="false" customHeight="true" outlineLevel="0" collapsed="false">
      <c r="A1361" s="163" t="s">
        <v>602</v>
      </c>
      <c r="B1361" s="163" t="s">
        <v>1938</v>
      </c>
      <c r="C1361" s="163" t="s">
        <v>1169</v>
      </c>
      <c r="D1361" s="163" t="s">
        <v>2801</v>
      </c>
      <c r="E1361" s="164" t="n">
        <v>20000</v>
      </c>
      <c r="F1361" s="165" t="s">
        <v>2802</v>
      </c>
    </row>
    <row r="1362" customFormat="false" ht="15" hidden="false" customHeight="true" outlineLevel="0" collapsed="false">
      <c r="A1362" s="163" t="s">
        <v>602</v>
      </c>
      <c r="B1362" s="163" t="s">
        <v>1938</v>
      </c>
      <c r="C1362" s="163" t="s">
        <v>2632</v>
      </c>
      <c r="D1362" s="163" t="s">
        <v>2633</v>
      </c>
      <c r="E1362" s="164" t="n">
        <v>20000</v>
      </c>
      <c r="F1362" s="165" t="s">
        <v>2803</v>
      </c>
    </row>
    <row r="1363" customFormat="false" ht="15" hidden="false" customHeight="true" outlineLevel="0" collapsed="false">
      <c r="A1363" s="163" t="s">
        <v>602</v>
      </c>
      <c r="B1363" s="163" t="s">
        <v>1938</v>
      </c>
      <c r="C1363" s="163" t="s">
        <v>343</v>
      </c>
      <c r="D1363" s="163" t="s">
        <v>1894</v>
      </c>
      <c r="E1363" s="164" t="n">
        <v>20000</v>
      </c>
      <c r="F1363" s="165" t="s">
        <v>2804</v>
      </c>
    </row>
    <row r="1364" customFormat="false" ht="15" hidden="false" customHeight="true" outlineLevel="0" collapsed="false">
      <c r="A1364" s="163" t="s">
        <v>602</v>
      </c>
      <c r="B1364" s="163" t="s">
        <v>1938</v>
      </c>
      <c r="C1364" s="163" t="s">
        <v>343</v>
      </c>
      <c r="D1364" s="163" t="s">
        <v>1894</v>
      </c>
      <c r="E1364" s="164" t="n">
        <v>20000</v>
      </c>
      <c r="F1364" s="165" t="s">
        <v>2805</v>
      </c>
    </row>
    <row r="1365" customFormat="false" ht="15" hidden="false" customHeight="true" outlineLevel="0" collapsed="false">
      <c r="A1365" s="163" t="s">
        <v>602</v>
      </c>
      <c r="B1365" s="163" t="s">
        <v>1938</v>
      </c>
      <c r="C1365" s="163" t="s">
        <v>2073</v>
      </c>
      <c r="D1365" s="163" t="s">
        <v>2074</v>
      </c>
      <c r="E1365" s="164" t="n">
        <v>20000</v>
      </c>
      <c r="F1365" s="165" t="s">
        <v>2806</v>
      </c>
    </row>
    <row r="1366" customFormat="false" ht="15" hidden="false" customHeight="true" outlineLevel="0" collapsed="false">
      <c r="A1366" s="163" t="s">
        <v>602</v>
      </c>
      <c r="B1366" s="163" t="s">
        <v>1938</v>
      </c>
      <c r="C1366" s="163" t="s">
        <v>902</v>
      </c>
      <c r="D1366" s="163" t="s">
        <v>2215</v>
      </c>
      <c r="E1366" s="164" t="n">
        <v>20000</v>
      </c>
      <c r="F1366" s="165" t="s">
        <v>2807</v>
      </c>
    </row>
    <row r="1367" customFormat="false" ht="15" hidden="false" customHeight="true" outlineLevel="0" collapsed="false">
      <c r="A1367" s="163" t="s">
        <v>602</v>
      </c>
      <c r="B1367" s="163" t="s">
        <v>1938</v>
      </c>
      <c r="C1367" s="163" t="s">
        <v>388</v>
      </c>
      <c r="D1367" s="163" t="s">
        <v>1889</v>
      </c>
      <c r="E1367" s="164" t="n">
        <v>20000</v>
      </c>
      <c r="F1367" s="165" t="s">
        <v>2808</v>
      </c>
    </row>
    <row r="1368" customFormat="false" ht="15" hidden="false" customHeight="true" outlineLevel="0" collapsed="false">
      <c r="A1368" s="163" t="s">
        <v>602</v>
      </c>
      <c r="B1368" s="163" t="s">
        <v>1938</v>
      </c>
      <c r="C1368" s="163" t="s">
        <v>388</v>
      </c>
      <c r="D1368" s="163" t="s">
        <v>1889</v>
      </c>
      <c r="E1368" s="164" t="n">
        <v>20000</v>
      </c>
      <c r="F1368" s="165" t="s">
        <v>2809</v>
      </c>
    </row>
    <row r="1369" customFormat="false" ht="15" hidden="false" customHeight="true" outlineLevel="0" collapsed="false">
      <c r="A1369" s="163" t="s">
        <v>602</v>
      </c>
      <c r="B1369" s="163" t="s">
        <v>1938</v>
      </c>
      <c r="C1369" s="163" t="s">
        <v>388</v>
      </c>
      <c r="D1369" s="163" t="s">
        <v>1889</v>
      </c>
      <c r="E1369" s="164" t="n">
        <v>20000</v>
      </c>
      <c r="F1369" s="165" t="s">
        <v>2810</v>
      </c>
    </row>
    <row r="1370" customFormat="false" ht="15" hidden="false" customHeight="true" outlineLevel="0" collapsed="false">
      <c r="A1370" s="163" t="s">
        <v>602</v>
      </c>
      <c r="B1370" s="163" t="s">
        <v>1938</v>
      </c>
      <c r="C1370" s="163" t="s">
        <v>388</v>
      </c>
      <c r="D1370" s="163" t="s">
        <v>1889</v>
      </c>
      <c r="E1370" s="164" t="n">
        <v>20000</v>
      </c>
      <c r="F1370" s="165" t="s">
        <v>2811</v>
      </c>
    </row>
    <row r="1371" customFormat="false" ht="15" hidden="false" customHeight="true" outlineLevel="0" collapsed="false">
      <c r="A1371" s="163" t="s">
        <v>602</v>
      </c>
      <c r="B1371" s="163" t="s">
        <v>1938</v>
      </c>
      <c r="C1371" s="163" t="s">
        <v>350</v>
      </c>
      <c r="D1371" s="163" t="s">
        <v>1913</v>
      </c>
      <c r="E1371" s="164" t="n">
        <v>20000</v>
      </c>
      <c r="F1371" s="165" t="s">
        <v>2812</v>
      </c>
    </row>
    <row r="1372" customFormat="false" ht="15" hidden="false" customHeight="true" outlineLevel="0" collapsed="false">
      <c r="A1372" s="163" t="s">
        <v>602</v>
      </c>
      <c r="B1372" s="163" t="s">
        <v>1938</v>
      </c>
      <c r="C1372" s="163" t="s">
        <v>350</v>
      </c>
      <c r="D1372" s="163" t="s">
        <v>1913</v>
      </c>
      <c r="E1372" s="164" t="n">
        <v>20000</v>
      </c>
      <c r="F1372" s="165" t="s">
        <v>2813</v>
      </c>
    </row>
    <row r="1373" customFormat="false" ht="15" hidden="false" customHeight="true" outlineLevel="0" collapsed="false">
      <c r="A1373" s="163" t="s">
        <v>602</v>
      </c>
      <c r="B1373" s="163" t="s">
        <v>1938</v>
      </c>
      <c r="C1373" s="163" t="s">
        <v>350</v>
      </c>
      <c r="D1373" s="163" t="s">
        <v>1913</v>
      </c>
      <c r="E1373" s="164" t="n">
        <v>20000</v>
      </c>
      <c r="F1373" s="165" t="s">
        <v>2814</v>
      </c>
    </row>
    <row r="1374" customFormat="false" ht="15" hidden="false" customHeight="true" outlineLevel="0" collapsed="false">
      <c r="A1374" s="163" t="s">
        <v>602</v>
      </c>
      <c r="B1374" s="163" t="s">
        <v>1938</v>
      </c>
      <c r="C1374" s="163" t="s">
        <v>350</v>
      </c>
      <c r="D1374" s="163" t="s">
        <v>1913</v>
      </c>
      <c r="E1374" s="164" t="n">
        <v>20000</v>
      </c>
      <c r="F1374" s="165" t="s">
        <v>2815</v>
      </c>
    </row>
    <row r="1375" customFormat="false" ht="15" hidden="false" customHeight="true" outlineLevel="0" collapsed="false">
      <c r="A1375" s="163" t="s">
        <v>602</v>
      </c>
      <c r="B1375" s="163" t="s">
        <v>691</v>
      </c>
      <c r="C1375" s="163" t="s">
        <v>350</v>
      </c>
      <c r="D1375" s="163" t="s">
        <v>1913</v>
      </c>
      <c r="E1375" s="164" t="n">
        <v>22500</v>
      </c>
      <c r="F1375" s="165" t="s">
        <v>3060</v>
      </c>
    </row>
    <row r="1376" customFormat="false" ht="15" hidden="false" customHeight="true" outlineLevel="0" collapsed="false">
      <c r="A1376" s="163" t="s">
        <v>602</v>
      </c>
      <c r="B1376" s="163" t="s">
        <v>691</v>
      </c>
      <c r="C1376" s="163" t="s">
        <v>2816</v>
      </c>
      <c r="D1376" s="163" t="s">
        <v>2817</v>
      </c>
      <c r="E1376" s="164" t="n">
        <v>20000</v>
      </c>
      <c r="F1376" s="165" t="s">
        <v>3060</v>
      </c>
    </row>
    <row r="1377" customFormat="false" ht="15" hidden="false" customHeight="true" outlineLevel="0" collapsed="false">
      <c r="A1377" s="163" t="s">
        <v>602</v>
      </c>
      <c r="B1377" s="163" t="s">
        <v>691</v>
      </c>
      <c r="C1377" s="163" t="s">
        <v>993</v>
      </c>
      <c r="D1377" s="163" t="s">
        <v>2818</v>
      </c>
      <c r="E1377" s="164" t="n">
        <v>18000</v>
      </c>
      <c r="F1377" s="165" t="s">
        <v>3060</v>
      </c>
    </row>
    <row r="1378" customFormat="false" ht="15" hidden="false" customHeight="true" outlineLevel="0" collapsed="false">
      <c r="A1378" s="163" t="s">
        <v>602</v>
      </c>
      <c r="B1378" s="163" t="s">
        <v>691</v>
      </c>
      <c r="C1378" s="163" t="s">
        <v>1127</v>
      </c>
      <c r="D1378" s="163" t="s">
        <v>2155</v>
      </c>
      <c r="E1378" s="164" t="n">
        <v>12500</v>
      </c>
      <c r="F1378" s="165" t="s">
        <v>3060</v>
      </c>
    </row>
    <row r="1379" customFormat="false" ht="15" hidden="false" customHeight="true" outlineLevel="0" collapsed="false">
      <c r="A1379" s="163" t="s">
        <v>602</v>
      </c>
      <c r="B1379" s="163" t="s">
        <v>691</v>
      </c>
      <c r="C1379" s="163" t="s">
        <v>346</v>
      </c>
      <c r="D1379" s="163" t="s">
        <v>2670</v>
      </c>
      <c r="E1379" s="164" t="n">
        <v>12000</v>
      </c>
      <c r="F1379" s="165" t="s">
        <v>3060</v>
      </c>
    </row>
    <row r="1380" customFormat="false" ht="15" hidden="false" customHeight="true" outlineLevel="0" collapsed="false">
      <c r="A1380" s="163" t="s">
        <v>602</v>
      </c>
      <c r="B1380" s="163" t="s">
        <v>691</v>
      </c>
      <c r="C1380" s="163" t="s">
        <v>427</v>
      </c>
      <c r="D1380" s="163" t="s">
        <v>2173</v>
      </c>
      <c r="E1380" s="164" t="n">
        <v>10000</v>
      </c>
      <c r="F1380" s="165" t="s">
        <v>3060</v>
      </c>
    </row>
    <row r="1381" customFormat="false" ht="15" hidden="false" customHeight="true" outlineLevel="0" collapsed="false">
      <c r="A1381" s="163" t="s">
        <v>602</v>
      </c>
      <c r="B1381" s="163" t="s">
        <v>691</v>
      </c>
      <c r="C1381" s="163" t="s">
        <v>290</v>
      </c>
      <c r="D1381" s="163" t="s">
        <v>1909</v>
      </c>
      <c r="E1381" s="164" t="n">
        <v>10000</v>
      </c>
      <c r="F1381" s="165" t="s">
        <v>3060</v>
      </c>
    </row>
    <row r="1382" customFormat="false" ht="15" hidden="false" customHeight="true" outlineLevel="0" collapsed="false">
      <c r="A1382" s="163" t="s">
        <v>602</v>
      </c>
      <c r="B1382" s="163" t="s">
        <v>691</v>
      </c>
      <c r="C1382" s="163" t="s">
        <v>2083</v>
      </c>
      <c r="D1382" s="163" t="s">
        <v>2084</v>
      </c>
      <c r="E1382" s="164" t="n">
        <v>10000</v>
      </c>
      <c r="F1382" s="165" t="s">
        <v>3060</v>
      </c>
    </row>
    <row r="1383" customFormat="false" ht="15" hidden="false" customHeight="true" outlineLevel="0" collapsed="false">
      <c r="A1383" s="163" t="s">
        <v>602</v>
      </c>
      <c r="B1383" s="163" t="s">
        <v>691</v>
      </c>
      <c r="C1383" s="163" t="s">
        <v>293</v>
      </c>
      <c r="D1383" s="163" t="s">
        <v>2438</v>
      </c>
      <c r="E1383" s="164" t="n">
        <v>10000</v>
      </c>
      <c r="F1383" s="165" t="s">
        <v>3060</v>
      </c>
    </row>
    <row r="1384" customFormat="false" ht="15" hidden="false" customHeight="true" outlineLevel="0" collapsed="false">
      <c r="A1384" s="163" t="s">
        <v>602</v>
      </c>
      <c r="B1384" s="163" t="s">
        <v>691</v>
      </c>
      <c r="C1384" s="163" t="s">
        <v>2819</v>
      </c>
      <c r="D1384" s="163" t="s">
        <v>2820</v>
      </c>
      <c r="E1384" s="164" t="n">
        <v>10000</v>
      </c>
      <c r="F1384" s="165" t="s">
        <v>3060</v>
      </c>
    </row>
    <row r="1385" customFormat="false" ht="15" hidden="false" customHeight="true" outlineLevel="0" collapsed="false">
      <c r="A1385" s="163" t="s">
        <v>602</v>
      </c>
      <c r="B1385" s="163" t="s">
        <v>691</v>
      </c>
      <c r="C1385" s="163" t="s">
        <v>515</v>
      </c>
      <c r="D1385" s="163" t="s">
        <v>2110</v>
      </c>
      <c r="E1385" s="164" t="n">
        <v>10000</v>
      </c>
      <c r="F1385" s="165" t="s">
        <v>3060</v>
      </c>
    </row>
    <row r="1386" customFormat="false" ht="15" hidden="false" customHeight="true" outlineLevel="0" collapsed="false">
      <c r="A1386" s="163" t="s">
        <v>602</v>
      </c>
      <c r="B1386" s="163" t="s">
        <v>2027</v>
      </c>
      <c r="C1386" s="163" t="s">
        <v>657</v>
      </c>
      <c r="D1386" s="163" t="s">
        <v>1849</v>
      </c>
      <c r="E1386" s="164" t="n">
        <v>45000</v>
      </c>
      <c r="F1386" s="165" t="s">
        <v>2821</v>
      </c>
    </row>
    <row r="1387" customFormat="false" ht="15" hidden="false" customHeight="true" outlineLevel="0" collapsed="false">
      <c r="A1387" s="163" t="s">
        <v>602</v>
      </c>
      <c r="B1387" s="163" t="s">
        <v>2027</v>
      </c>
      <c r="C1387" s="163" t="s">
        <v>1104</v>
      </c>
      <c r="D1387" s="163" t="s">
        <v>1917</v>
      </c>
      <c r="E1387" s="164" t="n">
        <v>45000</v>
      </c>
      <c r="F1387" s="165" t="s">
        <v>3060</v>
      </c>
    </row>
    <row r="1388" customFormat="false" ht="15" hidden="false" customHeight="true" outlineLevel="0" collapsed="false">
      <c r="A1388" s="163" t="s">
        <v>602</v>
      </c>
      <c r="B1388" s="163" t="s">
        <v>2037</v>
      </c>
      <c r="C1388" s="163" t="s">
        <v>215</v>
      </c>
      <c r="D1388" s="163" t="s">
        <v>1856</v>
      </c>
      <c r="E1388" s="164" t="n">
        <v>55000</v>
      </c>
      <c r="F1388" s="165" t="s">
        <v>3060</v>
      </c>
    </row>
    <row r="1389" customFormat="false" ht="15" hidden="false" customHeight="true" outlineLevel="0" collapsed="false">
      <c r="A1389" s="163" t="s">
        <v>602</v>
      </c>
      <c r="B1389" s="163" t="s">
        <v>2037</v>
      </c>
      <c r="C1389" s="163" t="s">
        <v>1860</v>
      </c>
      <c r="D1389" s="163" t="s">
        <v>1861</v>
      </c>
      <c r="E1389" s="164" t="n">
        <v>50000</v>
      </c>
      <c r="F1389" s="165" t="s">
        <v>2821</v>
      </c>
    </row>
    <row r="1390" customFormat="false" ht="15" hidden="false" customHeight="true" outlineLevel="0" collapsed="false">
      <c r="A1390" s="163" t="s">
        <v>602</v>
      </c>
      <c r="B1390" s="163" t="s">
        <v>2037</v>
      </c>
      <c r="C1390" s="163" t="s">
        <v>145</v>
      </c>
      <c r="D1390" s="163" t="s">
        <v>2691</v>
      </c>
      <c r="E1390" s="164" t="n">
        <v>45000</v>
      </c>
      <c r="F1390" s="165" t="s">
        <v>3060</v>
      </c>
    </row>
    <row r="1391" customFormat="false" ht="15" hidden="false" customHeight="true" outlineLevel="0" collapsed="false">
      <c r="A1391" s="163" t="s">
        <v>602</v>
      </c>
      <c r="B1391" s="163" t="s">
        <v>2037</v>
      </c>
      <c r="C1391" s="163" t="s">
        <v>313</v>
      </c>
      <c r="D1391" s="163" t="s">
        <v>2690</v>
      </c>
      <c r="E1391" s="164" t="n">
        <v>45000</v>
      </c>
      <c r="F1391" s="165" t="s">
        <v>3060</v>
      </c>
    </row>
    <row r="1392" customFormat="false" ht="15" hidden="false" customHeight="true" outlineLevel="0" collapsed="false">
      <c r="A1392" s="163" t="s">
        <v>602</v>
      </c>
      <c r="B1392" s="163" t="s">
        <v>894</v>
      </c>
      <c r="C1392" s="163" t="s">
        <v>1084</v>
      </c>
      <c r="D1392" s="163" t="s">
        <v>2062</v>
      </c>
      <c r="E1392" s="164" t="n">
        <v>25000</v>
      </c>
      <c r="F1392" s="165" t="s">
        <v>2822</v>
      </c>
    </row>
    <row r="1393" customFormat="false" ht="15" hidden="false" customHeight="true" outlineLevel="0" collapsed="false">
      <c r="A1393" s="163" t="s">
        <v>602</v>
      </c>
      <c r="B1393" s="163" t="s">
        <v>894</v>
      </c>
      <c r="C1393" s="163" t="s">
        <v>1084</v>
      </c>
      <c r="D1393" s="163" t="s">
        <v>2062</v>
      </c>
      <c r="E1393" s="164" t="n">
        <v>25000</v>
      </c>
      <c r="F1393" s="165" t="s">
        <v>2823</v>
      </c>
    </row>
    <row r="1394" customFormat="false" ht="15" hidden="false" customHeight="true" outlineLevel="0" collapsed="false">
      <c r="A1394" s="163" t="s">
        <v>602</v>
      </c>
      <c r="B1394" s="163" t="s">
        <v>894</v>
      </c>
      <c r="C1394" s="163" t="s">
        <v>1084</v>
      </c>
      <c r="D1394" s="163" t="s">
        <v>2062</v>
      </c>
      <c r="E1394" s="164" t="n">
        <v>20000</v>
      </c>
      <c r="F1394" s="165" t="s">
        <v>2824</v>
      </c>
    </row>
    <row r="1395" customFormat="false" ht="15" hidden="false" customHeight="true" outlineLevel="0" collapsed="false">
      <c r="A1395" s="163" t="s">
        <v>602</v>
      </c>
      <c r="B1395" s="163" t="s">
        <v>894</v>
      </c>
      <c r="C1395" s="163" t="s">
        <v>2073</v>
      </c>
      <c r="D1395" s="163" t="s">
        <v>2074</v>
      </c>
      <c r="E1395" s="164" t="n">
        <v>20000</v>
      </c>
      <c r="F1395" s="165" t="s">
        <v>3060</v>
      </c>
    </row>
    <row r="1396" customFormat="false" ht="15" hidden="false" customHeight="true" outlineLevel="0" collapsed="false">
      <c r="A1396" s="163" t="s">
        <v>602</v>
      </c>
      <c r="B1396" s="163" t="s">
        <v>894</v>
      </c>
      <c r="C1396" s="163" t="s">
        <v>435</v>
      </c>
      <c r="D1396" s="163" t="s">
        <v>1874</v>
      </c>
      <c r="E1396" s="164" t="n">
        <v>20000</v>
      </c>
      <c r="F1396" s="165" t="s">
        <v>3060</v>
      </c>
    </row>
    <row r="1397" customFormat="false" ht="15" hidden="false" customHeight="true" outlineLevel="0" collapsed="false">
      <c r="A1397" s="163" t="s">
        <v>602</v>
      </c>
      <c r="B1397" s="163" t="s">
        <v>894</v>
      </c>
      <c r="C1397" s="163" t="s">
        <v>2065</v>
      </c>
      <c r="D1397" s="163" t="s">
        <v>2066</v>
      </c>
      <c r="E1397" s="164" t="n">
        <v>15000</v>
      </c>
      <c r="F1397" s="165" t="s">
        <v>3060</v>
      </c>
    </row>
    <row r="1398" customFormat="false" ht="15" hidden="false" customHeight="true" outlineLevel="0" collapsed="false">
      <c r="A1398" s="163" t="s">
        <v>602</v>
      </c>
      <c r="B1398" s="163" t="s">
        <v>894</v>
      </c>
      <c r="C1398" s="163" t="s">
        <v>1876</v>
      </c>
      <c r="D1398" s="163" t="s">
        <v>1877</v>
      </c>
      <c r="E1398" s="164" t="n">
        <v>15000</v>
      </c>
      <c r="F1398" s="165" t="s">
        <v>2825</v>
      </c>
    </row>
    <row r="1399" customFormat="false" ht="15" hidden="false" customHeight="true" outlineLevel="0" collapsed="false">
      <c r="A1399" s="163" t="s">
        <v>602</v>
      </c>
      <c r="B1399" s="163" t="s">
        <v>894</v>
      </c>
      <c r="C1399" s="163" t="s">
        <v>1149</v>
      </c>
      <c r="D1399" s="163" t="s">
        <v>1933</v>
      </c>
      <c r="E1399" s="164" t="n">
        <v>15000</v>
      </c>
      <c r="F1399" s="165" t="s">
        <v>2826</v>
      </c>
    </row>
    <row r="1400" customFormat="false" ht="15" hidden="false" customHeight="true" outlineLevel="0" collapsed="false">
      <c r="A1400" s="163" t="s">
        <v>602</v>
      </c>
      <c r="B1400" s="163" t="s">
        <v>894</v>
      </c>
      <c r="C1400" s="163" t="s">
        <v>617</v>
      </c>
      <c r="D1400" s="163" t="s">
        <v>2064</v>
      </c>
      <c r="E1400" s="164" t="n">
        <v>15000</v>
      </c>
      <c r="F1400" s="165" t="s">
        <v>3060</v>
      </c>
    </row>
    <row r="1401" customFormat="false" ht="15" hidden="false" customHeight="true" outlineLevel="0" collapsed="false">
      <c r="A1401" s="163" t="s">
        <v>602</v>
      </c>
      <c r="B1401" s="163" t="s">
        <v>894</v>
      </c>
      <c r="C1401" s="163" t="s">
        <v>1084</v>
      </c>
      <c r="D1401" s="163" t="s">
        <v>2062</v>
      </c>
      <c r="E1401" s="164" t="n">
        <v>15000</v>
      </c>
      <c r="F1401" s="165" t="s">
        <v>2827</v>
      </c>
    </row>
    <row r="1402" customFormat="false" ht="15" hidden="false" customHeight="true" outlineLevel="0" collapsed="false">
      <c r="A1402" s="163" t="s">
        <v>602</v>
      </c>
      <c r="B1402" s="163" t="s">
        <v>894</v>
      </c>
      <c r="C1402" s="163" t="s">
        <v>1084</v>
      </c>
      <c r="D1402" s="163" t="s">
        <v>2062</v>
      </c>
      <c r="E1402" s="164" t="n">
        <v>15000</v>
      </c>
      <c r="F1402" s="165" t="s">
        <v>2828</v>
      </c>
    </row>
    <row r="1403" customFormat="false" ht="15" hidden="false" customHeight="true" outlineLevel="0" collapsed="false">
      <c r="A1403" s="163" t="s">
        <v>602</v>
      </c>
      <c r="B1403" s="163" t="s">
        <v>894</v>
      </c>
      <c r="C1403" s="163" t="s">
        <v>1206</v>
      </c>
      <c r="D1403" s="163" t="s">
        <v>2103</v>
      </c>
      <c r="E1403" s="164" t="n">
        <v>10000</v>
      </c>
      <c r="F1403" s="165" t="s">
        <v>3060</v>
      </c>
    </row>
    <row r="1404" customFormat="false" ht="15" hidden="false" customHeight="true" outlineLevel="0" collapsed="false">
      <c r="A1404" s="163" t="s">
        <v>602</v>
      </c>
      <c r="B1404" s="163" t="s">
        <v>894</v>
      </c>
      <c r="C1404" s="163" t="s">
        <v>893</v>
      </c>
      <c r="D1404" s="163" t="s">
        <v>1931</v>
      </c>
      <c r="E1404" s="164" t="n">
        <v>10000</v>
      </c>
      <c r="F1404" s="165" t="s">
        <v>2829</v>
      </c>
    </row>
    <row r="1405" customFormat="false" ht="15" hidden="false" customHeight="true" outlineLevel="0" collapsed="false">
      <c r="A1405" s="163" t="s">
        <v>602</v>
      </c>
      <c r="B1405" s="163" t="s">
        <v>894</v>
      </c>
      <c r="C1405" s="163" t="s">
        <v>515</v>
      </c>
      <c r="D1405" s="163" t="s">
        <v>2110</v>
      </c>
      <c r="E1405" s="164" t="n">
        <v>10000</v>
      </c>
      <c r="F1405" s="165" t="s">
        <v>3060</v>
      </c>
    </row>
    <row r="1406" customFormat="false" ht="15" hidden="false" customHeight="true" outlineLevel="0" collapsed="false">
      <c r="A1406" s="163" t="s">
        <v>602</v>
      </c>
      <c r="B1406" s="163" t="s">
        <v>894</v>
      </c>
      <c r="C1406" s="163" t="s">
        <v>168</v>
      </c>
      <c r="D1406" s="163" t="s">
        <v>1907</v>
      </c>
      <c r="E1406" s="164" t="n">
        <v>10000</v>
      </c>
      <c r="F1406" s="165" t="s">
        <v>3060</v>
      </c>
    </row>
    <row r="1407" customFormat="false" ht="15" hidden="false" customHeight="true" outlineLevel="0" collapsed="false">
      <c r="A1407" s="163" t="s">
        <v>602</v>
      </c>
      <c r="B1407" s="163" t="s">
        <v>894</v>
      </c>
      <c r="C1407" s="163" t="s">
        <v>142</v>
      </c>
      <c r="D1407" s="163" t="s">
        <v>2122</v>
      </c>
      <c r="E1407" s="164" t="n">
        <v>10000</v>
      </c>
      <c r="F1407" s="165" t="s">
        <v>2830</v>
      </c>
    </row>
    <row r="1408" customFormat="false" ht="15" hidden="false" customHeight="true" outlineLevel="0" collapsed="false">
      <c r="A1408" s="163" t="s">
        <v>602</v>
      </c>
      <c r="B1408" s="163" t="s">
        <v>894</v>
      </c>
      <c r="C1408" s="163" t="s">
        <v>149</v>
      </c>
      <c r="D1408" s="163" t="s">
        <v>2125</v>
      </c>
      <c r="E1408" s="164" t="n">
        <v>10000</v>
      </c>
      <c r="F1408" s="165" t="s">
        <v>2831</v>
      </c>
    </row>
    <row r="1409" customFormat="false" ht="15" hidden="false" customHeight="true" outlineLevel="0" collapsed="false">
      <c r="A1409" s="163" t="s">
        <v>602</v>
      </c>
      <c r="B1409" s="163" t="s">
        <v>894</v>
      </c>
      <c r="C1409" s="163" t="s">
        <v>987</v>
      </c>
      <c r="D1409" s="163" t="s">
        <v>2189</v>
      </c>
      <c r="E1409" s="164" t="n">
        <v>10000</v>
      </c>
      <c r="F1409" s="165" t="s">
        <v>3060</v>
      </c>
    </row>
    <row r="1410" customFormat="false" ht="15" hidden="false" customHeight="true" outlineLevel="0" collapsed="false">
      <c r="A1410" s="163" t="s">
        <v>602</v>
      </c>
      <c r="B1410" s="163" t="s">
        <v>894</v>
      </c>
      <c r="C1410" s="163" t="s">
        <v>1158</v>
      </c>
      <c r="D1410" s="163" t="s">
        <v>1916</v>
      </c>
      <c r="E1410" s="164" t="n">
        <v>10000</v>
      </c>
      <c r="F1410" s="165" t="s">
        <v>3060</v>
      </c>
    </row>
    <row r="1411" customFormat="false" ht="15" hidden="false" customHeight="true" outlineLevel="0" collapsed="false">
      <c r="A1411" s="163" t="s">
        <v>602</v>
      </c>
      <c r="B1411" s="163" t="s">
        <v>894</v>
      </c>
      <c r="C1411" s="163" t="s">
        <v>1233</v>
      </c>
      <c r="D1411" s="163" t="s">
        <v>2151</v>
      </c>
      <c r="E1411" s="164" t="n">
        <v>5000</v>
      </c>
      <c r="F1411" s="165" t="s">
        <v>2821</v>
      </c>
    </row>
    <row r="1412" customFormat="false" ht="15" hidden="false" customHeight="true" outlineLevel="0" collapsed="false">
      <c r="A1412" s="163" t="s">
        <v>602</v>
      </c>
      <c r="B1412" s="163" t="s">
        <v>894</v>
      </c>
      <c r="C1412" s="163" t="s">
        <v>281</v>
      </c>
      <c r="D1412" s="163" t="s">
        <v>1922</v>
      </c>
      <c r="E1412" s="164" t="n">
        <v>5000</v>
      </c>
      <c r="F1412" s="165" t="s">
        <v>3060</v>
      </c>
    </row>
    <row r="1413" customFormat="false" ht="15" hidden="false" customHeight="true" outlineLevel="0" collapsed="false">
      <c r="A1413" s="163" t="s">
        <v>602</v>
      </c>
      <c r="B1413" s="163" t="s">
        <v>894</v>
      </c>
      <c r="C1413" s="163" t="s">
        <v>893</v>
      </c>
      <c r="D1413" s="163" t="s">
        <v>1931</v>
      </c>
      <c r="E1413" s="164" t="n">
        <v>5000</v>
      </c>
      <c r="F1413" s="165" t="s">
        <v>2832</v>
      </c>
    </row>
    <row r="1414" customFormat="false" ht="15" hidden="false" customHeight="true" outlineLevel="0" collapsed="false">
      <c r="A1414" s="163" t="s">
        <v>602</v>
      </c>
      <c r="B1414" s="163" t="s">
        <v>894</v>
      </c>
      <c r="C1414" s="163" t="s">
        <v>893</v>
      </c>
      <c r="D1414" s="163" t="s">
        <v>1931</v>
      </c>
      <c r="E1414" s="164" t="n">
        <v>5000</v>
      </c>
      <c r="F1414" s="165" t="s">
        <v>2833</v>
      </c>
    </row>
    <row r="1415" customFormat="false" ht="15" hidden="false" customHeight="true" outlineLevel="0" collapsed="false">
      <c r="A1415" s="163" t="s">
        <v>602</v>
      </c>
      <c r="B1415" s="163" t="s">
        <v>894</v>
      </c>
      <c r="C1415" s="163" t="s">
        <v>197</v>
      </c>
      <c r="D1415" s="163" t="s">
        <v>1931</v>
      </c>
      <c r="E1415" s="164" t="n">
        <v>5000</v>
      </c>
      <c r="F1415" s="165" t="s">
        <v>2834</v>
      </c>
    </row>
    <row r="1416" customFormat="false" ht="15" hidden="false" customHeight="true" outlineLevel="0" collapsed="false">
      <c r="A1416" s="163" t="s">
        <v>602</v>
      </c>
      <c r="B1416" s="163" t="s">
        <v>894</v>
      </c>
      <c r="C1416" s="163" t="s">
        <v>1191</v>
      </c>
      <c r="D1416" s="163" t="s">
        <v>2141</v>
      </c>
      <c r="E1416" s="164" t="n">
        <v>5000</v>
      </c>
      <c r="F1416" s="165" t="s">
        <v>3060</v>
      </c>
    </row>
    <row r="1417" customFormat="false" ht="15" hidden="false" customHeight="true" outlineLevel="0" collapsed="false">
      <c r="A1417" s="163" t="s">
        <v>602</v>
      </c>
      <c r="B1417" s="163" t="s">
        <v>894</v>
      </c>
      <c r="C1417" s="163" t="s">
        <v>380</v>
      </c>
      <c r="D1417" s="163" t="s">
        <v>1899</v>
      </c>
      <c r="E1417" s="164" t="n">
        <v>5000</v>
      </c>
      <c r="F1417" s="165" t="s">
        <v>2821</v>
      </c>
    </row>
    <row r="1418" customFormat="false" ht="15" hidden="false" customHeight="true" outlineLevel="0" collapsed="false">
      <c r="A1418" s="163" t="s">
        <v>602</v>
      </c>
      <c r="B1418" s="163" t="s">
        <v>894</v>
      </c>
      <c r="C1418" s="163" t="s">
        <v>1237</v>
      </c>
      <c r="D1418" s="163" t="s">
        <v>2178</v>
      </c>
      <c r="E1418" s="164" t="n">
        <v>5000</v>
      </c>
      <c r="F1418" s="165" t="s">
        <v>3060</v>
      </c>
    </row>
    <row r="1419" customFormat="false" ht="15" hidden="false" customHeight="true" outlineLevel="0" collapsed="false">
      <c r="A1419" s="163" t="s">
        <v>602</v>
      </c>
      <c r="B1419" s="163" t="s">
        <v>894</v>
      </c>
      <c r="C1419" s="163" t="s">
        <v>657</v>
      </c>
      <c r="D1419" s="163" t="s">
        <v>1849</v>
      </c>
      <c r="E1419" s="164" t="n">
        <v>5000</v>
      </c>
      <c r="F1419" s="165" t="s">
        <v>3060</v>
      </c>
    </row>
    <row r="1420" customFormat="false" ht="15" hidden="false" customHeight="true" outlineLevel="0" collapsed="false">
      <c r="A1420" s="163" t="s">
        <v>602</v>
      </c>
      <c r="B1420" s="163" t="s">
        <v>894</v>
      </c>
      <c r="C1420" s="163" t="s">
        <v>1243</v>
      </c>
      <c r="D1420" s="163" t="s">
        <v>2186</v>
      </c>
      <c r="E1420" s="164" t="n">
        <v>5000</v>
      </c>
      <c r="F1420" s="165" t="s">
        <v>3060</v>
      </c>
    </row>
    <row r="1421" customFormat="false" ht="15" hidden="false" customHeight="true" outlineLevel="0" collapsed="false">
      <c r="A1421" s="163" t="s">
        <v>602</v>
      </c>
      <c r="B1421" s="163" t="s">
        <v>894</v>
      </c>
      <c r="C1421" s="163" t="s">
        <v>1245</v>
      </c>
      <c r="D1421" s="163" t="s">
        <v>2187</v>
      </c>
      <c r="E1421" s="164" t="n">
        <v>5000</v>
      </c>
      <c r="F1421" s="165" t="s">
        <v>3060</v>
      </c>
    </row>
    <row r="1422" customFormat="false" ht="15" hidden="false" customHeight="true" outlineLevel="0" collapsed="false">
      <c r="A1422" s="163" t="s">
        <v>602</v>
      </c>
      <c r="B1422" s="163" t="s">
        <v>894</v>
      </c>
      <c r="C1422" s="163" t="s">
        <v>1212</v>
      </c>
      <c r="D1422" s="163" t="s">
        <v>2191</v>
      </c>
      <c r="E1422" s="164" t="n">
        <v>5000</v>
      </c>
      <c r="F1422" s="165" t="s">
        <v>3060</v>
      </c>
    </row>
    <row r="1423" customFormat="false" ht="15" hidden="false" customHeight="true" outlineLevel="0" collapsed="false">
      <c r="A1423" s="163" t="s">
        <v>602</v>
      </c>
      <c r="B1423" s="163" t="s">
        <v>894</v>
      </c>
      <c r="C1423" s="163" t="s">
        <v>142</v>
      </c>
      <c r="D1423" s="163" t="s">
        <v>2122</v>
      </c>
      <c r="E1423" s="164" t="n">
        <v>5000</v>
      </c>
      <c r="F1423" s="165" t="s">
        <v>5330</v>
      </c>
    </row>
    <row r="1424" customFormat="false" ht="15" hidden="false" customHeight="true" outlineLevel="0" collapsed="false">
      <c r="A1424" s="163" t="s">
        <v>602</v>
      </c>
      <c r="B1424" s="163" t="s">
        <v>894</v>
      </c>
      <c r="C1424" s="163" t="s">
        <v>343</v>
      </c>
      <c r="D1424" s="163" t="s">
        <v>1894</v>
      </c>
      <c r="E1424" s="164" t="n">
        <v>5000</v>
      </c>
      <c r="F1424" s="165" t="s">
        <v>3060</v>
      </c>
    </row>
    <row r="1425" customFormat="false" ht="15" hidden="false" customHeight="true" outlineLevel="0" collapsed="false">
      <c r="A1425" s="163" t="s">
        <v>602</v>
      </c>
      <c r="B1425" s="163" t="s">
        <v>894</v>
      </c>
      <c r="C1425" s="163" t="s">
        <v>1257</v>
      </c>
      <c r="D1425" s="163" t="s">
        <v>2216</v>
      </c>
      <c r="E1425" s="164" t="n">
        <v>5000</v>
      </c>
      <c r="F1425" s="165" t="s">
        <v>3060</v>
      </c>
    </row>
    <row r="1426" customFormat="false" ht="15" hidden="false" customHeight="true" outlineLevel="0" collapsed="false">
      <c r="A1426" s="163" t="s">
        <v>602</v>
      </c>
      <c r="B1426" s="163" t="s">
        <v>894</v>
      </c>
      <c r="C1426" s="163" t="s">
        <v>1259</v>
      </c>
      <c r="D1426" s="163" t="s">
        <v>2217</v>
      </c>
      <c r="E1426" s="164" t="n">
        <v>5000</v>
      </c>
      <c r="F1426" s="165" t="s">
        <v>3060</v>
      </c>
    </row>
    <row r="1427" customFormat="false" ht="15" hidden="false" customHeight="true" outlineLevel="0" collapsed="false">
      <c r="A1427" s="163" t="s">
        <v>602</v>
      </c>
      <c r="B1427" s="163" t="s">
        <v>894</v>
      </c>
      <c r="C1427" s="163" t="s">
        <v>485</v>
      </c>
      <c r="D1427" s="163" t="s">
        <v>2176</v>
      </c>
      <c r="E1427" s="164" t="n">
        <v>5000</v>
      </c>
      <c r="F1427" s="165" t="s">
        <v>3060</v>
      </c>
    </row>
    <row r="1428" customFormat="false" ht="15" hidden="false" customHeight="true" outlineLevel="0" collapsed="false">
      <c r="A1428" s="163" t="s">
        <v>602</v>
      </c>
      <c r="B1428" s="163" t="s">
        <v>894</v>
      </c>
      <c r="C1428" s="163" t="s">
        <v>2456</v>
      </c>
      <c r="D1428" s="163" t="s">
        <v>2234</v>
      </c>
      <c r="E1428" s="164" t="n">
        <v>5000</v>
      </c>
      <c r="F1428" s="165" t="s">
        <v>3060</v>
      </c>
    </row>
    <row r="1429" customFormat="false" ht="15" hidden="false" customHeight="true" outlineLevel="0" collapsed="false">
      <c r="A1429" s="163" t="s">
        <v>602</v>
      </c>
      <c r="B1429" s="163" t="s">
        <v>894</v>
      </c>
      <c r="C1429" s="163" t="s">
        <v>1188</v>
      </c>
      <c r="D1429" s="163" t="s">
        <v>2213</v>
      </c>
      <c r="E1429" s="164" t="n">
        <v>5000</v>
      </c>
      <c r="F1429" s="165" t="s">
        <v>3060</v>
      </c>
    </row>
    <row r="1430" customFormat="false" ht="15" hidden="false" customHeight="true" outlineLevel="0" collapsed="false">
      <c r="A1430" s="163" t="s">
        <v>602</v>
      </c>
      <c r="B1430" s="163" t="s">
        <v>894</v>
      </c>
      <c r="C1430" s="163" t="s">
        <v>657</v>
      </c>
      <c r="D1430" s="163" t="s">
        <v>1849</v>
      </c>
      <c r="E1430" s="164" t="n">
        <v>5000</v>
      </c>
      <c r="F1430" s="165" t="s">
        <v>2836</v>
      </c>
    </row>
    <row r="1431" customFormat="false" ht="15" hidden="false" customHeight="true" outlineLevel="0" collapsed="false">
      <c r="A1431" s="163" t="s">
        <v>602</v>
      </c>
      <c r="B1431" s="163" t="s">
        <v>894</v>
      </c>
      <c r="C1431" s="163" t="s">
        <v>1231</v>
      </c>
      <c r="D1431" s="163" t="s">
        <v>2147</v>
      </c>
      <c r="E1431" s="164" t="n">
        <v>5000</v>
      </c>
      <c r="F1431" s="165" t="s">
        <v>3060</v>
      </c>
    </row>
    <row r="1432" customFormat="false" ht="15" hidden="false" customHeight="true" outlineLevel="0" collapsed="false">
      <c r="A1432" s="163" t="s">
        <v>602</v>
      </c>
      <c r="B1432" s="163" t="s">
        <v>894</v>
      </c>
      <c r="C1432" s="163" t="s">
        <v>1251</v>
      </c>
      <c r="D1432" s="163" t="s">
        <v>2208</v>
      </c>
      <c r="E1432" s="164" t="n">
        <v>5000</v>
      </c>
      <c r="F1432" s="165" t="s">
        <v>3060</v>
      </c>
    </row>
    <row r="1433" customFormat="false" ht="15" hidden="false" customHeight="true" outlineLevel="0" collapsed="false">
      <c r="A1433" s="163" t="s">
        <v>602</v>
      </c>
      <c r="B1433" s="163" t="s">
        <v>894</v>
      </c>
      <c r="C1433" s="163" t="s">
        <v>925</v>
      </c>
      <c r="D1433" s="163" t="s">
        <v>1931</v>
      </c>
      <c r="E1433" s="164" t="n">
        <v>3500</v>
      </c>
      <c r="F1433" s="165" t="s">
        <v>2837</v>
      </c>
    </row>
    <row r="1434" customFormat="false" ht="15" hidden="false" customHeight="true" outlineLevel="0" collapsed="false">
      <c r="A1434" s="163" t="s">
        <v>602</v>
      </c>
      <c r="B1434" s="163" t="s">
        <v>894</v>
      </c>
      <c r="C1434" s="163" t="s">
        <v>925</v>
      </c>
      <c r="D1434" s="163" t="s">
        <v>1931</v>
      </c>
      <c r="E1434" s="164" t="n">
        <v>3500</v>
      </c>
      <c r="F1434" s="165" t="s">
        <v>2838</v>
      </c>
    </row>
    <row r="1435" customFormat="false" ht="15" hidden="false" customHeight="true" outlineLevel="0" collapsed="false">
      <c r="A1435" s="163" t="s">
        <v>602</v>
      </c>
      <c r="B1435" s="163" t="s">
        <v>894</v>
      </c>
      <c r="C1435" s="163" t="s">
        <v>625</v>
      </c>
      <c r="D1435" s="163" t="s">
        <v>2269</v>
      </c>
      <c r="E1435" s="164" t="n">
        <v>3000</v>
      </c>
      <c r="F1435" s="165" t="s">
        <v>3060</v>
      </c>
    </row>
    <row r="1436" customFormat="false" ht="15" hidden="false" customHeight="true" outlineLevel="0" collapsed="false">
      <c r="A1436" s="163" t="s">
        <v>602</v>
      </c>
      <c r="B1436" s="163" t="s">
        <v>882</v>
      </c>
      <c r="C1436" s="163" t="s">
        <v>2314</v>
      </c>
      <c r="D1436" s="163" t="s">
        <v>2839</v>
      </c>
      <c r="E1436" s="164" t="n">
        <v>200000</v>
      </c>
      <c r="F1436" s="165" t="s">
        <v>3060</v>
      </c>
    </row>
    <row r="1437" customFormat="false" ht="15" hidden="false" customHeight="true" outlineLevel="0" collapsed="false">
      <c r="A1437" s="163" t="s">
        <v>602</v>
      </c>
      <c r="B1437" s="163" t="s">
        <v>882</v>
      </c>
      <c r="C1437" s="163" t="s">
        <v>640</v>
      </c>
      <c r="D1437" s="163" t="s">
        <v>1931</v>
      </c>
      <c r="E1437" s="164" t="n">
        <v>30000</v>
      </c>
      <c r="F1437" s="165" t="s">
        <v>2821</v>
      </c>
    </row>
    <row r="1438" customFormat="false" ht="15" hidden="false" customHeight="true" outlineLevel="0" collapsed="false">
      <c r="A1438" s="163" t="s">
        <v>602</v>
      </c>
      <c r="B1438" s="163" t="s">
        <v>882</v>
      </c>
      <c r="C1438" s="163" t="s">
        <v>466</v>
      </c>
      <c r="D1438" s="163" t="s">
        <v>2751</v>
      </c>
      <c r="E1438" s="164" t="n">
        <v>30000</v>
      </c>
      <c r="F1438" s="165" t="s">
        <v>2821</v>
      </c>
    </row>
    <row r="1439" customFormat="false" ht="15" hidden="false" customHeight="true" outlineLevel="0" collapsed="false">
      <c r="A1439" s="163" t="s">
        <v>602</v>
      </c>
      <c r="B1439" s="163" t="s">
        <v>882</v>
      </c>
      <c r="C1439" s="163" t="s">
        <v>1104</v>
      </c>
      <c r="D1439" s="163" t="s">
        <v>1917</v>
      </c>
      <c r="E1439" s="164" t="n">
        <v>15000</v>
      </c>
      <c r="F1439" s="165" t="s">
        <v>3060</v>
      </c>
    </row>
    <row r="1440" customFormat="false" ht="15" hidden="false" customHeight="true" outlineLevel="0" collapsed="false">
      <c r="A1440" s="163" t="s">
        <v>602</v>
      </c>
      <c r="B1440" s="163" t="s">
        <v>882</v>
      </c>
      <c r="C1440" s="163" t="s">
        <v>2840</v>
      </c>
      <c r="D1440" s="163" t="s">
        <v>2841</v>
      </c>
      <c r="E1440" s="164" t="n">
        <v>5000</v>
      </c>
      <c r="F1440" s="165" t="s">
        <v>3060</v>
      </c>
    </row>
    <row r="1441" customFormat="false" ht="15" hidden="false" customHeight="true" outlineLevel="0" collapsed="false">
      <c r="A1441" s="163" t="s">
        <v>602</v>
      </c>
      <c r="B1441" s="163" t="s">
        <v>2328</v>
      </c>
      <c r="C1441" s="163" t="s">
        <v>1084</v>
      </c>
      <c r="D1441" s="163" t="s">
        <v>2062</v>
      </c>
      <c r="E1441" s="164" t="n">
        <v>20000</v>
      </c>
      <c r="F1441" s="165" t="s">
        <v>2842</v>
      </c>
    </row>
    <row r="1442" customFormat="false" ht="15" hidden="false" customHeight="true" outlineLevel="0" collapsed="false">
      <c r="A1442" s="163" t="s">
        <v>602</v>
      </c>
      <c r="B1442" s="163" t="s">
        <v>2328</v>
      </c>
      <c r="C1442" s="163" t="s">
        <v>1084</v>
      </c>
      <c r="D1442" s="163" t="s">
        <v>2062</v>
      </c>
      <c r="E1442" s="164" t="n">
        <v>20000</v>
      </c>
      <c r="F1442" s="165" t="s">
        <v>2843</v>
      </c>
    </row>
    <row r="1443" customFormat="false" ht="15" hidden="false" customHeight="true" outlineLevel="0" collapsed="false">
      <c r="A1443" s="163" t="s">
        <v>602</v>
      </c>
      <c r="B1443" s="163" t="s">
        <v>2328</v>
      </c>
      <c r="C1443" s="163" t="s">
        <v>1084</v>
      </c>
      <c r="D1443" s="163" t="s">
        <v>2062</v>
      </c>
      <c r="E1443" s="164" t="n">
        <v>10000</v>
      </c>
      <c r="F1443" s="165" t="s">
        <v>2844</v>
      </c>
    </row>
    <row r="1444" customFormat="false" ht="15" hidden="false" customHeight="true" outlineLevel="0" collapsed="false">
      <c r="A1444" s="163" t="s">
        <v>602</v>
      </c>
      <c r="B1444" s="163" t="s">
        <v>2342</v>
      </c>
      <c r="C1444" s="163" t="s">
        <v>2845</v>
      </c>
      <c r="D1444" s="163" t="s">
        <v>2846</v>
      </c>
      <c r="E1444" s="164" t="n">
        <v>30000</v>
      </c>
      <c r="F1444" s="165" t="s">
        <v>2821</v>
      </c>
    </row>
    <row r="1445" customFormat="false" ht="15" hidden="false" customHeight="true" outlineLevel="0" collapsed="false">
      <c r="A1445" s="163" t="s">
        <v>602</v>
      </c>
      <c r="B1445" s="163" t="s">
        <v>2342</v>
      </c>
      <c r="C1445" s="163" t="s">
        <v>2405</v>
      </c>
      <c r="D1445" s="163" t="s">
        <v>2406</v>
      </c>
      <c r="E1445" s="164" t="n">
        <v>20000</v>
      </c>
      <c r="F1445" s="165" t="s">
        <v>2847</v>
      </c>
    </row>
    <row r="1446" customFormat="false" ht="15" hidden="false" customHeight="true" outlineLevel="0" collapsed="false">
      <c r="A1446" s="163" t="s">
        <v>602</v>
      </c>
      <c r="B1446" s="163" t="s">
        <v>2342</v>
      </c>
      <c r="C1446" s="163" t="s">
        <v>2780</v>
      </c>
      <c r="D1446" s="163" t="s">
        <v>2429</v>
      </c>
      <c r="E1446" s="164" t="n">
        <v>15000</v>
      </c>
      <c r="F1446" s="165" t="s">
        <v>2848</v>
      </c>
    </row>
    <row r="1447" customFormat="false" ht="15" hidden="false" customHeight="true" outlineLevel="0" collapsed="false">
      <c r="A1447" s="163" t="s">
        <v>602</v>
      </c>
      <c r="B1447" s="163" t="s">
        <v>2342</v>
      </c>
      <c r="C1447" s="163" t="s">
        <v>473</v>
      </c>
      <c r="D1447" s="163" t="s">
        <v>2764</v>
      </c>
      <c r="E1447" s="164" t="n">
        <v>15000</v>
      </c>
      <c r="F1447" s="165" t="s">
        <v>2849</v>
      </c>
    </row>
    <row r="1448" customFormat="false" ht="15" hidden="false" customHeight="true" outlineLevel="0" collapsed="false">
      <c r="A1448" s="163" t="s">
        <v>602</v>
      </c>
      <c r="B1448" s="163" t="s">
        <v>2342</v>
      </c>
      <c r="C1448" s="163" t="s">
        <v>197</v>
      </c>
      <c r="D1448" s="163" t="s">
        <v>1931</v>
      </c>
      <c r="E1448" s="164" t="n">
        <v>10000</v>
      </c>
      <c r="F1448" s="165" t="s">
        <v>2850</v>
      </c>
    </row>
    <row r="1449" customFormat="false" ht="15" hidden="false" customHeight="true" outlineLevel="0" collapsed="false">
      <c r="A1449" s="163" t="s">
        <v>602</v>
      </c>
      <c r="B1449" s="163" t="s">
        <v>2766</v>
      </c>
      <c r="C1449" s="163" t="s">
        <v>2632</v>
      </c>
      <c r="D1449" s="163" t="s">
        <v>2633</v>
      </c>
      <c r="E1449" s="164" t="n">
        <v>15000</v>
      </c>
      <c r="F1449" s="165" t="s">
        <v>2851</v>
      </c>
    </row>
    <row r="1450" customFormat="false" ht="15" hidden="false" customHeight="true" outlineLevel="0" collapsed="false">
      <c r="A1450" s="163" t="s">
        <v>602</v>
      </c>
      <c r="B1450" s="163" t="s">
        <v>2766</v>
      </c>
      <c r="C1450" s="163" t="s">
        <v>2073</v>
      </c>
      <c r="D1450" s="163" t="s">
        <v>2074</v>
      </c>
      <c r="E1450" s="164" t="n">
        <v>15000</v>
      </c>
      <c r="F1450" s="165" t="s">
        <v>2852</v>
      </c>
    </row>
    <row r="1451" customFormat="false" ht="15" hidden="false" customHeight="true" outlineLevel="0" collapsed="false">
      <c r="A1451" s="163" t="s">
        <v>602</v>
      </c>
      <c r="B1451" s="163" t="s">
        <v>2766</v>
      </c>
      <c r="C1451" s="163" t="s">
        <v>350</v>
      </c>
      <c r="D1451" s="163" t="s">
        <v>1913</v>
      </c>
      <c r="E1451" s="164" t="n">
        <v>15000</v>
      </c>
      <c r="F1451" s="165" t="s">
        <v>2853</v>
      </c>
    </row>
    <row r="1452" customFormat="false" ht="15" hidden="false" customHeight="true" outlineLevel="0" collapsed="false">
      <c r="A1452" s="163" t="s">
        <v>602</v>
      </c>
      <c r="B1452" s="163" t="s">
        <v>1743</v>
      </c>
      <c r="C1452" s="163" t="s">
        <v>309</v>
      </c>
      <c r="D1452" s="163" t="s">
        <v>1865</v>
      </c>
      <c r="E1452" s="164" t="n">
        <v>40000</v>
      </c>
      <c r="F1452" s="165" t="s">
        <v>3060</v>
      </c>
    </row>
    <row r="1453" customFormat="false" ht="15" hidden="false" customHeight="true" outlineLevel="0" collapsed="false">
      <c r="A1453" s="163" t="s">
        <v>602</v>
      </c>
      <c r="B1453" s="163" t="s">
        <v>1743</v>
      </c>
      <c r="C1453" s="163" t="s">
        <v>1119</v>
      </c>
      <c r="D1453" s="163" t="s">
        <v>1845</v>
      </c>
      <c r="E1453" s="164" t="n">
        <v>30000</v>
      </c>
      <c r="F1453" s="165" t="s">
        <v>3060</v>
      </c>
    </row>
    <row r="1454" customFormat="false" ht="15" hidden="false" customHeight="true" outlineLevel="0" collapsed="false">
      <c r="A1454" s="163" t="s">
        <v>602</v>
      </c>
      <c r="B1454" s="163" t="s">
        <v>1743</v>
      </c>
      <c r="C1454" s="163" t="s">
        <v>1095</v>
      </c>
      <c r="D1454" s="163" t="s">
        <v>1840</v>
      </c>
      <c r="E1454" s="164" t="n">
        <v>30000</v>
      </c>
      <c r="F1454" s="165" t="s">
        <v>3060</v>
      </c>
    </row>
    <row r="1455" customFormat="false" ht="15" hidden="false" customHeight="true" outlineLevel="0" collapsed="false">
      <c r="A1455" s="163" t="s">
        <v>602</v>
      </c>
      <c r="B1455" s="163" t="s">
        <v>1743</v>
      </c>
      <c r="C1455" s="163" t="s">
        <v>1141</v>
      </c>
      <c r="D1455" s="163" t="s">
        <v>1847</v>
      </c>
      <c r="E1455" s="164" t="n">
        <v>20000</v>
      </c>
      <c r="F1455" s="165" t="s">
        <v>3060</v>
      </c>
    </row>
    <row r="1456" customFormat="false" ht="15" hidden="false" customHeight="true" outlineLevel="0" collapsed="false">
      <c r="A1456" s="163" t="s">
        <v>602</v>
      </c>
      <c r="B1456" s="163" t="s">
        <v>1743</v>
      </c>
      <c r="C1456" s="163" t="s">
        <v>235</v>
      </c>
      <c r="D1456" s="163" t="s">
        <v>1852</v>
      </c>
      <c r="E1456" s="164" t="n">
        <v>20000</v>
      </c>
      <c r="F1456" s="165" t="s">
        <v>3060</v>
      </c>
    </row>
    <row r="1457" customFormat="false" ht="15" hidden="false" customHeight="true" outlineLevel="0" collapsed="false">
      <c r="A1457" s="163" t="s">
        <v>602</v>
      </c>
      <c r="B1457" s="163" t="s">
        <v>1743</v>
      </c>
      <c r="C1457" s="163" t="s">
        <v>1095</v>
      </c>
      <c r="D1457" s="163" t="s">
        <v>1840</v>
      </c>
      <c r="E1457" s="164" t="n">
        <v>10000</v>
      </c>
      <c r="F1457" s="165" t="s">
        <v>3060</v>
      </c>
    </row>
    <row r="1458" customFormat="false" ht="15" hidden="false" customHeight="true" outlineLevel="0" collapsed="false">
      <c r="A1458" s="163" t="s">
        <v>602</v>
      </c>
      <c r="B1458" s="163" t="s">
        <v>928</v>
      </c>
      <c r="C1458" s="163" t="s">
        <v>485</v>
      </c>
      <c r="D1458" s="163" t="s">
        <v>2176</v>
      </c>
      <c r="E1458" s="164" t="n">
        <v>20000</v>
      </c>
      <c r="F1458" s="165" t="s">
        <v>3060</v>
      </c>
    </row>
    <row r="1459" customFormat="false" ht="15" hidden="false" customHeight="true" outlineLevel="0" collapsed="false">
      <c r="A1459" s="163" t="s">
        <v>602</v>
      </c>
      <c r="B1459" s="163" t="s">
        <v>928</v>
      </c>
      <c r="C1459" s="163" t="s">
        <v>404</v>
      </c>
      <c r="D1459" s="163" t="s">
        <v>2108</v>
      </c>
      <c r="E1459" s="164" t="n">
        <v>15000</v>
      </c>
      <c r="F1459" s="165" t="s">
        <v>2854</v>
      </c>
    </row>
    <row r="1460" customFormat="false" ht="15" hidden="false" customHeight="true" outlineLevel="0" collapsed="false">
      <c r="A1460" s="163" t="s">
        <v>602</v>
      </c>
      <c r="B1460" s="163" t="s">
        <v>928</v>
      </c>
      <c r="C1460" s="163" t="s">
        <v>987</v>
      </c>
      <c r="D1460" s="163" t="s">
        <v>2189</v>
      </c>
      <c r="E1460" s="164" t="n">
        <v>15000</v>
      </c>
      <c r="F1460" s="165" t="s">
        <v>2855</v>
      </c>
    </row>
    <row r="1461" customFormat="false" ht="15" hidden="false" customHeight="true" outlineLevel="0" collapsed="false">
      <c r="A1461" s="163" t="s">
        <v>602</v>
      </c>
      <c r="B1461" s="163" t="s">
        <v>928</v>
      </c>
      <c r="C1461" s="163" t="s">
        <v>657</v>
      </c>
      <c r="D1461" s="163" t="s">
        <v>1849</v>
      </c>
      <c r="E1461" s="164" t="n">
        <v>14000</v>
      </c>
      <c r="F1461" s="165" t="s">
        <v>2856</v>
      </c>
    </row>
    <row r="1462" customFormat="false" ht="15" hidden="false" customHeight="true" outlineLevel="0" collapsed="false">
      <c r="A1462" s="163" t="s">
        <v>602</v>
      </c>
      <c r="B1462" s="163" t="s">
        <v>928</v>
      </c>
      <c r="C1462" s="163" t="s">
        <v>625</v>
      </c>
      <c r="D1462" s="163" t="s">
        <v>2269</v>
      </c>
      <c r="E1462" s="164" t="n">
        <v>10500</v>
      </c>
      <c r="F1462" s="165" t="s">
        <v>3060</v>
      </c>
    </row>
    <row r="1463" customFormat="false" ht="15" hidden="false" customHeight="true" outlineLevel="0" collapsed="false">
      <c r="A1463" s="163" t="s">
        <v>602</v>
      </c>
      <c r="B1463" s="163" t="s">
        <v>928</v>
      </c>
      <c r="C1463" s="163" t="s">
        <v>326</v>
      </c>
      <c r="D1463" s="163" t="s">
        <v>1912</v>
      </c>
      <c r="E1463" s="164" t="n">
        <v>10000</v>
      </c>
      <c r="F1463" s="165" t="s">
        <v>3060</v>
      </c>
    </row>
    <row r="1464" customFormat="false" ht="15" hidden="false" customHeight="true" outlineLevel="0" collapsed="false">
      <c r="A1464" s="163" t="s">
        <v>602</v>
      </c>
      <c r="B1464" s="163" t="s">
        <v>928</v>
      </c>
      <c r="C1464" s="163" t="s">
        <v>1159</v>
      </c>
      <c r="D1464" s="163" t="s">
        <v>1936</v>
      </c>
      <c r="E1464" s="164" t="n">
        <v>10000</v>
      </c>
      <c r="F1464" s="165" t="s">
        <v>2857</v>
      </c>
    </row>
    <row r="1465" customFormat="false" ht="15" hidden="false" customHeight="true" outlineLevel="0" collapsed="false">
      <c r="A1465" s="163" t="s">
        <v>602</v>
      </c>
      <c r="B1465" s="163" t="s">
        <v>928</v>
      </c>
      <c r="C1465" s="163" t="s">
        <v>528</v>
      </c>
      <c r="D1465" s="163" t="s">
        <v>2133</v>
      </c>
      <c r="E1465" s="164" t="n">
        <v>8000</v>
      </c>
      <c r="F1465" s="165" t="s">
        <v>3060</v>
      </c>
    </row>
    <row r="1466" customFormat="false" ht="15" hidden="false" customHeight="true" outlineLevel="0" collapsed="false">
      <c r="A1466" s="163" t="s">
        <v>602</v>
      </c>
      <c r="B1466" s="163" t="s">
        <v>928</v>
      </c>
      <c r="C1466" s="163" t="s">
        <v>404</v>
      </c>
      <c r="D1466" s="163" t="s">
        <v>2108</v>
      </c>
      <c r="E1466" s="164" t="n">
        <v>7500</v>
      </c>
      <c r="F1466" s="165" t="s">
        <v>2858</v>
      </c>
    </row>
    <row r="1467" customFormat="false" ht="15" hidden="false" customHeight="true" outlineLevel="0" collapsed="false">
      <c r="A1467" s="163" t="s">
        <v>602</v>
      </c>
      <c r="B1467" s="163" t="s">
        <v>928</v>
      </c>
      <c r="C1467" s="163" t="s">
        <v>1270</v>
      </c>
      <c r="D1467" s="163" t="s">
        <v>2431</v>
      </c>
      <c r="E1467" s="164" t="n">
        <v>5000</v>
      </c>
      <c r="F1467" s="165" t="s">
        <v>2821</v>
      </c>
    </row>
    <row r="1468" customFormat="false" ht="15" hidden="false" customHeight="true" outlineLevel="0" collapsed="false">
      <c r="A1468" s="163" t="s">
        <v>602</v>
      </c>
      <c r="B1468" s="163" t="s">
        <v>928</v>
      </c>
      <c r="C1468" s="163" t="s">
        <v>293</v>
      </c>
      <c r="D1468" s="163" t="s">
        <v>2438</v>
      </c>
      <c r="E1468" s="164" t="n">
        <v>5000</v>
      </c>
      <c r="F1468" s="165" t="s">
        <v>3060</v>
      </c>
    </row>
    <row r="1469" customFormat="false" ht="15" hidden="false" customHeight="true" outlineLevel="0" collapsed="false">
      <c r="A1469" s="163" t="s">
        <v>602</v>
      </c>
      <c r="B1469" s="163" t="s">
        <v>928</v>
      </c>
      <c r="C1469" s="163" t="s">
        <v>549</v>
      </c>
      <c r="D1469" s="163" t="s">
        <v>2441</v>
      </c>
      <c r="E1469" s="164" t="n">
        <v>5000</v>
      </c>
      <c r="F1469" s="165" t="s">
        <v>2821</v>
      </c>
    </row>
    <row r="1470" customFormat="false" ht="15" hidden="false" customHeight="true" outlineLevel="0" collapsed="false">
      <c r="A1470" s="163" t="s">
        <v>602</v>
      </c>
      <c r="B1470" s="163" t="s">
        <v>928</v>
      </c>
      <c r="C1470" s="163" t="s">
        <v>1268</v>
      </c>
      <c r="D1470" s="163" t="s">
        <v>2426</v>
      </c>
      <c r="E1470" s="164" t="n">
        <v>5000</v>
      </c>
      <c r="F1470" s="165" t="s">
        <v>3060</v>
      </c>
    </row>
    <row r="1471" customFormat="false" ht="15" hidden="false" customHeight="true" outlineLevel="0" collapsed="false">
      <c r="A1471" s="163" t="s">
        <v>602</v>
      </c>
      <c r="B1471" s="163" t="s">
        <v>928</v>
      </c>
      <c r="C1471" s="163" t="s">
        <v>2859</v>
      </c>
      <c r="D1471" s="163" t="s">
        <v>2184</v>
      </c>
      <c r="E1471" s="164" t="n">
        <v>5000</v>
      </c>
      <c r="F1471" s="165" t="s">
        <v>3060</v>
      </c>
    </row>
    <row r="1472" customFormat="false" ht="15" hidden="false" customHeight="true" outlineLevel="0" collapsed="false">
      <c r="A1472" s="163" t="s">
        <v>602</v>
      </c>
      <c r="B1472" s="163" t="s">
        <v>928</v>
      </c>
      <c r="C1472" s="163" t="s">
        <v>1183</v>
      </c>
      <c r="D1472" s="163" t="s">
        <v>2412</v>
      </c>
      <c r="E1472" s="164" t="n">
        <v>5000</v>
      </c>
      <c r="F1472" s="165" t="s">
        <v>3060</v>
      </c>
    </row>
    <row r="1473" customFormat="false" ht="15" hidden="false" customHeight="true" outlineLevel="0" collapsed="false">
      <c r="A1473" s="163" t="s">
        <v>602</v>
      </c>
      <c r="B1473" s="163" t="s">
        <v>928</v>
      </c>
      <c r="C1473" s="163" t="s">
        <v>1272</v>
      </c>
      <c r="D1473" s="163" t="s">
        <v>2436</v>
      </c>
      <c r="E1473" s="164" t="n">
        <v>5000</v>
      </c>
      <c r="F1473" s="165" t="s">
        <v>3060</v>
      </c>
    </row>
    <row r="1474" customFormat="false" ht="15" hidden="false" customHeight="true" outlineLevel="0" collapsed="false">
      <c r="A1474" s="163" t="s">
        <v>602</v>
      </c>
      <c r="B1474" s="163" t="s">
        <v>928</v>
      </c>
      <c r="C1474" s="163" t="s">
        <v>989</v>
      </c>
      <c r="D1474" s="163" t="s">
        <v>2451</v>
      </c>
      <c r="E1474" s="164" t="n">
        <v>5000</v>
      </c>
      <c r="F1474" s="165" t="s">
        <v>3060</v>
      </c>
    </row>
    <row r="1475" customFormat="false" ht="15" hidden="false" customHeight="true" outlineLevel="0" collapsed="false">
      <c r="A1475" s="163" t="s">
        <v>3020</v>
      </c>
      <c r="B1475" s="163" t="s">
        <v>926</v>
      </c>
      <c r="C1475" s="163" t="s">
        <v>400</v>
      </c>
      <c r="D1475" s="163" t="s">
        <v>2628</v>
      </c>
      <c r="E1475" s="164" t="n">
        <v>10000</v>
      </c>
      <c r="F1475" s="165" t="s">
        <v>5331</v>
      </c>
    </row>
    <row r="1476" customFormat="false" ht="15" hidden="false" customHeight="true" outlineLevel="0" collapsed="false">
      <c r="A1476" s="163" t="s">
        <v>3020</v>
      </c>
      <c r="B1476" s="163" t="s">
        <v>926</v>
      </c>
      <c r="C1476" s="163" t="s">
        <v>3058</v>
      </c>
      <c r="D1476" s="163" t="s">
        <v>3059</v>
      </c>
      <c r="E1476" s="164" t="n">
        <v>10000</v>
      </c>
      <c r="F1476" s="165" t="s">
        <v>5332</v>
      </c>
    </row>
    <row r="1477" customFormat="false" ht="15" hidden="false" customHeight="true" outlineLevel="0" collapsed="false">
      <c r="A1477" s="163" t="s">
        <v>3020</v>
      </c>
      <c r="B1477" s="163" t="s">
        <v>926</v>
      </c>
      <c r="C1477" s="163" t="s">
        <v>5333</v>
      </c>
      <c r="D1477" s="163" t="s">
        <v>5334</v>
      </c>
      <c r="E1477" s="164" t="n">
        <v>10000</v>
      </c>
      <c r="F1477" s="165" t="s">
        <v>5335</v>
      </c>
    </row>
    <row r="1478" customFormat="false" ht="15" hidden="false" customHeight="true" outlineLevel="0" collapsed="false">
      <c r="A1478" s="163" t="s">
        <v>3020</v>
      </c>
      <c r="B1478" s="163" t="s">
        <v>926</v>
      </c>
      <c r="C1478" s="163" t="s">
        <v>5336</v>
      </c>
      <c r="D1478" s="163" t="s">
        <v>5337</v>
      </c>
      <c r="E1478" s="164" t="n">
        <v>10000</v>
      </c>
      <c r="F1478" s="165" t="s">
        <v>5338</v>
      </c>
    </row>
    <row r="1479" customFormat="false" ht="15" hidden="false" customHeight="true" outlineLevel="0" collapsed="false">
      <c r="A1479" s="163" t="s">
        <v>3020</v>
      </c>
      <c r="B1479" s="163" t="s">
        <v>926</v>
      </c>
      <c r="C1479" s="163" t="s">
        <v>5339</v>
      </c>
      <c r="D1479" s="163" t="s">
        <v>5340</v>
      </c>
      <c r="E1479" s="164" t="n">
        <v>10000</v>
      </c>
      <c r="F1479" s="165" t="s">
        <v>5341</v>
      </c>
    </row>
    <row r="1480" customFormat="false" ht="15" hidden="false" customHeight="true" outlineLevel="0" collapsed="false">
      <c r="A1480" s="163" t="s">
        <v>3020</v>
      </c>
      <c r="B1480" s="163" t="s">
        <v>926</v>
      </c>
      <c r="C1480" s="163" t="s">
        <v>5019</v>
      </c>
      <c r="D1480" s="163" t="s">
        <v>5020</v>
      </c>
      <c r="E1480" s="164" t="n">
        <v>10000</v>
      </c>
      <c r="F1480" s="165" t="s">
        <v>5342</v>
      </c>
    </row>
    <row r="1481" customFormat="false" ht="15" hidden="false" customHeight="true" outlineLevel="0" collapsed="false">
      <c r="A1481" s="163" t="s">
        <v>3020</v>
      </c>
      <c r="B1481" s="163" t="s">
        <v>926</v>
      </c>
      <c r="C1481" s="163" t="s">
        <v>5343</v>
      </c>
      <c r="D1481" s="163" t="s">
        <v>5344</v>
      </c>
      <c r="E1481" s="164" t="n">
        <v>10000</v>
      </c>
      <c r="F1481" s="165" t="s">
        <v>5345</v>
      </c>
    </row>
    <row r="1482" customFormat="false" ht="15" hidden="false" customHeight="true" outlineLevel="0" collapsed="false">
      <c r="A1482" s="163" t="s">
        <v>3020</v>
      </c>
      <c r="B1482" s="163" t="s">
        <v>926</v>
      </c>
      <c r="C1482" s="163" t="s">
        <v>5346</v>
      </c>
      <c r="D1482" s="163" t="s">
        <v>5347</v>
      </c>
      <c r="E1482" s="164" t="n">
        <v>10000</v>
      </c>
      <c r="F1482" s="165" t="s">
        <v>5348</v>
      </c>
    </row>
    <row r="1483" customFormat="false" ht="15" hidden="false" customHeight="true" outlineLevel="0" collapsed="false">
      <c r="A1483" s="163" t="s">
        <v>3020</v>
      </c>
      <c r="B1483" s="163" t="s">
        <v>926</v>
      </c>
      <c r="C1483" s="163" t="s">
        <v>273</v>
      </c>
      <c r="D1483" s="163" t="s">
        <v>1891</v>
      </c>
      <c r="E1483" s="164" t="n">
        <v>10000</v>
      </c>
      <c r="F1483" s="165" t="s">
        <v>4209</v>
      </c>
    </row>
    <row r="1484" customFormat="false" ht="15" hidden="false" customHeight="true" outlineLevel="0" collapsed="false">
      <c r="A1484" s="163" t="s">
        <v>3020</v>
      </c>
      <c r="B1484" s="163" t="s">
        <v>926</v>
      </c>
      <c r="C1484" s="163" t="s">
        <v>424</v>
      </c>
      <c r="D1484" s="163" t="s">
        <v>2630</v>
      </c>
      <c r="E1484" s="164" t="n">
        <v>10000</v>
      </c>
      <c r="F1484" s="165" t="s">
        <v>5349</v>
      </c>
    </row>
    <row r="1485" customFormat="false" ht="15" hidden="false" customHeight="true" outlineLevel="0" collapsed="false">
      <c r="A1485" s="163" t="s">
        <v>3020</v>
      </c>
      <c r="B1485" s="163" t="s">
        <v>957</v>
      </c>
      <c r="C1485" s="163" t="s">
        <v>3082</v>
      </c>
      <c r="D1485" s="163" t="s">
        <v>3083</v>
      </c>
      <c r="E1485" s="164" t="n">
        <v>15000</v>
      </c>
      <c r="F1485" s="165" t="s">
        <v>5350</v>
      </c>
    </row>
    <row r="1486" customFormat="false" ht="15" hidden="false" customHeight="true" outlineLevel="0" collapsed="false">
      <c r="A1486" s="163" t="s">
        <v>3020</v>
      </c>
      <c r="B1486" s="163" t="s">
        <v>957</v>
      </c>
      <c r="C1486" s="163" t="s">
        <v>4346</v>
      </c>
      <c r="D1486" s="163" t="s">
        <v>4347</v>
      </c>
      <c r="E1486" s="164" t="n">
        <v>15000</v>
      </c>
      <c r="F1486" s="165" t="s">
        <v>5351</v>
      </c>
    </row>
    <row r="1487" customFormat="false" ht="15" hidden="false" customHeight="true" outlineLevel="0" collapsed="false">
      <c r="A1487" s="163" t="s">
        <v>3020</v>
      </c>
      <c r="B1487" s="163" t="s">
        <v>957</v>
      </c>
      <c r="C1487" s="163" t="s">
        <v>3478</v>
      </c>
      <c r="D1487" s="163" t="s">
        <v>3479</v>
      </c>
      <c r="E1487" s="164" t="n">
        <v>15000</v>
      </c>
      <c r="F1487" s="165" t="s">
        <v>5352</v>
      </c>
    </row>
    <row r="1488" customFormat="false" ht="15" hidden="false" customHeight="true" outlineLevel="0" collapsed="false">
      <c r="A1488" s="163" t="s">
        <v>3020</v>
      </c>
      <c r="B1488" s="163" t="s">
        <v>957</v>
      </c>
      <c r="C1488" s="163" t="s">
        <v>3074</v>
      </c>
      <c r="D1488" s="163" t="s">
        <v>3075</v>
      </c>
      <c r="E1488" s="164" t="n">
        <v>15000</v>
      </c>
      <c r="F1488" s="165" t="s">
        <v>5353</v>
      </c>
    </row>
    <row r="1489" customFormat="false" ht="15" hidden="false" customHeight="true" outlineLevel="0" collapsed="false">
      <c r="A1489" s="163" t="s">
        <v>3020</v>
      </c>
      <c r="B1489" s="163" t="s">
        <v>957</v>
      </c>
      <c r="C1489" s="163" t="s">
        <v>5354</v>
      </c>
      <c r="D1489" s="163" t="s">
        <v>5355</v>
      </c>
      <c r="E1489" s="164" t="n">
        <v>15000</v>
      </c>
      <c r="F1489" s="165" t="s">
        <v>5356</v>
      </c>
    </row>
    <row r="1490" customFormat="false" ht="15" hidden="false" customHeight="true" outlineLevel="0" collapsed="false">
      <c r="A1490" s="163" t="s">
        <v>3020</v>
      </c>
      <c r="B1490" s="163" t="s">
        <v>957</v>
      </c>
      <c r="C1490" s="163" t="s">
        <v>3096</v>
      </c>
      <c r="D1490" s="163" t="s">
        <v>3097</v>
      </c>
      <c r="E1490" s="164" t="n">
        <v>10000</v>
      </c>
      <c r="F1490" s="165" t="s">
        <v>5357</v>
      </c>
    </row>
    <row r="1491" customFormat="false" ht="15" hidden="false" customHeight="true" outlineLevel="0" collapsed="false">
      <c r="A1491" s="163" t="s">
        <v>3020</v>
      </c>
      <c r="B1491" s="163" t="s">
        <v>957</v>
      </c>
      <c r="C1491" s="163" t="s">
        <v>3670</v>
      </c>
      <c r="D1491" s="163" t="s">
        <v>3671</v>
      </c>
      <c r="E1491" s="164" t="n">
        <v>10000</v>
      </c>
      <c r="F1491" s="165" t="s">
        <v>5358</v>
      </c>
    </row>
    <row r="1492" customFormat="false" ht="15" hidden="false" customHeight="true" outlineLevel="0" collapsed="false">
      <c r="A1492" s="163" t="s">
        <v>3020</v>
      </c>
      <c r="B1492" s="163" t="s">
        <v>957</v>
      </c>
      <c r="C1492" s="163" t="s">
        <v>5121</v>
      </c>
      <c r="D1492" s="163" t="s">
        <v>5122</v>
      </c>
      <c r="E1492" s="164" t="n">
        <v>7000</v>
      </c>
      <c r="F1492" s="165" t="s">
        <v>5359</v>
      </c>
    </row>
    <row r="1493" customFormat="false" ht="15" hidden="false" customHeight="true" outlineLevel="0" collapsed="false">
      <c r="A1493" s="163" t="s">
        <v>3020</v>
      </c>
      <c r="B1493" s="163" t="s">
        <v>957</v>
      </c>
      <c r="C1493" s="163" t="s">
        <v>3215</v>
      </c>
      <c r="D1493" s="163" t="s">
        <v>3216</v>
      </c>
      <c r="E1493" s="164" t="n">
        <v>5000</v>
      </c>
      <c r="F1493" s="165" t="s">
        <v>5360</v>
      </c>
    </row>
    <row r="1494" customFormat="false" ht="15" hidden="false" customHeight="true" outlineLevel="0" collapsed="false">
      <c r="A1494" s="163" t="s">
        <v>3020</v>
      </c>
      <c r="B1494" s="163" t="s">
        <v>957</v>
      </c>
      <c r="C1494" s="163" t="s">
        <v>3096</v>
      </c>
      <c r="D1494" s="163" t="s">
        <v>3097</v>
      </c>
      <c r="E1494" s="164" t="n">
        <v>3000</v>
      </c>
      <c r="F1494" s="165" t="s">
        <v>5357</v>
      </c>
    </row>
    <row r="1495" customFormat="false" ht="15" hidden="false" customHeight="true" outlineLevel="0" collapsed="false">
      <c r="A1495" s="163" t="s">
        <v>3020</v>
      </c>
      <c r="B1495" s="163" t="s">
        <v>945</v>
      </c>
      <c r="C1495" s="163" t="s">
        <v>372</v>
      </c>
      <c r="D1495" s="163" t="s">
        <v>2692</v>
      </c>
      <c r="E1495" s="164" t="n">
        <v>15000</v>
      </c>
      <c r="F1495" s="165" t="s">
        <v>5361</v>
      </c>
    </row>
    <row r="1496" customFormat="false" ht="15" hidden="false" customHeight="true" outlineLevel="0" collapsed="false">
      <c r="A1496" s="163" t="s">
        <v>3020</v>
      </c>
      <c r="B1496" s="163" t="s">
        <v>945</v>
      </c>
      <c r="C1496" s="163" t="s">
        <v>3122</v>
      </c>
      <c r="D1496" s="163" t="s">
        <v>3123</v>
      </c>
      <c r="E1496" s="164" t="n">
        <v>15000</v>
      </c>
      <c r="F1496" s="165" t="s">
        <v>5362</v>
      </c>
    </row>
    <row r="1497" customFormat="false" ht="15" hidden="false" customHeight="true" outlineLevel="0" collapsed="false">
      <c r="A1497" s="163" t="s">
        <v>3020</v>
      </c>
      <c r="B1497" s="163" t="s">
        <v>945</v>
      </c>
      <c r="C1497" s="163" t="s">
        <v>1268</v>
      </c>
      <c r="D1497" s="163" t="s">
        <v>2426</v>
      </c>
      <c r="E1497" s="164" t="n">
        <v>10000</v>
      </c>
      <c r="F1497" s="165" t="s">
        <v>5363</v>
      </c>
    </row>
    <row r="1498" customFormat="false" ht="15" hidden="false" customHeight="true" outlineLevel="0" collapsed="false">
      <c r="A1498" s="163" t="s">
        <v>3020</v>
      </c>
      <c r="B1498" s="163" t="s">
        <v>945</v>
      </c>
      <c r="C1498" s="163" t="s">
        <v>3093</v>
      </c>
      <c r="D1498" s="163" t="s">
        <v>3094</v>
      </c>
      <c r="E1498" s="164" t="n">
        <v>10000</v>
      </c>
      <c r="F1498" s="165" t="s">
        <v>5364</v>
      </c>
    </row>
    <row r="1499" customFormat="false" ht="15" hidden="false" customHeight="true" outlineLevel="0" collapsed="false">
      <c r="A1499" s="163" t="s">
        <v>3020</v>
      </c>
      <c r="B1499" s="163" t="s">
        <v>945</v>
      </c>
      <c r="C1499" s="163" t="s">
        <v>3090</v>
      </c>
      <c r="D1499" s="163" t="s">
        <v>3091</v>
      </c>
      <c r="E1499" s="164" t="n">
        <v>10000</v>
      </c>
      <c r="F1499" s="165" t="s">
        <v>5365</v>
      </c>
    </row>
    <row r="1500" customFormat="false" ht="15" hidden="false" customHeight="true" outlineLevel="0" collapsed="false">
      <c r="A1500" s="163" t="s">
        <v>3020</v>
      </c>
      <c r="B1500" s="163" t="s">
        <v>945</v>
      </c>
      <c r="C1500" s="163" t="s">
        <v>5366</v>
      </c>
      <c r="D1500" s="163" t="s">
        <v>5367</v>
      </c>
      <c r="E1500" s="164" t="n">
        <v>5000</v>
      </c>
      <c r="F1500" s="165" t="s">
        <v>5368</v>
      </c>
    </row>
    <row r="1501" customFormat="false" ht="15" hidden="false" customHeight="true" outlineLevel="0" collapsed="false">
      <c r="A1501" s="163" t="s">
        <v>3020</v>
      </c>
      <c r="B1501" s="163" t="s">
        <v>945</v>
      </c>
      <c r="C1501" s="163" t="s">
        <v>5369</v>
      </c>
      <c r="D1501" s="163" t="s">
        <v>5370</v>
      </c>
      <c r="E1501" s="164" t="n">
        <v>5000</v>
      </c>
      <c r="F1501" s="165" t="s">
        <v>5371</v>
      </c>
    </row>
    <row r="1502" customFormat="false" ht="15" hidden="false" customHeight="true" outlineLevel="0" collapsed="false">
      <c r="A1502" s="163" t="s">
        <v>3020</v>
      </c>
      <c r="B1502" s="163" t="s">
        <v>945</v>
      </c>
      <c r="C1502" s="163" t="s">
        <v>1245</v>
      </c>
      <c r="D1502" s="163" t="s">
        <v>2187</v>
      </c>
      <c r="E1502" s="164" t="n">
        <v>5000</v>
      </c>
      <c r="F1502" s="165" t="s">
        <v>5372</v>
      </c>
    </row>
    <row r="1503" customFormat="false" ht="15" hidden="false" customHeight="true" outlineLevel="0" collapsed="false">
      <c r="A1503" s="163" t="s">
        <v>3020</v>
      </c>
      <c r="B1503" s="163" t="s">
        <v>3111</v>
      </c>
      <c r="C1503" s="163" t="s">
        <v>5373</v>
      </c>
      <c r="D1503" s="163" t="s">
        <v>5374</v>
      </c>
      <c r="E1503" s="164" t="n">
        <v>20000</v>
      </c>
      <c r="F1503" s="165" t="s">
        <v>5375</v>
      </c>
    </row>
    <row r="1504" customFormat="false" ht="15" hidden="false" customHeight="true" outlineLevel="0" collapsed="false">
      <c r="A1504" s="163" t="s">
        <v>3020</v>
      </c>
      <c r="B1504" s="163" t="s">
        <v>3111</v>
      </c>
      <c r="C1504" s="163" t="s">
        <v>5376</v>
      </c>
      <c r="D1504" s="163" t="s">
        <v>5377</v>
      </c>
      <c r="E1504" s="164" t="n">
        <v>10000</v>
      </c>
      <c r="F1504" s="165" t="s">
        <v>5378</v>
      </c>
    </row>
    <row r="1505" customFormat="false" ht="15" hidden="false" customHeight="true" outlineLevel="0" collapsed="false">
      <c r="A1505" s="163" t="s">
        <v>3020</v>
      </c>
      <c r="B1505" s="163" t="s">
        <v>3111</v>
      </c>
      <c r="C1505" s="163" t="s">
        <v>3294</v>
      </c>
      <c r="D1505" s="163" t="s">
        <v>3295</v>
      </c>
      <c r="E1505" s="164" t="n">
        <v>10000</v>
      </c>
      <c r="F1505" s="165" t="s">
        <v>5379</v>
      </c>
    </row>
    <row r="1506" customFormat="false" ht="15" hidden="false" customHeight="true" outlineLevel="0" collapsed="false">
      <c r="A1506" s="163" t="s">
        <v>3020</v>
      </c>
      <c r="B1506" s="163" t="s">
        <v>3111</v>
      </c>
      <c r="C1506" s="163" t="s">
        <v>5380</v>
      </c>
      <c r="D1506" s="163" t="s">
        <v>5381</v>
      </c>
      <c r="E1506" s="164" t="n">
        <v>10000</v>
      </c>
      <c r="F1506" s="165" t="s">
        <v>5382</v>
      </c>
    </row>
    <row r="1507" customFormat="false" ht="15" hidden="false" customHeight="true" outlineLevel="0" collapsed="false">
      <c r="A1507" s="163" t="s">
        <v>3020</v>
      </c>
      <c r="B1507" s="163" t="s">
        <v>3111</v>
      </c>
      <c r="C1507" s="163" t="s">
        <v>3165</v>
      </c>
      <c r="D1507" s="163" t="s">
        <v>3166</v>
      </c>
      <c r="E1507" s="164" t="n">
        <v>10000</v>
      </c>
      <c r="F1507" s="165" t="s">
        <v>5383</v>
      </c>
    </row>
    <row r="1508" customFormat="false" ht="15" hidden="false" customHeight="true" outlineLevel="0" collapsed="false">
      <c r="A1508" s="163" t="s">
        <v>3020</v>
      </c>
      <c r="B1508" s="163" t="s">
        <v>3111</v>
      </c>
      <c r="C1508" s="163" t="s">
        <v>5384</v>
      </c>
      <c r="D1508" s="163" t="s">
        <v>5385</v>
      </c>
      <c r="E1508" s="164" t="n">
        <v>10000</v>
      </c>
      <c r="F1508" s="165" t="s">
        <v>5386</v>
      </c>
    </row>
    <row r="1509" customFormat="false" ht="15" hidden="false" customHeight="true" outlineLevel="0" collapsed="false">
      <c r="A1509" s="163" t="s">
        <v>3020</v>
      </c>
      <c r="B1509" s="163" t="s">
        <v>3111</v>
      </c>
      <c r="C1509" s="163" t="s">
        <v>3265</v>
      </c>
      <c r="D1509" s="163" t="s">
        <v>1931</v>
      </c>
      <c r="E1509" s="164" t="n">
        <v>10000</v>
      </c>
      <c r="F1509" s="165" t="s">
        <v>3060</v>
      </c>
    </row>
    <row r="1510" customFormat="false" ht="15" hidden="false" customHeight="true" outlineLevel="0" collapsed="false">
      <c r="A1510" s="163" t="s">
        <v>3020</v>
      </c>
      <c r="B1510" s="163" t="s">
        <v>3111</v>
      </c>
      <c r="C1510" s="163" t="s">
        <v>893</v>
      </c>
      <c r="D1510" s="163" t="s">
        <v>1931</v>
      </c>
      <c r="E1510" s="164" t="n">
        <v>10000</v>
      </c>
      <c r="F1510" s="165" t="s">
        <v>5387</v>
      </c>
    </row>
    <row r="1511" customFormat="false" ht="15" hidden="false" customHeight="true" outlineLevel="0" collapsed="false">
      <c r="A1511" s="163" t="s">
        <v>3020</v>
      </c>
      <c r="B1511" s="163" t="s">
        <v>3111</v>
      </c>
      <c r="C1511" s="163" t="s">
        <v>4708</v>
      </c>
      <c r="D1511" s="163" t="s">
        <v>4709</v>
      </c>
      <c r="E1511" s="164" t="n">
        <v>10000</v>
      </c>
      <c r="F1511" s="165" t="s">
        <v>5388</v>
      </c>
    </row>
    <row r="1512" customFormat="false" ht="15" hidden="false" customHeight="true" outlineLevel="0" collapsed="false">
      <c r="A1512" s="163" t="s">
        <v>3020</v>
      </c>
      <c r="B1512" s="163" t="s">
        <v>1938</v>
      </c>
      <c r="C1512" s="163" t="s">
        <v>3127</v>
      </c>
      <c r="D1512" s="163" t="s">
        <v>3128</v>
      </c>
      <c r="E1512" s="164" t="n">
        <v>20000</v>
      </c>
      <c r="F1512" s="165" t="s">
        <v>5389</v>
      </c>
    </row>
    <row r="1513" customFormat="false" ht="15" hidden="false" customHeight="true" outlineLevel="0" collapsed="false">
      <c r="A1513" s="163" t="s">
        <v>3020</v>
      </c>
      <c r="B1513" s="163" t="s">
        <v>1938</v>
      </c>
      <c r="C1513" s="163" t="s">
        <v>3127</v>
      </c>
      <c r="D1513" s="163" t="s">
        <v>3128</v>
      </c>
      <c r="E1513" s="164" t="n">
        <v>20000</v>
      </c>
      <c r="F1513" s="165" t="s">
        <v>5390</v>
      </c>
    </row>
    <row r="1514" customFormat="false" ht="15" hidden="false" customHeight="true" outlineLevel="0" collapsed="false">
      <c r="A1514" s="163" t="s">
        <v>3020</v>
      </c>
      <c r="B1514" s="163" t="s">
        <v>1938</v>
      </c>
      <c r="C1514" s="163" t="s">
        <v>3139</v>
      </c>
      <c r="D1514" s="163" t="s">
        <v>3140</v>
      </c>
      <c r="E1514" s="164" t="n">
        <v>20000</v>
      </c>
      <c r="F1514" s="165" t="s">
        <v>5391</v>
      </c>
    </row>
    <row r="1515" customFormat="false" ht="15" hidden="false" customHeight="true" outlineLevel="0" collapsed="false">
      <c r="A1515" s="163" t="s">
        <v>3020</v>
      </c>
      <c r="B1515" s="163" t="s">
        <v>1938</v>
      </c>
      <c r="C1515" s="163" t="s">
        <v>3139</v>
      </c>
      <c r="D1515" s="163" t="s">
        <v>3140</v>
      </c>
      <c r="E1515" s="164" t="n">
        <v>20000</v>
      </c>
      <c r="F1515" s="165" t="s">
        <v>5392</v>
      </c>
    </row>
    <row r="1516" customFormat="false" ht="15" hidden="false" customHeight="true" outlineLevel="0" collapsed="false">
      <c r="A1516" s="163" t="s">
        <v>3020</v>
      </c>
      <c r="B1516" s="163" t="s">
        <v>1938</v>
      </c>
      <c r="C1516" s="163" t="s">
        <v>328</v>
      </c>
      <c r="D1516" s="163" t="s">
        <v>2660</v>
      </c>
      <c r="E1516" s="164" t="n">
        <v>20000</v>
      </c>
      <c r="F1516" s="165" t="s">
        <v>5393</v>
      </c>
    </row>
    <row r="1517" customFormat="false" ht="15" hidden="false" customHeight="true" outlineLevel="0" collapsed="false">
      <c r="A1517" s="163" t="s">
        <v>3020</v>
      </c>
      <c r="B1517" s="163" t="s">
        <v>1938</v>
      </c>
      <c r="C1517" s="163" t="s">
        <v>3227</v>
      </c>
      <c r="D1517" s="163" t="s">
        <v>3228</v>
      </c>
      <c r="E1517" s="164" t="n">
        <v>20000</v>
      </c>
      <c r="F1517" s="165" t="s">
        <v>5394</v>
      </c>
    </row>
    <row r="1518" customFormat="false" ht="15" hidden="false" customHeight="true" outlineLevel="0" collapsed="false">
      <c r="A1518" s="163" t="s">
        <v>3020</v>
      </c>
      <c r="B1518" s="163" t="s">
        <v>1938</v>
      </c>
      <c r="C1518" s="163" t="s">
        <v>3602</v>
      </c>
      <c r="D1518" s="163" t="s">
        <v>3603</v>
      </c>
      <c r="E1518" s="164" t="n">
        <v>20000</v>
      </c>
      <c r="F1518" s="165" t="s">
        <v>5395</v>
      </c>
    </row>
    <row r="1519" customFormat="false" ht="15" hidden="false" customHeight="true" outlineLevel="0" collapsed="false">
      <c r="A1519" s="163" t="s">
        <v>3020</v>
      </c>
      <c r="B1519" s="163" t="s">
        <v>1938</v>
      </c>
      <c r="C1519" s="163" t="s">
        <v>3602</v>
      </c>
      <c r="D1519" s="163" t="s">
        <v>3603</v>
      </c>
      <c r="E1519" s="164" t="n">
        <v>20000</v>
      </c>
      <c r="F1519" s="165" t="s">
        <v>5396</v>
      </c>
    </row>
    <row r="1520" customFormat="false" ht="15" hidden="false" customHeight="true" outlineLevel="0" collapsed="false">
      <c r="A1520" s="163" t="s">
        <v>3020</v>
      </c>
      <c r="B1520" s="163" t="s">
        <v>1938</v>
      </c>
      <c r="C1520" s="163" t="s">
        <v>3602</v>
      </c>
      <c r="D1520" s="163" t="s">
        <v>3603</v>
      </c>
      <c r="E1520" s="164" t="n">
        <v>20000</v>
      </c>
      <c r="F1520" s="165" t="s">
        <v>5397</v>
      </c>
    </row>
    <row r="1521" customFormat="false" ht="15" hidden="false" customHeight="true" outlineLevel="0" collapsed="false">
      <c r="A1521" s="163" t="s">
        <v>3020</v>
      </c>
      <c r="B1521" s="163" t="s">
        <v>1938</v>
      </c>
      <c r="C1521" s="163" t="s">
        <v>3238</v>
      </c>
      <c r="D1521" s="163" t="s">
        <v>3239</v>
      </c>
      <c r="E1521" s="164" t="n">
        <v>20000</v>
      </c>
      <c r="F1521" s="165" t="s">
        <v>5398</v>
      </c>
    </row>
    <row r="1522" customFormat="false" ht="15" hidden="false" customHeight="true" outlineLevel="0" collapsed="false">
      <c r="A1522" s="163" t="s">
        <v>3020</v>
      </c>
      <c r="B1522" s="163" t="s">
        <v>1938</v>
      </c>
      <c r="C1522" s="163" t="s">
        <v>395</v>
      </c>
      <c r="D1522" s="163" t="s">
        <v>2196</v>
      </c>
      <c r="E1522" s="164" t="n">
        <v>20000</v>
      </c>
      <c r="F1522" s="165" t="s">
        <v>5399</v>
      </c>
    </row>
    <row r="1523" customFormat="false" ht="15" hidden="false" customHeight="true" outlineLevel="0" collapsed="false">
      <c r="A1523" s="163" t="s">
        <v>3020</v>
      </c>
      <c r="B1523" s="163" t="s">
        <v>1938</v>
      </c>
      <c r="C1523" s="163" t="s">
        <v>5400</v>
      </c>
      <c r="D1523" s="163" t="s">
        <v>5401</v>
      </c>
      <c r="E1523" s="164" t="n">
        <v>20000</v>
      </c>
      <c r="F1523" s="165" t="s">
        <v>5402</v>
      </c>
    </row>
    <row r="1524" customFormat="false" ht="15" hidden="false" customHeight="true" outlineLevel="0" collapsed="false">
      <c r="A1524" s="163" t="s">
        <v>3020</v>
      </c>
      <c r="B1524" s="163" t="s">
        <v>1938</v>
      </c>
      <c r="C1524" s="163" t="s">
        <v>5171</v>
      </c>
      <c r="D1524" s="163" t="s">
        <v>5172</v>
      </c>
      <c r="E1524" s="164" t="n">
        <v>20000</v>
      </c>
      <c r="F1524" s="165" t="s">
        <v>5403</v>
      </c>
    </row>
    <row r="1525" customFormat="false" ht="15" hidden="false" customHeight="true" outlineLevel="0" collapsed="false">
      <c r="A1525" s="163" t="s">
        <v>3020</v>
      </c>
      <c r="B1525" s="163" t="s">
        <v>1938</v>
      </c>
      <c r="C1525" s="163" t="s">
        <v>3143</v>
      </c>
      <c r="D1525" s="163" t="s">
        <v>3144</v>
      </c>
      <c r="E1525" s="164" t="n">
        <v>20000</v>
      </c>
      <c r="F1525" s="165" t="s">
        <v>5404</v>
      </c>
    </row>
    <row r="1526" customFormat="false" ht="15" hidden="false" customHeight="true" outlineLevel="0" collapsed="false">
      <c r="A1526" s="163" t="s">
        <v>3020</v>
      </c>
      <c r="B1526" s="163" t="s">
        <v>1938</v>
      </c>
      <c r="C1526" s="163" t="s">
        <v>5405</v>
      </c>
      <c r="D1526" s="163" t="s">
        <v>5406</v>
      </c>
      <c r="E1526" s="164" t="n">
        <v>20000</v>
      </c>
      <c r="F1526" s="165" t="s">
        <v>5407</v>
      </c>
    </row>
    <row r="1527" customFormat="false" ht="15" hidden="false" customHeight="true" outlineLevel="0" collapsed="false">
      <c r="A1527" s="163" t="s">
        <v>3020</v>
      </c>
      <c r="B1527" s="163" t="s">
        <v>1938</v>
      </c>
      <c r="C1527" s="163" t="s">
        <v>3602</v>
      </c>
      <c r="D1527" s="163" t="s">
        <v>3603</v>
      </c>
      <c r="E1527" s="164" t="n">
        <v>20000</v>
      </c>
      <c r="F1527" s="165" t="s">
        <v>5402</v>
      </c>
    </row>
    <row r="1528" customFormat="false" ht="15" hidden="false" customHeight="true" outlineLevel="0" collapsed="false">
      <c r="A1528" s="163" t="s">
        <v>3020</v>
      </c>
      <c r="B1528" s="163" t="s">
        <v>1938</v>
      </c>
      <c r="C1528" s="163" t="s">
        <v>260</v>
      </c>
      <c r="D1528" s="163" t="s">
        <v>2097</v>
      </c>
      <c r="E1528" s="164" t="n">
        <v>10000</v>
      </c>
      <c r="F1528" s="165" t="s">
        <v>5408</v>
      </c>
    </row>
    <row r="1529" customFormat="false" ht="15" hidden="false" customHeight="true" outlineLevel="0" collapsed="false">
      <c r="A1529" s="163" t="s">
        <v>3020</v>
      </c>
      <c r="B1529" s="163" t="s">
        <v>1938</v>
      </c>
      <c r="C1529" s="163" t="s">
        <v>260</v>
      </c>
      <c r="D1529" s="163" t="s">
        <v>2097</v>
      </c>
      <c r="E1529" s="164" t="n">
        <v>10000</v>
      </c>
      <c r="F1529" s="165" t="s">
        <v>5409</v>
      </c>
    </row>
    <row r="1530" customFormat="false" ht="15" hidden="false" customHeight="true" outlineLevel="0" collapsed="false">
      <c r="A1530" s="163" t="s">
        <v>3020</v>
      </c>
      <c r="B1530" s="163" t="s">
        <v>691</v>
      </c>
      <c r="C1530" s="163" t="s">
        <v>3238</v>
      </c>
      <c r="D1530" s="163" t="s">
        <v>3239</v>
      </c>
      <c r="E1530" s="164" t="n">
        <v>15000</v>
      </c>
      <c r="F1530" s="165" t="s">
        <v>5410</v>
      </c>
    </row>
    <row r="1531" customFormat="false" ht="15" hidden="false" customHeight="true" outlineLevel="0" collapsed="false">
      <c r="A1531" s="163" t="s">
        <v>3020</v>
      </c>
      <c r="B1531" s="163" t="s">
        <v>691</v>
      </c>
      <c r="C1531" s="163" t="s">
        <v>3127</v>
      </c>
      <c r="D1531" s="163" t="s">
        <v>3128</v>
      </c>
      <c r="E1531" s="164" t="n">
        <v>10000</v>
      </c>
      <c r="F1531" s="165" t="s">
        <v>5411</v>
      </c>
    </row>
    <row r="1532" customFormat="false" ht="15" hidden="false" customHeight="true" outlineLevel="0" collapsed="false">
      <c r="A1532" s="163" t="s">
        <v>3020</v>
      </c>
      <c r="B1532" s="163" t="s">
        <v>691</v>
      </c>
      <c r="C1532" s="163" t="s">
        <v>3143</v>
      </c>
      <c r="D1532" s="163" t="s">
        <v>3144</v>
      </c>
      <c r="E1532" s="164" t="n">
        <v>10000</v>
      </c>
      <c r="F1532" s="165" t="s">
        <v>5412</v>
      </c>
    </row>
    <row r="1533" customFormat="false" ht="15" hidden="false" customHeight="true" outlineLevel="0" collapsed="false">
      <c r="A1533" s="163" t="s">
        <v>3020</v>
      </c>
      <c r="B1533" s="163" t="s">
        <v>691</v>
      </c>
      <c r="C1533" s="163" t="s">
        <v>3227</v>
      </c>
      <c r="D1533" s="163" t="s">
        <v>3228</v>
      </c>
      <c r="E1533" s="164" t="n">
        <v>10000</v>
      </c>
      <c r="F1533" s="165" t="s">
        <v>5413</v>
      </c>
    </row>
    <row r="1534" customFormat="false" ht="15" hidden="false" customHeight="true" outlineLevel="0" collapsed="false">
      <c r="A1534" s="163" t="s">
        <v>3020</v>
      </c>
      <c r="B1534" s="163" t="s">
        <v>691</v>
      </c>
      <c r="C1534" s="163" t="s">
        <v>5414</v>
      </c>
      <c r="D1534" s="163" t="s">
        <v>5415</v>
      </c>
      <c r="E1534" s="164" t="n">
        <v>10000</v>
      </c>
      <c r="F1534" s="165" t="s">
        <v>5416</v>
      </c>
    </row>
    <row r="1535" customFormat="false" ht="15" hidden="false" customHeight="true" outlineLevel="0" collapsed="false">
      <c r="A1535" s="163" t="s">
        <v>3020</v>
      </c>
      <c r="B1535" s="163" t="s">
        <v>691</v>
      </c>
      <c r="C1535" s="163" t="s">
        <v>5417</v>
      </c>
      <c r="D1535" s="163" t="s">
        <v>5418</v>
      </c>
      <c r="E1535" s="164" t="n">
        <v>10000</v>
      </c>
      <c r="F1535" s="165" t="s">
        <v>5419</v>
      </c>
    </row>
    <row r="1536" customFormat="false" ht="15" hidden="false" customHeight="true" outlineLevel="0" collapsed="false">
      <c r="A1536" s="163" t="s">
        <v>3020</v>
      </c>
      <c r="B1536" s="163" t="s">
        <v>691</v>
      </c>
      <c r="C1536" s="163" t="s">
        <v>5420</v>
      </c>
      <c r="D1536" s="163" t="s">
        <v>5421</v>
      </c>
      <c r="E1536" s="164" t="n">
        <v>10000</v>
      </c>
      <c r="F1536" s="165" t="s">
        <v>5422</v>
      </c>
    </row>
    <row r="1537" customFormat="false" ht="15" hidden="false" customHeight="true" outlineLevel="0" collapsed="false">
      <c r="A1537" s="163" t="s">
        <v>3020</v>
      </c>
      <c r="B1537" s="163" t="s">
        <v>691</v>
      </c>
      <c r="C1537" s="163" t="s">
        <v>4405</v>
      </c>
      <c r="D1537" s="163" t="s">
        <v>4406</v>
      </c>
      <c r="E1537" s="164" t="n">
        <v>10000</v>
      </c>
      <c r="F1537" s="165" t="s">
        <v>5423</v>
      </c>
    </row>
    <row r="1538" customFormat="false" ht="15" hidden="false" customHeight="true" outlineLevel="0" collapsed="false">
      <c r="A1538" s="163" t="s">
        <v>3020</v>
      </c>
      <c r="B1538" s="163" t="s">
        <v>691</v>
      </c>
      <c r="C1538" s="163" t="s">
        <v>3231</v>
      </c>
      <c r="D1538" s="163" t="s">
        <v>3232</v>
      </c>
      <c r="E1538" s="164" t="n">
        <v>10000</v>
      </c>
      <c r="F1538" s="165" t="s">
        <v>5424</v>
      </c>
    </row>
    <row r="1539" customFormat="false" ht="15" hidden="false" customHeight="true" outlineLevel="0" collapsed="false">
      <c r="A1539" s="163" t="s">
        <v>3020</v>
      </c>
      <c r="B1539" s="163" t="s">
        <v>691</v>
      </c>
      <c r="C1539" s="163" t="s">
        <v>5425</v>
      </c>
      <c r="D1539" s="163" t="s">
        <v>5426</v>
      </c>
      <c r="E1539" s="164" t="n">
        <v>10000</v>
      </c>
      <c r="F1539" s="165" t="s">
        <v>5427</v>
      </c>
    </row>
    <row r="1540" customFormat="false" ht="15" hidden="false" customHeight="true" outlineLevel="0" collapsed="false">
      <c r="A1540" s="163" t="s">
        <v>3020</v>
      </c>
      <c r="B1540" s="163" t="s">
        <v>691</v>
      </c>
      <c r="C1540" s="163" t="s">
        <v>3157</v>
      </c>
      <c r="D1540" s="163" t="s">
        <v>3158</v>
      </c>
      <c r="E1540" s="164" t="n">
        <v>10000</v>
      </c>
      <c r="F1540" s="165" t="s">
        <v>1161</v>
      </c>
    </row>
    <row r="1541" customFormat="false" ht="15" hidden="false" customHeight="true" outlineLevel="0" collapsed="false">
      <c r="A1541" s="163" t="s">
        <v>3020</v>
      </c>
      <c r="B1541" s="163" t="s">
        <v>691</v>
      </c>
      <c r="C1541" s="163" t="s">
        <v>5428</v>
      </c>
      <c r="D1541" s="163" t="s">
        <v>5429</v>
      </c>
      <c r="E1541" s="164" t="n">
        <v>10000</v>
      </c>
      <c r="F1541" s="165" t="s">
        <v>5430</v>
      </c>
    </row>
    <row r="1542" customFormat="false" ht="15" hidden="false" customHeight="true" outlineLevel="0" collapsed="false">
      <c r="A1542" s="163" t="s">
        <v>3020</v>
      </c>
      <c r="B1542" s="163" t="s">
        <v>691</v>
      </c>
      <c r="C1542" s="163" t="s">
        <v>5431</v>
      </c>
      <c r="D1542" s="163" t="s">
        <v>5432</v>
      </c>
      <c r="E1542" s="164" t="n">
        <v>10000</v>
      </c>
      <c r="F1542" s="165" t="s">
        <v>5433</v>
      </c>
    </row>
    <row r="1543" customFormat="false" ht="15" hidden="false" customHeight="true" outlineLevel="0" collapsed="false">
      <c r="A1543" s="163" t="s">
        <v>3020</v>
      </c>
      <c r="B1543" s="163" t="s">
        <v>691</v>
      </c>
      <c r="C1543" s="163" t="s">
        <v>5434</v>
      </c>
      <c r="D1543" s="163" t="s">
        <v>5435</v>
      </c>
      <c r="E1543" s="164" t="n">
        <v>10000</v>
      </c>
      <c r="F1543" s="165" t="s">
        <v>5436</v>
      </c>
    </row>
    <row r="1544" customFormat="false" ht="15" hidden="false" customHeight="true" outlineLevel="0" collapsed="false">
      <c r="A1544" s="163" t="s">
        <v>3020</v>
      </c>
      <c r="B1544" s="163" t="s">
        <v>2027</v>
      </c>
      <c r="C1544" s="163" t="s">
        <v>5346</v>
      </c>
      <c r="D1544" s="163" t="s">
        <v>5347</v>
      </c>
      <c r="E1544" s="164" t="n">
        <v>25000</v>
      </c>
      <c r="F1544" s="165" t="s">
        <v>5437</v>
      </c>
    </row>
    <row r="1545" customFormat="false" ht="15" hidden="false" customHeight="true" outlineLevel="0" collapsed="false">
      <c r="A1545" s="163" t="s">
        <v>3020</v>
      </c>
      <c r="B1545" s="163" t="s">
        <v>2027</v>
      </c>
      <c r="C1545" s="163" t="s">
        <v>4427</v>
      </c>
      <c r="D1545" s="163" t="s">
        <v>4428</v>
      </c>
      <c r="E1545" s="164" t="n">
        <v>25000</v>
      </c>
      <c r="F1545" s="165" t="s">
        <v>5438</v>
      </c>
    </row>
    <row r="1546" customFormat="false" ht="15" hidden="false" customHeight="true" outlineLevel="0" collapsed="false">
      <c r="A1546" s="163" t="s">
        <v>3020</v>
      </c>
      <c r="B1546" s="163" t="s">
        <v>2027</v>
      </c>
      <c r="C1546" s="163" t="s">
        <v>5336</v>
      </c>
      <c r="D1546" s="163" t="s">
        <v>5337</v>
      </c>
      <c r="E1546" s="164" t="n">
        <v>20000</v>
      </c>
      <c r="F1546" s="165" t="s">
        <v>5439</v>
      </c>
    </row>
    <row r="1547" customFormat="false" ht="15" hidden="false" customHeight="true" outlineLevel="0" collapsed="false">
      <c r="A1547" s="163" t="s">
        <v>3020</v>
      </c>
      <c r="B1547" s="163" t="s">
        <v>2027</v>
      </c>
      <c r="C1547" s="163" t="s">
        <v>3159</v>
      </c>
      <c r="D1547" s="163" t="s">
        <v>3160</v>
      </c>
      <c r="E1547" s="164" t="n">
        <v>20000</v>
      </c>
      <c r="F1547" s="165" t="s">
        <v>5440</v>
      </c>
    </row>
    <row r="1548" customFormat="false" ht="15" hidden="false" customHeight="true" outlineLevel="0" collapsed="false">
      <c r="A1548" s="163" t="s">
        <v>3020</v>
      </c>
      <c r="B1548" s="163" t="s">
        <v>2037</v>
      </c>
      <c r="C1548" s="163" t="s">
        <v>3165</v>
      </c>
      <c r="D1548" s="163" t="s">
        <v>3166</v>
      </c>
      <c r="E1548" s="164" t="n">
        <v>50000</v>
      </c>
      <c r="F1548" s="165" t="s">
        <v>5441</v>
      </c>
    </row>
    <row r="1549" customFormat="false" ht="15" hidden="false" customHeight="true" outlineLevel="0" collapsed="false">
      <c r="A1549" s="163" t="s">
        <v>3020</v>
      </c>
      <c r="B1549" s="163" t="s">
        <v>2037</v>
      </c>
      <c r="C1549" s="163" t="s">
        <v>3093</v>
      </c>
      <c r="D1549" s="163" t="s">
        <v>3094</v>
      </c>
      <c r="E1549" s="164" t="n">
        <v>50000</v>
      </c>
      <c r="F1549" s="165" t="s">
        <v>5442</v>
      </c>
    </row>
    <row r="1550" customFormat="false" ht="15" hidden="false" customHeight="true" outlineLevel="0" collapsed="false">
      <c r="A1550" s="163" t="s">
        <v>3020</v>
      </c>
      <c r="B1550" s="163" t="s">
        <v>2037</v>
      </c>
      <c r="C1550" s="163" t="s">
        <v>3159</v>
      </c>
      <c r="D1550" s="163" t="s">
        <v>3160</v>
      </c>
      <c r="E1550" s="164" t="n">
        <v>25000</v>
      </c>
      <c r="F1550" s="165" t="s">
        <v>5443</v>
      </c>
    </row>
    <row r="1551" customFormat="false" ht="15" hidden="false" customHeight="true" outlineLevel="0" collapsed="false">
      <c r="A1551" s="163" t="s">
        <v>3020</v>
      </c>
      <c r="B1551" s="163" t="s">
        <v>2037</v>
      </c>
      <c r="C1551" s="163" t="s">
        <v>4448</v>
      </c>
      <c r="D1551" s="163" t="s">
        <v>4449</v>
      </c>
      <c r="E1551" s="164" t="n">
        <v>10000</v>
      </c>
      <c r="F1551" s="165" t="s">
        <v>5444</v>
      </c>
    </row>
    <row r="1552" customFormat="false" ht="15" hidden="false" customHeight="true" outlineLevel="0" collapsed="false">
      <c r="A1552" s="163" t="s">
        <v>3020</v>
      </c>
      <c r="B1552" s="163" t="s">
        <v>2037</v>
      </c>
      <c r="C1552" s="163" t="s">
        <v>3865</v>
      </c>
      <c r="D1552" s="163" t="s">
        <v>3866</v>
      </c>
      <c r="E1552" s="164" t="n">
        <v>10000</v>
      </c>
      <c r="F1552" s="165" t="s">
        <v>5445</v>
      </c>
    </row>
    <row r="1553" customFormat="false" ht="15" hidden="false" customHeight="true" outlineLevel="0" collapsed="false">
      <c r="A1553" s="163" t="s">
        <v>3020</v>
      </c>
      <c r="B1553" s="163" t="s">
        <v>2037</v>
      </c>
      <c r="C1553" s="163" t="s">
        <v>3865</v>
      </c>
      <c r="D1553" s="163" t="s">
        <v>3866</v>
      </c>
      <c r="E1553" s="164" t="n">
        <v>10000</v>
      </c>
      <c r="F1553" s="165" t="s">
        <v>5446</v>
      </c>
    </row>
    <row r="1554" customFormat="false" ht="15" hidden="false" customHeight="true" outlineLevel="0" collapsed="false">
      <c r="A1554" s="163" t="s">
        <v>3020</v>
      </c>
      <c r="B1554" s="163" t="s">
        <v>2037</v>
      </c>
      <c r="C1554" s="163" t="s">
        <v>5447</v>
      </c>
      <c r="D1554" s="163" t="s">
        <v>5448</v>
      </c>
      <c r="E1554" s="164" t="n">
        <v>5000</v>
      </c>
      <c r="F1554" s="165" t="s">
        <v>3060</v>
      </c>
    </row>
    <row r="1555" customFormat="false" ht="15" hidden="false" customHeight="true" outlineLevel="0" collapsed="false">
      <c r="A1555" s="163" t="s">
        <v>3020</v>
      </c>
      <c r="B1555" s="163" t="s">
        <v>2037</v>
      </c>
      <c r="C1555" s="163" t="s">
        <v>4735</v>
      </c>
      <c r="D1555" s="163" t="s">
        <v>4736</v>
      </c>
      <c r="E1555" s="164" t="n">
        <v>5000</v>
      </c>
      <c r="F1555" s="165" t="s">
        <v>5449</v>
      </c>
    </row>
    <row r="1556" customFormat="false" ht="15" hidden="false" customHeight="true" outlineLevel="0" collapsed="false">
      <c r="A1556" s="163" t="s">
        <v>3020</v>
      </c>
      <c r="B1556" s="163" t="s">
        <v>894</v>
      </c>
      <c r="C1556" s="163" t="s">
        <v>3183</v>
      </c>
      <c r="D1556" s="163" t="s">
        <v>3184</v>
      </c>
      <c r="E1556" s="164" t="n">
        <v>25000</v>
      </c>
      <c r="F1556" s="165" t="s">
        <v>5382</v>
      </c>
    </row>
    <row r="1557" customFormat="false" ht="15" hidden="false" customHeight="true" outlineLevel="0" collapsed="false">
      <c r="A1557" s="163" t="s">
        <v>3020</v>
      </c>
      <c r="B1557" s="163" t="s">
        <v>894</v>
      </c>
      <c r="C1557" s="163" t="s">
        <v>3324</v>
      </c>
      <c r="D1557" s="163" t="s">
        <v>3325</v>
      </c>
      <c r="E1557" s="164" t="n">
        <v>15000</v>
      </c>
      <c r="F1557" s="165" t="s">
        <v>5382</v>
      </c>
    </row>
    <row r="1558" customFormat="false" ht="15" hidden="false" customHeight="true" outlineLevel="0" collapsed="false">
      <c r="A1558" s="163" t="s">
        <v>3020</v>
      </c>
      <c r="B1558" s="163" t="s">
        <v>894</v>
      </c>
      <c r="C1558" s="163" t="s">
        <v>3127</v>
      </c>
      <c r="D1558" s="163" t="s">
        <v>3128</v>
      </c>
      <c r="E1558" s="164" t="n">
        <v>15000</v>
      </c>
      <c r="F1558" s="165" t="s">
        <v>5382</v>
      </c>
    </row>
    <row r="1559" customFormat="false" ht="15" hidden="false" customHeight="true" outlineLevel="0" collapsed="false">
      <c r="A1559" s="163" t="s">
        <v>3020</v>
      </c>
      <c r="B1559" s="163" t="s">
        <v>894</v>
      </c>
      <c r="C1559" s="163" t="s">
        <v>5450</v>
      </c>
      <c r="D1559" s="163" t="s">
        <v>5451</v>
      </c>
      <c r="E1559" s="164" t="n">
        <v>12000</v>
      </c>
      <c r="F1559" s="165" t="s">
        <v>5382</v>
      </c>
    </row>
    <row r="1560" customFormat="false" ht="15" hidden="false" customHeight="true" outlineLevel="0" collapsed="false">
      <c r="A1560" s="163" t="s">
        <v>3020</v>
      </c>
      <c r="B1560" s="163" t="s">
        <v>894</v>
      </c>
      <c r="C1560" s="163" t="s">
        <v>3165</v>
      </c>
      <c r="D1560" s="163" t="s">
        <v>3166</v>
      </c>
      <c r="E1560" s="164" t="n">
        <v>10000</v>
      </c>
      <c r="F1560" s="165" t="s">
        <v>5452</v>
      </c>
    </row>
    <row r="1561" customFormat="false" ht="15" hidden="false" customHeight="true" outlineLevel="0" collapsed="false">
      <c r="A1561" s="163" t="s">
        <v>3020</v>
      </c>
      <c r="B1561" s="163" t="s">
        <v>894</v>
      </c>
      <c r="C1561" s="163" t="s">
        <v>3306</v>
      </c>
      <c r="D1561" s="163" t="s">
        <v>3307</v>
      </c>
      <c r="E1561" s="164" t="n">
        <v>10000</v>
      </c>
      <c r="F1561" s="165" t="s">
        <v>5453</v>
      </c>
    </row>
    <row r="1562" customFormat="false" ht="15" hidden="false" customHeight="true" outlineLevel="0" collapsed="false">
      <c r="A1562" s="163" t="s">
        <v>3020</v>
      </c>
      <c r="B1562" s="163" t="s">
        <v>894</v>
      </c>
      <c r="C1562" s="163" t="s">
        <v>5420</v>
      </c>
      <c r="D1562" s="163" t="s">
        <v>5421</v>
      </c>
      <c r="E1562" s="164" t="n">
        <v>10000</v>
      </c>
      <c r="F1562" s="165" t="s">
        <v>5454</v>
      </c>
    </row>
    <row r="1563" customFormat="false" ht="15" hidden="false" customHeight="true" outlineLevel="0" collapsed="false">
      <c r="A1563" s="163" t="s">
        <v>3020</v>
      </c>
      <c r="B1563" s="163" t="s">
        <v>894</v>
      </c>
      <c r="C1563" s="163" t="s">
        <v>5405</v>
      </c>
      <c r="D1563" s="163" t="s">
        <v>5406</v>
      </c>
      <c r="E1563" s="164" t="n">
        <v>10000</v>
      </c>
      <c r="F1563" s="165" t="s">
        <v>5455</v>
      </c>
    </row>
    <row r="1564" customFormat="false" ht="15" hidden="false" customHeight="true" outlineLevel="0" collapsed="false">
      <c r="A1564" s="163" t="s">
        <v>3020</v>
      </c>
      <c r="B1564" s="163" t="s">
        <v>894</v>
      </c>
      <c r="C1564" s="163" t="s">
        <v>3231</v>
      </c>
      <c r="D1564" s="163" t="s">
        <v>3232</v>
      </c>
      <c r="E1564" s="164" t="n">
        <v>10000</v>
      </c>
      <c r="F1564" s="165" t="s">
        <v>5382</v>
      </c>
    </row>
    <row r="1565" customFormat="false" ht="15" hidden="false" customHeight="true" outlineLevel="0" collapsed="false">
      <c r="A1565" s="163" t="s">
        <v>3020</v>
      </c>
      <c r="B1565" s="163" t="s">
        <v>894</v>
      </c>
      <c r="C1565" s="163" t="s">
        <v>5373</v>
      </c>
      <c r="D1565" s="163" t="s">
        <v>5374</v>
      </c>
      <c r="E1565" s="164" t="n">
        <v>10000</v>
      </c>
      <c r="F1565" s="165" t="s">
        <v>5456</v>
      </c>
    </row>
    <row r="1566" customFormat="false" ht="15" hidden="false" customHeight="true" outlineLevel="0" collapsed="false">
      <c r="A1566" s="163" t="s">
        <v>3020</v>
      </c>
      <c r="B1566" s="163" t="s">
        <v>894</v>
      </c>
      <c r="C1566" s="163" t="s">
        <v>925</v>
      </c>
      <c r="D1566" s="163" t="s">
        <v>1931</v>
      </c>
      <c r="E1566" s="164" t="n">
        <v>10000</v>
      </c>
      <c r="F1566" s="165" t="s">
        <v>5457</v>
      </c>
    </row>
    <row r="1567" customFormat="false" ht="15" hidden="false" customHeight="true" outlineLevel="0" collapsed="false">
      <c r="A1567" s="163" t="s">
        <v>3020</v>
      </c>
      <c r="B1567" s="163" t="s">
        <v>894</v>
      </c>
      <c r="C1567" s="163" t="s">
        <v>3274</v>
      </c>
      <c r="D1567" s="163" t="s">
        <v>3275</v>
      </c>
      <c r="E1567" s="164" t="n">
        <v>10000</v>
      </c>
      <c r="F1567" s="165" t="s">
        <v>5458</v>
      </c>
    </row>
    <row r="1568" customFormat="false" ht="15" hidden="false" customHeight="true" outlineLevel="0" collapsed="false">
      <c r="A1568" s="163" t="s">
        <v>3020</v>
      </c>
      <c r="B1568" s="163" t="s">
        <v>894</v>
      </c>
      <c r="C1568" s="163" t="s">
        <v>5373</v>
      </c>
      <c r="D1568" s="163" t="s">
        <v>5374</v>
      </c>
      <c r="E1568" s="164" t="n">
        <v>10000</v>
      </c>
      <c r="F1568" s="165" t="s">
        <v>5456</v>
      </c>
    </row>
    <row r="1569" customFormat="false" ht="15" hidden="false" customHeight="true" outlineLevel="0" collapsed="false">
      <c r="A1569" s="163" t="s">
        <v>3020</v>
      </c>
      <c r="B1569" s="163" t="s">
        <v>894</v>
      </c>
      <c r="C1569" s="163" t="s">
        <v>3102</v>
      </c>
      <c r="D1569" s="163" t="s">
        <v>3103</v>
      </c>
      <c r="E1569" s="164" t="n">
        <v>9000</v>
      </c>
      <c r="F1569" s="165" t="s">
        <v>5459</v>
      </c>
    </row>
    <row r="1570" customFormat="false" ht="15" hidden="false" customHeight="true" outlineLevel="0" collapsed="false">
      <c r="A1570" s="163" t="s">
        <v>3020</v>
      </c>
      <c r="B1570" s="163" t="s">
        <v>894</v>
      </c>
      <c r="C1570" s="163" t="s">
        <v>285</v>
      </c>
      <c r="D1570" s="163" t="s">
        <v>2408</v>
      </c>
      <c r="E1570" s="164" t="n">
        <v>8000</v>
      </c>
      <c r="F1570" s="165" t="s">
        <v>5460</v>
      </c>
    </row>
    <row r="1571" customFormat="false" ht="15" hidden="false" customHeight="true" outlineLevel="0" collapsed="false">
      <c r="A1571" s="163" t="s">
        <v>3020</v>
      </c>
      <c r="B1571" s="163" t="s">
        <v>894</v>
      </c>
      <c r="C1571" s="163" t="s">
        <v>5461</v>
      </c>
      <c r="D1571" s="163" t="s">
        <v>5462</v>
      </c>
      <c r="E1571" s="164" t="n">
        <v>7000</v>
      </c>
      <c r="F1571" s="165" t="s">
        <v>5463</v>
      </c>
    </row>
    <row r="1572" customFormat="false" ht="15" hidden="false" customHeight="true" outlineLevel="0" collapsed="false">
      <c r="A1572" s="163" t="s">
        <v>3020</v>
      </c>
      <c r="B1572" s="163" t="s">
        <v>894</v>
      </c>
      <c r="C1572" s="163" t="s">
        <v>3241</v>
      </c>
      <c r="D1572" s="163" t="s">
        <v>3242</v>
      </c>
      <c r="E1572" s="164" t="n">
        <v>7000</v>
      </c>
      <c r="F1572" s="165" t="s">
        <v>5464</v>
      </c>
    </row>
    <row r="1573" customFormat="false" ht="15" hidden="false" customHeight="true" outlineLevel="0" collapsed="false">
      <c r="A1573" s="163" t="s">
        <v>3020</v>
      </c>
      <c r="B1573" s="163" t="s">
        <v>894</v>
      </c>
      <c r="C1573" s="163" t="s">
        <v>974</v>
      </c>
      <c r="D1573" s="163" t="s">
        <v>1931</v>
      </c>
      <c r="E1573" s="164" t="n">
        <v>7000</v>
      </c>
      <c r="F1573" s="165" t="s">
        <v>5382</v>
      </c>
    </row>
    <row r="1574" customFormat="false" ht="15" hidden="false" customHeight="true" outlineLevel="0" collapsed="false">
      <c r="A1574" s="163" t="s">
        <v>3020</v>
      </c>
      <c r="B1574" s="163" t="s">
        <v>894</v>
      </c>
      <c r="C1574" s="163" t="s">
        <v>5465</v>
      </c>
      <c r="D1574" s="163" t="s">
        <v>5466</v>
      </c>
      <c r="E1574" s="164" t="n">
        <v>7000</v>
      </c>
      <c r="F1574" s="165" t="s">
        <v>5467</v>
      </c>
    </row>
    <row r="1575" customFormat="false" ht="15" hidden="false" customHeight="true" outlineLevel="0" collapsed="false">
      <c r="A1575" s="163" t="s">
        <v>3020</v>
      </c>
      <c r="B1575" s="163" t="s">
        <v>894</v>
      </c>
      <c r="C1575" s="163" t="s">
        <v>5468</v>
      </c>
      <c r="D1575" s="163" t="s">
        <v>5469</v>
      </c>
      <c r="E1575" s="164" t="n">
        <v>6000</v>
      </c>
      <c r="F1575" s="165" t="s">
        <v>5470</v>
      </c>
    </row>
    <row r="1576" customFormat="false" ht="15" hidden="false" customHeight="true" outlineLevel="0" collapsed="false">
      <c r="A1576" s="163" t="s">
        <v>3020</v>
      </c>
      <c r="B1576" s="163" t="s">
        <v>894</v>
      </c>
      <c r="C1576" s="163" t="s">
        <v>5471</v>
      </c>
      <c r="D1576" s="163" t="s">
        <v>5472</v>
      </c>
      <c r="E1576" s="164" t="n">
        <v>5000</v>
      </c>
      <c r="F1576" s="165" t="s">
        <v>5473</v>
      </c>
    </row>
    <row r="1577" customFormat="false" ht="15" hidden="false" customHeight="true" outlineLevel="0" collapsed="false">
      <c r="A1577" s="163" t="s">
        <v>3020</v>
      </c>
      <c r="B1577" s="163" t="s">
        <v>894</v>
      </c>
      <c r="C1577" s="163" t="s">
        <v>5474</v>
      </c>
      <c r="D1577" s="163" t="s">
        <v>5475</v>
      </c>
      <c r="E1577" s="164" t="n">
        <v>5000</v>
      </c>
      <c r="F1577" s="165" t="s">
        <v>5476</v>
      </c>
    </row>
    <row r="1578" customFormat="false" ht="15" hidden="false" customHeight="true" outlineLevel="0" collapsed="false">
      <c r="A1578" s="163" t="s">
        <v>3020</v>
      </c>
      <c r="B1578" s="163" t="s">
        <v>894</v>
      </c>
      <c r="C1578" s="163" t="s">
        <v>5477</v>
      </c>
      <c r="D1578" s="163" t="s">
        <v>5478</v>
      </c>
      <c r="E1578" s="164" t="n">
        <v>5000</v>
      </c>
      <c r="F1578" s="165" t="s">
        <v>5382</v>
      </c>
    </row>
    <row r="1579" customFormat="false" ht="15" hidden="false" customHeight="true" outlineLevel="0" collapsed="false">
      <c r="A1579" s="163" t="s">
        <v>3020</v>
      </c>
      <c r="B1579" s="163" t="s">
        <v>894</v>
      </c>
      <c r="C1579" s="163" t="s">
        <v>3108</v>
      </c>
      <c r="D1579" s="163" t="s">
        <v>3109</v>
      </c>
      <c r="E1579" s="164" t="n">
        <v>5000</v>
      </c>
      <c r="F1579" s="165" t="s">
        <v>5382</v>
      </c>
    </row>
    <row r="1580" customFormat="false" ht="15" hidden="false" customHeight="true" outlineLevel="0" collapsed="false">
      <c r="A1580" s="163" t="s">
        <v>3020</v>
      </c>
      <c r="B1580" s="163" t="s">
        <v>894</v>
      </c>
      <c r="C1580" s="163" t="s">
        <v>3269</v>
      </c>
      <c r="D1580" s="163" t="s">
        <v>3270</v>
      </c>
      <c r="E1580" s="164" t="n">
        <v>5000</v>
      </c>
      <c r="F1580" s="165" t="s">
        <v>5382</v>
      </c>
    </row>
    <row r="1581" customFormat="false" ht="15" hidden="false" customHeight="true" outlineLevel="0" collapsed="false">
      <c r="A1581" s="163" t="s">
        <v>3020</v>
      </c>
      <c r="B1581" s="163" t="s">
        <v>894</v>
      </c>
      <c r="C1581" s="163" t="s">
        <v>5479</v>
      </c>
      <c r="D1581" s="163" t="s">
        <v>5480</v>
      </c>
      <c r="E1581" s="164" t="n">
        <v>5000</v>
      </c>
      <c r="F1581" s="165" t="s">
        <v>5481</v>
      </c>
    </row>
    <row r="1582" customFormat="false" ht="15" hidden="false" customHeight="true" outlineLevel="0" collapsed="false">
      <c r="A1582" s="163" t="s">
        <v>3020</v>
      </c>
      <c r="B1582" s="163" t="s">
        <v>894</v>
      </c>
      <c r="C1582" s="163" t="s">
        <v>4623</v>
      </c>
      <c r="D1582" s="163" t="s">
        <v>4624</v>
      </c>
      <c r="E1582" s="164" t="n">
        <v>5000</v>
      </c>
      <c r="F1582" s="165" t="s">
        <v>5482</v>
      </c>
    </row>
    <row r="1583" customFormat="false" ht="15" hidden="false" customHeight="true" outlineLevel="0" collapsed="false">
      <c r="A1583" s="163" t="s">
        <v>3020</v>
      </c>
      <c r="B1583" s="163" t="s">
        <v>894</v>
      </c>
      <c r="C1583" s="163" t="s">
        <v>5447</v>
      </c>
      <c r="D1583" s="163" t="s">
        <v>5448</v>
      </c>
      <c r="E1583" s="164" t="n">
        <v>5000</v>
      </c>
      <c r="F1583" s="165" t="s">
        <v>5382</v>
      </c>
    </row>
    <row r="1584" customFormat="false" ht="15" hidden="false" customHeight="true" outlineLevel="0" collapsed="false">
      <c r="A1584" s="163" t="s">
        <v>3020</v>
      </c>
      <c r="B1584" s="163" t="s">
        <v>894</v>
      </c>
      <c r="C1584" s="163" t="s">
        <v>5483</v>
      </c>
      <c r="D1584" s="163" t="s">
        <v>5484</v>
      </c>
      <c r="E1584" s="164" t="n">
        <v>5000</v>
      </c>
      <c r="F1584" s="165" t="s">
        <v>5485</v>
      </c>
    </row>
    <row r="1585" customFormat="false" ht="15" hidden="false" customHeight="true" outlineLevel="0" collapsed="false">
      <c r="A1585" s="163" t="s">
        <v>3020</v>
      </c>
      <c r="B1585" s="163" t="s">
        <v>894</v>
      </c>
      <c r="C1585" s="163" t="s">
        <v>5486</v>
      </c>
      <c r="D1585" s="163" t="s">
        <v>5487</v>
      </c>
      <c r="E1585" s="164" t="n">
        <v>5000</v>
      </c>
      <c r="F1585" s="165" t="s">
        <v>5488</v>
      </c>
    </row>
    <row r="1586" customFormat="false" ht="15" hidden="false" customHeight="true" outlineLevel="0" collapsed="false">
      <c r="A1586" s="163" t="s">
        <v>3020</v>
      </c>
      <c r="B1586" s="163" t="s">
        <v>894</v>
      </c>
      <c r="C1586" s="163" t="s">
        <v>4512</v>
      </c>
      <c r="D1586" s="163" t="s">
        <v>4513</v>
      </c>
      <c r="E1586" s="164" t="n">
        <v>5000</v>
      </c>
      <c r="F1586" s="165" t="s">
        <v>5382</v>
      </c>
    </row>
    <row r="1587" customFormat="false" ht="15" hidden="false" customHeight="true" outlineLevel="0" collapsed="false">
      <c r="A1587" s="163" t="s">
        <v>3020</v>
      </c>
      <c r="B1587" s="163" t="s">
        <v>894</v>
      </c>
      <c r="C1587" s="163" t="s">
        <v>5489</v>
      </c>
      <c r="D1587" s="163" t="s">
        <v>5490</v>
      </c>
      <c r="E1587" s="164" t="n">
        <v>5000</v>
      </c>
      <c r="F1587" s="165" t="s">
        <v>5382</v>
      </c>
    </row>
    <row r="1588" customFormat="false" ht="15" hidden="false" customHeight="true" outlineLevel="0" collapsed="false">
      <c r="A1588" s="163" t="s">
        <v>3020</v>
      </c>
      <c r="B1588" s="163" t="s">
        <v>894</v>
      </c>
      <c r="C1588" s="163" t="s">
        <v>5491</v>
      </c>
      <c r="D1588" s="163" t="s">
        <v>5492</v>
      </c>
      <c r="E1588" s="164" t="n">
        <v>5000</v>
      </c>
      <c r="F1588" s="165" t="s">
        <v>5382</v>
      </c>
    </row>
    <row r="1589" customFormat="false" ht="15" hidden="false" customHeight="true" outlineLevel="0" collapsed="false">
      <c r="A1589" s="163" t="s">
        <v>3020</v>
      </c>
      <c r="B1589" s="163" t="s">
        <v>894</v>
      </c>
      <c r="C1589" s="163" t="s">
        <v>1221</v>
      </c>
      <c r="D1589" s="163" t="s">
        <v>1895</v>
      </c>
      <c r="E1589" s="164" t="n">
        <v>5000</v>
      </c>
      <c r="F1589" s="165" t="s">
        <v>5493</v>
      </c>
    </row>
    <row r="1590" customFormat="false" ht="15" hidden="false" customHeight="true" outlineLevel="0" collapsed="false">
      <c r="A1590" s="163" t="s">
        <v>3020</v>
      </c>
      <c r="B1590" s="163" t="s">
        <v>894</v>
      </c>
      <c r="C1590" s="163" t="s">
        <v>5494</v>
      </c>
      <c r="D1590" s="163" t="s">
        <v>5495</v>
      </c>
      <c r="E1590" s="164" t="n">
        <v>5000</v>
      </c>
      <c r="F1590" s="165" t="s">
        <v>5496</v>
      </c>
    </row>
    <row r="1591" customFormat="false" ht="15" hidden="false" customHeight="true" outlineLevel="0" collapsed="false">
      <c r="A1591" s="163" t="s">
        <v>3020</v>
      </c>
      <c r="B1591" s="163" t="s">
        <v>894</v>
      </c>
      <c r="C1591" s="163" t="s">
        <v>5497</v>
      </c>
      <c r="D1591" s="163" t="s">
        <v>5498</v>
      </c>
      <c r="E1591" s="164" t="n">
        <v>5000</v>
      </c>
      <c r="F1591" s="165" t="s">
        <v>5499</v>
      </c>
    </row>
    <row r="1592" customFormat="false" ht="15" hidden="false" customHeight="true" outlineLevel="0" collapsed="false">
      <c r="A1592" s="163" t="s">
        <v>3020</v>
      </c>
      <c r="B1592" s="163" t="s">
        <v>894</v>
      </c>
      <c r="C1592" s="163" t="s">
        <v>5500</v>
      </c>
      <c r="D1592" s="163" t="s">
        <v>5501</v>
      </c>
      <c r="E1592" s="164" t="n">
        <v>5000</v>
      </c>
      <c r="F1592" s="165" t="s">
        <v>5502</v>
      </c>
    </row>
    <row r="1593" customFormat="false" ht="15" hidden="false" customHeight="true" outlineLevel="0" collapsed="false">
      <c r="A1593" s="163" t="s">
        <v>3020</v>
      </c>
      <c r="B1593" s="163" t="s">
        <v>894</v>
      </c>
      <c r="C1593" s="163" t="s">
        <v>1202</v>
      </c>
      <c r="D1593" s="163" t="s">
        <v>2693</v>
      </c>
      <c r="E1593" s="164" t="n">
        <v>5000</v>
      </c>
      <c r="F1593" s="165" t="s">
        <v>5503</v>
      </c>
    </row>
    <row r="1594" customFormat="false" ht="15" hidden="false" customHeight="true" outlineLevel="0" collapsed="false">
      <c r="A1594" s="163" t="s">
        <v>3020</v>
      </c>
      <c r="B1594" s="163" t="s">
        <v>894</v>
      </c>
      <c r="C1594" s="163" t="s">
        <v>5504</v>
      </c>
      <c r="D1594" s="163" t="s">
        <v>5505</v>
      </c>
      <c r="E1594" s="164" t="n">
        <v>5000</v>
      </c>
      <c r="F1594" s="165" t="s">
        <v>5506</v>
      </c>
    </row>
    <row r="1595" customFormat="false" ht="15" hidden="false" customHeight="true" outlineLevel="0" collapsed="false">
      <c r="A1595" s="163" t="s">
        <v>3020</v>
      </c>
      <c r="B1595" s="163" t="s">
        <v>894</v>
      </c>
      <c r="C1595" s="163" t="s">
        <v>5343</v>
      </c>
      <c r="D1595" s="163" t="s">
        <v>5344</v>
      </c>
      <c r="E1595" s="164" t="n">
        <v>5000</v>
      </c>
      <c r="F1595" s="165" t="s">
        <v>5507</v>
      </c>
    </row>
    <row r="1596" customFormat="false" ht="15" hidden="false" customHeight="true" outlineLevel="0" collapsed="false">
      <c r="A1596" s="163" t="s">
        <v>3020</v>
      </c>
      <c r="B1596" s="163" t="s">
        <v>894</v>
      </c>
      <c r="C1596" s="163" t="s">
        <v>5508</v>
      </c>
      <c r="D1596" s="163" t="s">
        <v>5509</v>
      </c>
      <c r="E1596" s="164" t="n">
        <v>5000</v>
      </c>
      <c r="F1596" s="165" t="s">
        <v>3060</v>
      </c>
    </row>
    <row r="1597" customFormat="false" ht="15" hidden="false" customHeight="true" outlineLevel="0" collapsed="false">
      <c r="A1597" s="163" t="s">
        <v>3020</v>
      </c>
      <c r="B1597" s="163" t="s">
        <v>894</v>
      </c>
      <c r="C1597" s="163" t="s">
        <v>4303</v>
      </c>
      <c r="D1597" s="163" t="s">
        <v>4304</v>
      </c>
      <c r="E1597" s="164" t="n">
        <v>5000</v>
      </c>
      <c r="F1597" s="165" t="s">
        <v>5510</v>
      </c>
    </row>
    <row r="1598" customFormat="false" ht="15" hidden="false" customHeight="true" outlineLevel="0" collapsed="false">
      <c r="A1598" s="163" t="s">
        <v>3020</v>
      </c>
      <c r="B1598" s="163" t="s">
        <v>894</v>
      </c>
      <c r="C1598" s="163" t="s">
        <v>5511</v>
      </c>
      <c r="D1598" s="163" t="s">
        <v>5512</v>
      </c>
      <c r="E1598" s="164" t="n">
        <v>5000</v>
      </c>
      <c r="F1598" s="165" t="s">
        <v>5513</v>
      </c>
    </row>
    <row r="1599" customFormat="false" ht="15" hidden="false" customHeight="true" outlineLevel="0" collapsed="false">
      <c r="A1599" s="163" t="s">
        <v>3020</v>
      </c>
      <c r="B1599" s="163" t="s">
        <v>894</v>
      </c>
      <c r="C1599" s="163" t="s">
        <v>3116</v>
      </c>
      <c r="D1599" s="163" t="s">
        <v>3117</v>
      </c>
      <c r="E1599" s="164" t="n">
        <v>5000</v>
      </c>
      <c r="F1599" s="165" t="s">
        <v>5514</v>
      </c>
    </row>
    <row r="1600" customFormat="false" ht="15" hidden="false" customHeight="true" outlineLevel="0" collapsed="false">
      <c r="A1600" s="163" t="s">
        <v>3020</v>
      </c>
      <c r="B1600" s="163" t="s">
        <v>894</v>
      </c>
      <c r="C1600" s="163" t="s">
        <v>5428</v>
      </c>
      <c r="D1600" s="163" t="s">
        <v>5429</v>
      </c>
      <c r="E1600" s="164" t="n">
        <v>5000</v>
      </c>
      <c r="F1600" s="165" t="s">
        <v>5515</v>
      </c>
    </row>
    <row r="1601" customFormat="false" ht="15" hidden="false" customHeight="true" outlineLevel="0" collapsed="false">
      <c r="A1601" s="163" t="s">
        <v>3020</v>
      </c>
      <c r="B1601" s="163" t="s">
        <v>894</v>
      </c>
      <c r="C1601" s="163" t="s">
        <v>5516</v>
      </c>
      <c r="D1601" s="163" t="s">
        <v>5517</v>
      </c>
      <c r="E1601" s="164" t="n">
        <v>5000</v>
      </c>
      <c r="F1601" s="165" t="s">
        <v>5382</v>
      </c>
    </row>
    <row r="1602" customFormat="false" ht="15" hidden="false" customHeight="true" outlineLevel="0" collapsed="false">
      <c r="A1602" s="163" t="s">
        <v>3020</v>
      </c>
      <c r="B1602" s="163" t="s">
        <v>894</v>
      </c>
      <c r="C1602" s="163" t="s">
        <v>5518</v>
      </c>
      <c r="D1602" s="163" t="s">
        <v>5519</v>
      </c>
      <c r="E1602" s="164" t="n">
        <v>5000</v>
      </c>
      <c r="F1602" s="165" t="s">
        <v>5520</v>
      </c>
    </row>
    <row r="1603" customFormat="false" ht="15" hidden="false" customHeight="true" outlineLevel="0" collapsed="false">
      <c r="A1603" s="163" t="s">
        <v>3020</v>
      </c>
      <c r="B1603" s="163" t="s">
        <v>894</v>
      </c>
      <c r="C1603" s="163" t="s">
        <v>5521</v>
      </c>
      <c r="D1603" s="163" t="s">
        <v>5522</v>
      </c>
      <c r="E1603" s="164" t="n">
        <v>5000</v>
      </c>
      <c r="F1603" s="165" t="s">
        <v>5523</v>
      </c>
    </row>
    <row r="1604" customFormat="false" ht="15" hidden="false" customHeight="true" outlineLevel="0" collapsed="false">
      <c r="A1604" s="163" t="s">
        <v>3020</v>
      </c>
      <c r="B1604" s="163" t="s">
        <v>894</v>
      </c>
      <c r="C1604" s="163" t="s">
        <v>3219</v>
      </c>
      <c r="D1604" s="163" t="s">
        <v>3220</v>
      </c>
      <c r="E1604" s="164" t="n">
        <v>5000</v>
      </c>
      <c r="F1604" s="165" t="s">
        <v>5382</v>
      </c>
    </row>
    <row r="1605" customFormat="false" ht="15" hidden="false" customHeight="true" outlineLevel="0" collapsed="false">
      <c r="A1605" s="163" t="s">
        <v>3020</v>
      </c>
      <c r="B1605" s="163" t="s">
        <v>894</v>
      </c>
      <c r="C1605" s="163" t="s">
        <v>925</v>
      </c>
      <c r="D1605" s="163" t="s">
        <v>1931</v>
      </c>
      <c r="E1605" s="164" t="n">
        <v>5000</v>
      </c>
      <c r="F1605" s="165" t="s">
        <v>5524</v>
      </c>
    </row>
    <row r="1606" customFormat="false" ht="15" hidden="false" customHeight="true" outlineLevel="0" collapsed="false">
      <c r="A1606" s="163" t="s">
        <v>3020</v>
      </c>
      <c r="B1606" s="163" t="s">
        <v>894</v>
      </c>
      <c r="C1606" s="163" t="s">
        <v>3433</v>
      </c>
      <c r="D1606" s="163" t="s">
        <v>3434</v>
      </c>
      <c r="E1606" s="164" t="n">
        <v>5000</v>
      </c>
      <c r="F1606" s="165" t="s">
        <v>5525</v>
      </c>
    </row>
    <row r="1607" customFormat="false" ht="15" hidden="false" customHeight="true" outlineLevel="0" collapsed="false">
      <c r="A1607" s="163" t="s">
        <v>3020</v>
      </c>
      <c r="B1607" s="163" t="s">
        <v>894</v>
      </c>
      <c r="C1607" s="163" t="s">
        <v>893</v>
      </c>
      <c r="D1607" s="163" t="s">
        <v>1931</v>
      </c>
      <c r="E1607" s="164" t="n">
        <v>5000</v>
      </c>
      <c r="F1607" s="165" t="s">
        <v>5526</v>
      </c>
    </row>
    <row r="1608" customFormat="false" ht="15" hidden="false" customHeight="true" outlineLevel="0" collapsed="false">
      <c r="A1608" s="163" t="s">
        <v>3020</v>
      </c>
      <c r="B1608" s="163" t="s">
        <v>894</v>
      </c>
      <c r="C1608" s="163" t="s">
        <v>5527</v>
      </c>
      <c r="D1608" s="163" t="s">
        <v>5528</v>
      </c>
      <c r="E1608" s="164" t="n">
        <v>5000</v>
      </c>
      <c r="F1608" s="165" t="s">
        <v>5529</v>
      </c>
    </row>
    <row r="1609" customFormat="false" ht="15" hidden="false" customHeight="true" outlineLevel="0" collapsed="false">
      <c r="A1609" s="163" t="s">
        <v>3020</v>
      </c>
      <c r="B1609" s="163" t="s">
        <v>894</v>
      </c>
      <c r="C1609" s="163" t="s">
        <v>3835</v>
      </c>
      <c r="D1609" s="163" t="s">
        <v>3836</v>
      </c>
      <c r="E1609" s="164" t="n">
        <v>5000</v>
      </c>
      <c r="F1609" s="165" t="s">
        <v>5530</v>
      </c>
    </row>
    <row r="1610" customFormat="false" ht="15" hidden="false" customHeight="true" outlineLevel="0" collapsed="false">
      <c r="A1610" s="163" t="s">
        <v>3020</v>
      </c>
      <c r="B1610" s="163" t="s">
        <v>894</v>
      </c>
      <c r="C1610" s="163" t="s">
        <v>5531</v>
      </c>
      <c r="D1610" s="163" t="s">
        <v>5532</v>
      </c>
      <c r="E1610" s="164" t="n">
        <v>5000</v>
      </c>
      <c r="F1610" s="165" t="s">
        <v>5533</v>
      </c>
    </row>
    <row r="1611" customFormat="false" ht="15" hidden="false" customHeight="true" outlineLevel="0" collapsed="false">
      <c r="A1611" s="163" t="s">
        <v>3020</v>
      </c>
      <c r="B1611" s="163" t="s">
        <v>894</v>
      </c>
      <c r="C1611" s="163" t="s">
        <v>5534</v>
      </c>
      <c r="D1611" s="163" t="s">
        <v>5535</v>
      </c>
      <c r="E1611" s="164" t="n">
        <v>5000</v>
      </c>
      <c r="F1611" s="165" t="s">
        <v>5382</v>
      </c>
    </row>
    <row r="1612" customFormat="false" ht="15" hidden="false" customHeight="true" outlineLevel="0" collapsed="false">
      <c r="A1612" s="163" t="s">
        <v>3020</v>
      </c>
      <c r="B1612" s="163" t="s">
        <v>894</v>
      </c>
      <c r="C1612" s="163" t="s">
        <v>452</v>
      </c>
      <c r="D1612" s="163" t="s">
        <v>1931</v>
      </c>
      <c r="E1612" s="164" t="n">
        <v>4000</v>
      </c>
      <c r="F1612" s="165" t="s">
        <v>5536</v>
      </c>
    </row>
    <row r="1613" customFormat="false" ht="15" hidden="false" customHeight="true" outlineLevel="0" collapsed="false">
      <c r="A1613" s="163" t="s">
        <v>3020</v>
      </c>
      <c r="B1613" s="163" t="s">
        <v>894</v>
      </c>
      <c r="C1613" s="163" t="s">
        <v>5537</v>
      </c>
      <c r="D1613" s="163" t="s">
        <v>5538</v>
      </c>
      <c r="E1613" s="164" t="n">
        <v>4000</v>
      </c>
      <c r="F1613" s="165" t="s">
        <v>5539</v>
      </c>
    </row>
    <row r="1614" customFormat="false" ht="15" hidden="false" customHeight="true" outlineLevel="0" collapsed="false">
      <c r="A1614" s="163" t="s">
        <v>3020</v>
      </c>
      <c r="B1614" s="163" t="s">
        <v>894</v>
      </c>
      <c r="C1614" s="163" t="s">
        <v>5540</v>
      </c>
      <c r="D1614" s="163" t="s">
        <v>5541</v>
      </c>
      <c r="E1614" s="164" t="n">
        <v>2000</v>
      </c>
      <c r="F1614" s="165" t="s">
        <v>5542</v>
      </c>
    </row>
    <row r="1615" customFormat="false" ht="15" hidden="false" customHeight="true" outlineLevel="0" collapsed="false">
      <c r="A1615" s="163" t="s">
        <v>3020</v>
      </c>
      <c r="B1615" s="163" t="s">
        <v>894</v>
      </c>
      <c r="C1615" s="163" t="s">
        <v>5543</v>
      </c>
      <c r="D1615" s="163" t="s">
        <v>5544</v>
      </c>
      <c r="E1615" s="164" t="n">
        <v>2000</v>
      </c>
      <c r="F1615" s="165" t="s">
        <v>3060</v>
      </c>
    </row>
    <row r="1616" customFormat="false" ht="15" hidden="false" customHeight="true" outlineLevel="0" collapsed="false">
      <c r="A1616" s="163" t="s">
        <v>3020</v>
      </c>
      <c r="B1616" s="163" t="s">
        <v>882</v>
      </c>
      <c r="C1616" s="163" t="s">
        <v>640</v>
      </c>
      <c r="D1616" s="163" t="s">
        <v>1931</v>
      </c>
      <c r="E1616" s="164" t="n">
        <v>87000</v>
      </c>
      <c r="F1616" s="165" t="s">
        <v>5545</v>
      </c>
    </row>
    <row r="1617" customFormat="false" ht="15" hidden="false" customHeight="true" outlineLevel="0" collapsed="false">
      <c r="A1617" s="163" t="s">
        <v>3020</v>
      </c>
      <c r="B1617" s="163" t="s">
        <v>882</v>
      </c>
      <c r="C1617" s="163" t="s">
        <v>3112</v>
      </c>
      <c r="D1617" s="163" t="s">
        <v>3113</v>
      </c>
      <c r="E1617" s="164" t="n">
        <v>55000</v>
      </c>
      <c r="F1617" s="165" t="s">
        <v>5546</v>
      </c>
    </row>
    <row r="1618" customFormat="false" ht="15" hidden="false" customHeight="true" outlineLevel="0" collapsed="false">
      <c r="A1618" s="163" t="s">
        <v>3020</v>
      </c>
      <c r="B1618" s="163" t="s">
        <v>882</v>
      </c>
      <c r="C1618" s="163" t="s">
        <v>3294</v>
      </c>
      <c r="D1618" s="163" t="s">
        <v>3295</v>
      </c>
      <c r="E1618" s="164" t="n">
        <v>30000</v>
      </c>
      <c r="F1618" s="165" t="s">
        <v>5382</v>
      </c>
    </row>
    <row r="1619" customFormat="false" ht="15" hidden="false" customHeight="true" outlineLevel="0" collapsed="false">
      <c r="A1619" s="163" t="s">
        <v>3020</v>
      </c>
      <c r="B1619" s="163" t="s">
        <v>882</v>
      </c>
      <c r="C1619" s="163" t="s">
        <v>5540</v>
      </c>
      <c r="D1619" s="163" t="s">
        <v>5541</v>
      </c>
      <c r="E1619" s="164" t="n">
        <v>28000</v>
      </c>
      <c r="F1619" s="165" t="s">
        <v>5542</v>
      </c>
    </row>
    <row r="1620" customFormat="false" ht="15" hidden="false" customHeight="true" outlineLevel="0" collapsed="false">
      <c r="A1620" s="163" t="s">
        <v>3020</v>
      </c>
      <c r="B1620" s="163" t="s">
        <v>882</v>
      </c>
      <c r="C1620" s="163" t="s">
        <v>5346</v>
      </c>
      <c r="D1620" s="163" t="s">
        <v>5347</v>
      </c>
      <c r="E1620" s="164" t="n">
        <v>28000</v>
      </c>
      <c r="F1620" s="165" t="s">
        <v>5547</v>
      </c>
    </row>
    <row r="1621" customFormat="false" ht="15" hidden="false" customHeight="true" outlineLevel="0" collapsed="false">
      <c r="A1621" s="163" t="s">
        <v>3020</v>
      </c>
      <c r="B1621" s="163" t="s">
        <v>882</v>
      </c>
      <c r="C1621" s="163" t="s">
        <v>5548</v>
      </c>
      <c r="D1621" s="163" t="s">
        <v>5549</v>
      </c>
      <c r="E1621" s="164" t="n">
        <v>20000</v>
      </c>
      <c r="F1621" s="165" t="s">
        <v>5550</v>
      </c>
    </row>
    <row r="1622" customFormat="false" ht="15" hidden="false" customHeight="true" outlineLevel="0" collapsed="false">
      <c r="A1622" s="163" t="s">
        <v>3020</v>
      </c>
      <c r="B1622" s="163" t="s">
        <v>882</v>
      </c>
      <c r="C1622" s="163" t="s">
        <v>5551</v>
      </c>
      <c r="D1622" s="163" t="s">
        <v>5552</v>
      </c>
      <c r="E1622" s="164" t="n">
        <v>17000</v>
      </c>
      <c r="F1622" s="165" t="s">
        <v>5553</v>
      </c>
    </row>
    <row r="1623" customFormat="false" ht="15" hidden="false" customHeight="true" outlineLevel="0" collapsed="false">
      <c r="A1623" s="163" t="s">
        <v>3020</v>
      </c>
      <c r="B1623" s="163" t="s">
        <v>882</v>
      </c>
      <c r="C1623" s="163" t="s">
        <v>3294</v>
      </c>
      <c r="D1623" s="163" t="s">
        <v>3295</v>
      </c>
      <c r="E1623" s="164" t="n">
        <v>15000</v>
      </c>
      <c r="F1623" s="165" t="s">
        <v>5382</v>
      </c>
    </row>
    <row r="1624" customFormat="false" ht="15" hidden="false" customHeight="true" outlineLevel="0" collapsed="false">
      <c r="A1624" s="163" t="s">
        <v>3020</v>
      </c>
      <c r="B1624" s="163" t="s">
        <v>2328</v>
      </c>
      <c r="C1624" s="163" t="s">
        <v>3159</v>
      </c>
      <c r="D1624" s="163" t="s">
        <v>3160</v>
      </c>
      <c r="E1624" s="164" t="n">
        <v>20000</v>
      </c>
      <c r="F1624" s="165" t="s">
        <v>5550</v>
      </c>
    </row>
    <row r="1625" customFormat="false" ht="15" hidden="false" customHeight="true" outlineLevel="0" collapsed="false">
      <c r="A1625" s="163" t="s">
        <v>3020</v>
      </c>
      <c r="B1625" s="163" t="s">
        <v>2328</v>
      </c>
      <c r="C1625" s="163" t="s">
        <v>5548</v>
      </c>
      <c r="D1625" s="163" t="s">
        <v>5549</v>
      </c>
      <c r="E1625" s="164" t="n">
        <v>20000</v>
      </c>
      <c r="F1625" s="165" t="s">
        <v>5554</v>
      </c>
    </row>
    <row r="1626" customFormat="false" ht="15" hidden="false" customHeight="true" outlineLevel="0" collapsed="false">
      <c r="A1626" s="163" t="s">
        <v>3020</v>
      </c>
      <c r="B1626" s="163" t="s">
        <v>2328</v>
      </c>
      <c r="C1626" s="163" t="s">
        <v>5405</v>
      </c>
      <c r="D1626" s="163" t="s">
        <v>5406</v>
      </c>
      <c r="E1626" s="164" t="n">
        <v>10000</v>
      </c>
      <c r="F1626" s="165" t="s">
        <v>5555</v>
      </c>
    </row>
    <row r="1627" customFormat="false" ht="15" hidden="false" customHeight="true" outlineLevel="0" collapsed="false">
      <c r="A1627" s="163" t="s">
        <v>3020</v>
      </c>
      <c r="B1627" s="163" t="s">
        <v>2342</v>
      </c>
      <c r="C1627" s="163" t="s">
        <v>5551</v>
      </c>
      <c r="D1627" s="163" t="s">
        <v>5552</v>
      </c>
      <c r="E1627" s="164" t="n">
        <v>35000</v>
      </c>
      <c r="F1627" s="165" t="s">
        <v>5382</v>
      </c>
    </row>
    <row r="1628" customFormat="false" ht="15" hidden="false" customHeight="true" outlineLevel="0" collapsed="false">
      <c r="A1628" s="163" t="s">
        <v>3020</v>
      </c>
      <c r="B1628" s="163" t="s">
        <v>2342</v>
      </c>
      <c r="C1628" s="163" t="s">
        <v>3178</v>
      </c>
      <c r="D1628" s="163" t="s">
        <v>3179</v>
      </c>
      <c r="E1628" s="164" t="n">
        <v>20000</v>
      </c>
      <c r="F1628" s="165" t="s">
        <v>5382</v>
      </c>
    </row>
    <row r="1629" customFormat="false" ht="15" hidden="false" customHeight="true" outlineLevel="0" collapsed="false">
      <c r="A1629" s="163" t="s">
        <v>3020</v>
      </c>
      <c r="B1629" s="163" t="s">
        <v>2342</v>
      </c>
      <c r="C1629" s="163" t="s">
        <v>5373</v>
      </c>
      <c r="D1629" s="163" t="s">
        <v>5374</v>
      </c>
      <c r="E1629" s="164" t="n">
        <v>18000</v>
      </c>
      <c r="F1629" s="165" t="s">
        <v>5382</v>
      </c>
    </row>
    <row r="1630" customFormat="false" ht="15" hidden="false" customHeight="true" outlineLevel="0" collapsed="false">
      <c r="A1630" s="163" t="s">
        <v>3020</v>
      </c>
      <c r="B1630" s="163" t="s">
        <v>2342</v>
      </c>
      <c r="C1630" s="163" t="s">
        <v>197</v>
      </c>
      <c r="D1630" s="163" t="s">
        <v>1931</v>
      </c>
      <c r="E1630" s="164" t="n">
        <v>10000</v>
      </c>
      <c r="F1630" s="165" t="s">
        <v>5382</v>
      </c>
    </row>
    <row r="1631" customFormat="false" ht="15" hidden="false" customHeight="true" outlineLevel="0" collapsed="false">
      <c r="A1631" s="163" t="s">
        <v>3020</v>
      </c>
      <c r="B1631" s="163" t="s">
        <v>2342</v>
      </c>
      <c r="C1631" s="163" t="s">
        <v>197</v>
      </c>
      <c r="D1631" s="163" t="s">
        <v>1931</v>
      </c>
      <c r="E1631" s="164" t="n">
        <v>7000</v>
      </c>
      <c r="F1631" s="165" t="s">
        <v>5556</v>
      </c>
    </row>
    <row r="1632" customFormat="false" ht="15" hidden="false" customHeight="true" outlineLevel="0" collapsed="false">
      <c r="A1632" s="163" t="s">
        <v>3020</v>
      </c>
      <c r="B1632" s="163" t="s">
        <v>2766</v>
      </c>
      <c r="C1632" s="163" t="s">
        <v>3139</v>
      </c>
      <c r="D1632" s="163" t="s">
        <v>3140</v>
      </c>
      <c r="E1632" s="164" t="n">
        <v>15000</v>
      </c>
      <c r="F1632" s="165" t="s">
        <v>5557</v>
      </c>
    </row>
    <row r="1633" customFormat="false" ht="15" hidden="false" customHeight="true" outlineLevel="0" collapsed="false">
      <c r="A1633" s="163" t="s">
        <v>3020</v>
      </c>
      <c r="B1633" s="163" t="s">
        <v>2766</v>
      </c>
      <c r="C1633" s="163" t="s">
        <v>5171</v>
      </c>
      <c r="D1633" s="163" t="s">
        <v>5172</v>
      </c>
      <c r="E1633" s="164" t="n">
        <v>15000</v>
      </c>
      <c r="F1633" s="165" t="s">
        <v>5558</v>
      </c>
    </row>
    <row r="1634" customFormat="false" ht="15" hidden="false" customHeight="true" outlineLevel="0" collapsed="false">
      <c r="A1634" s="163" t="s">
        <v>3020</v>
      </c>
      <c r="B1634" s="163" t="s">
        <v>1743</v>
      </c>
      <c r="C1634" s="163" t="s">
        <v>3074</v>
      </c>
      <c r="D1634" s="163" t="s">
        <v>3075</v>
      </c>
      <c r="E1634" s="164" t="n">
        <v>20000</v>
      </c>
      <c r="F1634" s="165" t="s">
        <v>5559</v>
      </c>
    </row>
    <row r="1635" customFormat="false" ht="15" hidden="false" customHeight="true" outlineLevel="0" collapsed="false">
      <c r="A1635" s="163" t="s">
        <v>3020</v>
      </c>
      <c r="B1635" s="163" t="s">
        <v>1743</v>
      </c>
      <c r="C1635" s="163" t="s">
        <v>3082</v>
      </c>
      <c r="D1635" s="163" t="s">
        <v>3083</v>
      </c>
      <c r="E1635" s="164" t="n">
        <v>15000</v>
      </c>
      <c r="F1635" s="165" t="s">
        <v>5382</v>
      </c>
    </row>
    <row r="1636" customFormat="false" ht="15" hidden="false" customHeight="true" outlineLevel="0" collapsed="false">
      <c r="A1636" s="163" t="s">
        <v>3020</v>
      </c>
      <c r="B1636" s="163" t="s">
        <v>1743</v>
      </c>
      <c r="C1636" s="163" t="s">
        <v>4346</v>
      </c>
      <c r="D1636" s="163" t="s">
        <v>4347</v>
      </c>
      <c r="E1636" s="164" t="n">
        <v>15000</v>
      </c>
      <c r="F1636" s="165" t="s">
        <v>5351</v>
      </c>
    </row>
    <row r="1637" customFormat="false" ht="15" hidden="false" customHeight="true" outlineLevel="0" collapsed="false">
      <c r="A1637" s="163" t="s">
        <v>3020</v>
      </c>
      <c r="B1637" s="163" t="s">
        <v>1743</v>
      </c>
      <c r="C1637" s="163" t="s">
        <v>3670</v>
      </c>
      <c r="D1637" s="163" t="s">
        <v>3671</v>
      </c>
      <c r="E1637" s="164" t="n">
        <v>10000</v>
      </c>
      <c r="F1637" s="165" t="s">
        <v>5560</v>
      </c>
    </row>
    <row r="1638" customFormat="false" ht="15" hidden="false" customHeight="true" outlineLevel="0" collapsed="false">
      <c r="A1638" s="163" t="s">
        <v>3020</v>
      </c>
      <c r="B1638" s="163" t="s">
        <v>1743</v>
      </c>
      <c r="C1638" s="163" t="s">
        <v>5561</v>
      </c>
      <c r="D1638" s="163" t="s">
        <v>5562</v>
      </c>
      <c r="E1638" s="164" t="n">
        <v>10000</v>
      </c>
      <c r="F1638" s="165" t="s">
        <v>5563</v>
      </c>
    </row>
    <row r="1639" customFormat="false" ht="15" hidden="false" customHeight="true" outlineLevel="0" collapsed="false">
      <c r="A1639" s="163" t="s">
        <v>3020</v>
      </c>
      <c r="B1639" s="163" t="s">
        <v>1743</v>
      </c>
      <c r="C1639" s="163" t="s">
        <v>5504</v>
      </c>
      <c r="D1639" s="163" t="s">
        <v>5505</v>
      </c>
      <c r="E1639" s="164" t="n">
        <v>10000</v>
      </c>
      <c r="F1639" s="165" t="s">
        <v>5564</v>
      </c>
    </row>
    <row r="1640" customFormat="false" ht="15" hidden="false" customHeight="true" outlineLevel="0" collapsed="false">
      <c r="A1640" s="163" t="s">
        <v>3020</v>
      </c>
      <c r="B1640" s="163" t="s">
        <v>1743</v>
      </c>
      <c r="C1640" s="163" t="s">
        <v>4420</v>
      </c>
      <c r="D1640" s="163" t="s">
        <v>4421</v>
      </c>
      <c r="E1640" s="164" t="n">
        <v>10000</v>
      </c>
      <c r="F1640" s="165" t="s">
        <v>5565</v>
      </c>
    </row>
    <row r="1641" customFormat="false" ht="15" hidden="false" customHeight="true" outlineLevel="0" collapsed="false">
      <c r="A1641" s="163" t="s">
        <v>3020</v>
      </c>
      <c r="B1641" s="163" t="s">
        <v>1743</v>
      </c>
      <c r="C1641" s="163" t="s">
        <v>3478</v>
      </c>
      <c r="D1641" s="163" t="s">
        <v>3479</v>
      </c>
      <c r="E1641" s="164" t="n">
        <v>10000</v>
      </c>
      <c r="F1641" s="165" t="s">
        <v>5566</v>
      </c>
    </row>
    <row r="1642" customFormat="false" ht="15" hidden="false" customHeight="true" outlineLevel="0" collapsed="false">
      <c r="A1642" s="163" t="s">
        <v>3020</v>
      </c>
      <c r="B1642" s="163" t="s">
        <v>1743</v>
      </c>
      <c r="C1642" s="163" t="s">
        <v>5567</v>
      </c>
      <c r="D1642" s="163" t="s">
        <v>5568</v>
      </c>
      <c r="E1642" s="164" t="n">
        <v>10000</v>
      </c>
      <c r="F1642" s="165" t="s">
        <v>3060</v>
      </c>
    </row>
    <row r="1643" customFormat="false" ht="15" hidden="false" customHeight="true" outlineLevel="0" collapsed="false">
      <c r="A1643" s="163" t="s">
        <v>3020</v>
      </c>
      <c r="B1643" s="163" t="s">
        <v>1743</v>
      </c>
      <c r="C1643" s="163" t="s">
        <v>4350</v>
      </c>
      <c r="D1643" s="163" t="s">
        <v>4351</v>
      </c>
      <c r="E1643" s="164" t="n">
        <v>10000</v>
      </c>
      <c r="F1643" s="165" t="s">
        <v>5382</v>
      </c>
    </row>
    <row r="1644" customFormat="false" ht="15" hidden="false" customHeight="true" outlineLevel="0" collapsed="false">
      <c r="A1644" s="163" t="s">
        <v>3020</v>
      </c>
      <c r="B1644" s="163" t="s">
        <v>1743</v>
      </c>
      <c r="C1644" s="163" t="s">
        <v>5569</v>
      </c>
      <c r="D1644" s="163" t="s">
        <v>5570</v>
      </c>
      <c r="E1644" s="164" t="n">
        <v>10000</v>
      </c>
      <c r="F1644" s="165" t="s">
        <v>5571</v>
      </c>
    </row>
    <row r="1645" customFormat="false" ht="15" hidden="false" customHeight="true" outlineLevel="0" collapsed="false">
      <c r="A1645" s="163" t="s">
        <v>3020</v>
      </c>
      <c r="B1645" s="163" t="s">
        <v>1743</v>
      </c>
      <c r="C1645" s="163" t="s">
        <v>5434</v>
      </c>
      <c r="D1645" s="163" t="s">
        <v>5435</v>
      </c>
      <c r="E1645" s="164" t="n">
        <v>10000</v>
      </c>
      <c r="F1645" s="165" t="s">
        <v>5382</v>
      </c>
    </row>
    <row r="1646" customFormat="false" ht="15" hidden="false" customHeight="true" outlineLevel="0" collapsed="false">
      <c r="A1646" s="163" t="s">
        <v>3020</v>
      </c>
      <c r="B1646" s="163" t="s">
        <v>1743</v>
      </c>
      <c r="C1646" s="163" t="s">
        <v>3282</v>
      </c>
      <c r="D1646" s="163" t="s">
        <v>3283</v>
      </c>
      <c r="E1646" s="164" t="n">
        <v>5000</v>
      </c>
      <c r="F1646" s="165" t="s">
        <v>5572</v>
      </c>
    </row>
    <row r="1647" customFormat="false" ht="15" hidden="false" customHeight="true" outlineLevel="0" collapsed="false">
      <c r="A1647" s="163" t="s">
        <v>3020</v>
      </c>
      <c r="B1647" s="163" t="s">
        <v>1743</v>
      </c>
      <c r="C1647" s="163" t="s">
        <v>3096</v>
      </c>
      <c r="D1647" s="163" t="s">
        <v>3097</v>
      </c>
      <c r="E1647" s="164" t="n">
        <v>5000</v>
      </c>
      <c r="F1647" s="165" t="s">
        <v>5357</v>
      </c>
    </row>
    <row r="1648" customFormat="false" ht="15" hidden="false" customHeight="true" outlineLevel="0" collapsed="false">
      <c r="A1648" s="163" t="s">
        <v>3020</v>
      </c>
      <c r="B1648" s="163" t="s">
        <v>928</v>
      </c>
      <c r="C1648" s="163" t="s">
        <v>3202</v>
      </c>
      <c r="D1648" s="163" t="s">
        <v>3203</v>
      </c>
      <c r="E1648" s="164" t="n">
        <v>10000</v>
      </c>
      <c r="F1648" s="165" t="s">
        <v>5573</v>
      </c>
    </row>
    <row r="1649" customFormat="false" ht="15" hidden="false" customHeight="true" outlineLevel="0" collapsed="false">
      <c r="A1649" s="163" t="s">
        <v>3020</v>
      </c>
      <c r="B1649" s="163" t="s">
        <v>928</v>
      </c>
      <c r="C1649" s="163" t="s">
        <v>5574</v>
      </c>
      <c r="D1649" s="163" t="s">
        <v>5575</v>
      </c>
      <c r="E1649" s="164" t="n">
        <v>10000</v>
      </c>
      <c r="F1649" s="165" t="s">
        <v>5576</v>
      </c>
    </row>
    <row r="1650" customFormat="false" ht="15" hidden="false" customHeight="true" outlineLevel="0" collapsed="false">
      <c r="A1650" s="163" t="s">
        <v>3020</v>
      </c>
      <c r="B1650" s="163" t="s">
        <v>928</v>
      </c>
      <c r="C1650" s="163" t="s">
        <v>3274</v>
      </c>
      <c r="D1650" s="163" t="s">
        <v>3275</v>
      </c>
      <c r="E1650" s="164" t="n">
        <v>10000</v>
      </c>
      <c r="F1650" s="165" t="s">
        <v>5458</v>
      </c>
    </row>
    <row r="1651" customFormat="false" ht="15" hidden="false" customHeight="true" outlineLevel="0" collapsed="false">
      <c r="A1651" s="163" t="s">
        <v>3020</v>
      </c>
      <c r="B1651" s="163" t="s">
        <v>928</v>
      </c>
      <c r="C1651" s="163" t="s">
        <v>285</v>
      </c>
      <c r="D1651" s="163" t="s">
        <v>2408</v>
      </c>
      <c r="E1651" s="164" t="n">
        <v>8000</v>
      </c>
      <c r="F1651" s="165" t="s">
        <v>5577</v>
      </c>
    </row>
    <row r="1652" customFormat="false" ht="15" hidden="false" customHeight="true" outlineLevel="0" collapsed="false">
      <c r="A1652" s="163" t="s">
        <v>3020</v>
      </c>
      <c r="B1652" s="163" t="s">
        <v>928</v>
      </c>
      <c r="C1652" s="163" t="s">
        <v>285</v>
      </c>
      <c r="D1652" s="163" t="s">
        <v>2408</v>
      </c>
      <c r="E1652" s="164" t="n">
        <v>8000</v>
      </c>
      <c r="F1652" s="165" t="s">
        <v>5578</v>
      </c>
    </row>
    <row r="1653" customFormat="false" ht="15" hidden="false" customHeight="true" outlineLevel="0" collapsed="false">
      <c r="A1653" s="163" t="s">
        <v>3020</v>
      </c>
      <c r="B1653" s="163" t="s">
        <v>928</v>
      </c>
      <c r="C1653" s="163" t="s">
        <v>5579</v>
      </c>
      <c r="D1653" s="163" t="s">
        <v>5580</v>
      </c>
      <c r="E1653" s="164" t="n">
        <v>8000</v>
      </c>
      <c r="F1653" s="165" t="s">
        <v>5453</v>
      </c>
    </row>
    <row r="1654" customFormat="false" ht="15" hidden="false" customHeight="true" outlineLevel="0" collapsed="false">
      <c r="A1654" s="163" t="s">
        <v>3020</v>
      </c>
      <c r="B1654" s="163" t="s">
        <v>928</v>
      </c>
      <c r="C1654" s="163" t="s">
        <v>5581</v>
      </c>
      <c r="D1654" s="163" t="s">
        <v>5582</v>
      </c>
      <c r="E1654" s="164" t="n">
        <v>8000</v>
      </c>
      <c r="F1654" s="165" t="s">
        <v>5583</v>
      </c>
    </row>
    <row r="1655" customFormat="false" ht="15" hidden="false" customHeight="true" outlineLevel="0" collapsed="false">
      <c r="A1655" s="163" t="s">
        <v>3020</v>
      </c>
      <c r="B1655" s="163" t="s">
        <v>928</v>
      </c>
      <c r="C1655" s="163" t="s">
        <v>3287</v>
      </c>
      <c r="D1655" s="163" t="s">
        <v>3288</v>
      </c>
      <c r="E1655" s="164" t="n">
        <v>8000</v>
      </c>
      <c r="F1655" s="165" t="s">
        <v>5402</v>
      </c>
    </row>
    <row r="1656" customFormat="false" ht="15" hidden="false" customHeight="true" outlineLevel="0" collapsed="false">
      <c r="A1656" s="163" t="s">
        <v>3020</v>
      </c>
      <c r="B1656" s="163" t="s">
        <v>928</v>
      </c>
      <c r="C1656" s="163" t="s">
        <v>5584</v>
      </c>
      <c r="D1656" s="163" t="s">
        <v>5585</v>
      </c>
      <c r="E1656" s="164" t="n">
        <v>8000</v>
      </c>
      <c r="F1656" s="165" t="s">
        <v>5586</v>
      </c>
    </row>
    <row r="1657" customFormat="false" ht="15" hidden="false" customHeight="true" outlineLevel="0" collapsed="false">
      <c r="A1657" s="163" t="s">
        <v>3020</v>
      </c>
      <c r="B1657" s="163" t="s">
        <v>928</v>
      </c>
      <c r="C1657" s="163" t="s">
        <v>4708</v>
      </c>
      <c r="D1657" s="163" t="s">
        <v>4709</v>
      </c>
      <c r="E1657" s="164" t="n">
        <v>8000</v>
      </c>
      <c r="F1657" s="165" t="s">
        <v>5587</v>
      </c>
    </row>
    <row r="1658" customFormat="false" ht="15" hidden="false" customHeight="true" outlineLevel="0" collapsed="false">
      <c r="A1658" s="163" t="s">
        <v>3020</v>
      </c>
      <c r="B1658" s="163" t="s">
        <v>928</v>
      </c>
      <c r="C1658" s="163" t="s">
        <v>5414</v>
      </c>
      <c r="D1658" s="163" t="s">
        <v>5415</v>
      </c>
      <c r="E1658" s="164" t="n">
        <v>8000</v>
      </c>
      <c r="F1658" s="165" t="s">
        <v>5382</v>
      </c>
    </row>
    <row r="1659" customFormat="false" ht="15" hidden="false" customHeight="true" outlineLevel="0" collapsed="false">
      <c r="A1659" s="163" t="s">
        <v>3020</v>
      </c>
      <c r="B1659" s="163" t="s">
        <v>928</v>
      </c>
      <c r="C1659" s="163" t="s">
        <v>3319</v>
      </c>
      <c r="D1659" s="163" t="s">
        <v>3320</v>
      </c>
      <c r="E1659" s="164" t="n">
        <v>5000</v>
      </c>
      <c r="F1659" s="165" t="s">
        <v>5588</v>
      </c>
    </row>
    <row r="1660" customFormat="false" ht="15" hidden="false" customHeight="true" outlineLevel="0" collapsed="false">
      <c r="A1660" s="163" t="s">
        <v>3020</v>
      </c>
      <c r="B1660" s="163" t="s">
        <v>928</v>
      </c>
      <c r="C1660" s="163" t="s">
        <v>3119</v>
      </c>
      <c r="D1660" s="163" t="s">
        <v>3120</v>
      </c>
      <c r="E1660" s="164" t="n">
        <v>5000</v>
      </c>
      <c r="F1660" s="165" t="s">
        <v>5589</v>
      </c>
    </row>
    <row r="1661" customFormat="false" ht="15" hidden="false" customHeight="true" outlineLevel="0" collapsed="false">
      <c r="A1661" s="163" t="s">
        <v>3020</v>
      </c>
      <c r="B1661" s="163" t="s">
        <v>928</v>
      </c>
      <c r="C1661" s="163" t="s">
        <v>3096</v>
      </c>
      <c r="D1661" s="163" t="s">
        <v>3097</v>
      </c>
      <c r="E1661" s="164" t="n">
        <v>5000</v>
      </c>
      <c r="F1661" s="165" t="s">
        <v>5590</v>
      </c>
    </row>
    <row r="1662" customFormat="false" ht="15" hidden="false" customHeight="true" outlineLevel="0" collapsed="false">
      <c r="A1662" s="163" t="s">
        <v>3020</v>
      </c>
      <c r="B1662" s="163" t="s">
        <v>928</v>
      </c>
      <c r="C1662" s="163" t="s">
        <v>5591</v>
      </c>
      <c r="D1662" s="163" t="s">
        <v>5592</v>
      </c>
      <c r="E1662" s="164" t="n">
        <v>5000</v>
      </c>
      <c r="F1662" s="165" t="s">
        <v>5593</v>
      </c>
    </row>
    <row r="1663" customFormat="false" ht="15" hidden="false" customHeight="true" outlineLevel="0" collapsed="false">
      <c r="A1663" s="163" t="s">
        <v>3020</v>
      </c>
      <c r="B1663" s="163" t="s">
        <v>928</v>
      </c>
      <c r="C1663" s="163" t="s">
        <v>560</v>
      </c>
      <c r="D1663" s="163" t="s">
        <v>2450</v>
      </c>
      <c r="E1663" s="164" t="n">
        <v>5000</v>
      </c>
      <c r="F1663" s="165" t="s">
        <v>5594</v>
      </c>
    </row>
    <row r="1664" customFormat="false" ht="15" hidden="false" customHeight="true" outlineLevel="0" collapsed="false">
      <c r="A1664" s="163" t="s">
        <v>3020</v>
      </c>
      <c r="B1664" s="163" t="s">
        <v>928</v>
      </c>
      <c r="C1664" s="163" t="s">
        <v>5595</v>
      </c>
      <c r="D1664" s="163" t="s">
        <v>5596</v>
      </c>
      <c r="E1664" s="164" t="n">
        <v>5000</v>
      </c>
      <c r="F1664" s="165" t="s">
        <v>5597</v>
      </c>
    </row>
    <row r="1665" customFormat="false" ht="15" hidden="false" customHeight="true" outlineLevel="0" collapsed="false">
      <c r="A1665" s="163" t="s">
        <v>3020</v>
      </c>
      <c r="B1665" s="163" t="s">
        <v>928</v>
      </c>
      <c r="C1665" s="163" t="s">
        <v>5598</v>
      </c>
      <c r="D1665" s="163" t="s">
        <v>5599</v>
      </c>
      <c r="E1665" s="164" t="n">
        <v>5000</v>
      </c>
      <c r="F1665" s="165" t="s">
        <v>5600</v>
      </c>
    </row>
    <row r="1666" customFormat="false" ht="15" hidden="false" customHeight="true" outlineLevel="0" collapsed="false">
      <c r="A1666" s="163" t="s">
        <v>3020</v>
      </c>
      <c r="B1666" s="163" t="s">
        <v>928</v>
      </c>
      <c r="C1666" s="163" t="s">
        <v>4648</v>
      </c>
      <c r="D1666" s="163" t="s">
        <v>4649</v>
      </c>
      <c r="E1666" s="164" t="n">
        <v>5000</v>
      </c>
      <c r="F1666" s="165" t="s">
        <v>5601</v>
      </c>
    </row>
    <row r="1667" customFormat="false" ht="15" hidden="false" customHeight="true" outlineLevel="0" collapsed="false">
      <c r="A1667" s="163" t="s">
        <v>3020</v>
      </c>
      <c r="B1667" s="163" t="s">
        <v>928</v>
      </c>
      <c r="C1667" s="163" t="s">
        <v>4711</v>
      </c>
      <c r="D1667" s="163" t="s">
        <v>4712</v>
      </c>
      <c r="E1667" s="164" t="n">
        <v>5000</v>
      </c>
      <c r="F1667" s="165" t="s">
        <v>5602</v>
      </c>
    </row>
    <row r="1668" customFormat="false" ht="15" hidden="false" customHeight="true" outlineLevel="0" collapsed="false">
      <c r="A1668" s="163" t="s">
        <v>3020</v>
      </c>
      <c r="B1668" s="163" t="s">
        <v>928</v>
      </c>
      <c r="C1668" s="163" t="s">
        <v>5603</v>
      </c>
      <c r="D1668" s="163" t="s">
        <v>5604</v>
      </c>
      <c r="E1668" s="164" t="n">
        <v>5000</v>
      </c>
      <c r="F1668" s="165" t="s">
        <v>5605</v>
      </c>
    </row>
    <row r="1669" customFormat="false" ht="15" hidden="false" customHeight="true" outlineLevel="0" collapsed="false">
      <c r="A1669" s="163" t="s">
        <v>3020</v>
      </c>
      <c r="B1669" s="163" t="s">
        <v>928</v>
      </c>
      <c r="C1669" s="163" t="s">
        <v>5551</v>
      </c>
      <c r="D1669" s="163" t="s">
        <v>5552</v>
      </c>
      <c r="E1669" s="164" t="n">
        <v>4000</v>
      </c>
      <c r="F1669" s="165" t="s">
        <v>5606</v>
      </c>
    </row>
    <row r="1670" customFormat="false" ht="15" hidden="false" customHeight="true" outlineLevel="0" collapsed="false">
      <c r="A1670" s="163" t="s">
        <v>3020</v>
      </c>
      <c r="B1670" s="163" t="s">
        <v>928</v>
      </c>
      <c r="C1670" s="163" t="s">
        <v>5543</v>
      </c>
      <c r="D1670" s="163" t="s">
        <v>5544</v>
      </c>
      <c r="E1670" s="164" t="n">
        <v>2000</v>
      </c>
      <c r="F1670" s="165" t="s">
        <v>5607</v>
      </c>
    </row>
    <row r="1671" customFormat="false" ht="15" hidden="false" customHeight="true" outlineLevel="0" collapsed="false">
      <c r="A1671" s="163" t="s">
        <v>3025</v>
      </c>
      <c r="B1671" s="163" t="s">
        <v>926</v>
      </c>
      <c r="C1671" s="163" t="s">
        <v>5608</v>
      </c>
      <c r="D1671" s="163" t="s">
        <v>5609</v>
      </c>
      <c r="E1671" s="164" t="n">
        <v>35000</v>
      </c>
      <c r="F1671" s="165" t="s">
        <v>5610</v>
      </c>
    </row>
    <row r="1672" customFormat="false" ht="15" hidden="false" customHeight="true" outlineLevel="0" collapsed="false">
      <c r="A1672" s="163" t="s">
        <v>3025</v>
      </c>
      <c r="B1672" s="163" t="s">
        <v>926</v>
      </c>
      <c r="C1672" s="163" t="s">
        <v>5611</v>
      </c>
      <c r="D1672" s="163" t="s">
        <v>5612</v>
      </c>
      <c r="E1672" s="164" t="n">
        <v>25000</v>
      </c>
      <c r="F1672" s="165" t="s">
        <v>5613</v>
      </c>
    </row>
    <row r="1673" customFormat="false" ht="15" hidden="false" customHeight="true" outlineLevel="0" collapsed="false">
      <c r="A1673" s="163" t="s">
        <v>3025</v>
      </c>
      <c r="B1673" s="163" t="s">
        <v>926</v>
      </c>
      <c r="C1673" s="163" t="s">
        <v>5614</v>
      </c>
      <c r="D1673" s="163" t="s">
        <v>5615</v>
      </c>
      <c r="E1673" s="164" t="n">
        <v>10000</v>
      </c>
      <c r="F1673" s="165" t="s">
        <v>5616</v>
      </c>
    </row>
    <row r="1674" customFormat="false" ht="15" hidden="false" customHeight="true" outlineLevel="0" collapsed="false">
      <c r="A1674" s="163" t="s">
        <v>3025</v>
      </c>
      <c r="B1674" s="163" t="s">
        <v>926</v>
      </c>
      <c r="C1674" s="163" t="s">
        <v>3406</v>
      </c>
      <c r="D1674" s="163" t="s">
        <v>3407</v>
      </c>
      <c r="E1674" s="164" t="n">
        <v>10000</v>
      </c>
      <c r="F1674" s="165" t="s">
        <v>5617</v>
      </c>
    </row>
    <row r="1675" customFormat="false" ht="15" hidden="false" customHeight="true" outlineLevel="0" collapsed="false">
      <c r="A1675" s="163" t="s">
        <v>3025</v>
      </c>
      <c r="B1675" s="163" t="s">
        <v>926</v>
      </c>
      <c r="C1675" s="163" t="s">
        <v>5618</v>
      </c>
      <c r="D1675" s="163" t="s">
        <v>5619</v>
      </c>
      <c r="E1675" s="164" t="n">
        <v>10000</v>
      </c>
      <c r="F1675" s="165" t="s">
        <v>5620</v>
      </c>
    </row>
    <row r="1676" customFormat="false" ht="15" hidden="false" customHeight="true" outlineLevel="0" collapsed="false">
      <c r="A1676" s="163" t="s">
        <v>3025</v>
      </c>
      <c r="B1676" s="163" t="s">
        <v>926</v>
      </c>
      <c r="C1676" s="163" t="s">
        <v>5343</v>
      </c>
      <c r="D1676" s="163" t="s">
        <v>5344</v>
      </c>
      <c r="E1676" s="164" t="n">
        <v>10000</v>
      </c>
      <c r="F1676" s="165" t="s">
        <v>5621</v>
      </c>
    </row>
    <row r="1677" customFormat="false" ht="15" hidden="false" customHeight="true" outlineLevel="0" collapsed="false">
      <c r="A1677" s="163" t="s">
        <v>3025</v>
      </c>
      <c r="B1677" s="163" t="s">
        <v>957</v>
      </c>
      <c r="C1677" s="163" t="s">
        <v>5622</v>
      </c>
      <c r="D1677" s="163" t="s">
        <v>5623</v>
      </c>
      <c r="E1677" s="164" t="n">
        <v>30000</v>
      </c>
      <c r="F1677" s="165" t="s">
        <v>5624</v>
      </c>
    </row>
    <row r="1678" customFormat="false" ht="15" hidden="false" customHeight="true" outlineLevel="0" collapsed="false">
      <c r="A1678" s="163" t="s">
        <v>3025</v>
      </c>
      <c r="B1678" s="163" t="s">
        <v>957</v>
      </c>
      <c r="C1678" s="163" t="s">
        <v>3096</v>
      </c>
      <c r="D1678" s="163" t="s">
        <v>3097</v>
      </c>
      <c r="E1678" s="164" t="n">
        <v>25000</v>
      </c>
      <c r="F1678" s="165" t="s">
        <v>5625</v>
      </c>
    </row>
    <row r="1679" customFormat="false" ht="15" hidden="false" customHeight="true" outlineLevel="0" collapsed="false">
      <c r="A1679" s="163" t="s">
        <v>3025</v>
      </c>
      <c r="B1679" s="163" t="s">
        <v>957</v>
      </c>
      <c r="C1679" s="163" t="s">
        <v>5626</v>
      </c>
      <c r="D1679" s="163" t="s">
        <v>5627</v>
      </c>
      <c r="E1679" s="164" t="n">
        <v>25000</v>
      </c>
      <c r="F1679" s="165" t="s">
        <v>5628</v>
      </c>
    </row>
    <row r="1680" customFormat="false" ht="15" hidden="false" customHeight="true" outlineLevel="0" collapsed="false">
      <c r="A1680" s="163" t="s">
        <v>3025</v>
      </c>
      <c r="B1680" s="163" t="s">
        <v>957</v>
      </c>
      <c r="C1680" s="163" t="s">
        <v>5629</v>
      </c>
      <c r="D1680" s="163" t="s">
        <v>5630</v>
      </c>
      <c r="E1680" s="164" t="n">
        <v>10000</v>
      </c>
      <c r="F1680" s="165" t="s">
        <v>5631</v>
      </c>
    </row>
    <row r="1681" customFormat="false" ht="15" hidden="false" customHeight="true" outlineLevel="0" collapsed="false">
      <c r="A1681" s="163" t="s">
        <v>3025</v>
      </c>
      <c r="B1681" s="163" t="s">
        <v>957</v>
      </c>
      <c r="C1681" s="163" t="s">
        <v>5632</v>
      </c>
      <c r="D1681" s="163" t="s">
        <v>5633</v>
      </c>
      <c r="E1681" s="164" t="n">
        <v>10000</v>
      </c>
      <c r="F1681" s="165" t="s">
        <v>5634</v>
      </c>
    </row>
    <row r="1682" customFormat="false" ht="15" hidden="false" customHeight="true" outlineLevel="0" collapsed="false">
      <c r="A1682" s="163" t="s">
        <v>3025</v>
      </c>
      <c r="B1682" s="163" t="s">
        <v>957</v>
      </c>
      <c r="C1682" s="163" t="s">
        <v>3478</v>
      </c>
      <c r="D1682" s="163" t="s">
        <v>3479</v>
      </c>
      <c r="E1682" s="164" t="n">
        <v>10000</v>
      </c>
      <c r="F1682" s="165" t="s">
        <v>5635</v>
      </c>
    </row>
    <row r="1683" customFormat="false" ht="15" hidden="false" customHeight="true" outlineLevel="0" collapsed="false">
      <c r="A1683" s="163" t="s">
        <v>3025</v>
      </c>
      <c r="B1683" s="163" t="s">
        <v>945</v>
      </c>
      <c r="C1683" s="163" t="s">
        <v>1202</v>
      </c>
      <c r="D1683" s="163" t="s">
        <v>2693</v>
      </c>
      <c r="E1683" s="164" t="n">
        <v>25000</v>
      </c>
      <c r="F1683" s="165" t="s">
        <v>5636</v>
      </c>
    </row>
    <row r="1684" customFormat="false" ht="15" hidden="false" customHeight="true" outlineLevel="0" collapsed="false">
      <c r="A1684" s="163" t="s">
        <v>3025</v>
      </c>
      <c r="B1684" s="163" t="s">
        <v>945</v>
      </c>
      <c r="C1684" s="163" t="s">
        <v>5637</v>
      </c>
      <c r="D1684" s="163" t="s">
        <v>5638</v>
      </c>
      <c r="E1684" s="164" t="n">
        <v>25000</v>
      </c>
      <c r="F1684" s="165" t="s">
        <v>5639</v>
      </c>
    </row>
    <row r="1685" customFormat="false" ht="15" hidden="false" customHeight="true" outlineLevel="0" collapsed="false">
      <c r="A1685" s="163" t="s">
        <v>3025</v>
      </c>
      <c r="B1685" s="163" t="s">
        <v>3111</v>
      </c>
      <c r="C1685" s="163" t="s">
        <v>5640</v>
      </c>
      <c r="D1685" s="163" t="s">
        <v>5641</v>
      </c>
      <c r="E1685" s="164" t="n">
        <v>20000</v>
      </c>
      <c r="F1685" s="165" t="s">
        <v>5642</v>
      </c>
    </row>
    <row r="1686" customFormat="false" ht="15" hidden="false" customHeight="true" outlineLevel="0" collapsed="false">
      <c r="A1686" s="163" t="s">
        <v>3025</v>
      </c>
      <c r="B1686" s="163" t="s">
        <v>3111</v>
      </c>
      <c r="C1686" s="163" t="s">
        <v>3096</v>
      </c>
      <c r="D1686" s="163" t="s">
        <v>3097</v>
      </c>
      <c r="E1686" s="164" t="n">
        <v>20000</v>
      </c>
      <c r="F1686" s="165" t="s">
        <v>5643</v>
      </c>
    </row>
    <row r="1687" customFormat="false" ht="15" hidden="false" customHeight="true" outlineLevel="0" collapsed="false">
      <c r="A1687" s="163" t="s">
        <v>3025</v>
      </c>
      <c r="B1687" s="163" t="s">
        <v>3111</v>
      </c>
      <c r="C1687" s="163" t="s">
        <v>4701</v>
      </c>
      <c r="D1687" s="163" t="s">
        <v>4702</v>
      </c>
      <c r="E1687" s="164" t="n">
        <v>15000</v>
      </c>
      <c r="F1687" s="165" t="s">
        <v>5644</v>
      </c>
    </row>
    <row r="1688" customFormat="false" ht="15" hidden="false" customHeight="true" outlineLevel="0" collapsed="false">
      <c r="A1688" s="163" t="s">
        <v>3025</v>
      </c>
      <c r="B1688" s="163" t="s">
        <v>3111</v>
      </c>
      <c r="C1688" s="163" t="s">
        <v>3441</v>
      </c>
      <c r="D1688" s="163" t="s">
        <v>3442</v>
      </c>
      <c r="E1688" s="164" t="n">
        <v>15000</v>
      </c>
      <c r="F1688" s="165" t="s">
        <v>5645</v>
      </c>
    </row>
    <row r="1689" customFormat="false" ht="15" hidden="false" customHeight="true" outlineLevel="0" collapsed="false">
      <c r="A1689" s="163" t="s">
        <v>3025</v>
      </c>
      <c r="B1689" s="163" t="s">
        <v>3111</v>
      </c>
      <c r="C1689" s="163" t="s">
        <v>5646</v>
      </c>
      <c r="D1689" s="163" t="s">
        <v>1931</v>
      </c>
      <c r="E1689" s="164" t="n">
        <v>10000</v>
      </c>
      <c r="F1689" s="165" t="s">
        <v>5647</v>
      </c>
    </row>
    <row r="1690" customFormat="false" ht="15" hidden="false" customHeight="true" outlineLevel="0" collapsed="false">
      <c r="A1690" s="163" t="s">
        <v>3025</v>
      </c>
      <c r="B1690" s="163" t="s">
        <v>3111</v>
      </c>
      <c r="C1690" s="163" t="s">
        <v>4701</v>
      </c>
      <c r="D1690" s="163" t="s">
        <v>4702</v>
      </c>
      <c r="E1690" s="164" t="n">
        <v>10000</v>
      </c>
      <c r="F1690" s="165" t="s">
        <v>5648</v>
      </c>
    </row>
    <row r="1691" customFormat="false" ht="15" hidden="false" customHeight="true" outlineLevel="0" collapsed="false">
      <c r="A1691" s="163" t="s">
        <v>3025</v>
      </c>
      <c r="B1691" s="163" t="s">
        <v>3111</v>
      </c>
      <c r="C1691" s="163" t="s">
        <v>5649</v>
      </c>
      <c r="D1691" s="163" t="s">
        <v>5650</v>
      </c>
      <c r="E1691" s="164" t="n">
        <v>10000</v>
      </c>
      <c r="F1691" s="165" t="s">
        <v>1061</v>
      </c>
    </row>
    <row r="1692" customFormat="false" ht="15" hidden="false" customHeight="true" outlineLevel="0" collapsed="false">
      <c r="A1692" s="163" t="s">
        <v>3025</v>
      </c>
      <c r="B1692" s="163" t="s">
        <v>1938</v>
      </c>
      <c r="C1692" s="163" t="s">
        <v>5651</v>
      </c>
      <c r="D1692" s="163" t="s">
        <v>5652</v>
      </c>
      <c r="E1692" s="164" t="n">
        <v>20000</v>
      </c>
      <c r="F1692" s="165" t="s">
        <v>5653</v>
      </c>
    </row>
    <row r="1693" customFormat="false" ht="15" hidden="false" customHeight="true" outlineLevel="0" collapsed="false">
      <c r="A1693" s="163" t="s">
        <v>3025</v>
      </c>
      <c r="B1693" s="163" t="s">
        <v>1938</v>
      </c>
      <c r="C1693" s="163" t="s">
        <v>5651</v>
      </c>
      <c r="D1693" s="163" t="s">
        <v>5652</v>
      </c>
      <c r="E1693" s="164" t="n">
        <v>20000</v>
      </c>
      <c r="F1693" s="165" t="s">
        <v>5654</v>
      </c>
    </row>
    <row r="1694" customFormat="false" ht="15" hidden="false" customHeight="true" outlineLevel="0" collapsed="false">
      <c r="A1694" s="163" t="s">
        <v>3025</v>
      </c>
      <c r="B1694" s="163" t="s">
        <v>1938</v>
      </c>
      <c r="C1694" s="163" t="s">
        <v>3063</v>
      </c>
      <c r="D1694" s="163" t="s">
        <v>3064</v>
      </c>
      <c r="E1694" s="164" t="n">
        <v>20000</v>
      </c>
      <c r="F1694" s="165" t="s">
        <v>5655</v>
      </c>
    </row>
    <row r="1695" customFormat="false" ht="15" hidden="false" customHeight="true" outlineLevel="0" collapsed="false">
      <c r="A1695" s="163" t="s">
        <v>3025</v>
      </c>
      <c r="B1695" s="163" t="s">
        <v>1938</v>
      </c>
      <c r="C1695" s="163" t="s">
        <v>3063</v>
      </c>
      <c r="D1695" s="163" t="s">
        <v>3064</v>
      </c>
      <c r="E1695" s="164" t="n">
        <v>20000</v>
      </c>
      <c r="F1695" s="165" t="s">
        <v>5656</v>
      </c>
    </row>
    <row r="1696" customFormat="false" ht="15" hidden="false" customHeight="true" outlineLevel="0" collapsed="false">
      <c r="A1696" s="163" t="s">
        <v>3025</v>
      </c>
      <c r="B1696" s="163" t="s">
        <v>1938</v>
      </c>
      <c r="C1696" s="163" t="s">
        <v>3063</v>
      </c>
      <c r="D1696" s="163" t="s">
        <v>3064</v>
      </c>
      <c r="E1696" s="164" t="n">
        <v>20000</v>
      </c>
      <c r="F1696" s="165" t="s">
        <v>5657</v>
      </c>
    </row>
    <row r="1697" customFormat="false" ht="15" hidden="false" customHeight="true" outlineLevel="0" collapsed="false">
      <c r="A1697" s="163" t="s">
        <v>3025</v>
      </c>
      <c r="B1697" s="163" t="s">
        <v>1938</v>
      </c>
      <c r="C1697" s="163" t="s">
        <v>3063</v>
      </c>
      <c r="D1697" s="163" t="s">
        <v>3064</v>
      </c>
      <c r="E1697" s="164" t="n">
        <v>20000</v>
      </c>
      <c r="F1697" s="165" t="s">
        <v>5658</v>
      </c>
    </row>
    <row r="1698" customFormat="false" ht="15" hidden="false" customHeight="true" outlineLevel="0" collapsed="false">
      <c r="A1698" s="163" t="s">
        <v>3025</v>
      </c>
      <c r="B1698" s="163" t="s">
        <v>1938</v>
      </c>
      <c r="C1698" s="163" t="s">
        <v>3063</v>
      </c>
      <c r="D1698" s="163" t="s">
        <v>3064</v>
      </c>
      <c r="E1698" s="164" t="n">
        <v>20000</v>
      </c>
      <c r="F1698" s="165" t="s">
        <v>5659</v>
      </c>
    </row>
    <row r="1699" customFormat="false" ht="15" hidden="false" customHeight="true" outlineLevel="0" collapsed="false">
      <c r="A1699" s="163" t="s">
        <v>3025</v>
      </c>
      <c r="B1699" s="163" t="s">
        <v>1938</v>
      </c>
      <c r="C1699" s="163" t="s">
        <v>3063</v>
      </c>
      <c r="D1699" s="163" t="s">
        <v>3064</v>
      </c>
      <c r="E1699" s="164" t="n">
        <v>20000</v>
      </c>
      <c r="F1699" s="165" t="s">
        <v>5660</v>
      </c>
    </row>
    <row r="1700" customFormat="false" ht="15" hidden="false" customHeight="true" outlineLevel="0" collapsed="false">
      <c r="A1700" s="163" t="s">
        <v>3025</v>
      </c>
      <c r="B1700" s="163" t="s">
        <v>1938</v>
      </c>
      <c r="C1700" s="163" t="s">
        <v>4318</v>
      </c>
      <c r="D1700" s="163" t="s">
        <v>4319</v>
      </c>
      <c r="E1700" s="164" t="n">
        <v>20000</v>
      </c>
      <c r="F1700" s="165" t="s">
        <v>5661</v>
      </c>
    </row>
    <row r="1701" customFormat="false" ht="15" hidden="false" customHeight="true" outlineLevel="0" collapsed="false">
      <c r="A1701" s="163" t="s">
        <v>3025</v>
      </c>
      <c r="B1701" s="163" t="s">
        <v>1938</v>
      </c>
      <c r="C1701" s="163" t="s">
        <v>4318</v>
      </c>
      <c r="D1701" s="163" t="s">
        <v>4319</v>
      </c>
      <c r="E1701" s="164" t="n">
        <v>20000</v>
      </c>
      <c r="F1701" s="165" t="s">
        <v>5662</v>
      </c>
    </row>
    <row r="1702" customFormat="false" ht="15" hidden="false" customHeight="true" outlineLevel="0" collapsed="false">
      <c r="A1702" s="163" t="s">
        <v>3025</v>
      </c>
      <c r="B1702" s="163" t="s">
        <v>1938</v>
      </c>
      <c r="C1702" s="163" t="s">
        <v>3385</v>
      </c>
      <c r="D1702" s="163" t="s">
        <v>3386</v>
      </c>
      <c r="E1702" s="164" t="n">
        <v>20000</v>
      </c>
      <c r="F1702" s="165" t="s">
        <v>5663</v>
      </c>
    </row>
    <row r="1703" customFormat="false" ht="15" hidden="false" customHeight="true" outlineLevel="0" collapsed="false">
      <c r="A1703" s="163" t="s">
        <v>3025</v>
      </c>
      <c r="B1703" s="163" t="s">
        <v>1938</v>
      </c>
      <c r="C1703" s="163" t="s">
        <v>431</v>
      </c>
      <c r="D1703" s="163" t="s">
        <v>2678</v>
      </c>
      <c r="E1703" s="164" t="n">
        <v>20000</v>
      </c>
      <c r="F1703" s="165" t="s">
        <v>5664</v>
      </c>
    </row>
    <row r="1704" customFormat="false" ht="15" hidden="false" customHeight="true" outlineLevel="0" collapsed="false">
      <c r="A1704" s="163" t="s">
        <v>3025</v>
      </c>
      <c r="B1704" s="163" t="s">
        <v>1938</v>
      </c>
      <c r="C1704" s="163" t="s">
        <v>395</v>
      </c>
      <c r="D1704" s="163" t="s">
        <v>2196</v>
      </c>
      <c r="E1704" s="164" t="n">
        <v>20000</v>
      </c>
      <c r="F1704" s="165" t="s">
        <v>5665</v>
      </c>
    </row>
    <row r="1705" customFormat="false" ht="15" hidden="false" customHeight="true" outlineLevel="0" collapsed="false">
      <c r="A1705" s="163" t="s">
        <v>3025</v>
      </c>
      <c r="B1705" s="163" t="s">
        <v>1938</v>
      </c>
      <c r="C1705" s="163" t="s">
        <v>4478</v>
      </c>
      <c r="D1705" s="163" t="s">
        <v>4479</v>
      </c>
      <c r="E1705" s="164" t="n">
        <v>20000</v>
      </c>
      <c r="F1705" s="165" t="s">
        <v>5666</v>
      </c>
    </row>
    <row r="1706" customFormat="false" ht="15" hidden="false" customHeight="true" outlineLevel="0" collapsed="false">
      <c r="A1706" s="163" t="s">
        <v>3025</v>
      </c>
      <c r="B1706" s="163" t="s">
        <v>1938</v>
      </c>
      <c r="C1706" s="163" t="s">
        <v>4384</v>
      </c>
      <c r="D1706" s="163" t="s">
        <v>4385</v>
      </c>
      <c r="E1706" s="164" t="n">
        <v>20000</v>
      </c>
      <c r="F1706" s="165" t="s">
        <v>5667</v>
      </c>
    </row>
    <row r="1707" customFormat="false" ht="15" hidden="false" customHeight="true" outlineLevel="0" collapsed="false">
      <c r="A1707" s="163" t="s">
        <v>3025</v>
      </c>
      <c r="B1707" s="163" t="s">
        <v>1938</v>
      </c>
      <c r="C1707" s="163" t="s">
        <v>3602</v>
      </c>
      <c r="D1707" s="163" t="s">
        <v>3603</v>
      </c>
      <c r="E1707" s="164" t="n">
        <v>20000</v>
      </c>
      <c r="F1707" s="165" t="s">
        <v>5668</v>
      </c>
    </row>
    <row r="1708" customFormat="false" ht="15" hidden="false" customHeight="true" outlineLevel="0" collapsed="false">
      <c r="A1708" s="163" t="s">
        <v>3025</v>
      </c>
      <c r="B1708" s="163" t="s">
        <v>1938</v>
      </c>
      <c r="C1708" s="163" t="s">
        <v>328</v>
      </c>
      <c r="D1708" s="163" t="s">
        <v>2660</v>
      </c>
      <c r="E1708" s="164" t="n">
        <v>20000</v>
      </c>
      <c r="F1708" s="165" t="s">
        <v>5669</v>
      </c>
    </row>
    <row r="1709" customFormat="false" ht="15" hidden="false" customHeight="true" outlineLevel="0" collapsed="false">
      <c r="A1709" s="163" t="s">
        <v>3025</v>
      </c>
      <c r="B1709" s="163" t="s">
        <v>691</v>
      </c>
      <c r="C1709" s="163" t="s">
        <v>3385</v>
      </c>
      <c r="D1709" s="163" t="s">
        <v>3386</v>
      </c>
      <c r="E1709" s="164" t="n">
        <v>35000</v>
      </c>
      <c r="F1709" s="165" t="s">
        <v>5670</v>
      </c>
    </row>
    <row r="1710" customFormat="false" ht="15" hidden="false" customHeight="true" outlineLevel="0" collapsed="false">
      <c r="A1710" s="163" t="s">
        <v>3025</v>
      </c>
      <c r="B1710" s="163" t="s">
        <v>691</v>
      </c>
      <c r="C1710" s="163" t="s">
        <v>5608</v>
      </c>
      <c r="D1710" s="163" t="s">
        <v>5609</v>
      </c>
      <c r="E1710" s="164" t="n">
        <v>25000</v>
      </c>
      <c r="F1710" s="165" t="s">
        <v>5671</v>
      </c>
    </row>
    <row r="1711" customFormat="false" ht="15" hidden="false" customHeight="true" outlineLevel="0" collapsed="false">
      <c r="A1711" s="163" t="s">
        <v>3025</v>
      </c>
      <c r="B1711" s="163" t="s">
        <v>691</v>
      </c>
      <c r="C1711" s="163" t="s">
        <v>260</v>
      </c>
      <c r="D1711" s="163" t="s">
        <v>2097</v>
      </c>
      <c r="E1711" s="164" t="n">
        <v>15000</v>
      </c>
      <c r="F1711" s="165" t="s">
        <v>5672</v>
      </c>
    </row>
    <row r="1712" customFormat="false" ht="15" hidden="false" customHeight="true" outlineLevel="0" collapsed="false">
      <c r="A1712" s="163" t="s">
        <v>3025</v>
      </c>
      <c r="B1712" s="163" t="s">
        <v>691</v>
      </c>
      <c r="C1712" s="163" t="s">
        <v>5673</v>
      </c>
      <c r="D1712" s="163" t="s">
        <v>5674</v>
      </c>
      <c r="E1712" s="164" t="n">
        <v>15000</v>
      </c>
      <c r="F1712" s="165" t="s">
        <v>5675</v>
      </c>
    </row>
    <row r="1713" customFormat="false" ht="15" hidden="false" customHeight="true" outlineLevel="0" collapsed="false">
      <c r="A1713" s="163" t="s">
        <v>3025</v>
      </c>
      <c r="B1713" s="163" t="s">
        <v>691</v>
      </c>
      <c r="C1713" s="163" t="s">
        <v>5676</v>
      </c>
      <c r="D1713" s="163" t="s">
        <v>5677</v>
      </c>
      <c r="E1713" s="164" t="n">
        <v>15000</v>
      </c>
      <c r="F1713" s="165" t="s">
        <v>5678</v>
      </c>
    </row>
    <row r="1714" customFormat="false" ht="15" hidden="false" customHeight="true" outlineLevel="0" collapsed="false">
      <c r="A1714" s="163" t="s">
        <v>3025</v>
      </c>
      <c r="B1714" s="163" t="s">
        <v>691</v>
      </c>
      <c r="C1714" s="163" t="s">
        <v>935</v>
      </c>
      <c r="D1714" s="163" t="s">
        <v>3162</v>
      </c>
      <c r="E1714" s="164" t="n">
        <v>10000</v>
      </c>
      <c r="F1714" s="165" t="s">
        <v>5679</v>
      </c>
    </row>
    <row r="1715" customFormat="false" ht="15" hidden="false" customHeight="true" outlineLevel="0" collapsed="false">
      <c r="A1715" s="163" t="s">
        <v>3025</v>
      </c>
      <c r="B1715" s="163" t="s">
        <v>691</v>
      </c>
      <c r="C1715" s="163" t="s">
        <v>3515</v>
      </c>
      <c r="D1715" s="163" t="s">
        <v>3516</v>
      </c>
      <c r="E1715" s="164" t="n">
        <v>10000</v>
      </c>
      <c r="F1715" s="165" t="s">
        <v>5680</v>
      </c>
    </row>
    <row r="1716" customFormat="false" ht="15" hidden="false" customHeight="true" outlineLevel="0" collapsed="false">
      <c r="A1716" s="163" t="s">
        <v>3025</v>
      </c>
      <c r="B1716" s="163" t="s">
        <v>691</v>
      </c>
      <c r="C1716" s="163" t="s">
        <v>3395</v>
      </c>
      <c r="D1716" s="163" t="s">
        <v>3396</v>
      </c>
      <c r="E1716" s="164" t="n">
        <v>10000</v>
      </c>
      <c r="F1716" s="165" t="s">
        <v>5681</v>
      </c>
    </row>
    <row r="1717" customFormat="false" ht="15" hidden="false" customHeight="true" outlineLevel="0" collapsed="false">
      <c r="A1717" s="163" t="s">
        <v>3025</v>
      </c>
      <c r="B1717" s="163" t="s">
        <v>691</v>
      </c>
      <c r="C1717" s="163" t="s">
        <v>5682</v>
      </c>
      <c r="D1717" s="163" t="s">
        <v>5683</v>
      </c>
      <c r="E1717" s="164" t="n">
        <v>10000</v>
      </c>
      <c r="F1717" s="165" t="s">
        <v>5684</v>
      </c>
    </row>
    <row r="1718" customFormat="false" ht="15" hidden="false" customHeight="true" outlineLevel="0" collapsed="false">
      <c r="A1718" s="163" t="s">
        <v>3025</v>
      </c>
      <c r="B1718" s="163" t="s">
        <v>2027</v>
      </c>
      <c r="C1718" s="163" t="s">
        <v>4427</v>
      </c>
      <c r="D1718" s="163" t="s">
        <v>4428</v>
      </c>
      <c r="E1718" s="164" t="n">
        <v>30000</v>
      </c>
      <c r="F1718" s="165" t="s">
        <v>5685</v>
      </c>
    </row>
    <row r="1719" customFormat="false" ht="15" hidden="false" customHeight="true" outlineLevel="0" collapsed="false">
      <c r="A1719" s="163" t="s">
        <v>3025</v>
      </c>
      <c r="B1719" s="163" t="s">
        <v>2027</v>
      </c>
      <c r="C1719" s="163" t="s">
        <v>473</v>
      </c>
      <c r="D1719" s="163" t="s">
        <v>2764</v>
      </c>
      <c r="E1719" s="164" t="n">
        <v>20000</v>
      </c>
      <c r="F1719" s="165" t="s">
        <v>5686</v>
      </c>
    </row>
    <row r="1720" customFormat="false" ht="15" hidden="false" customHeight="true" outlineLevel="0" collapsed="false">
      <c r="A1720" s="163" t="s">
        <v>3025</v>
      </c>
      <c r="B1720" s="163" t="s">
        <v>2027</v>
      </c>
      <c r="C1720" s="163" t="s">
        <v>3163</v>
      </c>
      <c r="D1720" s="163" t="s">
        <v>3164</v>
      </c>
      <c r="E1720" s="164" t="n">
        <v>20000</v>
      </c>
      <c r="F1720" s="165" t="s">
        <v>5687</v>
      </c>
    </row>
    <row r="1721" customFormat="false" ht="15" hidden="false" customHeight="true" outlineLevel="0" collapsed="false">
      <c r="A1721" s="163" t="s">
        <v>3025</v>
      </c>
      <c r="B1721" s="163" t="s">
        <v>2027</v>
      </c>
      <c r="C1721" s="163" t="s">
        <v>3210</v>
      </c>
      <c r="D1721" s="163" t="s">
        <v>3211</v>
      </c>
      <c r="E1721" s="164" t="n">
        <v>20000</v>
      </c>
      <c r="F1721" s="165" t="s">
        <v>5688</v>
      </c>
    </row>
    <row r="1722" customFormat="false" ht="15" hidden="false" customHeight="true" outlineLevel="0" collapsed="false">
      <c r="A1722" s="163" t="s">
        <v>3025</v>
      </c>
      <c r="B1722" s="163" t="s">
        <v>2037</v>
      </c>
      <c r="C1722" s="163" t="s">
        <v>3096</v>
      </c>
      <c r="D1722" s="163" t="s">
        <v>3097</v>
      </c>
      <c r="E1722" s="164" t="n">
        <v>30000</v>
      </c>
      <c r="F1722" s="165" t="s">
        <v>5689</v>
      </c>
    </row>
    <row r="1723" customFormat="false" ht="15" hidden="false" customHeight="true" outlineLevel="0" collapsed="false">
      <c r="A1723" s="163" t="s">
        <v>3025</v>
      </c>
      <c r="B1723" s="163" t="s">
        <v>2037</v>
      </c>
      <c r="C1723" s="163" t="s">
        <v>5690</v>
      </c>
      <c r="D1723" s="163" t="s">
        <v>5691</v>
      </c>
      <c r="E1723" s="164" t="n">
        <v>30000</v>
      </c>
      <c r="F1723" s="165" t="s">
        <v>5692</v>
      </c>
    </row>
    <row r="1724" customFormat="false" ht="15" hidden="false" customHeight="true" outlineLevel="0" collapsed="false">
      <c r="A1724" s="163" t="s">
        <v>3025</v>
      </c>
      <c r="B1724" s="163" t="s">
        <v>2037</v>
      </c>
      <c r="C1724" s="163" t="s">
        <v>3441</v>
      </c>
      <c r="D1724" s="163" t="s">
        <v>3442</v>
      </c>
      <c r="E1724" s="164" t="n">
        <v>30000</v>
      </c>
      <c r="F1724" s="165" t="s">
        <v>5643</v>
      </c>
    </row>
    <row r="1725" customFormat="false" ht="15" hidden="false" customHeight="true" outlineLevel="0" collapsed="false">
      <c r="A1725" s="163" t="s">
        <v>3025</v>
      </c>
      <c r="B1725" s="163" t="s">
        <v>2037</v>
      </c>
      <c r="C1725" s="163" t="s">
        <v>5649</v>
      </c>
      <c r="D1725" s="163" t="s">
        <v>5650</v>
      </c>
      <c r="E1725" s="164" t="n">
        <v>30000</v>
      </c>
      <c r="F1725" s="165" t="s">
        <v>5643</v>
      </c>
    </row>
    <row r="1726" customFormat="false" ht="15" hidden="false" customHeight="true" outlineLevel="0" collapsed="false">
      <c r="A1726" s="163" t="s">
        <v>3025</v>
      </c>
      <c r="B1726" s="163" t="s">
        <v>2037</v>
      </c>
      <c r="C1726" s="163" t="s">
        <v>1860</v>
      </c>
      <c r="D1726" s="163" t="s">
        <v>1861</v>
      </c>
      <c r="E1726" s="164" t="n">
        <v>25000</v>
      </c>
      <c r="F1726" s="165" t="s">
        <v>5643</v>
      </c>
    </row>
    <row r="1727" customFormat="false" ht="15" hidden="false" customHeight="true" outlineLevel="0" collapsed="false">
      <c r="A1727" s="163" t="s">
        <v>3025</v>
      </c>
      <c r="B1727" s="163" t="s">
        <v>2037</v>
      </c>
      <c r="C1727" s="163" t="s">
        <v>3771</v>
      </c>
      <c r="D1727" s="163" t="s">
        <v>3772</v>
      </c>
      <c r="E1727" s="164" t="n">
        <v>20000</v>
      </c>
      <c r="F1727" s="165" t="s">
        <v>5643</v>
      </c>
    </row>
    <row r="1728" customFormat="false" ht="15" hidden="false" customHeight="true" outlineLevel="0" collapsed="false">
      <c r="A1728" s="163" t="s">
        <v>3025</v>
      </c>
      <c r="B1728" s="163" t="s">
        <v>2037</v>
      </c>
      <c r="C1728" s="163" t="s">
        <v>4701</v>
      </c>
      <c r="D1728" s="163" t="s">
        <v>4702</v>
      </c>
      <c r="E1728" s="164" t="n">
        <v>20000</v>
      </c>
      <c r="F1728" s="165" t="s">
        <v>5693</v>
      </c>
    </row>
    <row r="1729" customFormat="false" ht="15" hidden="false" customHeight="true" outlineLevel="0" collapsed="false">
      <c r="A1729" s="163" t="s">
        <v>3025</v>
      </c>
      <c r="B1729" s="163" t="s">
        <v>2037</v>
      </c>
      <c r="C1729" s="163" t="s">
        <v>372</v>
      </c>
      <c r="D1729" s="163" t="s">
        <v>2692</v>
      </c>
      <c r="E1729" s="164" t="n">
        <v>5000</v>
      </c>
      <c r="F1729" s="165" t="s">
        <v>5643</v>
      </c>
    </row>
    <row r="1730" customFormat="false" ht="15" hidden="false" customHeight="true" outlineLevel="0" collapsed="false">
      <c r="A1730" s="163" t="s">
        <v>3025</v>
      </c>
      <c r="B1730" s="163" t="s">
        <v>2037</v>
      </c>
      <c r="C1730" s="163" t="s">
        <v>5694</v>
      </c>
      <c r="D1730" s="163" t="s">
        <v>5695</v>
      </c>
      <c r="E1730" s="164" t="n">
        <v>5000</v>
      </c>
      <c r="F1730" s="165" t="s">
        <v>5643</v>
      </c>
    </row>
    <row r="1731" customFormat="false" ht="15" hidden="false" customHeight="true" outlineLevel="0" collapsed="false">
      <c r="A1731" s="163" t="s">
        <v>3025</v>
      </c>
      <c r="B1731" s="163" t="s">
        <v>894</v>
      </c>
      <c r="C1731" s="163" t="s">
        <v>5618</v>
      </c>
      <c r="D1731" s="163" t="s">
        <v>5619</v>
      </c>
      <c r="E1731" s="164" t="n">
        <v>35000</v>
      </c>
      <c r="F1731" s="165" t="s">
        <v>5696</v>
      </c>
    </row>
    <row r="1732" customFormat="false" ht="15" hidden="false" customHeight="true" outlineLevel="0" collapsed="false">
      <c r="A1732" s="163" t="s">
        <v>3025</v>
      </c>
      <c r="B1732" s="163" t="s">
        <v>894</v>
      </c>
      <c r="C1732" s="163" t="s">
        <v>5697</v>
      </c>
      <c r="D1732" s="163" t="s">
        <v>5698</v>
      </c>
      <c r="E1732" s="164" t="n">
        <v>35000</v>
      </c>
      <c r="F1732" s="165" t="s">
        <v>5699</v>
      </c>
    </row>
    <row r="1733" customFormat="false" ht="15" hidden="false" customHeight="true" outlineLevel="0" collapsed="false">
      <c r="A1733" s="163" t="s">
        <v>3025</v>
      </c>
      <c r="B1733" s="163" t="s">
        <v>894</v>
      </c>
      <c r="C1733" s="163" t="s">
        <v>5626</v>
      </c>
      <c r="D1733" s="163" t="s">
        <v>5627</v>
      </c>
      <c r="E1733" s="164" t="n">
        <v>25000</v>
      </c>
      <c r="F1733" s="165" t="s">
        <v>5628</v>
      </c>
    </row>
    <row r="1734" customFormat="false" ht="15" hidden="false" customHeight="true" outlineLevel="0" collapsed="false">
      <c r="A1734" s="163" t="s">
        <v>3025</v>
      </c>
      <c r="B1734" s="163" t="s">
        <v>894</v>
      </c>
      <c r="C1734" s="163" t="s">
        <v>5700</v>
      </c>
      <c r="D1734" s="163" t="s">
        <v>5701</v>
      </c>
      <c r="E1734" s="164" t="n">
        <v>25000</v>
      </c>
      <c r="F1734" s="165" t="s">
        <v>5702</v>
      </c>
    </row>
    <row r="1735" customFormat="false" ht="15" hidden="false" customHeight="true" outlineLevel="0" collapsed="false">
      <c r="A1735" s="163" t="s">
        <v>3025</v>
      </c>
      <c r="B1735" s="163" t="s">
        <v>894</v>
      </c>
      <c r="C1735" s="163" t="s">
        <v>5676</v>
      </c>
      <c r="D1735" s="163" t="s">
        <v>5677</v>
      </c>
      <c r="E1735" s="164" t="n">
        <v>20000</v>
      </c>
      <c r="F1735" s="165" t="s">
        <v>5703</v>
      </c>
    </row>
    <row r="1736" customFormat="false" ht="15" hidden="false" customHeight="true" outlineLevel="0" collapsed="false">
      <c r="A1736" s="163" t="s">
        <v>3025</v>
      </c>
      <c r="B1736" s="163" t="s">
        <v>894</v>
      </c>
      <c r="C1736" s="163" t="s">
        <v>3856</v>
      </c>
      <c r="D1736" s="163" t="s">
        <v>3857</v>
      </c>
      <c r="E1736" s="164" t="n">
        <v>20000</v>
      </c>
      <c r="F1736" s="165" t="s">
        <v>5704</v>
      </c>
    </row>
    <row r="1737" customFormat="false" ht="15" hidden="false" customHeight="true" outlineLevel="0" collapsed="false">
      <c r="A1737" s="163" t="s">
        <v>3025</v>
      </c>
      <c r="B1737" s="163" t="s">
        <v>894</v>
      </c>
      <c r="C1737" s="163" t="s">
        <v>5622</v>
      </c>
      <c r="D1737" s="163" t="s">
        <v>5623</v>
      </c>
      <c r="E1737" s="164" t="n">
        <v>15000</v>
      </c>
      <c r="F1737" s="165" t="s">
        <v>5705</v>
      </c>
    </row>
    <row r="1738" customFormat="false" ht="15" hidden="false" customHeight="true" outlineLevel="0" collapsed="false">
      <c r="A1738" s="163" t="s">
        <v>3025</v>
      </c>
      <c r="B1738" s="163" t="s">
        <v>894</v>
      </c>
      <c r="C1738" s="163" t="s">
        <v>3176</v>
      </c>
      <c r="D1738" s="163" t="s">
        <v>3177</v>
      </c>
      <c r="E1738" s="164" t="n">
        <v>13000</v>
      </c>
      <c r="F1738" s="165" t="s">
        <v>5643</v>
      </c>
    </row>
    <row r="1739" customFormat="false" ht="15" hidden="false" customHeight="true" outlineLevel="0" collapsed="false">
      <c r="A1739" s="163" t="s">
        <v>3025</v>
      </c>
      <c r="B1739" s="163" t="s">
        <v>894</v>
      </c>
      <c r="C1739" s="163" t="s">
        <v>3385</v>
      </c>
      <c r="D1739" s="163" t="s">
        <v>3386</v>
      </c>
      <c r="E1739" s="164" t="n">
        <v>10000</v>
      </c>
      <c r="F1739" s="165" t="s">
        <v>5706</v>
      </c>
    </row>
    <row r="1740" customFormat="false" ht="15" hidden="false" customHeight="true" outlineLevel="0" collapsed="false">
      <c r="A1740" s="163" t="s">
        <v>3025</v>
      </c>
      <c r="B1740" s="163" t="s">
        <v>894</v>
      </c>
      <c r="C1740" s="163" t="s">
        <v>5707</v>
      </c>
      <c r="D1740" s="163" t="s">
        <v>5708</v>
      </c>
      <c r="E1740" s="164" t="n">
        <v>10000</v>
      </c>
      <c r="F1740" s="165" t="s">
        <v>5709</v>
      </c>
    </row>
    <row r="1741" customFormat="false" ht="15" hidden="false" customHeight="true" outlineLevel="0" collapsed="false">
      <c r="A1741" s="163" t="s">
        <v>3025</v>
      </c>
      <c r="B1741" s="163" t="s">
        <v>894</v>
      </c>
      <c r="C1741" s="163" t="s">
        <v>5710</v>
      </c>
      <c r="D1741" s="163" t="s">
        <v>5711</v>
      </c>
      <c r="E1741" s="164" t="n">
        <v>10000</v>
      </c>
      <c r="F1741" s="165" t="s">
        <v>5643</v>
      </c>
    </row>
    <row r="1742" customFormat="false" ht="15" hidden="false" customHeight="true" outlineLevel="0" collapsed="false">
      <c r="A1742" s="163" t="s">
        <v>3025</v>
      </c>
      <c r="B1742" s="163" t="s">
        <v>894</v>
      </c>
      <c r="C1742" s="163" t="s">
        <v>273</v>
      </c>
      <c r="D1742" s="163" t="s">
        <v>1891</v>
      </c>
      <c r="E1742" s="164" t="n">
        <v>10000</v>
      </c>
      <c r="F1742" s="165" t="s">
        <v>5712</v>
      </c>
    </row>
    <row r="1743" customFormat="false" ht="15" hidden="false" customHeight="true" outlineLevel="0" collapsed="false">
      <c r="A1743" s="163" t="s">
        <v>3025</v>
      </c>
      <c r="B1743" s="163" t="s">
        <v>894</v>
      </c>
      <c r="C1743" s="163" t="s">
        <v>5713</v>
      </c>
      <c r="D1743" s="163" t="s">
        <v>5714</v>
      </c>
      <c r="E1743" s="164" t="n">
        <v>10000</v>
      </c>
      <c r="F1743" s="165" t="s">
        <v>5715</v>
      </c>
    </row>
    <row r="1744" customFormat="false" ht="15" hidden="false" customHeight="true" outlineLevel="0" collapsed="false">
      <c r="A1744" s="163" t="s">
        <v>3025</v>
      </c>
      <c r="B1744" s="163" t="s">
        <v>894</v>
      </c>
      <c r="C1744" s="163" t="s">
        <v>5649</v>
      </c>
      <c r="D1744" s="163" t="s">
        <v>5650</v>
      </c>
      <c r="E1744" s="164" t="n">
        <v>10000</v>
      </c>
      <c r="F1744" s="165" t="s">
        <v>5716</v>
      </c>
    </row>
    <row r="1745" customFormat="false" ht="15" hidden="false" customHeight="true" outlineLevel="0" collapsed="false">
      <c r="A1745" s="163" t="s">
        <v>3025</v>
      </c>
      <c r="B1745" s="163" t="s">
        <v>894</v>
      </c>
      <c r="C1745" s="163" t="s">
        <v>4635</v>
      </c>
      <c r="D1745" s="163" t="s">
        <v>4636</v>
      </c>
      <c r="E1745" s="164" t="n">
        <v>10000</v>
      </c>
      <c r="F1745" s="165" t="s">
        <v>5717</v>
      </c>
    </row>
    <row r="1746" customFormat="false" ht="15" hidden="false" customHeight="true" outlineLevel="0" collapsed="false">
      <c r="A1746" s="163" t="s">
        <v>3025</v>
      </c>
      <c r="B1746" s="163" t="s">
        <v>894</v>
      </c>
      <c r="C1746" s="163" t="s">
        <v>5718</v>
      </c>
      <c r="D1746" s="163" t="s">
        <v>5719</v>
      </c>
      <c r="E1746" s="164" t="n">
        <v>10000</v>
      </c>
      <c r="F1746" s="165" t="s">
        <v>5720</v>
      </c>
    </row>
    <row r="1747" customFormat="false" ht="15" hidden="false" customHeight="true" outlineLevel="0" collapsed="false">
      <c r="A1747" s="163" t="s">
        <v>3025</v>
      </c>
      <c r="B1747" s="163" t="s">
        <v>894</v>
      </c>
      <c r="C1747" s="163" t="s">
        <v>3742</v>
      </c>
      <c r="D1747" s="163" t="s">
        <v>3743</v>
      </c>
      <c r="E1747" s="164" t="n">
        <v>10000</v>
      </c>
      <c r="F1747" s="165" t="s">
        <v>5721</v>
      </c>
    </row>
    <row r="1748" customFormat="false" ht="15" hidden="false" customHeight="true" outlineLevel="0" collapsed="false">
      <c r="A1748" s="163" t="s">
        <v>3025</v>
      </c>
      <c r="B1748" s="163" t="s">
        <v>894</v>
      </c>
      <c r="C1748" s="163" t="s">
        <v>197</v>
      </c>
      <c r="D1748" s="163" t="s">
        <v>1931</v>
      </c>
      <c r="E1748" s="164" t="n">
        <v>10000</v>
      </c>
      <c r="F1748" s="165" t="s">
        <v>5722</v>
      </c>
    </row>
    <row r="1749" customFormat="false" ht="15" hidden="false" customHeight="true" outlineLevel="0" collapsed="false">
      <c r="A1749" s="163" t="s">
        <v>3025</v>
      </c>
      <c r="B1749" s="163" t="s">
        <v>894</v>
      </c>
      <c r="C1749" s="163" t="s">
        <v>5343</v>
      </c>
      <c r="D1749" s="163" t="s">
        <v>5344</v>
      </c>
      <c r="E1749" s="164" t="n">
        <v>10000</v>
      </c>
      <c r="F1749" s="165" t="s">
        <v>5643</v>
      </c>
    </row>
    <row r="1750" customFormat="false" ht="15" hidden="false" customHeight="true" outlineLevel="0" collapsed="false">
      <c r="A1750" s="163" t="s">
        <v>3025</v>
      </c>
      <c r="B1750" s="163" t="s">
        <v>894</v>
      </c>
      <c r="C1750" s="163" t="s">
        <v>5629</v>
      </c>
      <c r="D1750" s="163" t="s">
        <v>5630</v>
      </c>
      <c r="E1750" s="164" t="n">
        <v>10000</v>
      </c>
      <c r="F1750" s="165" t="s">
        <v>5723</v>
      </c>
    </row>
    <row r="1751" customFormat="false" ht="15" hidden="false" customHeight="true" outlineLevel="0" collapsed="false">
      <c r="A1751" s="163" t="s">
        <v>3025</v>
      </c>
      <c r="B1751" s="163" t="s">
        <v>894</v>
      </c>
      <c r="C1751" s="163" t="s">
        <v>5618</v>
      </c>
      <c r="D1751" s="163" t="s">
        <v>5619</v>
      </c>
      <c r="E1751" s="164" t="n">
        <v>10000</v>
      </c>
      <c r="F1751" s="165" t="s">
        <v>5724</v>
      </c>
    </row>
    <row r="1752" customFormat="false" ht="15" hidden="false" customHeight="true" outlineLevel="0" collapsed="false">
      <c r="A1752" s="163" t="s">
        <v>3025</v>
      </c>
      <c r="B1752" s="163" t="s">
        <v>894</v>
      </c>
      <c r="C1752" s="163" t="s">
        <v>974</v>
      </c>
      <c r="D1752" s="163" t="s">
        <v>1931</v>
      </c>
      <c r="E1752" s="164" t="n">
        <v>7000</v>
      </c>
      <c r="F1752" s="165" t="s">
        <v>5725</v>
      </c>
    </row>
    <row r="1753" customFormat="false" ht="15" hidden="false" customHeight="true" outlineLevel="0" collapsed="false">
      <c r="A1753" s="163" t="s">
        <v>3025</v>
      </c>
      <c r="B1753" s="163" t="s">
        <v>894</v>
      </c>
      <c r="C1753" s="163" t="s">
        <v>5726</v>
      </c>
      <c r="D1753" s="163" t="s">
        <v>5727</v>
      </c>
      <c r="E1753" s="164" t="n">
        <v>5000</v>
      </c>
      <c r="F1753" s="165" t="s">
        <v>5728</v>
      </c>
    </row>
    <row r="1754" customFormat="false" ht="15" hidden="false" customHeight="true" outlineLevel="0" collapsed="false">
      <c r="A1754" s="163" t="s">
        <v>3025</v>
      </c>
      <c r="B1754" s="163" t="s">
        <v>894</v>
      </c>
      <c r="C1754" s="163" t="s">
        <v>3108</v>
      </c>
      <c r="D1754" s="163" t="s">
        <v>3109</v>
      </c>
      <c r="E1754" s="164" t="n">
        <v>5000</v>
      </c>
      <c r="F1754" s="165" t="s">
        <v>5643</v>
      </c>
    </row>
    <row r="1755" customFormat="false" ht="15" hidden="false" customHeight="true" outlineLevel="0" collapsed="false">
      <c r="A1755" s="163" t="s">
        <v>3025</v>
      </c>
      <c r="B1755" s="163" t="s">
        <v>894</v>
      </c>
      <c r="C1755" s="163" t="s">
        <v>1268</v>
      </c>
      <c r="D1755" s="163" t="s">
        <v>2426</v>
      </c>
      <c r="E1755" s="164" t="n">
        <v>5000</v>
      </c>
      <c r="F1755" s="165" t="s">
        <v>5729</v>
      </c>
    </row>
    <row r="1756" customFormat="false" ht="15" hidden="false" customHeight="true" outlineLevel="0" collapsed="false">
      <c r="A1756" s="163" t="s">
        <v>3025</v>
      </c>
      <c r="B1756" s="163" t="s">
        <v>894</v>
      </c>
      <c r="C1756" s="163" t="s">
        <v>1193</v>
      </c>
      <c r="D1756" s="163" t="s">
        <v>2092</v>
      </c>
      <c r="E1756" s="164" t="n">
        <v>5000</v>
      </c>
      <c r="F1756" s="165" t="s">
        <v>5730</v>
      </c>
    </row>
    <row r="1757" customFormat="false" ht="15" hidden="false" customHeight="true" outlineLevel="0" collapsed="false">
      <c r="A1757" s="163" t="s">
        <v>3025</v>
      </c>
      <c r="B1757" s="163" t="s">
        <v>894</v>
      </c>
      <c r="C1757" s="163" t="s">
        <v>5731</v>
      </c>
      <c r="D1757" s="163" t="s">
        <v>5732</v>
      </c>
      <c r="E1757" s="164" t="n">
        <v>5000</v>
      </c>
      <c r="F1757" s="165" t="s">
        <v>5733</v>
      </c>
    </row>
    <row r="1758" customFormat="false" ht="15" hidden="false" customHeight="true" outlineLevel="0" collapsed="false">
      <c r="A1758" s="163" t="s">
        <v>3025</v>
      </c>
      <c r="B1758" s="163" t="s">
        <v>894</v>
      </c>
      <c r="C1758" s="163" t="s">
        <v>4651</v>
      </c>
      <c r="D1758" s="163" t="s">
        <v>4652</v>
      </c>
      <c r="E1758" s="164" t="n">
        <v>5000</v>
      </c>
      <c r="F1758" s="165" t="s">
        <v>5734</v>
      </c>
    </row>
    <row r="1759" customFormat="false" ht="15" hidden="false" customHeight="true" outlineLevel="0" collapsed="false">
      <c r="A1759" s="163" t="s">
        <v>3025</v>
      </c>
      <c r="B1759" s="163" t="s">
        <v>894</v>
      </c>
      <c r="C1759" s="163" t="s">
        <v>4269</v>
      </c>
      <c r="D1759" s="163" t="s">
        <v>4270</v>
      </c>
      <c r="E1759" s="164" t="n">
        <v>5000</v>
      </c>
      <c r="F1759" s="165" t="s">
        <v>5735</v>
      </c>
    </row>
    <row r="1760" customFormat="false" ht="15" hidden="false" customHeight="true" outlineLevel="0" collapsed="false">
      <c r="A1760" s="163" t="s">
        <v>3025</v>
      </c>
      <c r="B1760" s="163" t="s">
        <v>894</v>
      </c>
      <c r="C1760" s="163" t="s">
        <v>1021</v>
      </c>
      <c r="D1760" s="163" t="s">
        <v>1931</v>
      </c>
      <c r="E1760" s="164" t="n">
        <v>5000</v>
      </c>
      <c r="F1760" s="165" t="s">
        <v>5736</v>
      </c>
    </row>
    <row r="1761" customFormat="false" ht="15" hidden="false" customHeight="true" outlineLevel="0" collapsed="false">
      <c r="A1761" s="163" t="s">
        <v>3025</v>
      </c>
      <c r="B1761" s="163" t="s">
        <v>894</v>
      </c>
      <c r="C1761" s="163" t="s">
        <v>197</v>
      </c>
      <c r="D1761" s="163" t="s">
        <v>1931</v>
      </c>
      <c r="E1761" s="164" t="n">
        <v>5000</v>
      </c>
      <c r="F1761" s="165" t="s">
        <v>5737</v>
      </c>
    </row>
    <row r="1762" customFormat="false" ht="15" hidden="false" customHeight="true" outlineLevel="0" collapsed="false">
      <c r="A1762" s="163" t="s">
        <v>3025</v>
      </c>
      <c r="B1762" s="163" t="s">
        <v>894</v>
      </c>
      <c r="C1762" s="163" t="s">
        <v>3163</v>
      </c>
      <c r="D1762" s="163" t="s">
        <v>3164</v>
      </c>
      <c r="E1762" s="164" t="n">
        <v>5000</v>
      </c>
      <c r="F1762" s="165" t="s">
        <v>5643</v>
      </c>
    </row>
    <row r="1763" customFormat="false" ht="15" hidden="false" customHeight="true" outlineLevel="0" collapsed="false">
      <c r="A1763" s="163" t="s">
        <v>3025</v>
      </c>
      <c r="B1763" s="163" t="s">
        <v>894</v>
      </c>
      <c r="C1763" s="163" t="s">
        <v>5738</v>
      </c>
      <c r="D1763" s="163" t="s">
        <v>5739</v>
      </c>
      <c r="E1763" s="164" t="n">
        <v>5000</v>
      </c>
      <c r="F1763" s="165" t="s">
        <v>5740</v>
      </c>
    </row>
    <row r="1764" customFormat="false" ht="15" hidden="false" customHeight="true" outlineLevel="0" collapsed="false">
      <c r="A1764" s="163" t="s">
        <v>3025</v>
      </c>
      <c r="B1764" s="163" t="s">
        <v>894</v>
      </c>
      <c r="C1764" s="163" t="s">
        <v>4335</v>
      </c>
      <c r="D1764" s="163" t="s">
        <v>4336</v>
      </c>
      <c r="E1764" s="164" t="n">
        <v>5000</v>
      </c>
      <c r="F1764" s="165" t="s">
        <v>5741</v>
      </c>
    </row>
    <row r="1765" customFormat="false" ht="15" hidden="false" customHeight="true" outlineLevel="0" collapsed="false">
      <c r="A1765" s="163" t="s">
        <v>3025</v>
      </c>
      <c r="B1765" s="163" t="s">
        <v>894</v>
      </c>
      <c r="C1765" s="163" t="s">
        <v>552</v>
      </c>
      <c r="D1765" s="163" t="s">
        <v>2445</v>
      </c>
      <c r="E1765" s="164" t="n">
        <v>5000</v>
      </c>
      <c r="F1765" s="165" t="s">
        <v>5742</v>
      </c>
    </row>
    <row r="1766" customFormat="false" ht="15" hidden="false" customHeight="true" outlineLevel="0" collapsed="false">
      <c r="A1766" s="163" t="s">
        <v>3025</v>
      </c>
      <c r="B1766" s="163" t="s">
        <v>894</v>
      </c>
      <c r="C1766" s="163" t="s">
        <v>5743</v>
      </c>
      <c r="D1766" s="163" t="s">
        <v>5744</v>
      </c>
      <c r="E1766" s="164" t="n">
        <v>5000</v>
      </c>
      <c r="F1766" s="165" t="s">
        <v>5745</v>
      </c>
    </row>
    <row r="1767" customFormat="false" ht="15" hidden="false" customHeight="true" outlineLevel="0" collapsed="false">
      <c r="A1767" s="163" t="s">
        <v>3025</v>
      </c>
      <c r="B1767" s="163" t="s">
        <v>894</v>
      </c>
      <c r="C1767" s="163" t="s">
        <v>5746</v>
      </c>
      <c r="D1767" s="163" t="s">
        <v>5747</v>
      </c>
      <c r="E1767" s="164" t="n">
        <v>5000</v>
      </c>
      <c r="F1767" s="165" t="s">
        <v>5643</v>
      </c>
    </row>
    <row r="1768" customFormat="false" ht="15" hidden="false" customHeight="true" outlineLevel="0" collapsed="false">
      <c r="A1768" s="163" t="s">
        <v>3025</v>
      </c>
      <c r="B1768" s="163" t="s">
        <v>882</v>
      </c>
      <c r="C1768" s="163" t="s">
        <v>2759</v>
      </c>
      <c r="D1768" s="163" t="s">
        <v>2760</v>
      </c>
      <c r="E1768" s="164" t="n">
        <v>160000</v>
      </c>
      <c r="F1768" s="165" t="s">
        <v>5748</v>
      </c>
    </row>
    <row r="1769" customFormat="false" ht="15" hidden="false" customHeight="true" outlineLevel="0" collapsed="false">
      <c r="A1769" s="163" t="s">
        <v>3025</v>
      </c>
      <c r="B1769" s="163" t="s">
        <v>882</v>
      </c>
      <c r="C1769" s="163" t="s">
        <v>5676</v>
      </c>
      <c r="D1769" s="163" t="s">
        <v>5677</v>
      </c>
      <c r="E1769" s="164" t="n">
        <v>50000</v>
      </c>
      <c r="F1769" s="165" t="s">
        <v>5643</v>
      </c>
    </row>
    <row r="1770" customFormat="false" ht="15" hidden="false" customHeight="true" outlineLevel="0" collapsed="false">
      <c r="A1770" s="163" t="s">
        <v>3025</v>
      </c>
      <c r="B1770" s="163" t="s">
        <v>882</v>
      </c>
      <c r="C1770" s="163" t="s">
        <v>5697</v>
      </c>
      <c r="D1770" s="163" t="s">
        <v>5698</v>
      </c>
      <c r="E1770" s="164" t="n">
        <v>25000</v>
      </c>
      <c r="F1770" s="165" t="s">
        <v>5749</v>
      </c>
    </row>
    <row r="1771" customFormat="false" ht="15" hidden="false" customHeight="true" outlineLevel="0" collapsed="false">
      <c r="A1771" s="163" t="s">
        <v>3025</v>
      </c>
      <c r="B1771" s="163" t="s">
        <v>882</v>
      </c>
      <c r="C1771" s="163" t="s">
        <v>4303</v>
      </c>
      <c r="D1771" s="163" t="s">
        <v>4304</v>
      </c>
      <c r="E1771" s="164" t="n">
        <v>20000</v>
      </c>
      <c r="F1771" s="165" t="s">
        <v>5750</v>
      </c>
    </row>
    <row r="1772" customFormat="false" ht="15" hidden="false" customHeight="true" outlineLevel="0" collapsed="false">
      <c r="A1772" s="163" t="s">
        <v>3025</v>
      </c>
      <c r="B1772" s="163" t="s">
        <v>882</v>
      </c>
      <c r="C1772" s="163" t="s">
        <v>5608</v>
      </c>
      <c r="D1772" s="163" t="s">
        <v>5609</v>
      </c>
      <c r="E1772" s="164" t="n">
        <v>15000</v>
      </c>
      <c r="F1772" s="165" t="s">
        <v>5751</v>
      </c>
    </row>
    <row r="1773" customFormat="false" ht="15" hidden="false" customHeight="true" outlineLevel="0" collapsed="false">
      <c r="A1773" s="163" t="s">
        <v>3025</v>
      </c>
      <c r="B1773" s="163" t="s">
        <v>882</v>
      </c>
      <c r="C1773" s="163" t="s">
        <v>3063</v>
      </c>
      <c r="D1773" s="163" t="s">
        <v>3064</v>
      </c>
      <c r="E1773" s="164" t="n">
        <v>10000</v>
      </c>
      <c r="F1773" s="165" t="s">
        <v>5752</v>
      </c>
    </row>
    <row r="1774" customFormat="false" ht="15" hidden="false" customHeight="true" outlineLevel="0" collapsed="false">
      <c r="A1774" s="163" t="s">
        <v>3025</v>
      </c>
      <c r="B1774" s="163" t="s">
        <v>2328</v>
      </c>
      <c r="C1774" s="163" t="s">
        <v>3063</v>
      </c>
      <c r="D1774" s="163" t="s">
        <v>3064</v>
      </c>
      <c r="E1774" s="164" t="n">
        <v>10000</v>
      </c>
      <c r="F1774" s="165" t="s">
        <v>5753</v>
      </c>
    </row>
    <row r="1775" customFormat="false" ht="15" hidden="false" customHeight="true" outlineLevel="0" collapsed="false">
      <c r="A1775" s="163" t="s">
        <v>3025</v>
      </c>
      <c r="B1775" s="163" t="s">
        <v>2328</v>
      </c>
      <c r="C1775" s="163" t="s">
        <v>5676</v>
      </c>
      <c r="D1775" s="163" t="s">
        <v>5677</v>
      </c>
      <c r="E1775" s="164" t="n">
        <v>10000</v>
      </c>
      <c r="F1775" s="165" t="s">
        <v>5754</v>
      </c>
    </row>
    <row r="1776" customFormat="false" ht="15" hidden="false" customHeight="true" outlineLevel="0" collapsed="false">
      <c r="A1776" s="163" t="s">
        <v>3025</v>
      </c>
      <c r="B1776" s="163" t="s">
        <v>2328</v>
      </c>
      <c r="C1776" s="163" t="s">
        <v>5697</v>
      </c>
      <c r="D1776" s="163" t="s">
        <v>5698</v>
      </c>
      <c r="E1776" s="164" t="n">
        <v>10000</v>
      </c>
      <c r="F1776" s="165" t="s">
        <v>5643</v>
      </c>
    </row>
    <row r="1777" customFormat="false" ht="15" hidden="false" customHeight="true" outlineLevel="0" collapsed="false">
      <c r="A1777" s="163" t="s">
        <v>3025</v>
      </c>
      <c r="B1777" s="163" t="s">
        <v>2328</v>
      </c>
      <c r="C1777" s="163" t="s">
        <v>5697</v>
      </c>
      <c r="D1777" s="163" t="s">
        <v>5698</v>
      </c>
      <c r="E1777" s="164" t="n">
        <v>10000</v>
      </c>
      <c r="F1777" s="165" t="s">
        <v>5755</v>
      </c>
    </row>
    <row r="1778" customFormat="false" ht="15" hidden="false" customHeight="true" outlineLevel="0" collapsed="false">
      <c r="A1778" s="163" t="s">
        <v>3025</v>
      </c>
      <c r="B1778" s="163" t="s">
        <v>2328</v>
      </c>
      <c r="C1778" s="163" t="s">
        <v>5618</v>
      </c>
      <c r="D1778" s="163" t="s">
        <v>5619</v>
      </c>
      <c r="E1778" s="164" t="n">
        <v>10000</v>
      </c>
      <c r="F1778" s="165" t="s">
        <v>5756</v>
      </c>
    </row>
    <row r="1779" customFormat="false" ht="15" hidden="false" customHeight="true" outlineLevel="0" collapsed="false">
      <c r="A1779" s="163" t="s">
        <v>3025</v>
      </c>
      <c r="B1779" s="163" t="s">
        <v>2342</v>
      </c>
      <c r="C1779" s="163" t="s">
        <v>5608</v>
      </c>
      <c r="D1779" s="163" t="s">
        <v>5609</v>
      </c>
      <c r="E1779" s="164" t="n">
        <v>25000</v>
      </c>
      <c r="F1779" s="165" t="s">
        <v>5757</v>
      </c>
    </row>
    <row r="1780" customFormat="false" ht="15" hidden="false" customHeight="true" outlineLevel="0" collapsed="false">
      <c r="A1780" s="163" t="s">
        <v>3025</v>
      </c>
      <c r="B1780" s="163" t="s">
        <v>2342</v>
      </c>
      <c r="C1780" s="163" t="s">
        <v>197</v>
      </c>
      <c r="D1780" s="163" t="s">
        <v>1931</v>
      </c>
      <c r="E1780" s="164" t="n">
        <v>25000</v>
      </c>
      <c r="F1780" s="165" t="s">
        <v>5758</v>
      </c>
    </row>
    <row r="1781" customFormat="false" ht="15" hidden="false" customHeight="true" outlineLevel="0" collapsed="false">
      <c r="A1781" s="163" t="s">
        <v>3025</v>
      </c>
      <c r="B1781" s="163" t="s">
        <v>2342</v>
      </c>
      <c r="C1781" s="163" t="s">
        <v>230</v>
      </c>
      <c r="D1781" s="163" t="s">
        <v>2077</v>
      </c>
      <c r="E1781" s="164" t="n">
        <v>20000</v>
      </c>
      <c r="F1781" s="165" t="s">
        <v>5759</v>
      </c>
    </row>
    <row r="1782" customFormat="false" ht="15" hidden="false" customHeight="true" outlineLevel="0" collapsed="false">
      <c r="A1782" s="163" t="s">
        <v>3025</v>
      </c>
      <c r="B1782" s="163" t="s">
        <v>2342</v>
      </c>
      <c r="C1782" s="163" t="s">
        <v>3385</v>
      </c>
      <c r="D1782" s="163" t="s">
        <v>3386</v>
      </c>
      <c r="E1782" s="164" t="n">
        <v>10000</v>
      </c>
      <c r="F1782" s="165" t="s">
        <v>5706</v>
      </c>
    </row>
    <row r="1783" customFormat="false" ht="15" hidden="false" customHeight="true" outlineLevel="0" collapsed="false">
      <c r="A1783" s="163" t="s">
        <v>3025</v>
      </c>
      <c r="B1783" s="163" t="s">
        <v>2342</v>
      </c>
      <c r="C1783" s="163" t="s">
        <v>2953</v>
      </c>
      <c r="D1783" s="163" t="s">
        <v>2954</v>
      </c>
      <c r="E1783" s="164" t="n">
        <v>10000</v>
      </c>
      <c r="F1783" s="165" t="s">
        <v>5760</v>
      </c>
    </row>
    <row r="1784" customFormat="false" ht="15" hidden="false" customHeight="true" outlineLevel="0" collapsed="false">
      <c r="A1784" s="163" t="s">
        <v>3025</v>
      </c>
      <c r="B1784" s="163" t="s">
        <v>1743</v>
      </c>
      <c r="C1784" s="163" t="s">
        <v>5622</v>
      </c>
      <c r="D1784" s="163" t="s">
        <v>5623</v>
      </c>
      <c r="E1784" s="164" t="n">
        <v>70000</v>
      </c>
      <c r="F1784" s="165" t="s">
        <v>5761</v>
      </c>
    </row>
    <row r="1785" customFormat="false" ht="15" hidden="false" customHeight="true" outlineLevel="0" collapsed="false">
      <c r="A1785" s="163" t="s">
        <v>3025</v>
      </c>
      <c r="B1785" s="163" t="s">
        <v>1743</v>
      </c>
      <c r="C1785" s="163" t="s">
        <v>3478</v>
      </c>
      <c r="D1785" s="163" t="s">
        <v>3479</v>
      </c>
      <c r="E1785" s="164" t="n">
        <v>20000</v>
      </c>
      <c r="F1785" s="165" t="s">
        <v>5762</v>
      </c>
    </row>
    <row r="1786" customFormat="false" ht="15" hidden="false" customHeight="true" outlineLevel="0" collapsed="false">
      <c r="A1786" s="163" t="s">
        <v>3025</v>
      </c>
      <c r="B1786" s="163" t="s">
        <v>1743</v>
      </c>
      <c r="C1786" s="163" t="s">
        <v>5673</v>
      </c>
      <c r="D1786" s="163" t="s">
        <v>5674</v>
      </c>
      <c r="E1786" s="164" t="n">
        <v>18000</v>
      </c>
      <c r="F1786" s="165" t="s">
        <v>5763</v>
      </c>
    </row>
    <row r="1787" customFormat="false" ht="15" hidden="false" customHeight="true" outlineLevel="0" collapsed="false">
      <c r="A1787" s="163" t="s">
        <v>3025</v>
      </c>
      <c r="B1787" s="163" t="s">
        <v>1743</v>
      </c>
      <c r="C1787" s="163" t="s">
        <v>3210</v>
      </c>
      <c r="D1787" s="163" t="s">
        <v>3211</v>
      </c>
      <c r="E1787" s="164" t="n">
        <v>12000</v>
      </c>
      <c r="F1787" s="165" t="s">
        <v>5764</v>
      </c>
    </row>
    <row r="1788" customFormat="false" ht="15" hidden="false" customHeight="true" outlineLevel="0" collapsed="false">
      <c r="A1788" s="163" t="s">
        <v>3025</v>
      </c>
      <c r="B1788" s="163" t="s">
        <v>1743</v>
      </c>
      <c r="C1788" s="163" t="s">
        <v>5629</v>
      </c>
      <c r="D1788" s="163" t="s">
        <v>5630</v>
      </c>
      <c r="E1788" s="164" t="n">
        <v>10000</v>
      </c>
      <c r="F1788" s="165" t="s">
        <v>5765</v>
      </c>
    </row>
    <row r="1789" customFormat="false" ht="15" hidden="false" customHeight="true" outlineLevel="0" collapsed="false">
      <c r="A1789" s="163" t="s">
        <v>3025</v>
      </c>
      <c r="B1789" s="163" t="s">
        <v>1743</v>
      </c>
      <c r="C1789" s="163" t="s">
        <v>5690</v>
      </c>
      <c r="D1789" s="163" t="s">
        <v>5691</v>
      </c>
      <c r="E1789" s="164" t="n">
        <v>10000</v>
      </c>
      <c r="F1789" s="165" t="s">
        <v>5766</v>
      </c>
    </row>
    <row r="1790" customFormat="false" ht="15" hidden="false" customHeight="true" outlineLevel="0" collapsed="false">
      <c r="A1790" s="163" t="s">
        <v>3025</v>
      </c>
      <c r="B1790" s="163" t="s">
        <v>1743</v>
      </c>
      <c r="C1790" s="163" t="s">
        <v>5767</v>
      </c>
      <c r="D1790" s="163" t="s">
        <v>5768</v>
      </c>
      <c r="E1790" s="164" t="n">
        <v>10000</v>
      </c>
      <c r="F1790" s="165" t="s">
        <v>5769</v>
      </c>
    </row>
    <row r="1791" customFormat="false" ht="15" hidden="false" customHeight="true" outlineLevel="0" collapsed="false">
      <c r="A1791" s="163" t="s">
        <v>3025</v>
      </c>
      <c r="B1791" s="163" t="s">
        <v>928</v>
      </c>
      <c r="C1791" s="163" t="s">
        <v>3096</v>
      </c>
      <c r="D1791" s="163" t="s">
        <v>3097</v>
      </c>
      <c r="E1791" s="164" t="n">
        <v>40000</v>
      </c>
      <c r="F1791" s="165" t="s">
        <v>5770</v>
      </c>
    </row>
    <row r="1792" customFormat="false" ht="15" hidden="false" customHeight="true" outlineLevel="0" collapsed="false">
      <c r="A1792" s="163" t="s">
        <v>3025</v>
      </c>
      <c r="B1792" s="163" t="s">
        <v>928</v>
      </c>
      <c r="C1792" s="163" t="s">
        <v>3096</v>
      </c>
      <c r="D1792" s="163" t="s">
        <v>3097</v>
      </c>
      <c r="E1792" s="164" t="n">
        <v>35000</v>
      </c>
      <c r="F1792" s="165" t="s">
        <v>5771</v>
      </c>
    </row>
    <row r="1793" customFormat="false" ht="15" hidden="false" customHeight="true" outlineLevel="0" collapsed="false">
      <c r="A1793" s="163" t="s">
        <v>3025</v>
      </c>
      <c r="B1793" s="163" t="s">
        <v>928</v>
      </c>
      <c r="C1793" s="163" t="s">
        <v>5618</v>
      </c>
      <c r="D1793" s="163" t="s">
        <v>5619</v>
      </c>
      <c r="E1793" s="164" t="n">
        <v>25000</v>
      </c>
      <c r="F1793" s="165" t="s">
        <v>5772</v>
      </c>
    </row>
    <row r="1794" customFormat="false" ht="15" hidden="false" customHeight="true" outlineLevel="0" collapsed="false">
      <c r="A1794" s="163" t="s">
        <v>3025</v>
      </c>
      <c r="B1794" s="163" t="s">
        <v>928</v>
      </c>
      <c r="C1794" s="163" t="s">
        <v>5618</v>
      </c>
      <c r="D1794" s="163" t="s">
        <v>5619</v>
      </c>
      <c r="E1794" s="164" t="n">
        <v>10000</v>
      </c>
      <c r="F1794" s="165" t="s">
        <v>5773</v>
      </c>
    </row>
    <row r="1795" customFormat="false" ht="15" hidden="false" customHeight="true" outlineLevel="0" collapsed="false">
      <c r="A1795" s="163" t="s">
        <v>3025</v>
      </c>
      <c r="B1795" s="163" t="s">
        <v>928</v>
      </c>
      <c r="C1795" s="163" t="s">
        <v>5618</v>
      </c>
      <c r="D1795" s="163" t="s">
        <v>5619</v>
      </c>
      <c r="E1795" s="164" t="n">
        <v>10000</v>
      </c>
      <c r="F1795" s="165" t="s">
        <v>5774</v>
      </c>
    </row>
    <row r="1796" customFormat="false" ht="15" hidden="false" customHeight="true" outlineLevel="0" collapsed="false">
      <c r="A1796" s="163" t="s">
        <v>3025</v>
      </c>
      <c r="B1796" s="163" t="s">
        <v>928</v>
      </c>
      <c r="C1796" s="163" t="s">
        <v>5775</v>
      </c>
      <c r="D1796" s="163" t="s">
        <v>5776</v>
      </c>
      <c r="E1796" s="164" t="n">
        <v>10000</v>
      </c>
      <c r="F1796" s="165" t="s">
        <v>5777</v>
      </c>
    </row>
    <row r="1797" customFormat="false" ht="15" hidden="false" customHeight="true" outlineLevel="0" collapsed="false">
      <c r="A1797" s="163" t="s">
        <v>3025</v>
      </c>
      <c r="B1797" s="163" t="s">
        <v>928</v>
      </c>
      <c r="C1797" s="163" t="s">
        <v>3324</v>
      </c>
      <c r="D1797" s="163" t="s">
        <v>3325</v>
      </c>
      <c r="E1797" s="164" t="n">
        <v>10000</v>
      </c>
      <c r="F1797" s="165" t="s">
        <v>5643</v>
      </c>
    </row>
    <row r="1798" customFormat="false" ht="15" hidden="false" customHeight="true" outlineLevel="0" collapsed="false">
      <c r="A1798" s="163" t="s">
        <v>3025</v>
      </c>
      <c r="B1798" s="163" t="s">
        <v>928</v>
      </c>
      <c r="C1798" s="163" t="s">
        <v>3290</v>
      </c>
      <c r="D1798" s="163" t="s">
        <v>3291</v>
      </c>
      <c r="E1798" s="164" t="n">
        <v>5000</v>
      </c>
      <c r="F1798" s="165" t="s">
        <v>5778</v>
      </c>
    </row>
    <row r="1799" customFormat="false" ht="15" hidden="false" customHeight="true" outlineLevel="0" collapsed="false">
      <c r="A1799" s="163" t="s">
        <v>3025</v>
      </c>
      <c r="B1799" s="163" t="s">
        <v>928</v>
      </c>
      <c r="C1799" s="163" t="s">
        <v>4318</v>
      </c>
      <c r="D1799" s="163" t="s">
        <v>4319</v>
      </c>
      <c r="E1799" s="164" t="n">
        <v>5000</v>
      </c>
      <c r="F1799" s="165" t="s">
        <v>5779</v>
      </c>
    </row>
    <row r="1800" customFormat="false" ht="15" hidden="false" customHeight="true" outlineLevel="0" collapsed="false">
      <c r="A1800" s="163" t="s">
        <v>3048</v>
      </c>
      <c r="B1800" s="163" t="s">
        <v>957</v>
      </c>
      <c r="C1800" s="163" t="s">
        <v>5780</v>
      </c>
      <c r="D1800" s="163" t="s">
        <v>5781</v>
      </c>
      <c r="E1800" s="164" t="n">
        <v>20000</v>
      </c>
      <c r="F1800" s="165" t="s">
        <v>5782</v>
      </c>
    </row>
    <row r="1801" customFormat="false" ht="15" hidden="false" customHeight="true" outlineLevel="0" collapsed="false">
      <c r="A1801" s="163" t="s">
        <v>3048</v>
      </c>
      <c r="B1801" s="163" t="s">
        <v>957</v>
      </c>
      <c r="C1801" s="163" t="s">
        <v>5783</v>
      </c>
      <c r="D1801" s="163" t="s">
        <v>5784</v>
      </c>
      <c r="E1801" s="164" t="n">
        <v>10000</v>
      </c>
      <c r="F1801" s="165" t="s">
        <v>5785</v>
      </c>
    </row>
    <row r="1802" customFormat="false" ht="15" hidden="false" customHeight="true" outlineLevel="0" collapsed="false">
      <c r="A1802" s="163" t="s">
        <v>3048</v>
      </c>
      <c r="B1802" s="163" t="s">
        <v>957</v>
      </c>
      <c r="C1802" s="163" t="s">
        <v>5786</v>
      </c>
      <c r="D1802" s="163" t="s">
        <v>5787</v>
      </c>
      <c r="E1802" s="164" t="n">
        <v>10000</v>
      </c>
      <c r="F1802" s="165" t="s">
        <v>5788</v>
      </c>
    </row>
    <row r="1803" customFormat="false" ht="15" hidden="false" customHeight="true" outlineLevel="0" collapsed="false">
      <c r="A1803" s="163" t="s">
        <v>3048</v>
      </c>
      <c r="B1803" s="163" t="s">
        <v>957</v>
      </c>
      <c r="C1803" s="163" t="s">
        <v>5786</v>
      </c>
      <c r="D1803" s="163" t="s">
        <v>5787</v>
      </c>
      <c r="E1803" s="164" t="n">
        <v>10000</v>
      </c>
      <c r="F1803" s="165" t="s">
        <v>5789</v>
      </c>
    </row>
    <row r="1804" customFormat="false" ht="15" hidden="false" customHeight="true" outlineLevel="0" collapsed="false">
      <c r="A1804" s="163" t="s">
        <v>3048</v>
      </c>
      <c r="B1804" s="163" t="s">
        <v>957</v>
      </c>
      <c r="C1804" s="163" t="s">
        <v>5790</v>
      </c>
      <c r="D1804" s="163" t="s">
        <v>5791</v>
      </c>
      <c r="E1804" s="164" t="n">
        <v>10000</v>
      </c>
      <c r="F1804" s="165" t="s">
        <v>5792</v>
      </c>
    </row>
    <row r="1805" customFormat="false" ht="15" hidden="false" customHeight="true" outlineLevel="0" collapsed="false">
      <c r="A1805" s="163" t="s">
        <v>3048</v>
      </c>
      <c r="B1805" s="163" t="s">
        <v>957</v>
      </c>
      <c r="C1805" s="163" t="s">
        <v>5793</v>
      </c>
      <c r="D1805" s="163" t="s">
        <v>5794</v>
      </c>
      <c r="E1805" s="164" t="n">
        <v>10000</v>
      </c>
      <c r="F1805" s="165" t="s">
        <v>5795</v>
      </c>
    </row>
    <row r="1806" customFormat="false" ht="15" hidden="false" customHeight="true" outlineLevel="0" collapsed="false">
      <c r="A1806" s="163" t="s">
        <v>3048</v>
      </c>
      <c r="B1806" s="163" t="s">
        <v>957</v>
      </c>
      <c r="C1806" s="163" t="s">
        <v>5793</v>
      </c>
      <c r="D1806" s="163" t="s">
        <v>5794</v>
      </c>
      <c r="E1806" s="164" t="n">
        <v>10000</v>
      </c>
      <c r="F1806" s="165" t="s">
        <v>5796</v>
      </c>
    </row>
    <row r="1807" customFormat="false" ht="15" hidden="false" customHeight="true" outlineLevel="0" collapsed="false">
      <c r="A1807" s="163" t="s">
        <v>3048</v>
      </c>
      <c r="B1807" s="163" t="s">
        <v>957</v>
      </c>
      <c r="C1807" s="163" t="s">
        <v>4632</v>
      </c>
      <c r="D1807" s="163" t="s">
        <v>4633</v>
      </c>
      <c r="E1807" s="164" t="n">
        <v>10000</v>
      </c>
      <c r="F1807" s="165" t="s">
        <v>5797</v>
      </c>
    </row>
    <row r="1808" customFormat="false" ht="15" hidden="false" customHeight="true" outlineLevel="0" collapsed="false">
      <c r="A1808" s="163" t="s">
        <v>3048</v>
      </c>
      <c r="B1808" s="163" t="s">
        <v>957</v>
      </c>
      <c r="C1808" s="163" t="s">
        <v>5790</v>
      </c>
      <c r="D1808" s="163" t="s">
        <v>5791</v>
      </c>
      <c r="E1808" s="164" t="n">
        <v>5000</v>
      </c>
      <c r="F1808" s="165" t="s">
        <v>5798</v>
      </c>
    </row>
    <row r="1809" customFormat="false" ht="15" hidden="false" customHeight="true" outlineLevel="0" collapsed="false">
      <c r="A1809" s="163" t="s">
        <v>3048</v>
      </c>
      <c r="B1809" s="163" t="s">
        <v>957</v>
      </c>
      <c r="C1809" s="163" t="s">
        <v>3210</v>
      </c>
      <c r="D1809" s="163" t="s">
        <v>3211</v>
      </c>
      <c r="E1809" s="164" t="n">
        <v>5000</v>
      </c>
      <c r="F1809" s="165" t="s">
        <v>5799</v>
      </c>
    </row>
    <row r="1810" customFormat="false" ht="15" hidden="false" customHeight="true" outlineLevel="0" collapsed="false">
      <c r="A1810" s="163" t="s">
        <v>3048</v>
      </c>
      <c r="B1810" s="163" t="s">
        <v>957</v>
      </c>
      <c r="C1810" s="163" t="s">
        <v>5800</v>
      </c>
      <c r="D1810" s="163" t="s">
        <v>5801</v>
      </c>
      <c r="E1810" s="164" t="n">
        <v>5000</v>
      </c>
      <c r="F1810" s="165" t="s">
        <v>5802</v>
      </c>
    </row>
    <row r="1811" customFormat="false" ht="15" hidden="false" customHeight="true" outlineLevel="0" collapsed="false">
      <c r="A1811" s="163" t="s">
        <v>3048</v>
      </c>
      <c r="B1811" s="163" t="s">
        <v>957</v>
      </c>
      <c r="C1811" s="163" t="s">
        <v>4639</v>
      </c>
      <c r="D1811" s="163" t="s">
        <v>4640</v>
      </c>
      <c r="E1811" s="164" t="n">
        <v>5000</v>
      </c>
      <c r="F1811" s="165" t="s">
        <v>5803</v>
      </c>
    </row>
    <row r="1812" customFormat="false" ht="15" hidden="false" customHeight="true" outlineLevel="0" collapsed="false">
      <c r="A1812" s="163" t="s">
        <v>3048</v>
      </c>
      <c r="B1812" s="163" t="s">
        <v>945</v>
      </c>
      <c r="C1812" s="163" t="s">
        <v>3102</v>
      </c>
      <c r="D1812" s="163" t="s">
        <v>3103</v>
      </c>
      <c r="E1812" s="164" t="n">
        <v>15000</v>
      </c>
      <c r="F1812" s="165" t="s">
        <v>5804</v>
      </c>
    </row>
    <row r="1813" customFormat="false" ht="15" hidden="false" customHeight="true" outlineLevel="0" collapsed="false">
      <c r="A1813" s="163" t="s">
        <v>3048</v>
      </c>
      <c r="B1813" s="163" t="s">
        <v>945</v>
      </c>
      <c r="C1813" s="163" t="s">
        <v>5783</v>
      </c>
      <c r="D1813" s="163" t="s">
        <v>5784</v>
      </c>
      <c r="E1813" s="164" t="n">
        <v>10000</v>
      </c>
      <c r="F1813" s="165" t="s">
        <v>5805</v>
      </c>
    </row>
    <row r="1814" customFormat="false" ht="15" hidden="false" customHeight="true" outlineLevel="0" collapsed="false">
      <c r="A1814" s="163" t="s">
        <v>3048</v>
      </c>
      <c r="B1814" s="163" t="s">
        <v>945</v>
      </c>
      <c r="C1814" s="163" t="s">
        <v>5806</v>
      </c>
      <c r="D1814" s="163" t="s">
        <v>5807</v>
      </c>
      <c r="E1814" s="164" t="n">
        <v>10000</v>
      </c>
      <c r="F1814" s="165" t="s">
        <v>5808</v>
      </c>
    </row>
    <row r="1815" customFormat="false" ht="15" hidden="false" customHeight="true" outlineLevel="0" collapsed="false">
      <c r="A1815" s="163" t="s">
        <v>3048</v>
      </c>
      <c r="B1815" s="163" t="s">
        <v>945</v>
      </c>
      <c r="C1815" s="163" t="s">
        <v>5809</v>
      </c>
      <c r="D1815" s="163" t="s">
        <v>5810</v>
      </c>
      <c r="E1815" s="164" t="n">
        <v>10000</v>
      </c>
      <c r="F1815" s="165" t="s">
        <v>5811</v>
      </c>
    </row>
    <row r="1816" customFormat="false" ht="15" hidden="false" customHeight="true" outlineLevel="0" collapsed="false">
      <c r="A1816" s="163" t="s">
        <v>3048</v>
      </c>
      <c r="B1816" s="163" t="s">
        <v>945</v>
      </c>
      <c r="C1816" s="163" t="s">
        <v>5812</v>
      </c>
      <c r="D1816" s="163" t="s">
        <v>5813</v>
      </c>
      <c r="E1816" s="164" t="n">
        <v>10000</v>
      </c>
      <c r="F1816" s="165" t="s">
        <v>5814</v>
      </c>
    </row>
    <row r="1817" customFormat="false" ht="15" hidden="false" customHeight="true" outlineLevel="0" collapsed="false">
      <c r="A1817" s="163" t="s">
        <v>3048</v>
      </c>
      <c r="B1817" s="163" t="s">
        <v>945</v>
      </c>
      <c r="C1817" s="163" t="s">
        <v>5815</v>
      </c>
      <c r="D1817" s="163" t="s">
        <v>5816</v>
      </c>
      <c r="E1817" s="164" t="n">
        <v>10000</v>
      </c>
      <c r="F1817" s="165" t="s">
        <v>5817</v>
      </c>
    </row>
    <row r="1818" customFormat="false" ht="15" hidden="false" customHeight="true" outlineLevel="0" collapsed="false">
      <c r="A1818" s="163" t="s">
        <v>3048</v>
      </c>
      <c r="B1818" s="163" t="s">
        <v>945</v>
      </c>
      <c r="C1818" s="163" t="s">
        <v>5818</v>
      </c>
      <c r="D1818" s="163" t="s">
        <v>5819</v>
      </c>
      <c r="E1818" s="164" t="n">
        <v>10000</v>
      </c>
      <c r="F1818" s="165" t="s">
        <v>5820</v>
      </c>
    </row>
    <row r="1819" customFormat="false" ht="15" hidden="false" customHeight="true" outlineLevel="0" collapsed="false">
      <c r="A1819" s="163" t="s">
        <v>3048</v>
      </c>
      <c r="B1819" s="163" t="s">
        <v>945</v>
      </c>
      <c r="C1819" s="163" t="s">
        <v>3102</v>
      </c>
      <c r="D1819" s="163" t="s">
        <v>3103</v>
      </c>
      <c r="E1819" s="164" t="n">
        <v>10000</v>
      </c>
      <c r="F1819" s="165" t="s">
        <v>5821</v>
      </c>
    </row>
    <row r="1820" customFormat="false" ht="15" hidden="false" customHeight="true" outlineLevel="0" collapsed="false">
      <c r="A1820" s="163" t="s">
        <v>3048</v>
      </c>
      <c r="B1820" s="163" t="s">
        <v>945</v>
      </c>
      <c r="C1820" s="163" t="s">
        <v>5822</v>
      </c>
      <c r="D1820" s="163" t="s">
        <v>5823</v>
      </c>
      <c r="E1820" s="164" t="n">
        <v>10000</v>
      </c>
      <c r="F1820" s="165" t="s">
        <v>5824</v>
      </c>
    </row>
    <row r="1821" customFormat="false" ht="15" hidden="false" customHeight="true" outlineLevel="0" collapsed="false">
      <c r="A1821" s="163" t="s">
        <v>3048</v>
      </c>
      <c r="B1821" s="163" t="s">
        <v>945</v>
      </c>
      <c r="C1821" s="163" t="s">
        <v>3278</v>
      </c>
      <c r="D1821" s="163" t="s">
        <v>3279</v>
      </c>
      <c r="E1821" s="164" t="n">
        <v>5000</v>
      </c>
      <c r="F1821" s="165" t="s">
        <v>5825</v>
      </c>
    </row>
    <row r="1822" customFormat="false" ht="15" hidden="false" customHeight="true" outlineLevel="0" collapsed="false">
      <c r="A1822" s="163" t="s">
        <v>3048</v>
      </c>
      <c r="B1822" s="163" t="s">
        <v>3111</v>
      </c>
      <c r="C1822" s="163" t="s">
        <v>240</v>
      </c>
      <c r="D1822" s="163" t="s">
        <v>2418</v>
      </c>
      <c r="E1822" s="164" t="n">
        <v>30000</v>
      </c>
      <c r="F1822" s="165" t="s">
        <v>5826</v>
      </c>
    </row>
    <row r="1823" customFormat="false" ht="15" hidden="false" customHeight="true" outlineLevel="0" collapsed="false">
      <c r="A1823" s="163" t="s">
        <v>3048</v>
      </c>
      <c r="B1823" s="163" t="s">
        <v>3111</v>
      </c>
      <c r="C1823" s="163" t="s">
        <v>5827</v>
      </c>
      <c r="D1823" s="163" t="s">
        <v>5828</v>
      </c>
      <c r="E1823" s="164" t="n">
        <v>30000</v>
      </c>
      <c r="F1823" s="165" t="s">
        <v>5829</v>
      </c>
    </row>
    <row r="1824" customFormat="false" ht="15" hidden="false" customHeight="true" outlineLevel="0" collapsed="false">
      <c r="A1824" s="163" t="s">
        <v>3048</v>
      </c>
      <c r="B1824" s="163" t="s">
        <v>3111</v>
      </c>
      <c r="C1824" s="163" t="s">
        <v>5830</v>
      </c>
      <c r="D1824" s="163" t="s">
        <v>5831</v>
      </c>
      <c r="E1824" s="164" t="n">
        <v>20000</v>
      </c>
      <c r="F1824" s="165" t="s">
        <v>5832</v>
      </c>
    </row>
    <row r="1825" customFormat="false" ht="15" hidden="false" customHeight="true" outlineLevel="0" collapsed="false">
      <c r="A1825" s="163" t="s">
        <v>3048</v>
      </c>
      <c r="B1825" s="163" t="s">
        <v>3111</v>
      </c>
      <c r="C1825" s="163" t="s">
        <v>5833</v>
      </c>
      <c r="D1825" s="163" t="s">
        <v>5834</v>
      </c>
      <c r="E1825" s="164" t="n">
        <v>10000</v>
      </c>
      <c r="F1825" s="165" t="s">
        <v>5835</v>
      </c>
    </row>
    <row r="1826" customFormat="false" ht="15" hidden="false" customHeight="true" outlineLevel="0" collapsed="false">
      <c r="A1826" s="163" t="s">
        <v>3048</v>
      </c>
      <c r="B1826" s="163" t="s">
        <v>3111</v>
      </c>
      <c r="C1826" s="163" t="s">
        <v>3114</v>
      </c>
      <c r="D1826" s="163" t="s">
        <v>3115</v>
      </c>
      <c r="E1826" s="164" t="n">
        <v>10000</v>
      </c>
      <c r="F1826" s="165" t="s">
        <v>5836</v>
      </c>
    </row>
    <row r="1827" customFormat="false" ht="15" hidden="false" customHeight="true" outlineLevel="0" collapsed="false">
      <c r="A1827" s="163" t="s">
        <v>3048</v>
      </c>
      <c r="B1827" s="163" t="s">
        <v>691</v>
      </c>
      <c r="C1827" s="163" t="s">
        <v>5837</v>
      </c>
      <c r="D1827" s="163" t="s">
        <v>5838</v>
      </c>
      <c r="E1827" s="164" t="n">
        <v>45000</v>
      </c>
      <c r="F1827" s="165" t="s">
        <v>5839</v>
      </c>
    </row>
    <row r="1828" customFormat="false" ht="15" hidden="false" customHeight="true" outlineLevel="0" collapsed="false">
      <c r="A1828" s="163" t="s">
        <v>3048</v>
      </c>
      <c r="B1828" s="163" t="s">
        <v>691</v>
      </c>
      <c r="C1828" s="163" t="s">
        <v>5840</v>
      </c>
      <c r="D1828" s="163" t="s">
        <v>5841</v>
      </c>
      <c r="E1828" s="164" t="n">
        <v>40000</v>
      </c>
      <c r="F1828" s="165" t="s">
        <v>5842</v>
      </c>
    </row>
    <row r="1829" customFormat="false" ht="15" hidden="false" customHeight="true" outlineLevel="0" collapsed="false">
      <c r="A1829" s="163" t="s">
        <v>3048</v>
      </c>
      <c r="B1829" s="163" t="s">
        <v>691</v>
      </c>
      <c r="C1829" s="163" t="s">
        <v>5843</v>
      </c>
      <c r="D1829" s="163" t="s">
        <v>5844</v>
      </c>
      <c r="E1829" s="164" t="n">
        <v>25000</v>
      </c>
      <c r="F1829" s="165" t="s">
        <v>5845</v>
      </c>
    </row>
    <row r="1830" customFormat="false" ht="15" hidden="false" customHeight="true" outlineLevel="0" collapsed="false">
      <c r="A1830" s="163" t="s">
        <v>3048</v>
      </c>
      <c r="B1830" s="163" t="s">
        <v>691</v>
      </c>
      <c r="C1830" s="163" t="s">
        <v>5707</v>
      </c>
      <c r="D1830" s="163" t="s">
        <v>5708</v>
      </c>
      <c r="E1830" s="164" t="n">
        <v>20000</v>
      </c>
      <c r="F1830" s="165" t="s">
        <v>5846</v>
      </c>
    </row>
    <row r="1831" customFormat="false" ht="15" hidden="false" customHeight="true" outlineLevel="0" collapsed="false">
      <c r="A1831" s="163" t="s">
        <v>3048</v>
      </c>
      <c r="B1831" s="163" t="s">
        <v>691</v>
      </c>
      <c r="C1831" s="163" t="s">
        <v>5847</v>
      </c>
      <c r="D1831" s="163" t="s">
        <v>5848</v>
      </c>
      <c r="E1831" s="164" t="n">
        <v>15000</v>
      </c>
      <c r="F1831" s="165" t="s">
        <v>5849</v>
      </c>
    </row>
    <row r="1832" customFormat="false" ht="15" hidden="false" customHeight="true" outlineLevel="0" collapsed="false">
      <c r="A1832" s="163" t="s">
        <v>3048</v>
      </c>
      <c r="B1832" s="163" t="s">
        <v>894</v>
      </c>
      <c r="C1832" s="163" t="s">
        <v>3180</v>
      </c>
      <c r="D1832" s="163" t="s">
        <v>3181</v>
      </c>
      <c r="E1832" s="164" t="n">
        <v>45000</v>
      </c>
      <c r="F1832" s="165" t="s">
        <v>5850</v>
      </c>
    </row>
    <row r="1833" customFormat="false" ht="15" hidden="false" customHeight="true" outlineLevel="0" collapsed="false">
      <c r="A1833" s="163" t="s">
        <v>3048</v>
      </c>
      <c r="B1833" s="163" t="s">
        <v>894</v>
      </c>
      <c r="C1833" s="163" t="s">
        <v>5851</v>
      </c>
      <c r="D1833" s="163" t="s">
        <v>5852</v>
      </c>
      <c r="E1833" s="164" t="n">
        <v>30000</v>
      </c>
      <c r="F1833" s="165" t="s">
        <v>5853</v>
      </c>
    </row>
    <row r="1834" customFormat="false" ht="15" hidden="false" customHeight="true" outlineLevel="0" collapsed="false">
      <c r="A1834" s="163" t="s">
        <v>3048</v>
      </c>
      <c r="B1834" s="163" t="s">
        <v>894</v>
      </c>
      <c r="C1834" s="163" t="s">
        <v>5780</v>
      </c>
      <c r="D1834" s="163" t="s">
        <v>5781</v>
      </c>
      <c r="E1834" s="164" t="n">
        <v>21000</v>
      </c>
      <c r="F1834" s="165" t="s">
        <v>5854</v>
      </c>
    </row>
    <row r="1835" customFormat="false" ht="15" hidden="false" customHeight="true" outlineLevel="0" collapsed="false">
      <c r="A1835" s="163" t="s">
        <v>3048</v>
      </c>
      <c r="B1835" s="163" t="s">
        <v>894</v>
      </c>
      <c r="C1835" s="163" t="s">
        <v>5855</v>
      </c>
      <c r="D1835" s="163" t="s">
        <v>5856</v>
      </c>
      <c r="E1835" s="164" t="n">
        <v>20500</v>
      </c>
      <c r="F1835" s="165" t="s">
        <v>5857</v>
      </c>
    </row>
    <row r="1836" customFormat="false" ht="15" hidden="false" customHeight="true" outlineLevel="0" collapsed="false">
      <c r="A1836" s="163" t="s">
        <v>3048</v>
      </c>
      <c r="B1836" s="163" t="s">
        <v>894</v>
      </c>
      <c r="C1836" s="163" t="s">
        <v>5858</v>
      </c>
      <c r="D1836" s="163" t="s">
        <v>5859</v>
      </c>
      <c r="E1836" s="164" t="n">
        <v>20000</v>
      </c>
      <c r="F1836" s="165" t="s">
        <v>5860</v>
      </c>
    </row>
    <row r="1837" customFormat="false" ht="15" hidden="false" customHeight="true" outlineLevel="0" collapsed="false">
      <c r="A1837" s="163" t="s">
        <v>3048</v>
      </c>
      <c r="B1837" s="163" t="s">
        <v>894</v>
      </c>
      <c r="C1837" s="163" t="s">
        <v>925</v>
      </c>
      <c r="D1837" s="163" t="s">
        <v>1931</v>
      </c>
      <c r="E1837" s="164" t="n">
        <v>13500</v>
      </c>
      <c r="F1837" s="165" t="s">
        <v>5861</v>
      </c>
    </row>
    <row r="1838" customFormat="false" ht="15" hidden="false" customHeight="true" outlineLevel="0" collapsed="false">
      <c r="A1838" s="163" t="s">
        <v>3048</v>
      </c>
      <c r="B1838" s="163" t="s">
        <v>894</v>
      </c>
      <c r="C1838" s="163" t="s">
        <v>5862</v>
      </c>
      <c r="D1838" s="163" t="s">
        <v>1931</v>
      </c>
      <c r="E1838" s="164" t="n">
        <v>10500</v>
      </c>
      <c r="F1838" s="165" t="s">
        <v>3060</v>
      </c>
    </row>
    <row r="1839" customFormat="false" ht="15" hidden="false" customHeight="true" outlineLevel="0" collapsed="false">
      <c r="A1839" s="163" t="s">
        <v>3048</v>
      </c>
      <c r="B1839" s="163" t="s">
        <v>894</v>
      </c>
      <c r="C1839" s="163" t="s">
        <v>5863</v>
      </c>
      <c r="D1839" s="163" t="s">
        <v>5864</v>
      </c>
      <c r="E1839" s="164" t="n">
        <v>10500</v>
      </c>
      <c r="F1839" s="165" t="s">
        <v>3060</v>
      </c>
    </row>
    <row r="1840" customFormat="false" ht="15" hidden="false" customHeight="true" outlineLevel="0" collapsed="false">
      <c r="A1840" s="163" t="s">
        <v>3048</v>
      </c>
      <c r="B1840" s="163" t="s">
        <v>894</v>
      </c>
      <c r="C1840" s="163" t="s">
        <v>5865</v>
      </c>
      <c r="D1840" s="163" t="s">
        <v>5866</v>
      </c>
      <c r="E1840" s="164" t="n">
        <v>10000</v>
      </c>
      <c r="F1840" s="165" t="s">
        <v>5867</v>
      </c>
    </row>
    <row r="1841" customFormat="false" ht="15" hidden="false" customHeight="true" outlineLevel="0" collapsed="false">
      <c r="A1841" s="163" t="s">
        <v>3048</v>
      </c>
      <c r="B1841" s="163" t="s">
        <v>894</v>
      </c>
      <c r="C1841" s="163" t="s">
        <v>5868</v>
      </c>
      <c r="D1841" s="163" t="s">
        <v>5869</v>
      </c>
      <c r="E1841" s="164" t="n">
        <v>10000</v>
      </c>
      <c r="F1841" s="165" t="s">
        <v>5870</v>
      </c>
    </row>
    <row r="1842" customFormat="false" ht="15" hidden="false" customHeight="true" outlineLevel="0" collapsed="false">
      <c r="A1842" s="163" t="s">
        <v>3048</v>
      </c>
      <c r="B1842" s="163" t="s">
        <v>894</v>
      </c>
      <c r="C1842" s="163" t="s">
        <v>3441</v>
      </c>
      <c r="D1842" s="163" t="s">
        <v>3442</v>
      </c>
      <c r="E1842" s="164" t="n">
        <v>10000</v>
      </c>
      <c r="F1842" s="165" t="s">
        <v>5871</v>
      </c>
    </row>
    <row r="1843" customFormat="false" ht="15" hidden="false" customHeight="true" outlineLevel="0" collapsed="false">
      <c r="A1843" s="163" t="s">
        <v>3048</v>
      </c>
      <c r="B1843" s="163" t="s">
        <v>894</v>
      </c>
      <c r="C1843" s="163" t="s">
        <v>5872</v>
      </c>
      <c r="D1843" s="163" t="s">
        <v>1931</v>
      </c>
      <c r="E1843" s="164" t="n">
        <v>10000</v>
      </c>
      <c r="F1843" s="165" t="s">
        <v>5873</v>
      </c>
    </row>
    <row r="1844" customFormat="false" ht="15" hidden="false" customHeight="true" outlineLevel="0" collapsed="false">
      <c r="A1844" s="163" t="s">
        <v>3048</v>
      </c>
      <c r="B1844" s="163" t="s">
        <v>894</v>
      </c>
      <c r="C1844" s="163" t="s">
        <v>4173</v>
      </c>
      <c r="D1844" s="163" t="s">
        <v>4174</v>
      </c>
      <c r="E1844" s="164" t="n">
        <v>10000</v>
      </c>
      <c r="F1844" s="165" t="s">
        <v>5874</v>
      </c>
    </row>
    <row r="1845" customFormat="false" ht="15" hidden="false" customHeight="true" outlineLevel="0" collapsed="false">
      <c r="A1845" s="163" t="s">
        <v>3048</v>
      </c>
      <c r="B1845" s="163" t="s">
        <v>894</v>
      </c>
      <c r="C1845" s="163" t="s">
        <v>5780</v>
      </c>
      <c r="D1845" s="163" t="s">
        <v>5781</v>
      </c>
      <c r="E1845" s="164" t="n">
        <v>10000</v>
      </c>
      <c r="F1845" s="165" t="s">
        <v>5875</v>
      </c>
    </row>
    <row r="1846" customFormat="false" ht="15" hidden="false" customHeight="true" outlineLevel="0" collapsed="false">
      <c r="A1846" s="163" t="s">
        <v>3048</v>
      </c>
      <c r="B1846" s="163" t="s">
        <v>894</v>
      </c>
      <c r="C1846" s="163" t="s">
        <v>4047</v>
      </c>
      <c r="D1846" s="163" t="s">
        <v>4048</v>
      </c>
      <c r="E1846" s="164" t="n">
        <v>10000</v>
      </c>
      <c r="F1846" s="165" t="s">
        <v>5876</v>
      </c>
    </row>
    <row r="1847" customFormat="false" ht="15" hidden="false" customHeight="true" outlineLevel="0" collapsed="false">
      <c r="A1847" s="163" t="s">
        <v>3048</v>
      </c>
      <c r="B1847" s="163" t="s">
        <v>894</v>
      </c>
      <c r="C1847" s="163" t="s">
        <v>5790</v>
      </c>
      <c r="D1847" s="163" t="s">
        <v>5791</v>
      </c>
      <c r="E1847" s="164" t="n">
        <v>10000</v>
      </c>
      <c r="F1847" s="165" t="s">
        <v>5877</v>
      </c>
    </row>
    <row r="1848" customFormat="false" ht="15" hidden="false" customHeight="true" outlineLevel="0" collapsed="false">
      <c r="A1848" s="163" t="s">
        <v>3048</v>
      </c>
      <c r="B1848" s="163" t="s">
        <v>894</v>
      </c>
      <c r="C1848" s="163" t="s">
        <v>372</v>
      </c>
      <c r="D1848" s="163" t="s">
        <v>2692</v>
      </c>
      <c r="E1848" s="164" t="n">
        <v>10000</v>
      </c>
      <c r="F1848" s="165" t="s">
        <v>5878</v>
      </c>
    </row>
    <row r="1849" customFormat="false" ht="15" hidden="false" customHeight="true" outlineLevel="0" collapsed="false">
      <c r="A1849" s="163" t="s">
        <v>3048</v>
      </c>
      <c r="B1849" s="163" t="s">
        <v>894</v>
      </c>
      <c r="C1849" s="163" t="s">
        <v>5879</v>
      </c>
      <c r="D1849" s="163" t="s">
        <v>5880</v>
      </c>
      <c r="E1849" s="164" t="n">
        <v>10000</v>
      </c>
      <c r="F1849" s="165" t="s">
        <v>5881</v>
      </c>
    </row>
    <row r="1850" customFormat="false" ht="15" hidden="false" customHeight="true" outlineLevel="0" collapsed="false">
      <c r="A1850" s="163" t="s">
        <v>3048</v>
      </c>
      <c r="B1850" s="163" t="s">
        <v>894</v>
      </c>
      <c r="C1850" s="163" t="s">
        <v>5882</v>
      </c>
      <c r="D1850" s="163" t="s">
        <v>5883</v>
      </c>
      <c r="E1850" s="164" t="n">
        <v>10000</v>
      </c>
      <c r="F1850" s="165" t="s">
        <v>5884</v>
      </c>
    </row>
    <row r="1851" customFormat="false" ht="15" hidden="false" customHeight="true" outlineLevel="0" collapsed="false">
      <c r="A1851" s="163" t="s">
        <v>3048</v>
      </c>
      <c r="B1851" s="163" t="s">
        <v>894</v>
      </c>
      <c r="C1851" s="163" t="s">
        <v>5885</v>
      </c>
      <c r="D1851" s="163" t="s">
        <v>5886</v>
      </c>
      <c r="E1851" s="164" t="n">
        <v>10000</v>
      </c>
      <c r="F1851" s="165" t="s">
        <v>5887</v>
      </c>
    </row>
    <row r="1852" customFormat="false" ht="15" hidden="false" customHeight="true" outlineLevel="0" collapsed="false">
      <c r="A1852" s="163" t="s">
        <v>3048</v>
      </c>
      <c r="B1852" s="163" t="s">
        <v>894</v>
      </c>
      <c r="C1852" s="163" t="s">
        <v>4420</v>
      </c>
      <c r="D1852" s="163" t="s">
        <v>4421</v>
      </c>
      <c r="E1852" s="164" t="n">
        <v>10000</v>
      </c>
      <c r="F1852" s="165" t="s">
        <v>5888</v>
      </c>
    </row>
    <row r="1853" customFormat="false" ht="15" hidden="false" customHeight="true" outlineLevel="0" collapsed="false">
      <c r="A1853" s="163" t="s">
        <v>3048</v>
      </c>
      <c r="B1853" s="163" t="s">
        <v>894</v>
      </c>
      <c r="C1853" s="163" t="s">
        <v>4543</v>
      </c>
      <c r="D1853" s="163" t="s">
        <v>4544</v>
      </c>
      <c r="E1853" s="164" t="n">
        <v>10000</v>
      </c>
      <c r="F1853" s="165" t="s">
        <v>5889</v>
      </c>
    </row>
    <row r="1854" customFormat="false" ht="15" hidden="false" customHeight="true" outlineLevel="0" collapsed="false">
      <c r="A1854" s="163" t="s">
        <v>3048</v>
      </c>
      <c r="B1854" s="163" t="s">
        <v>894</v>
      </c>
      <c r="C1854" s="163" t="s">
        <v>925</v>
      </c>
      <c r="D1854" s="163" t="s">
        <v>1931</v>
      </c>
      <c r="E1854" s="164" t="n">
        <v>6000</v>
      </c>
      <c r="F1854" s="165" t="s">
        <v>5890</v>
      </c>
    </row>
    <row r="1855" customFormat="false" ht="15" hidden="false" customHeight="true" outlineLevel="0" collapsed="false">
      <c r="A1855" s="163" t="s">
        <v>3048</v>
      </c>
      <c r="B1855" s="163" t="s">
        <v>894</v>
      </c>
      <c r="C1855" s="163" t="s">
        <v>5707</v>
      </c>
      <c r="D1855" s="163" t="s">
        <v>5708</v>
      </c>
      <c r="E1855" s="164" t="n">
        <v>5000</v>
      </c>
      <c r="F1855" s="165" t="s">
        <v>5891</v>
      </c>
    </row>
    <row r="1856" customFormat="false" ht="15" hidden="false" customHeight="true" outlineLevel="0" collapsed="false">
      <c r="A1856" s="163" t="s">
        <v>3048</v>
      </c>
      <c r="B1856" s="163" t="s">
        <v>894</v>
      </c>
      <c r="C1856" s="163" t="s">
        <v>197</v>
      </c>
      <c r="D1856" s="163" t="s">
        <v>1931</v>
      </c>
      <c r="E1856" s="164" t="n">
        <v>5000</v>
      </c>
      <c r="F1856" s="165" t="s">
        <v>5892</v>
      </c>
    </row>
    <row r="1857" customFormat="false" ht="15" hidden="false" customHeight="true" outlineLevel="0" collapsed="false">
      <c r="A1857" s="163" t="s">
        <v>3048</v>
      </c>
      <c r="B1857" s="163" t="s">
        <v>894</v>
      </c>
      <c r="C1857" s="163" t="s">
        <v>5893</v>
      </c>
      <c r="D1857" s="163" t="s">
        <v>5894</v>
      </c>
      <c r="E1857" s="164" t="n">
        <v>5000</v>
      </c>
      <c r="F1857" s="165" t="s">
        <v>5895</v>
      </c>
    </row>
    <row r="1858" customFormat="false" ht="15" hidden="false" customHeight="true" outlineLevel="0" collapsed="false">
      <c r="A1858" s="163" t="s">
        <v>3048</v>
      </c>
      <c r="B1858" s="163" t="s">
        <v>894</v>
      </c>
      <c r="C1858" s="163" t="s">
        <v>5896</v>
      </c>
      <c r="D1858" s="163" t="s">
        <v>5897</v>
      </c>
      <c r="E1858" s="164" t="n">
        <v>5000</v>
      </c>
      <c r="F1858" s="165" t="s">
        <v>5824</v>
      </c>
    </row>
    <row r="1859" customFormat="false" ht="15" hidden="false" customHeight="true" outlineLevel="0" collapsed="false">
      <c r="A1859" s="163" t="s">
        <v>3048</v>
      </c>
      <c r="B1859" s="163" t="s">
        <v>894</v>
      </c>
      <c r="C1859" s="163" t="s">
        <v>5898</v>
      </c>
      <c r="D1859" s="163" t="s">
        <v>5899</v>
      </c>
      <c r="E1859" s="164" t="n">
        <v>5000</v>
      </c>
      <c r="F1859" s="165" t="s">
        <v>5900</v>
      </c>
    </row>
    <row r="1860" customFormat="false" ht="15" hidden="false" customHeight="true" outlineLevel="0" collapsed="false">
      <c r="A1860" s="163" t="s">
        <v>3048</v>
      </c>
      <c r="B1860" s="163" t="s">
        <v>894</v>
      </c>
      <c r="C1860" s="163" t="s">
        <v>5901</v>
      </c>
      <c r="D1860" s="163" t="s">
        <v>5902</v>
      </c>
      <c r="E1860" s="164" t="n">
        <v>5000</v>
      </c>
      <c r="F1860" s="165" t="s">
        <v>5903</v>
      </c>
    </row>
    <row r="1861" customFormat="false" ht="15" hidden="false" customHeight="true" outlineLevel="0" collapsed="false">
      <c r="A1861" s="163" t="s">
        <v>3048</v>
      </c>
      <c r="B1861" s="163" t="s">
        <v>894</v>
      </c>
      <c r="C1861" s="163" t="s">
        <v>925</v>
      </c>
      <c r="D1861" s="163" t="s">
        <v>1931</v>
      </c>
      <c r="E1861" s="164" t="n">
        <v>5000</v>
      </c>
      <c r="F1861" s="165" t="s">
        <v>5904</v>
      </c>
    </row>
    <row r="1862" customFormat="false" ht="15" hidden="false" customHeight="true" outlineLevel="0" collapsed="false">
      <c r="A1862" s="163" t="s">
        <v>3048</v>
      </c>
      <c r="B1862" s="163" t="s">
        <v>894</v>
      </c>
      <c r="C1862" s="163" t="s">
        <v>925</v>
      </c>
      <c r="D1862" s="163" t="s">
        <v>1931</v>
      </c>
      <c r="E1862" s="164" t="n">
        <v>5000</v>
      </c>
      <c r="F1862" s="165" t="s">
        <v>5905</v>
      </c>
    </row>
    <row r="1863" customFormat="false" ht="15" hidden="false" customHeight="true" outlineLevel="0" collapsed="false">
      <c r="A1863" s="163" t="s">
        <v>3048</v>
      </c>
      <c r="B1863" s="163" t="s">
        <v>894</v>
      </c>
      <c r="C1863" s="163" t="s">
        <v>925</v>
      </c>
      <c r="D1863" s="163" t="s">
        <v>1931</v>
      </c>
      <c r="E1863" s="164" t="n">
        <v>5000</v>
      </c>
      <c r="F1863" s="165" t="s">
        <v>5906</v>
      </c>
    </row>
    <row r="1864" customFormat="false" ht="15" hidden="false" customHeight="true" outlineLevel="0" collapsed="false">
      <c r="A1864" s="163" t="s">
        <v>3048</v>
      </c>
      <c r="B1864" s="163" t="s">
        <v>894</v>
      </c>
      <c r="C1864" s="163" t="s">
        <v>925</v>
      </c>
      <c r="D1864" s="163" t="s">
        <v>1931</v>
      </c>
      <c r="E1864" s="164" t="n">
        <v>5000</v>
      </c>
      <c r="F1864" s="165" t="s">
        <v>5907</v>
      </c>
    </row>
    <row r="1865" customFormat="false" ht="15" hidden="false" customHeight="true" outlineLevel="0" collapsed="false">
      <c r="A1865" s="163" t="s">
        <v>3048</v>
      </c>
      <c r="B1865" s="163" t="s">
        <v>894</v>
      </c>
      <c r="C1865" s="163" t="s">
        <v>925</v>
      </c>
      <c r="D1865" s="163" t="s">
        <v>1931</v>
      </c>
      <c r="E1865" s="164" t="n">
        <v>4000</v>
      </c>
      <c r="F1865" s="165" t="s">
        <v>5908</v>
      </c>
    </row>
    <row r="1866" customFormat="false" ht="15" hidden="false" customHeight="true" outlineLevel="0" collapsed="false">
      <c r="A1866" s="163" t="s">
        <v>3048</v>
      </c>
      <c r="B1866" s="163" t="s">
        <v>894</v>
      </c>
      <c r="C1866" s="163" t="s">
        <v>2879</v>
      </c>
      <c r="D1866" s="163" t="s">
        <v>1931</v>
      </c>
      <c r="E1866" s="164" t="n">
        <v>3000</v>
      </c>
      <c r="F1866" s="165" t="s">
        <v>5909</v>
      </c>
    </row>
    <row r="1867" customFormat="false" ht="15" hidden="false" customHeight="true" outlineLevel="0" collapsed="false">
      <c r="A1867" s="163" t="s">
        <v>3048</v>
      </c>
      <c r="B1867" s="163" t="s">
        <v>894</v>
      </c>
      <c r="C1867" s="163" t="s">
        <v>2879</v>
      </c>
      <c r="D1867" s="163" t="s">
        <v>1931</v>
      </c>
      <c r="E1867" s="164" t="n">
        <v>3000</v>
      </c>
      <c r="F1867" s="165" t="s">
        <v>5910</v>
      </c>
    </row>
    <row r="1868" customFormat="false" ht="15" hidden="false" customHeight="true" outlineLevel="0" collapsed="false">
      <c r="A1868" s="163" t="s">
        <v>3048</v>
      </c>
      <c r="B1868" s="163" t="s">
        <v>894</v>
      </c>
      <c r="C1868" s="163" t="s">
        <v>2879</v>
      </c>
      <c r="D1868" s="163" t="s">
        <v>1931</v>
      </c>
      <c r="E1868" s="164" t="n">
        <v>3000</v>
      </c>
      <c r="F1868" s="165" t="s">
        <v>5911</v>
      </c>
    </row>
    <row r="1869" customFormat="false" ht="15" hidden="false" customHeight="true" outlineLevel="0" collapsed="false">
      <c r="A1869" s="163" t="s">
        <v>3048</v>
      </c>
      <c r="B1869" s="163" t="s">
        <v>894</v>
      </c>
      <c r="C1869" s="163" t="s">
        <v>925</v>
      </c>
      <c r="D1869" s="163" t="s">
        <v>1931</v>
      </c>
      <c r="E1869" s="164" t="n">
        <v>3000</v>
      </c>
      <c r="F1869" s="165" t="s">
        <v>5912</v>
      </c>
    </row>
    <row r="1870" customFormat="false" ht="15" hidden="false" customHeight="true" outlineLevel="0" collapsed="false">
      <c r="A1870" s="163" t="s">
        <v>3048</v>
      </c>
      <c r="B1870" s="163" t="s">
        <v>894</v>
      </c>
      <c r="C1870" s="163" t="s">
        <v>925</v>
      </c>
      <c r="D1870" s="163" t="s">
        <v>1931</v>
      </c>
      <c r="E1870" s="164" t="n">
        <v>3000</v>
      </c>
      <c r="F1870" s="165" t="s">
        <v>5913</v>
      </c>
    </row>
    <row r="1871" customFormat="false" ht="15" hidden="false" customHeight="true" outlineLevel="0" collapsed="false">
      <c r="A1871" s="163" t="s">
        <v>3048</v>
      </c>
      <c r="B1871" s="163" t="s">
        <v>894</v>
      </c>
      <c r="C1871" s="163" t="s">
        <v>925</v>
      </c>
      <c r="D1871" s="163" t="s">
        <v>1931</v>
      </c>
      <c r="E1871" s="164" t="n">
        <v>3000</v>
      </c>
      <c r="F1871" s="165" t="s">
        <v>5914</v>
      </c>
    </row>
    <row r="1872" customFormat="false" ht="15" hidden="false" customHeight="true" outlineLevel="0" collapsed="false">
      <c r="A1872" s="163" t="s">
        <v>3048</v>
      </c>
      <c r="B1872" s="163" t="s">
        <v>894</v>
      </c>
      <c r="C1872" s="163" t="s">
        <v>925</v>
      </c>
      <c r="D1872" s="163" t="s">
        <v>1931</v>
      </c>
      <c r="E1872" s="164" t="n">
        <v>3000</v>
      </c>
      <c r="F1872" s="165" t="s">
        <v>5915</v>
      </c>
    </row>
    <row r="1873" customFormat="false" ht="15" hidden="false" customHeight="true" outlineLevel="0" collapsed="false">
      <c r="A1873" s="163" t="s">
        <v>3048</v>
      </c>
      <c r="B1873" s="163" t="s">
        <v>894</v>
      </c>
      <c r="C1873" s="163" t="s">
        <v>925</v>
      </c>
      <c r="D1873" s="163" t="s">
        <v>1931</v>
      </c>
      <c r="E1873" s="164" t="n">
        <v>3000</v>
      </c>
      <c r="F1873" s="165" t="s">
        <v>5916</v>
      </c>
    </row>
    <row r="1874" customFormat="false" ht="15" hidden="false" customHeight="true" outlineLevel="0" collapsed="false">
      <c r="A1874" s="163" t="s">
        <v>3048</v>
      </c>
      <c r="B1874" s="163" t="s">
        <v>894</v>
      </c>
      <c r="C1874" s="163" t="s">
        <v>925</v>
      </c>
      <c r="D1874" s="163" t="s">
        <v>1931</v>
      </c>
      <c r="E1874" s="164" t="n">
        <v>2000</v>
      </c>
      <c r="F1874" s="165" t="s">
        <v>5917</v>
      </c>
    </row>
    <row r="1875" customFormat="false" ht="15" hidden="false" customHeight="true" outlineLevel="0" collapsed="false">
      <c r="A1875" s="163" t="s">
        <v>3048</v>
      </c>
      <c r="B1875" s="163" t="s">
        <v>894</v>
      </c>
      <c r="C1875" s="163" t="s">
        <v>925</v>
      </c>
      <c r="D1875" s="163" t="s">
        <v>1931</v>
      </c>
      <c r="E1875" s="164" t="n">
        <v>1500</v>
      </c>
      <c r="F1875" s="165" t="s">
        <v>5918</v>
      </c>
    </row>
    <row r="1876" customFormat="false" ht="15" hidden="false" customHeight="true" outlineLevel="0" collapsed="false">
      <c r="A1876" s="163" t="s">
        <v>3048</v>
      </c>
      <c r="B1876" s="163" t="s">
        <v>894</v>
      </c>
      <c r="C1876" s="163" t="s">
        <v>925</v>
      </c>
      <c r="D1876" s="163" t="s">
        <v>1931</v>
      </c>
      <c r="E1876" s="164" t="n">
        <v>1500</v>
      </c>
      <c r="F1876" s="165" t="s">
        <v>5919</v>
      </c>
    </row>
    <row r="1877" customFormat="false" ht="15" hidden="false" customHeight="true" outlineLevel="0" collapsed="false">
      <c r="A1877" s="163" t="s">
        <v>3048</v>
      </c>
      <c r="B1877" s="163" t="s">
        <v>882</v>
      </c>
      <c r="C1877" s="163" t="s">
        <v>2759</v>
      </c>
      <c r="D1877" s="163" t="s">
        <v>2760</v>
      </c>
      <c r="E1877" s="164" t="n">
        <v>200000</v>
      </c>
      <c r="F1877" s="165" t="s">
        <v>5920</v>
      </c>
    </row>
    <row r="1878" customFormat="false" ht="15" hidden="false" customHeight="true" outlineLevel="0" collapsed="false">
      <c r="A1878" s="163" t="s">
        <v>3048</v>
      </c>
      <c r="B1878" s="163" t="s">
        <v>882</v>
      </c>
      <c r="C1878" s="163" t="s">
        <v>640</v>
      </c>
      <c r="D1878" s="163" t="s">
        <v>1931</v>
      </c>
      <c r="E1878" s="164" t="n">
        <v>80000</v>
      </c>
      <c r="F1878" s="165" t="s">
        <v>5921</v>
      </c>
    </row>
    <row r="1879" customFormat="false" ht="15" hidden="false" customHeight="true" outlineLevel="0" collapsed="false">
      <c r="A1879" s="163" t="s">
        <v>3048</v>
      </c>
      <c r="B1879" s="163" t="s">
        <v>2328</v>
      </c>
      <c r="C1879" s="163" t="s">
        <v>5855</v>
      </c>
      <c r="D1879" s="163" t="s">
        <v>5856</v>
      </c>
      <c r="E1879" s="164" t="n">
        <v>35000</v>
      </c>
      <c r="F1879" s="165" t="s">
        <v>5922</v>
      </c>
    </row>
    <row r="1880" customFormat="false" ht="15" hidden="false" customHeight="true" outlineLevel="0" collapsed="false">
      <c r="A1880" s="163" t="s">
        <v>3048</v>
      </c>
      <c r="B1880" s="163" t="s">
        <v>2328</v>
      </c>
      <c r="C1880" s="163" t="s">
        <v>5780</v>
      </c>
      <c r="D1880" s="163" t="s">
        <v>5781</v>
      </c>
      <c r="E1880" s="164" t="n">
        <v>15000</v>
      </c>
      <c r="F1880" s="165" t="s">
        <v>5923</v>
      </c>
    </row>
    <row r="1881" customFormat="false" ht="15" hidden="false" customHeight="true" outlineLevel="0" collapsed="false">
      <c r="A1881" s="163" t="s">
        <v>3048</v>
      </c>
      <c r="B1881" s="163" t="s">
        <v>2342</v>
      </c>
      <c r="C1881" s="163" t="s">
        <v>4002</v>
      </c>
      <c r="D1881" s="163" t="s">
        <v>4003</v>
      </c>
      <c r="E1881" s="164" t="n">
        <v>30000</v>
      </c>
      <c r="F1881" s="165" t="s">
        <v>5924</v>
      </c>
    </row>
    <row r="1882" customFormat="false" ht="15" hidden="false" customHeight="true" outlineLevel="0" collapsed="false">
      <c r="A1882" s="163" t="s">
        <v>3048</v>
      </c>
      <c r="B1882" s="163" t="s">
        <v>2342</v>
      </c>
      <c r="C1882" s="163" t="s">
        <v>197</v>
      </c>
      <c r="D1882" s="163" t="s">
        <v>1931</v>
      </c>
      <c r="E1882" s="164" t="n">
        <v>25000</v>
      </c>
      <c r="F1882" s="165" t="s">
        <v>5925</v>
      </c>
    </row>
    <row r="1883" customFormat="false" ht="15" hidden="false" customHeight="true" outlineLevel="0" collapsed="false">
      <c r="A1883" s="163" t="s">
        <v>3048</v>
      </c>
      <c r="B1883" s="163" t="s">
        <v>2342</v>
      </c>
      <c r="C1883" s="163" t="s">
        <v>197</v>
      </c>
      <c r="D1883" s="163" t="s">
        <v>1931</v>
      </c>
      <c r="E1883" s="164" t="n">
        <v>25000</v>
      </c>
      <c r="F1883" s="165" t="s">
        <v>5926</v>
      </c>
    </row>
    <row r="1884" customFormat="false" ht="15" hidden="false" customHeight="true" outlineLevel="0" collapsed="false">
      <c r="A1884" s="163" t="s">
        <v>3048</v>
      </c>
      <c r="B1884" s="163" t="s">
        <v>2342</v>
      </c>
      <c r="C1884" s="163" t="s">
        <v>5927</v>
      </c>
      <c r="D1884" s="163" t="s">
        <v>5928</v>
      </c>
      <c r="E1884" s="164" t="n">
        <v>10000</v>
      </c>
      <c r="F1884" s="165" t="s">
        <v>5929</v>
      </c>
    </row>
    <row r="1885" customFormat="false" ht="15" hidden="false" customHeight="true" outlineLevel="0" collapsed="false">
      <c r="A1885" s="163" t="s">
        <v>3048</v>
      </c>
      <c r="B1885" s="163" t="s">
        <v>928</v>
      </c>
      <c r="C1885" s="163" t="s">
        <v>285</v>
      </c>
      <c r="D1885" s="163" t="s">
        <v>2408</v>
      </c>
      <c r="E1885" s="164" t="n">
        <v>40000</v>
      </c>
      <c r="F1885" s="165" t="s">
        <v>5930</v>
      </c>
    </row>
    <row r="1886" customFormat="false" ht="15" hidden="false" customHeight="true" outlineLevel="0" collapsed="false">
      <c r="A1886" s="163" t="s">
        <v>3048</v>
      </c>
      <c r="B1886" s="163" t="s">
        <v>928</v>
      </c>
      <c r="C1886" s="163" t="s">
        <v>3108</v>
      </c>
      <c r="D1886" s="163" t="s">
        <v>3109</v>
      </c>
      <c r="E1886" s="164" t="n">
        <v>10000</v>
      </c>
      <c r="F1886" s="165" t="s">
        <v>5824</v>
      </c>
    </row>
    <row r="1887" customFormat="false" ht="15" hidden="false" customHeight="true" outlineLevel="0" collapsed="false">
      <c r="A1887" s="163" t="s">
        <v>3048</v>
      </c>
      <c r="B1887" s="163" t="s">
        <v>928</v>
      </c>
      <c r="C1887" s="163" t="s">
        <v>5931</v>
      </c>
      <c r="D1887" s="163" t="s">
        <v>5932</v>
      </c>
      <c r="E1887" s="164" t="n">
        <v>10000</v>
      </c>
      <c r="F1887" s="165" t="s">
        <v>5933</v>
      </c>
    </row>
    <row r="1888" customFormat="false" ht="15" hidden="false" customHeight="true" outlineLevel="0" collapsed="false">
      <c r="A1888" s="163" t="s">
        <v>3048</v>
      </c>
      <c r="B1888" s="163" t="s">
        <v>928</v>
      </c>
      <c r="C1888" s="163" t="s">
        <v>5783</v>
      </c>
      <c r="D1888" s="163" t="s">
        <v>5784</v>
      </c>
      <c r="E1888" s="164" t="n">
        <v>10000</v>
      </c>
      <c r="F1888" s="165" t="s">
        <v>5934</v>
      </c>
    </row>
    <row r="1889" customFormat="false" ht="15" hidden="false" customHeight="true" outlineLevel="0" collapsed="false">
      <c r="A1889" s="163" t="s">
        <v>3048</v>
      </c>
      <c r="B1889" s="163" t="s">
        <v>928</v>
      </c>
      <c r="C1889" s="163" t="s">
        <v>3102</v>
      </c>
      <c r="D1889" s="163" t="s">
        <v>3103</v>
      </c>
      <c r="E1889" s="164" t="n">
        <v>10000</v>
      </c>
      <c r="F1889" s="165" t="s">
        <v>5935</v>
      </c>
    </row>
    <row r="1890" customFormat="false" ht="15" hidden="false" customHeight="true" outlineLevel="0" collapsed="false">
      <c r="A1890" s="163" t="s">
        <v>3048</v>
      </c>
      <c r="B1890" s="163" t="s">
        <v>928</v>
      </c>
      <c r="C1890" s="163" t="s">
        <v>5936</v>
      </c>
      <c r="D1890" s="163" t="s">
        <v>5937</v>
      </c>
      <c r="E1890" s="164" t="n">
        <v>10000</v>
      </c>
      <c r="F1890" s="165" t="s">
        <v>5938</v>
      </c>
    </row>
    <row r="1891" customFormat="false" ht="15" hidden="false" customHeight="true" outlineLevel="0" collapsed="false">
      <c r="A1891" s="163" t="s">
        <v>3048</v>
      </c>
      <c r="B1891" s="163" t="s">
        <v>928</v>
      </c>
      <c r="C1891" s="163" t="s">
        <v>5939</v>
      </c>
      <c r="D1891" s="163" t="s">
        <v>5940</v>
      </c>
      <c r="E1891" s="164" t="n">
        <v>7500</v>
      </c>
      <c r="F1891" s="165" t="s">
        <v>5824</v>
      </c>
    </row>
    <row r="1892" customFormat="false" ht="15" hidden="false" customHeight="true" outlineLevel="0" collapsed="false">
      <c r="A1892" s="163" t="s">
        <v>3048</v>
      </c>
      <c r="B1892" s="163" t="s">
        <v>928</v>
      </c>
      <c r="C1892" s="163" t="s">
        <v>5941</v>
      </c>
      <c r="D1892" s="163" t="s">
        <v>5942</v>
      </c>
      <c r="E1892" s="164" t="n">
        <v>7500</v>
      </c>
      <c r="F1892" s="165" t="s">
        <v>5943</v>
      </c>
    </row>
    <row r="1893" customFormat="false" ht="15" hidden="false" customHeight="true" outlineLevel="0" collapsed="false">
      <c r="A1893" s="163" t="s">
        <v>3048</v>
      </c>
      <c r="B1893" s="163" t="s">
        <v>928</v>
      </c>
      <c r="C1893" s="163" t="s">
        <v>3780</v>
      </c>
      <c r="D1893" s="163" t="s">
        <v>3781</v>
      </c>
      <c r="E1893" s="164" t="n">
        <v>5000</v>
      </c>
      <c r="F1893" s="165" t="s">
        <v>5944</v>
      </c>
    </row>
    <row r="1894" customFormat="false" ht="15" hidden="false" customHeight="true" outlineLevel="0" collapsed="false">
      <c r="A1894" s="163" t="s">
        <v>3048</v>
      </c>
      <c r="B1894" s="163" t="s">
        <v>928</v>
      </c>
      <c r="C1894" s="163" t="s">
        <v>328</v>
      </c>
      <c r="D1894" s="163" t="s">
        <v>2660</v>
      </c>
      <c r="E1894" s="164" t="n">
        <v>5000</v>
      </c>
      <c r="F1894" s="165" t="s">
        <v>5945</v>
      </c>
    </row>
    <row r="1895" customFormat="false" ht="15" hidden="false" customHeight="true" outlineLevel="0" collapsed="false">
      <c r="A1895" s="163" t="s">
        <v>3048</v>
      </c>
      <c r="B1895" s="163" t="s">
        <v>928</v>
      </c>
      <c r="C1895" s="163" t="s">
        <v>3317</v>
      </c>
      <c r="D1895" s="163" t="s">
        <v>3318</v>
      </c>
      <c r="E1895" s="164" t="n">
        <v>5000</v>
      </c>
      <c r="F1895" s="165" t="s">
        <v>5946</v>
      </c>
    </row>
    <row r="1896" customFormat="false" ht="15" hidden="false" customHeight="true" outlineLevel="0" collapsed="false">
      <c r="A1896" s="163" t="s">
        <v>3048</v>
      </c>
      <c r="B1896" s="163" t="s">
        <v>928</v>
      </c>
      <c r="C1896" s="163" t="s">
        <v>3980</v>
      </c>
      <c r="D1896" s="163" t="s">
        <v>3981</v>
      </c>
      <c r="E1896" s="164" t="n">
        <v>5000</v>
      </c>
      <c r="F1896" s="165" t="s">
        <v>5947</v>
      </c>
    </row>
    <row r="1897" customFormat="false" ht="15" hidden="false" customHeight="true" outlineLevel="0" collapsed="false">
      <c r="A1897" s="163" t="s">
        <v>3048</v>
      </c>
      <c r="B1897" s="163" t="s">
        <v>928</v>
      </c>
      <c r="C1897" s="163" t="s">
        <v>3324</v>
      </c>
      <c r="D1897" s="163" t="s">
        <v>3325</v>
      </c>
      <c r="E1897" s="164" t="n">
        <v>5000</v>
      </c>
      <c r="F1897" s="165" t="s">
        <v>5948</v>
      </c>
    </row>
    <row r="1898" customFormat="false" ht="15" hidden="false" customHeight="true" outlineLevel="0" collapsed="false">
      <c r="A1898" s="163" t="s">
        <v>3048</v>
      </c>
      <c r="B1898" s="163" t="s">
        <v>928</v>
      </c>
      <c r="C1898" s="163" t="s">
        <v>5949</v>
      </c>
      <c r="D1898" s="163" t="s">
        <v>5950</v>
      </c>
      <c r="E1898" s="164" t="n">
        <v>5000</v>
      </c>
      <c r="F1898" s="165" t="s">
        <v>5951</v>
      </c>
    </row>
    <row r="1899" customFormat="false" ht="15" hidden="false" customHeight="true" outlineLevel="0" collapsed="false">
      <c r="A1899" s="163" t="s">
        <v>3048</v>
      </c>
      <c r="B1899" s="163" t="s">
        <v>928</v>
      </c>
      <c r="C1899" s="163" t="s">
        <v>552</v>
      </c>
      <c r="D1899" s="163" t="s">
        <v>2445</v>
      </c>
      <c r="E1899" s="164" t="n">
        <v>5000</v>
      </c>
      <c r="F1899" s="165" t="s">
        <v>5952</v>
      </c>
    </row>
    <row r="1900" customFormat="false" ht="15" hidden="false" customHeight="true" outlineLevel="0" collapsed="false">
      <c r="A1900" s="163" t="s">
        <v>3048</v>
      </c>
      <c r="B1900" s="163" t="s">
        <v>928</v>
      </c>
      <c r="C1900" s="163" t="s">
        <v>5327</v>
      </c>
      <c r="D1900" s="163" t="s">
        <v>5328</v>
      </c>
      <c r="E1900" s="164" t="n">
        <v>5000</v>
      </c>
      <c r="F1900" s="165" t="s">
        <v>5953</v>
      </c>
    </row>
    <row r="1901" customFormat="false" ht="15" hidden="false" customHeight="true" outlineLevel="0" collapsed="false">
      <c r="A1901" s="163" t="s">
        <v>3048</v>
      </c>
      <c r="B1901" s="163" t="s">
        <v>928</v>
      </c>
      <c r="C1901" s="163" t="s">
        <v>5954</v>
      </c>
      <c r="D1901" s="163" t="s">
        <v>5955</v>
      </c>
      <c r="E1901" s="164" t="n">
        <v>5000</v>
      </c>
      <c r="F1901" s="165" t="s">
        <v>5956</v>
      </c>
    </row>
    <row r="1902" customFormat="false" ht="15" hidden="false" customHeight="true" outlineLevel="0" collapsed="false">
      <c r="A1902" s="163" t="s">
        <v>3033</v>
      </c>
      <c r="B1902" s="163" t="s">
        <v>926</v>
      </c>
      <c r="C1902" s="163" t="s">
        <v>5957</v>
      </c>
      <c r="D1902" s="163" t="s">
        <v>5958</v>
      </c>
      <c r="E1902" s="164" t="n">
        <v>25000</v>
      </c>
      <c r="F1902" s="165" t="s">
        <v>5959</v>
      </c>
    </row>
    <row r="1903" customFormat="false" ht="15" hidden="false" customHeight="true" outlineLevel="0" collapsed="false">
      <c r="A1903" s="163" t="s">
        <v>3033</v>
      </c>
      <c r="B1903" s="163" t="s">
        <v>926</v>
      </c>
      <c r="C1903" s="163" t="s">
        <v>3063</v>
      </c>
      <c r="D1903" s="163" t="s">
        <v>3064</v>
      </c>
      <c r="E1903" s="164" t="n">
        <v>20000</v>
      </c>
      <c r="F1903" s="165" t="s">
        <v>5960</v>
      </c>
    </row>
    <row r="1904" customFormat="false" ht="15" hidden="false" customHeight="true" outlineLevel="0" collapsed="false">
      <c r="A1904" s="163" t="s">
        <v>3033</v>
      </c>
      <c r="B1904" s="163" t="s">
        <v>926</v>
      </c>
      <c r="C1904" s="163" t="s">
        <v>395</v>
      </c>
      <c r="D1904" s="163" t="s">
        <v>2196</v>
      </c>
      <c r="E1904" s="164" t="n">
        <v>15000</v>
      </c>
      <c r="F1904" s="165" t="s">
        <v>5960</v>
      </c>
    </row>
    <row r="1905" customFormat="false" ht="15" hidden="false" customHeight="true" outlineLevel="0" collapsed="false">
      <c r="A1905" s="163" t="s">
        <v>3033</v>
      </c>
      <c r="B1905" s="163" t="s">
        <v>926</v>
      </c>
      <c r="C1905" s="163" t="s">
        <v>3334</v>
      </c>
      <c r="D1905" s="163" t="s">
        <v>3335</v>
      </c>
      <c r="E1905" s="164" t="n">
        <v>10000</v>
      </c>
      <c r="F1905" s="165" t="s">
        <v>5961</v>
      </c>
    </row>
    <row r="1906" customFormat="false" ht="15" hidden="false" customHeight="true" outlineLevel="0" collapsed="false">
      <c r="A1906" s="163" t="s">
        <v>3033</v>
      </c>
      <c r="B1906" s="163" t="s">
        <v>926</v>
      </c>
      <c r="C1906" s="163" t="s">
        <v>5962</v>
      </c>
      <c r="D1906" s="163" t="s">
        <v>5963</v>
      </c>
      <c r="E1906" s="164" t="n">
        <v>10000</v>
      </c>
      <c r="F1906" s="165" t="s">
        <v>5960</v>
      </c>
    </row>
    <row r="1907" customFormat="false" ht="15" hidden="false" customHeight="true" outlineLevel="0" collapsed="false">
      <c r="A1907" s="163" t="s">
        <v>3033</v>
      </c>
      <c r="B1907" s="163" t="s">
        <v>926</v>
      </c>
      <c r="C1907" s="163" t="s">
        <v>3709</v>
      </c>
      <c r="D1907" s="163" t="s">
        <v>3710</v>
      </c>
      <c r="E1907" s="164" t="n">
        <v>10000</v>
      </c>
      <c r="F1907" s="165" t="s">
        <v>5964</v>
      </c>
    </row>
    <row r="1908" customFormat="false" ht="15" hidden="false" customHeight="true" outlineLevel="0" collapsed="false">
      <c r="A1908" s="163" t="s">
        <v>3033</v>
      </c>
      <c r="B1908" s="163" t="s">
        <v>926</v>
      </c>
      <c r="C1908" s="163" t="s">
        <v>4651</v>
      </c>
      <c r="D1908" s="163" t="s">
        <v>4652</v>
      </c>
      <c r="E1908" s="164" t="n">
        <v>10000</v>
      </c>
      <c r="F1908" s="165" t="s">
        <v>5960</v>
      </c>
    </row>
    <row r="1909" customFormat="false" ht="15" hidden="false" customHeight="true" outlineLevel="0" collapsed="false">
      <c r="A1909" s="163" t="s">
        <v>3033</v>
      </c>
      <c r="B1909" s="163" t="s">
        <v>957</v>
      </c>
      <c r="C1909" s="163" t="s">
        <v>5965</v>
      </c>
      <c r="D1909" s="163" t="s">
        <v>5966</v>
      </c>
      <c r="E1909" s="164" t="n">
        <v>15000</v>
      </c>
      <c r="F1909" s="165" t="s">
        <v>5967</v>
      </c>
    </row>
    <row r="1910" customFormat="false" ht="15" hidden="false" customHeight="true" outlineLevel="0" collapsed="false">
      <c r="A1910" s="163" t="s">
        <v>3033</v>
      </c>
      <c r="B1910" s="163" t="s">
        <v>957</v>
      </c>
      <c r="C1910" s="163" t="s">
        <v>5968</v>
      </c>
      <c r="D1910" s="163" t="s">
        <v>5969</v>
      </c>
      <c r="E1910" s="164" t="n">
        <v>15000</v>
      </c>
      <c r="F1910" s="165" t="s">
        <v>5970</v>
      </c>
    </row>
    <row r="1911" customFormat="false" ht="15" hidden="false" customHeight="true" outlineLevel="0" collapsed="false">
      <c r="A1911" s="163" t="s">
        <v>3033</v>
      </c>
      <c r="B1911" s="163" t="s">
        <v>957</v>
      </c>
      <c r="C1911" s="163" t="s">
        <v>4191</v>
      </c>
      <c r="D1911" s="163" t="s">
        <v>4192</v>
      </c>
      <c r="E1911" s="164" t="n">
        <v>10000</v>
      </c>
      <c r="F1911" s="165" t="s">
        <v>5971</v>
      </c>
    </row>
    <row r="1912" customFormat="false" ht="15" hidden="false" customHeight="true" outlineLevel="0" collapsed="false">
      <c r="A1912" s="163" t="s">
        <v>3033</v>
      </c>
      <c r="B1912" s="163" t="s">
        <v>957</v>
      </c>
      <c r="C1912" s="163" t="s">
        <v>5815</v>
      </c>
      <c r="D1912" s="163" t="s">
        <v>5816</v>
      </c>
      <c r="E1912" s="164" t="n">
        <v>10000</v>
      </c>
      <c r="F1912" s="165" t="s">
        <v>5972</v>
      </c>
    </row>
    <row r="1913" customFormat="false" ht="15" hidden="false" customHeight="true" outlineLevel="0" collapsed="false">
      <c r="A1913" s="163" t="s">
        <v>3033</v>
      </c>
      <c r="B1913" s="163" t="s">
        <v>957</v>
      </c>
      <c r="C1913" s="163" t="s">
        <v>5973</v>
      </c>
      <c r="D1913" s="163" t="s">
        <v>5974</v>
      </c>
      <c r="E1913" s="164" t="n">
        <v>10000</v>
      </c>
      <c r="F1913" s="165" t="s">
        <v>5975</v>
      </c>
    </row>
    <row r="1914" customFormat="false" ht="15" hidden="false" customHeight="true" outlineLevel="0" collapsed="false">
      <c r="A1914" s="163" t="s">
        <v>3033</v>
      </c>
      <c r="B1914" s="163" t="s">
        <v>957</v>
      </c>
      <c r="C1914" s="163" t="s">
        <v>5976</v>
      </c>
      <c r="D1914" s="163" t="s">
        <v>5977</v>
      </c>
      <c r="E1914" s="164" t="n">
        <v>10000</v>
      </c>
      <c r="F1914" s="165" t="s">
        <v>5978</v>
      </c>
    </row>
    <row r="1915" customFormat="false" ht="15" hidden="false" customHeight="true" outlineLevel="0" collapsed="false">
      <c r="A1915" s="163" t="s">
        <v>3033</v>
      </c>
      <c r="B1915" s="163" t="s">
        <v>957</v>
      </c>
      <c r="C1915" s="163" t="s">
        <v>3215</v>
      </c>
      <c r="D1915" s="163" t="s">
        <v>3216</v>
      </c>
      <c r="E1915" s="164" t="n">
        <v>10000</v>
      </c>
      <c r="F1915" s="165" t="s">
        <v>5960</v>
      </c>
    </row>
    <row r="1916" customFormat="false" ht="15" hidden="false" customHeight="true" outlineLevel="0" collapsed="false">
      <c r="A1916" s="163" t="s">
        <v>3033</v>
      </c>
      <c r="B1916" s="163" t="s">
        <v>957</v>
      </c>
      <c r="C1916" s="163" t="s">
        <v>5979</v>
      </c>
      <c r="D1916" s="163" t="s">
        <v>5980</v>
      </c>
      <c r="E1916" s="164" t="n">
        <v>10000</v>
      </c>
      <c r="F1916" s="165" t="s">
        <v>5960</v>
      </c>
    </row>
    <row r="1917" customFormat="false" ht="15" hidden="false" customHeight="true" outlineLevel="0" collapsed="false">
      <c r="A1917" s="163" t="s">
        <v>3033</v>
      </c>
      <c r="B1917" s="163" t="s">
        <v>957</v>
      </c>
      <c r="C1917" s="163" t="s">
        <v>3085</v>
      </c>
      <c r="D1917" s="163" t="s">
        <v>3086</v>
      </c>
      <c r="E1917" s="164" t="n">
        <v>5000</v>
      </c>
      <c r="F1917" s="165" t="s">
        <v>5960</v>
      </c>
    </row>
    <row r="1918" customFormat="false" ht="15" hidden="false" customHeight="true" outlineLevel="0" collapsed="false">
      <c r="A1918" s="163" t="s">
        <v>3033</v>
      </c>
      <c r="B1918" s="163" t="s">
        <v>957</v>
      </c>
      <c r="C1918" s="163" t="s">
        <v>5981</v>
      </c>
      <c r="D1918" s="163" t="s">
        <v>5982</v>
      </c>
      <c r="E1918" s="164" t="n">
        <v>5000</v>
      </c>
      <c r="F1918" s="165" t="s">
        <v>5960</v>
      </c>
    </row>
    <row r="1919" customFormat="false" ht="15" hidden="false" customHeight="true" outlineLevel="0" collapsed="false">
      <c r="A1919" s="163" t="s">
        <v>3033</v>
      </c>
      <c r="B1919" s="163" t="s">
        <v>957</v>
      </c>
      <c r="C1919" s="163" t="s">
        <v>5983</v>
      </c>
      <c r="D1919" s="163" t="s">
        <v>5984</v>
      </c>
      <c r="E1919" s="164" t="n">
        <v>5000</v>
      </c>
      <c r="F1919" s="165" t="s">
        <v>5960</v>
      </c>
    </row>
    <row r="1920" customFormat="false" ht="15" hidden="false" customHeight="true" outlineLevel="0" collapsed="false">
      <c r="A1920" s="163" t="s">
        <v>3033</v>
      </c>
      <c r="B1920" s="163" t="s">
        <v>957</v>
      </c>
      <c r="C1920" s="163" t="s">
        <v>3219</v>
      </c>
      <c r="D1920" s="163" t="s">
        <v>3220</v>
      </c>
      <c r="E1920" s="164" t="n">
        <v>5000</v>
      </c>
      <c r="F1920" s="165" t="s">
        <v>5985</v>
      </c>
    </row>
    <row r="1921" customFormat="false" ht="15" hidden="false" customHeight="true" outlineLevel="0" collapsed="false">
      <c r="A1921" s="163" t="s">
        <v>3033</v>
      </c>
      <c r="B1921" s="163" t="s">
        <v>945</v>
      </c>
      <c r="C1921" s="163" t="s">
        <v>5986</v>
      </c>
      <c r="D1921" s="163" t="s">
        <v>5987</v>
      </c>
      <c r="E1921" s="164" t="n">
        <v>30000</v>
      </c>
      <c r="F1921" s="165" t="s">
        <v>5988</v>
      </c>
    </row>
    <row r="1922" customFormat="false" ht="15" hidden="false" customHeight="true" outlineLevel="0" collapsed="false">
      <c r="A1922" s="163" t="s">
        <v>3033</v>
      </c>
      <c r="B1922" s="163" t="s">
        <v>945</v>
      </c>
      <c r="C1922" s="163" t="s">
        <v>5989</v>
      </c>
      <c r="D1922" s="163" t="s">
        <v>5990</v>
      </c>
      <c r="E1922" s="164" t="n">
        <v>20000</v>
      </c>
      <c r="F1922" s="165" t="s">
        <v>5988</v>
      </c>
    </row>
    <row r="1923" customFormat="false" ht="15" hidden="false" customHeight="true" outlineLevel="0" collapsed="false">
      <c r="A1923" s="163" t="s">
        <v>3033</v>
      </c>
      <c r="B1923" s="163" t="s">
        <v>3111</v>
      </c>
      <c r="C1923" s="163" t="s">
        <v>3400</v>
      </c>
      <c r="D1923" s="163" t="s">
        <v>3401</v>
      </c>
      <c r="E1923" s="164" t="n">
        <v>25000</v>
      </c>
      <c r="F1923" s="165" t="s">
        <v>5991</v>
      </c>
    </row>
    <row r="1924" customFormat="false" ht="15" hidden="false" customHeight="true" outlineLevel="0" collapsed="false">
      <c r="A1924" s="163" t="s">
        <v>3033</v>
      </c>
      <c r="B1924" s="163" t="s">
        <v>3111</v>
      </c>
      <c r="C1924" s="163" t="s">
        <v>4488</v>
      </c>
      <c r="D1924" s="163" t="s">
        <v>4489</v>
      </c>
      <c r="E1924" s="164" t="n">
        <v>15000</v>
      </c>
      <c r="F1924" s="165" t="s">
        <v>5992</v>
      </c>
    </row>
    <row r="1925" customFormat="false" ht="15" hidden="false" customHeight="true" outlineLevel="0" collapsed="false">
      <c r="A1925" s="163" t="s">
        <v>3033</v>
      </c>
      <c r="B1925" s="163" t="s">
        <v>3111</v>
      </c>
      <c r="C1925" s="163" t="s">
        <v>5965</v>
      </c>
      <c r="D1925" s="163" t="s">
        <v>5966</v>
      </c>
      <c r="E1925" s="164" t="n">
        <v>15000</v>
      </c>
      <c r="F1925" s="165" t="s">
        <v>5993</v>
      </c>
    </row>
    <row r="1926" customFormat="false" ht="15" hidden="false" customHeight="true" outlineLevel="0" collapsed="false">
      <c r="A1926" s="163" t="s">
        <v>3033</v>
      </c>
      <c r="B1926" s="163" t="s">
        <v>3111</v>
      </c>
      <c r="C1926" s="163" t="s">
        <v>5994</v>
      </c>
      <c r="D1926" s="163" t="s">
        <v>5995</v>
      </c>
      <c r="E1926" s="164" t="n">
        <v>15000</v>
      </c>
      <c r="F1926" s="165" t="s">
        <v>5996</v>
      </c>
    </row>
    <row r="1927" customFormat="false" ht="15" hidden="false" customHeight="true" outlineLevel="0" collapsed="false">
      <c r="A1927" s="163" t="s">
        <v>3033</v>
      </c>
      <c r="B1927" s="163" t="s">
        <v>3111</v>
      </c>
      <c r="C1927" s="163" t="s">
        <v>5997</v>
      </c>
      <c r="D1927" s="163" t="s">
        <v>5998</v>
      </c>
      <c r="E1927" s="164" t="n">
        <v>10000</v>
      </c>
      <c r="F1927" s="165" t="s">
        <v>5999</v>
      </c>
    </row>
    <row r="1928" customFormat="false" ht="15" hidden="false" customHeight="true" outlineLevel="0" collapsed="false">
      <c r="A1928" s="163" t="s">
        <v>3033</v>
      </c>
      <c r="B1928" s="163" t="s">
        <v>3111</v>
      </c>
      <c r="C1928" s="163" t="s">
        <v>240</v>
      </c>
      <c r="D1928" s="163" t="s">
        <v>2418</v>
      </c>
      <c r="E1928" s="164" t="n">
        <v>10000</v>
      </c>
      <c r="F1928" s="165" t="s">
        <v>6000</v>
      </c>
    </row>
    <row r="1929" customFormat="false" ht="15" hidden="false" customHeight="true" outlineLevel="0" collapsed="false">
      <c r="A1929" s="163" t="s">
        <v>3033</v>
      </c>
      <c r="B1929" s="163" t="s">
        <v>3111</v>
      </c>
      <c r="C1929" s="163" t="s">
        <v>5511</v>
      </c>
      <c r="D1929" s="163" t="s">
        <v>5512</v>
      </c>
      <c r="E1929" s="164" t="n">
        <v>10000</v>
      </c>
      <c r="F1929" s="165" t="s">
        <v>6001</v>
      </c>
    </row>
    <row r="1930" customFormat="false" ht="15" hidden="false" customHeight="true" outlineLevel="0" collapsed="false">
      <c r="A1930" s="163" t="s">
        <v>3033</v>
      </c>
      <c r="B1930" s="163" t="s">
        <v>1938</v>
      </c>
      <c r="C1930" s="163" t="s">
        <v>3377</v>
      </c>
      <c r="D1930" s="163" t="s">
        <v>3378</v>
      </c>
      <c r="E1930" s="164" t="n">
        <v>40000</v>
      </c>
      <c r="F1930" s="165" t="s">
        <v>6002</v>
      </c>
    </row>
    <row r="1931" customFormat="false" ht="15" hidden="false" customHeight="true" outlineLevel="0" collapsed="false">
      <c r="A1931" s="163" t="s">
        <v>3033</v>
      </c>
      <c r="B1931" s="163" t="s">
        <v>1938</v>
      </c>
      <c r="C1931" s="163" t="s">
        <v>5901</v>
      </c>
      <c r="D1931" s="163" t="s">
        <v>5902</v>
      </c>
      <c r="E1931" s="164" t="n">
        <v>20000</v>
      </c>
      <c r="F1931" s="165" t="s">
        <v>6003</v>
      </c>
    </row>
    <row r="1932" customFormat="false" ht="15" hidden="false" customHeight="true" outlineLevel="0" collapsed="false">
      <c r="A1932" s="163" t="s">
        <v>3033</v>
      </c>
      <c r="B1932" s="163" t="s">
        <v>1938</v>
      </c>
      <c r="C1932" s="163" t="s">
        <v>3063</v>
      </c>
      <c r="D1932" s="163" t="s">
        <v>3064</v>
      </c>
      <c r="E1932" s="164" t="n">
        <v>20000</v>
      </c>
      <c r="F1932" s="165" t="s">
        <v>6004</v>
      </c>
    </row>
    <row r="1933" customFormat="false" ht="15" hidden="false" customHeight="true" outlineLevel="0" collapsed="false">
      <c r="A1933" s="163" t="s">
        <v>3033</v>
      </c>
      <c r="B1933" s="163" t="s">
        <v>1938</v>
      </c>
      <c r="C1933" s="163" t="s">
        <v>5968</v>
      </c>
      <c r="D1933" s="163" t="s">
        <v>5969</v>
      </c>
      <c r="E1933" s="164" t="n">
        <v>20000</v>
      </c>
      <c r="F1933" s="165" t="s">
        <v>6005</v>
      </c>
    </row>
    <row r="1934" customFormat="false" ht="15" hidden="false" customHeight="true" outlineLevel="0" collapsed="false">
      <c r="A1934" s="163" t="s">
        <v>3033</v>
      </c>
      <c r="B1934" s="163" t="s">
        <v>1938</v>
      </c>
      <c r="C1934" s="163" t="s">
        <v>332</v>
      </c>
      <c r="D1934" s="163" t="s">
        <v>2673</v>
      </c>
      <c r="E1934" s="164" t="n">
        <v>20000</v>
      </c>
      <c r="F1934" s="165" t="s">
        <v>6006</v>
      </c>
    </row>
    <row r="1935" customFormat="false" ht="15" hidden="false" customHeight="true" outlineLevel="0" collapsed="false">
      <c r="A1935" s="163" t="s">
        <v>3033</v>
      </c>
      <c r="B1935" s="163" t="s">
        <v>1938</v>
      </c>
      <c r="C1935" s="163" t="s">
        <v>332</v>
      </c>
      <c r="D1935" s="163" t="s">
        <v>2673</v>
      </c>
      <c r="E1935" s="164" t="n">
        <v>20000</v>
      </c>
      <c r="F1935" s="165" t="s">
        <v>6007</v>
      </c>
    </row>
    <row r="1936" customFormat="false" ht="15" hidden="false" customHeight="true" outlineLevel="0" collapsed="false">
      <c r="A1936" s="163" t="s">
        <v>3033</v>
      </c>
      <c r="B1936" s="163" t="s">
        <v>1938</v>
      </c>
      <c r="C1936" s="163" t="s">
        <v>332</v>
      </c>
      <c r="D1936" s="163" t="s">
        <v>2673</v>
      </c>
      <c r="E1936" s="164" t="n">
        <v>20000</v>
      </c>
      <c r="F1936" s="165" t="s">
        <v>6002</v>
      </c>
    </row>
    <row r="1937" customFormat="false" ht="15" hidden="false" customHeight="true" outlineLevel="0" collapsed="false">
      <c r="A1937" s="163" t="s">
        <v>3033</v>
      </c>
      <c r="B1937" s="163" t="s">
        <v>1938</v>
      </c>
      <c r="C1937" s="163" t="s">
        <v>5965</v>
      </c>
      <c r="D1937" s="163" t="s">
        <v>5966</v>
      </c>
      <c r="E1937" s="164" t="n">
        <v>20000</v>
      </c>
      <c r="F1937" s="165" t="s">
        <v>6008</v>
      </c>
    </row>
    <row r="1938" customFormat="false" ht="15" hidden="false" customHeight="true" outlineLevel="0" collapsed="false">
      <c r="A1938" s="163" t="s">
        <v>3033</v>
      </c>
      <c r="B1938" s="163" t="s">
        <v>1938</v>
      </c>
      <c r="C1938" s="163" t="s">
        <v>3400</v>
      </c>
      <c r="D1938" s="163" t="s">
        <v>3401</v>
      </c>
      <c r="E1938" s="164" t="n">
        <v>20000</v>
      </c>
      <c r="F1938" s="165" t="s">
        <v>6009</v>
      </c>
    </row>
    <row r="1939" customFormat="false" ht="15" hidden="false" customHeight="true" outlineLevel="0" collapsed="false">
      <c r="A1939" s="163" t="s">
        <v>3033</v>
      </c>
      <c r="B1939" s="163" t="s">
        <v>1938</v>
      </c>
      <c r="C1939" s="163" t="s">
        <v>3400</v>
      </c>
      <c r="D1939" s="163" t="s">
        <v>3401</v>
      </c>
      <c r="E1939" s="164" t="n">
        <v>20000</v>
      </c>
      <c r="F1939" s="165" t="s">
        <v>6010</v>
      </c>
    </row>
    <row r="1940" customFormat="false" ht="15" hidden="false" customHeight="true" outlineLevel="0" collapsed="false">
      <c r="A1940" s="163" t="s">
        <v>3033</v>
      </c>
      <c r="B1940" s="163" t="s">
        <v>1938</v>
      </c>
      <c r="C1940" s="163" t="s">
        <v>5865</v>
      </c>
      <c r="D1940" s="163" t="s">
        <v>5866</v>
      </c>
      <c r="E1940" s="164" t="n">
        <v>20000</v>
      </c>
      <c r="F1940" s="165" t="s">
        <v>6008</v>
      </c>
    </row>
    <row r="1941" customFormat="false" ht="15" hidden="false" customHeight="true" outlineLevel="0" collapsed="false">
      <c r="A1941" s="163" t="s">
        <v>3033</v>
      </c>
      <c r="B1941" s="163" t="s">
        <v>1938</v>
      </c>
      <c r="C1941" s="163" t="s">
        <v>3392</v>
      </c>
      <c r="D1941" s="163" t="s">
        <v>3393</v>
      </c>
      <c r="E1941" s="164" t="n">
        <v>20000</v>
      </c>
      <c r="F1941" s="165" t="s">
        <v>6011</v>
      </c>
    </row>
    <row r="1942" customFormat="false" ht="15" hidden="false" customHeight="true" outlineLevel="0" collapsed="false">
      <c r="A1942" s="163" t="s">
        <v>3033</v>
      </c>
      <c r="B1942" s="163" t="s">
        <v>1938</v>
      </c>
      <c r="C1942" s="163" t="s">
        <v>3392</v>
      </c>
      <c r="D1942" s="163" t="s">
        <v>3393</v>
      </c>
      <c r="E1942" s="164" t="n">
        <v>20000</v>
      </c>
      <c r="F1942" s="165" t="s">
        <v>6012</v>
      </c>
    </row>
    <row r="1943" customFormat="false" ht="15" hidden="false" customHeight="true" outlineLevel="0" collapsed="false">
      <c r="A1943" s="163" t="s">
        <v>3033</v>
      </c>
      <c r="B1943" s="163" t="s">
        <v>1938</v>
      </c>
      <c r="C1943" s="163" t="s">
        <v>3317</v>
      </c>
      <c r="D1943" s="163" t="s">
        <v>3318</v>
      </c>
      <c r="E1943" s="164" t="n">
        <v>20000</v>
      </c>
      <c r="F1943" s="165" t="s">
        <v>6013</v>
      </c>
    </row>
    <row r="1944" customFormat="false" ht="15" hidden="false" customHeight="true" outlineLevel="0" collapsed="false">
      <c r="A1944" s="163" t="s">
        <v>3033</v>
      </c>
      <c r="B1944" s="163" t="s">
        <v>1938</v>
      </c>
      <c r="C1944" s="163" t="s">
        <v>473</v>
      </c>
      <c r="D1944" s="163" t="s">
        <v>2764</v>
      </c>
      <c r="E1944" s="164" t="n">
        <v>20000</v>
      </c>
      <c r="F1944" s="165" t="s">
        <v>6014</v>
      </c>
    </row>
    <row r="1945" customFormat="false" ht="15" hidden="false" customHeight="true" outlineLevel="0" collapsed="false">
      <c r="A1945" s="163" t="s">
        <v>3033</v>
      </c>
      <c r="B1945" s="163" t="s">
        <v>1938</v>
      </c>
      <c r="C1945" s="163" t="s">
        <v>3392</v>
      </c>
      <c r="D1945" s="163" t="s">
        <v>3393</v>
      </c>
      <c r="E1945" s="164" t="n">
        <v>20000</v>
      </c>
      <c r="F1945" s="165" t="s">
        <v>6015</v>
      </c>
    </row>
    <row r="1946" customFormat="false" ht="15" hidden="false" customHeight="true" outlineLevel="0" collapsed="false">
      <c r="A1946" s="163" t="s">
        <v>3033</v>
      </c>
      <c r="B1946" s="163" t="s">
        <v>691</v>
      </c>
      <c r="C1946" s="163" t="s">
        <v>5171</v>
      </c>
      <c r="D1946" s="163" t="s">
        <v>5172</v>
      </c>
      <c r="E1946" s="164" t="n">
        <v>30000</v>
      </c>
      <c r="F1946" s="165" t="s">
        <v>6016</v>
      </c>
    </row>
    <row r="1947" customFormat="false" ht="15" hidden="false" customHeight="true" outlineLevel="0" collapsed="false">
      <c r="A1947" s="163" t="s">
        <v>3033</v>
      </c>
      <c r="B1947" s="163" t="s">
        <v>691</v>
      </c>
      <c r="C1947" s="163" t="s">
        <v>6017</v>
      </c>
      <c r="D1947" s="163" t="s">
        <v>6018</v>
      </c>
      <c r="E1947" s="164" t="n">
        <v>25000</v>
      </c>
      <c r="F1947" s="165" t="s">
        <v>5960</v>
      </c>
    </row>
    <row r="1948" customFormat="false" ht="15" hidden="false" customHeight="true" outlineLevel="0" collapsed="false">
      <c r="A1948" s="163" t="s">
        <v>3033</v>
      </c>
      <c r="B1948" s="163" t="s">
        <v>691</v>
      </c>
      <c r="C1948" s="163" t="s">
        <v>5994</v>
      </c>
      <c r="D1948" s="163" t="s">
        <v>5995</v>
      </c>
      <c r="E1948" s="164" t="n">
        <v>25000</v>
      </c>
      <c r="F1948" s="165" t="s">
        <v>5960</v>
      </c>
    </row>
    <row r="1949" customFormat="false" ht="15" hidden="false" customHeight="true" outlineLevel="0" collapsed="false">
      <c r="A1949" s="163" t="s">
        <v>3033</v>
      </c>
      <c r="B1949" s="163" t="s">
        <v>691</v>
      </c>
      <c r="C1949" s="163" t="s">
        <v>6019</v>
      </c>
      <c r="D1949" s="163" t="s">
        <v>6020</v>
      </c>
      <c r="E1949" s="164" t="n">
        <v>20000</v>
      </c>
      <c r="F1949" s="165" t="s">
        <v>5960</v>
      </c>
    </row>
    <row r="1950" customFormat="false" ht="15" hidden="false" customHeight="true" outlineLevel="0" collapsed="false">
      <c r="A1950" s="163" t="s">
        <v>3033</v>
      </c>
      <c r="B1950" s="163" t="s">
        <v>691</v>
      </c>
      <c r="C1950" s="163" t="s">
        <v>3877</v>
      </c>
      <c r="D1950" s="163" t="s">
        <v>3878</v>
      </c>
      <c r="E1950" s="164" t="n">
        <v>15000</v>
      </c>
      <c r="F1950" s="165" t="s">
        <v>6021</v>
      </c>
    </row>
    <row r="1951" customFormat="false" ht="15" hidden="false" customHeight="true" outlineLevel="0" collapsed="false">
      <c r="A1951" s="163" t="s">
        <v>3033</v>
      </c>
      <c r="B1951" s="163" t="s">
        <v>691</v>
      </c>
      <c r="C1951" s="163" t="s">
        <v>6022</v>
      </c>
      <c r="D1951" s="163" t="s">
        <v>6023</v>
      </c>
      <c r="E1951" s="164" t="n">
        <v>10000</v>
      </c>
      <c r="F1951" s="165" t="s">
        <v>5960</v>
      </c>
    </row>
    <row r="1952" customFormat="false" ht="15" hidden="false" customHeight="true" outlineLevel="0" collapsed="false">
      <c r="A1952" s="163" t="s">
        <v>3033</v>
      </c>
      <c r="B1952" s="163" t="s">
        <v>691</v>
      </c>
      <c r="C1952" s="163" t="s">
        <v>6024</v>
      </c>
      <c r="D1952" s="163" t="s">
        <v>6025</v>
      </c>
      <c r="E1952" s="164" t="n">
        <v>10000</v>
      </c>
      <c r="F1952" s="165" t="s">
        <v>5960</v>
      </c>
    </row>
    <row r="1953" customFormat="false" ht="15" hidden="false" customHeight="true" outlineLevel="0" collapsed="false">
      <c r="A1953" s="163" t="s">
        <v>3033</v>
      </c>
      <c r="B1953" s="163" t="s">
        <v>691</v>
      </c>
      <c r="C1953" s="163" t="s">
        <v>6026</v>
      </c>
      <c r="D1953" s="163" t="s">
        <v>6027</v>
      </c>
      <c r="E1953" s="164" t="n">
        <v>10000</v>
      </c>
      <c r="F1953" s="165" t="s">
        <v>5960</v>
      </c>
    </row>
    <row r="1954" customFormat="false" ht="15" hidden="false" customHeight="true" outlineLevel="0" collapsed="false">
      <c r="A1954" s="163" t="s">
        <v>3033</v>
      </c>
      <c r="B1954" s="163" t="s">
        <v>2027</v>
      </c>
      <c r="C1954" s="163" t="s">
        <v>5994</v>
      </c>
      <c r="D1954" s="163" t="s">
        <v>5995</v>
      </c>
      <c r="E1954" s="164" t="n">
        <v>30000</v>
      </c>
      <c r="F1954" s="165" t="s">
        <v>6028</v>
      </c>
    </row>
    <row r="1955" customFormat="false" ht="15" hidden="false" customHeight="true" outlineLevel="0" collapsed="false">
      <c r="A1955" s="163" t="s">
        <v>3033</v>
      </c>
      <c r="B1955" s="163" t="s">
        <v>2027</v>
      </c>
      <c r="C1955" s="163" t="s">
        <v>473</v>
      </c>
      <c r="D1955" s="163" t="s">
        <v>2764</v>
      </c>
      <c r="E1955" s="164" t="n">
        <v>20000</v>
      </c>
      <c r="F1955" s="165" t="s">
        <v>6029</v>
      </c>
    </row>
    <row r="1956" customFormat="false" ht="15" hidden="false" customHeight="true" outlineLevel="0" collapsed="false">
      <c r="A1956" s="163" t="s">
        <v>3033</v>
      </c>
      <c r="B1956" s="163" t="s">
        <v>2027</v>
      </c>
      <c r="C1956" s="163" t="s">
        <v>3135</v>
      </c>
      <c r="D1956" s="163" t="s">
        <v>3136</v>
      </c>
      <c r="E1956" s="164" t="n">
        <v>20000</v>
      </c>
      <c r="F1956" s="165" t="s">
        <v>6005</v>
      </c>
    </row>
    <row r="1957" customFormat="false" ht="15" hidden="false" customHeight="true" outlineLevel="0" collapsed="false">
      <c r="A1957" s="163" t="s">
        <v>3033</v>
      </c>
      <c r="B1957" s="163" t="s">
        <v>2027</v>
      </c>
      <c r="C1957" s="163" t="s">
        <v>473</v>
      </c>
      <c r="D1957" s="163" t="s">
        <v>2764</v>
      </c>
      <c r="E1957" s="164" t="n">
        <v>20000</v>
      </c>
      <c r="F1957" s="165" t="s">
        <v>6030</v>
      </c>
    </row>
    <row r="1958" customFormat="false" ht="15" hidden="false" customHeight="true" outlineLevel="0" collapsed="false">
      <c r="A1958" s="163" t="s">
        <v>3033</v>
      </c>
      <c r="B1958" s="163" t="s">
        <v>2037</v>
      </c>
      <c r="C1958" s="163" t="s">
        <v>5968</v>
      </c>
      <c r="D1958" s="163" t="s">
        <v>5969</v>
      </c>
      <c r="E1958" s="164" t="n">
        <v>65000</v>
      </c>
      <c r="F1958" s="165" t="s">
        <v>6031</v>
      </c>
    </row>
    <row r="1959" customFormat="false" ht="15" hidden="false" customHeight="true" outlineLevel="0" collapsed="false">
      <c r="A1959" s="163" t="s">
        <v>3033</v>
      </c>
      <c r="B1959" s="163" t="s">
        <v>2037</v>
      </c>
      <c r="C1959" s="163" t="s">
        <v>3865</v>
      </c>
      <c r="D1959" s="163" t="s">
        <v>3866</v>
      </c>
      <c r="E1959" s="164" t="n">
        <v>23000</v>
      </c>
      <c r="F1959" s="165" t="s">
        <v>5960</v>
      </c>
    </row>
    <row r="1960" customFormat="false" ht="15" hidden="false" customHeight="true" outlineLevel="0" collapsed="false">
      <c r="A1960" s="163" t="s">
        <v>3033</v>
      </c>
      <c r="B1960" s="163" t="s">
        <v>2037</v>
      </c>
      <c r="C1960" s="163" t="s">
        <v>3099</v>
      </c>
      <c r="D1960" s="163" t="s">
        <v>3100</v>
      </c>
      <c r="E1960" s="164" t="n">
        <v>15000</v>
      </c>
      <c r="F1960" s="165" t="s">
        <v>5960</v>
      </c>
    </row>
    <row r="1961" customFormat="false" ht="15" hidden="false" customHeight="true" outlineLevel="0" collapsed="false">
      <c r="A1961" s="163" t="s">
        <v>3033</v>
      </c>
      <c r="B1961" s="163" t="s">
        <v>2037</v>
      </c>
      <c r="C1961" s="163" t="s">
        <v>4452</v>
      </c>
      <c r="D1961" s="163" t="s">
        <v>4453</v>
      </c>
      <c r="E1961" s="164" t="n">
        <v>15000</v>
      </c>
      <c r="F1961" s="165" t="s">
        <v>5960</v>
      </c>
    </row>
    <row r="1962" customFormat="false" ht="15" hidden="false" customHeight="true" outlineLevel="0" collapsed="false">
      <c r="A1962" s="163" t="s">
        <v>3033</v>
      </c>
      <c r="B1962" s="163" t="s">
        <v>2037</v>
      </c>
      <c r="C1962" s="163" t="s">
        <v>4287</v>
      </c>
      <c r="D1962" s="163" t="s">
        <v>4288</v>
      </c>
      <c r="E1962" s="164" t="n">
        <v>10000</v>
      </c>
      <c r="F1962" s="165" t="s">
        <v>5960</v>
      </c>
    </row>
    <row r="1963" customFormat="false" ht="15" hidden="false" customHeight="true" outlineLevel="0" collapsed="false">
      <c r="A1963" s="163" t="s">
        <v>3033</v>
      </c>
      <c r="B1963" s="163" t="s">
        <v>2037</v>
      </c>
      <c r="C1963" s="163" t="s">
        <v>4434</v>
      </c>
      <c r="D1963" s="163" t="s">
        <v>4435</v>
      </c>
      <c r="E1963" s="164" t="n">
        <v>5000</v>
      </c>
      <c r="F1963" s="165" t="s">
        <v>5960</v>
      </c>
    </row>
    <row r="1964" customFormat="false" ht="15" hidden="false" customHeight="true" outlineLevel="0" collapsed="false">
      <c r="A1964" s="163" t="s">
        <v>3033</v>
      </c>
      <c r="B1964" s="163" t="s">
        <v>894</v>
      </c>
      <c r="C1964" s="163" t="s">
        <v>5979</v>
      </c>
      <c r="D1964" s="163" t="s">
        <v>5980</v>
      </c>
      <c r="E1964" s="164" t="n">
        <v>28000</v>
      </c>
      <c r="F1964" s="165" t="s">
        <v>5960</v>
      </c>
    </row>
    <row r="1965" customFormat="false" ht="15" hidden="false" customHeight="true" outlineLevel="0" collapsed="false">
      <c r="A1965" s="163" t="s">
        <v>3033</v>
      </c>
      <c r="B1965" s="163" t="s">
        <v>894</v>
      </c>
      <c r="C1965" s="163" t="s">
        <v>5957</v>
      </c>
      <c r="D1965" s="163" t="s">
        <v>5958</v>
      </c>
      <c r="E1965" s="164" t="n">
        <v>23000</v>
      </c>
      <c r="F1965" s="165" t="s">
        <v>5960</v>
      </c>
    </row>
    <row r="1966" customFormat="false" ht="15" hidden="false" customHeight="true" outlineLevel="0" collapsed="false">
      <c r="A1966" s="163" t="s">
        <v>3033</v>
      </c>
      <c r="B1966" s="163" t="s">
        <v>894</v>
      </c>
      <c r="C1966" s="163" t="s">
        <v>6019</v>
      </c>
      <c r="D1966" s="163" t="s">
        <v>6020</v>
      </c>
      <c r="E1966" s="164" t="n">
        <v>20000</v>
      </c>
      <c r="F1966" s="165" t="s">
        <v>6032</v>
      </c>
    </row>
    <row r="1967" customFormat="false" ht="15" hidden="false" customHeight="true" outlineLevel="0" collapsed="false">
      <c r="A1967" s="163" t="s">
        <v>3033</v>
      </c>
      <c r="B1967" s="163" t="s">
        <v>894</v>
      </c>
      <c r="C1967" s="163" t="s">
        <v>6033</v>
      </c>
      <c r="D1967" s="163" t="s">
        <v>6034</v>
      </c>
      <c r="E1967" s="164" t="n">
        <v>16000</v>
      </c>
      <c r="F1967" s="165" t="s">
        <v>6035</v>
      </c>
    </row>
    <row r="1968" customFormat="false" ht="15" hidden="false" customHeight="true" outlineLevel="0" collapsed="false">
      <c r="A1968" s="163" t="s">
        <v>3033</v>
      </c>
      <c r="B1968" s="163" t="s">
        <v>894</v>
      </c>
      <c r="C1968" s="163" t="s">
        <v>4166</v>
      </c>
      <c r="D1968" s="163" t="s">
        <v>4167</v>
      </c>
      <c r="E1968" s="164" t="n">
        <v>15000</v>
      </c>
      <c r="F1968" s="165" t="s">
        <v>6036</v>
      </c>
    </row>
    <row r="1969" customFormat="false" ht="15" hidden="false" customHeight="true" outlineLevel="0" collapsed="false">
      <c r="A1969" s="163" t="s">
        <v>3033</v>
      </c>
      <c r="B1969" s="163" t="s">
        <v>894</v>
      </c>
      <c r="C1969" s="163" t="s">
        <v>5235</v>
      </c>
      <c r="D1969" s="163" t="s">
        <v>5236</v>
      </c>
      <c r="E1969" s="164" t="n">
        <v>15000</v>
      </c>
      <c r="F1969" s="165" t="s">
        <v>6037</v>
      </c>
    </row>
    <row r="1970" customFormat="false" ht="15" hidden="false" customHeight="true" outlineLevel="0" collapsed="false">
      <c r="A1970" s="163" t="s">
        <v>3033</v>
      </c>
      <c r="B1970" s="163" t="s">
        <v>894</v>
      </c>
      <c r="C1970" s="163" t="s">
        <v>197</v>
      </c>
      <c r="D1970" s="163" t="s">
        <v>1931</v>
      </c>
      <c r="E1970" s="164" t="n">
        <v>10000</v>
      </c>
      <c r="F1970" s="165" t="s">
        <v>6038</v>
      </c>
    </row>
    <row r="1971" customFormat="false" ht="15" hidden="false" customHeight="true" outlineLevel="0" collapsed="false">
      <c r="A1971" s="163" t="s">
        <v>3033</v>
      </c>
      <c r="B1971" s="163" t="s">
        <v>894</v>
      </c>
      <c r="C1971" s="163" t="s">
        <v>6039</v>
      </c>
      <c r="D1971" s="163" t="s">
        <v>6040</v>
      </c>
      <c r="E1971" s="164" t="n">
        <v>10000</v>
      </c>
      <c r="F1971" s="165" t="s">
        <v>6041</v>
      </c>
    </row>
    <row r="1972" customFormat="false" ht="15" hidden="false" customHeight="true" outlineLevel="0" collapsed="false">
      <c r="A1972" s="163" t="s">
        <v>3033</v>
      </c>
      <c r="B1972" s="163" t="s">
        <v>894</v>
      </c>
      <c r="C1972" s="163" t="s">
        <v>473</v>
      </c>
      <c r="D1972" s="163" t="s">
        <v>2764</v>
      </c>
      <c r="E1972" s="164" t="n">
        <v>10000</v>
      </c>
      <c r="F1972" s="165" t="s">
        <v>6042</v>
      </c>
    </row>
    <row r="1973" customFormat="false" ht="15" hidden="false" customHeight="true" outlineLevel="0" collapsed="false">
      <c r="A1973" s="163" t="s">
        <v>3033</v>
      </c>
      <c r="B1973" s="163" t="s">
        <v>894</v>
      </c>
      <c r="C1973" s="163" t="s">
        <v>6043</v>
      </c>
      <c r="D1973" s="163" t="s">
        <v>6044</v>
      </c>
      <c r="E1973" s="164" t="n">
        <v>10000</v>
      </c>
      <c r="F1973" s="165" t="s">
        <v>6045</v>
      </c>
    </row>
    <row r="1974" customFormat="false" ht="15" hidden="false" customHeight="true" outlineLevel="0" collapsed="false">
      <c r="A1974" s="163" t="s">
        <v>3033</v>
      </c>
      <c r="B1974" s="163" t="s">
        <v>894</v>
      </c>
      <c r="C1974" s="163" t="s">
        <v>3709</v>
      </c>
      <c r="D1974" s="163" t="s">
        <v>3710</v>
      </c>
      <c r="E1974" s="164" t="n">
        <v>10000</v>
      </c>
      <c r="F1974" s="165" t="s">
        <v>6046</v>
      </c>
    </row>
    <row r="1975" customFormat="false" ht="15" hidden="false" customHeight="true" outlineLevel="0" collapsed="false">
      <c r="A1975" s="163" t="s">
        <v>3033</v>
      </c>
      <c r="B1975" s="163" t="s">
        <v>894</v>
      </c>
      <c r="C1975" s="163" t="s">
        <v>3956</v>
      </c>
      <c r="D1975" s="163" t="s">
        <v>3957</v>
      </c>
      <c r="E1975" s="164" t="n">
        <v>10000</v>
      </c>
      <c r="F1975" s="165" t="s">
        <v>6047</v>
      </c>
    </row>
    <row r="1976" customFormat="false" ht="15" hidden="false" customHeight="true" outlineLevel="0" collapsed="false">
      <c r="A1976" s="163" t="s">
        <v>3033</v>
      </c>
      <c r="B1976" s="163" t="s">
        <v>894</v>
      </c>
      <c r="C1976" s="163" t="s">
        <v>6048</v>
      </c>
      <c r="D1976" s="163" t="s">
        <v>6049</v>
      </c>
      <c r="E1976" s="164" t="n">
        <v>10000</v>
      </c>
      <c r="F1976" s="165" t="s">
        <v>6050</v>
      </c>
    </row>
    <row r="1977" customFormat="false" ht="15" hidden="false" customHeight="true" outlineLevel="0" collapsed="false">
      <c r="A1977" s="163" t="s">
        <v>3033</v>
      </c>
      <c r="B1977" s="163" t="s">
        <v>894</v>
      </c>
      <c r="C1977" s="163" t="s">
        <v>6051</v>
      </c>
      <c r="D1977" s="163" t="s">
        <v>6052</v>
      </c>
      <c r="E1977" s="164" t="n">
        <v>10000</v>
      </c>
      <c r="F1977" s="165" t="s">
        <v>6053</v>
      </c>
    </row>
    <row r="1978" customFormat="false" ht="15" hidden="false" customHeight="true" outlineLevel="0" collapsed="false">
      <c r="A1978" s="163" t="s">
        <v>3033</v>
      </c>
      <c r="B1978" s="163" t="s">
        <v>894</v>
      </c>
      <c r="C1978" s="163" t="s">
        <v>6048</v>
      </c>
      <c r="D1978" s="163" t="s">
        <v>6049</v>
      </c>
      <c r="E1978" s="164" t="n">
        <v>10000</v>
      </c>
      <c r="F1978" s="165" t="s">
        <v>6054</v>
      </c>
    </row>
    <row r="1979" customFormat="false" ht="15" hidden="false" customHeight="true" outlineLevel="0" collapsed="false">
      <c r="A1979" s="163" t="s">
        <v>3033</v>
      </c>
      <c r="B1979" s="163" t="s">
        <v>894</v>
      </c>
      <c r="C1979" s="163" t="s">
        <v>4191</v>
      </c>
      <c r="D1979" s="163" t="s">
        <v>4192</v>
      </c>
      <c r="E1979" s="164" t="n">
        <v>7500</v>
      </c>
      <c r="F1979" s="165" t="s">
        <v>6055</v>
      </c>
    </row>
    <row r="1980" customFormat="false" ht="15" hidden="false" customHeight="true" outlineLevel="0" collapsed="false">
      <c r="A1980" s="163" t="s">
        <v>3033</v>
      </c>
      <c r="B1980" s="163" t="s">
        <v>894</v>
      </c>
      <c r="C1980" s="163" t="s">
        <v>3877</v>
      </c>
      <c r="D1980" s="163" t="s">
        <v>3878</v>
      </c>
      <c r="E1980" s="164" t="n">
        <v>5500</v>
      </c>
      <c r="F1980" s="165" t="s">
        <v>6056</v>
      </c>
    </row>
    <row r="1981" customFormat="false" ht="15" hidden="false" customHeight="true" outlineLevel="0" collapsed="false">
      <c r="A1981" s="163" t="s">
        <v>3033</v>
      </c>
      <c r="B1981" s="163" t="s">
        <v>894</v>
      </c>
      <c r="C1981" s="163" t="s">
        <v>2949</v>
      </c>
      <c r="D1981" s="163" t="s">
        <v>2950</v>
      </c>
      <c r="E1981" s="164" t="n">
        <v>5000</v>
      </c>
      <c r="F1981" s="165" t="s">
        <v>6057</v>
      </c>
    </row>
    <row r="1982" customFormat="false" ht="15" hidden="false" customHeight="true" outlineLevel="0" collapsed="false">
      <c r="A1982" s="163" t="s">
        <v>3033</v>
      </c>
      <c r="B1982" s="163" t="s">
        <v>894</v>
      </c>
      <c r="C1982" s="163" t="s">
        <v>6058</v>
      </c>
      <c r="D1982" s="163" t="s">
        <v>6059</v>
      </c>
      <c r="E1982" s="164" t="n">
        <v>5000</v>
      </c>
      <c r="F1982" s="165" t="s">
        <v>6060</v>
      </c>
    </row>
    <row r="1983" customFormat="false" ht="15" hidden="false" customHeight="true" outlineLevel="0" collapsed="false">
      <c r="A1983" s="163" t="s">
        <v>3033</v>
      </c>
      <c r="B1983" s="163" t="s">
        <v>894</v>
      </c>
      <c r="C1983" s="163" t="s">
        <v>6061</v>
      </c>
      <c r="D1983" s="163" t="s">
        <v>6062</v>
      </c>
      <c r="E1983" s="164" t="n">
        <v>5000</v>
      </c>
      <c r="F1983" s="165" t="s">
        <v>5960</v>
      </c>
    </row>
    <row r="1984" customFormat="false" ht="15" hidden="false" customHeight="true" outlineLevel="0" collapsed="false">
      <c r="A1984" s="163" t="s">
        <v>3033</v>
      </c>
      <c r="B1984" s="163" t="s">
        <v>894</v>
      </c>
      <c r="C1984" s="163" t="s">
        <v>6063</v>
      </c>
      <c r="D1984" s="163" t="s">
        <v>6064</v>
      </c>
      <c r="E1984" s="164" t="n">
        <v>5000</v>
      </c>
      <c r="F1984" s="165" t="s">
        <v>6065</v>
      </c>
    </row>
    <row r="1985" customFormat="false" ht="15" hidden="false" customHeight="true" outlineLevel="0" collapsed="false">
      <c r="A1985" s="163" t="s">
        <v>3033</v>
      </c>
      <c r="B1985" s="163" t="s">
        <v>894</v>
      </c>
      <c r="C1985" s="163" t="s">
        <v>5205</v>
      </c>
      <c r="D1985" s="163" t="s">
        <v>5206</v>
      </c>
      <c r="E1985" s="164" t="n">
        <v>5000</v>
      </c>
      <c r="F1985" s="165" t="s">
        <v>6066</v>
      </c>
    </row>
    <row r="1986" customFormat="false" ht="15" hidden="false" customHeight="true" outlineLevel="0" collapsed="false">
      <c r="A1986" s="163" t="s">
        <v>3033</v>
      </c>
      <c r="B1986" s="163" t="s">
        <v>894</v>
      </c>
      <c r="C1986" s="163" t="s">
        <v>6067</v>
      </c>
      <c r="D1986" s="163" t="s">
        <v>6068</v>
      </c>
      <c r="E1986" s="164" t="n">
        <v>5000</v>
      </c>
      <c r="F1986" s="165" t="s">
        <v>6069</v>
      </c>
    </row>
    <row r="1987" customFormat="false" ht="15" hidden="false" customHeight="true" outlineLevel="0" collapsed="false">
      <c r="A1987" s="163" t="s">
        <v>3033</v>
      </c>
      <c r="B1987" s="163" t="s">
        <v>894</v>
      </c>
      <c r="C1987" s="163" t="s">
        <v>5858</v>
      </c>
      <c r="D1987" s="163" t="s">
        <v>5859</v>
      </c>
      <c r="E1987" s="164" t="n">
        <v>5000</v>
      </c>
      <c r="F1987" s="165" t="s">
        <v>6070</v>
      </c>
    </row>
    <row r="1988" customFormat="false" ht="15" hidden="false" customHeight="true" outlineLevel="0" collapsed="false">
      <c r="A1988" s="163" t="s">
        <v>3033</v>
      </c>
      <c r="B1988" s="163" t="s">
        <v>894</v>
      </c>
      <c r="C1988" s="163" t="s">
        <v>6071</v>
      </c>
      <c r="D1988" s="163" t="s">
        <v>6072</v>
      </c>
      <c r="E1988" s="164" t="n">
        <v>5000</v>
      </c>
      <c r="F1988" s="165" t="s">
        <v>6073</v>
      </c>
    </row>
    <row r="1989" customFormat="false" ht="15" hidden="false" customHeight="true" outlineLevel="0" collapsed="false">
      <c r="A1989" s="163" t="s">
        <v>3033</v>
      </c>
      <c r="B1989" s="163" t="s">
        <v>894</v>
      </c>
      <c r="C1989" s="163" t="s">
        <v>273</v>
      </c>
      <c r="D1989" s="163" t="s">
        <v>1891</v>
      </c>
      <c r="E1989" s="164" t="n">
        <v>5000</v>
      </c>
      <c r="F1989" s="165" t="s">
        <v>6074</v>
      </c>
    </row>
    <row r="1990" customFormat="false" ht="15" hidden="false" customHeight="true" outlineLevel="0" collapsed="false">
      <c r="A1990" s="163" t="s">
        <v>3033</v>
      </c>
      <c r="B1990" s="163" t="s">
        <v>894</v>
      </c>
      <c r="C1990" s="163" t="s">
        <v>6075</v>
      </c>
      <c r="D1990" s="163" t="s">
        <v>6076</v>
      </c>
      <c r="E1990" s="164" t="n">
        <v>5000</v>
      </c>
      <c r="F1990" s="165" t="s">
        <v>6077</v>
      </c>
    </row>
    <row r="1991" customFormat="false" ht="15" hidden="false" customHeight="true" outlineLevel="0" collapsed="false">
      <c r="A1991" s="163" t="s">
        <v>3033</v>
      </c>
      <c r="B1991" s="163" t="s">
        <v>894</v>
      </c>
      <c r="C1991" s="163" t="s">
        <v>6078</v>
      </c>
      <c r="D1991" s="163" t="s">
        <v>6079</v>
      </c>
      <c r="E1991" s="164" t="n">
        <v>5000</v>
      </c>
      <c r="F1991" s="165" t="s">
        <v>6080</v>
      </c>
    </row>
    <row r="1992" customFormat="false" ht="15" hidden="false" customHeight="true" outlineLevel="0" collapsed="false">
      <c r="A1992" s="163" t="s">
        <v>3033</v>
      </c>
      <c r="B1992" s="163" t="s">
        <v>894</v>
      </c>
      <c r="C1992" s="163" t="s">
        <v>6081</v>
      </c>
      <c r="D1992" s="163" t="s">
        <v>6082</v>
      </c>
      <c r="E1992" s="164" t="n">
        <v>5000</v>
      </c>
      <c r="F1992" s="165" t="s">
        <v>6083</v>
      </c>
    </row>
    <row r="1993" customFormat="false" ht="15" hidden="false" customHeight="true" outlineLevel="0" collapsed="false">
      <c r="A1993" s="163" t="s">
        <v>3033</v>
      </c>
      <c r="B1993" s="163" t="s">
        <v>894</v>
      </c>
      <c r="C1993" s="163" t="s">
        <v>473</v>
      </c>
      <c r="D1993" s="163" t="s">
        <v>2764</v>
      </c>
      <c r="E1993" s="164" t="n">
        <v>5000</v>
      </c>
      <c r="F1993" s="165" t="s">
        <v>6084</v>
      </c>
    </row>
    <row r="1994" customFormat="false" ht="15" hidden="false" customHeight="true" outlineLevel="0" collapsed="false">
      <c r="A1994" s="163" t="s">
        <v>3033</v>
      </c>
      <c r="B1994" s="163" t="s">
        <v>894</v>
      </c>
      <c r="C1994" s="163" t="s">
        <v>6085</v>
      </c>
      <c r="D1994" s="163" t="s">
        <v>6086</v>
      </c>
      <c r="E1994" s="164" t="n">
        <v>5000</v>
      </c>
      <c r="F1994" s="165" t="s">
        <v>6087</v>
      </c>
    </row>
    <row r="1995" customFormat="false" ht="15" hidden="false" customHeight="true" outlineLevel="0" collapsed="false">
      <c r="A1995" s="163" t="s">
        <v>3033</v>
      </c>
      <c r="B1995" s="163" t="s">
        <v>894</v>
      </c>
      <c r="C1995" s="163" t="s">
        <v>6088</v>
      </c>
      <c r="D1995" s="163" t="s">
        <v>6089</v>
      </c>
      <c r="E1995" s="164" t="n">
        <v>5000</v>
      </c>
      <c r="F1995" s="165" t="s">
        <v>6090</v>
      </c>
    </row>
    <row r="1996" customFormat="false" ht="15" hidden="false" customHeight="true" outlineLevel="0" collapsed="false">
      <c r="A1996" s="163" t="s">
        <v>3033</v>
      </c>
      <c r="B1996" s="163" t="s">
        <v>894</v>
      </c>
      <c r="C1996" s="163" t="s">
        <v>5968</v>
      </c>
      <c r="D1996" s="163" t="s">
        <v>5969</v>
      </c>
      <c r="E1996" s="164" t="n">
        <v>5000</v>
      </c>
      <c r="F1996" s="165" t="s">
        <v>6091</v>
      </c>
    </row>
    <row r="1997" customFormat="false" ht="15" hidden="false" customHeight="true" outlineLevel="0" collapsed="false">
      <c r="A1997" s="163" t="s">
        <v>3033</v>
      </c>
      <c r="B1997" s="163" t="s">
        <v>894</v>
      </c>
      <c r="C1997" s="163" t="s">
        <v>6092</v>
      </c>
      <c r="D1997" s="163" t="s">
        <v>6093</v>
      </c>
      <c r="E1997" s="164" t="n">
        <v>5000</v>
      </c>
      <c r="F1997" s="165" t="s">
        <v>5960</v>
      </c>
    </row>
    <row r="1998" customFormat="false" ht="15" hidden="false" customHeight="true" outlineLevel="0" collapsed="false">
      <c r="A1998" s="163" t="s">
        <v>3033</v>
      </c>
      <c r="B1998" s="163" t="s">
        <v>894</v>
      </c>
      <c r="C1998" s="163" t="s">
        <v>6022</v>
      </c>
      <c r="D1998" s="163" t="s">
        <v>6023</v>
      </c>
      <c r="E1998" s="164" t="n">
        <v>5000</v>
      </c>
      <c r="F1998" s="165" t="s">
        <v>6087</v>
      </c>
    </row>
    <row r="1999" customFormat="false" ht="15" hidden="false" customHeight="true" outlineLevel="0" collapsed="false">
      <c r="A1999" s="163" t="s">
        <v>3033</v>
      </c>
      <c r="B1999" s="163" t="s">
        <v>894</v>
      </c>
      <c r="C1999" s="163" t="s">
        <v>6094</v>
      </c>
      <c r="D1999" s="163" t="s">
        <v>6095</v>
      </c>
      <c r="E1999" s="164" t="n">
        <v>5000</v>
      </c>
      <c r="F1999" s="165" t="s">
        <v>5960</v>
      </c>
    </row>
    <row r="2000" customFormat="false" ht="15" hidden="false" customHeight="true" outlineLevel="0" collapsed="false">
      <c r="A2000" s="163" t="s">
        <v>3033</v>
      </c>
      <c r="B2000" s="163" t="s">
        <v>894</v>
      </c>
      <c r="C2000" s="163" t="s">
        <v>6096</v>
      </c>
      <c r="D2000" s="163" t="s">
        <v>1931</v>
      </c>
      <c r="E2000" s="164" t="n">
        <v>5000</v>
      </c>
      <c r="F2000" s="165" t="s">
        <v>6097</v>
      </c>
    </row>
    <row r="2001" customFormat="false" ht="15" hidden="false" customHeight="true" outlineLevel="0" collapsed="false">
      <c r="A2001" s="163" t="s">
        <v>3033</v>
      </c>
      <c r="B2001" s="163" t="s">
        <v>894</v>
      </c>
      <c r="C2001" s="163" t="s">
        <v>6098</v>
      </c>
      <c r="D2001" s="163" t="s">
        <v>1931</v>
      </c>
      <c r="E2001" s="164" t="n">
        <v>5000</v>
      </c>
      <c r="F2001" s="165" t="s">
        <v>6097</v>
      </c>
    </row>
    <row r="2002" customFormat="false" ht="15" hidden="false" customHeight="true" outlineLevel="0" collapsed="false">
      <c r="A2002" s="163" t="s">
        <v>3033</v>
      </c>
      <c r="B2002" s="163" t="s">
        <v>894</v>
      </c>
      <c r="C2002" s="163" t="s">
        <v>6099</v>
      </c>
      <c r="D2002" s="163" t="s">
        <v>6100</v>
      </c>
      <c r="E2002" s="164" t="n">
        <v>5000</v>
      </c>
      <c r="F2002" s="165" t="s">
        <v>6101</v>
      </c>
    </row>
    <row r="2003" customFormat="false" ht="15" hidden="false" customHeight="true" outlineLevel="0" collapsed="false">
      <c r="A2003" s="163" t="s">
        <v>3033</v>
      </c>
      <c r="B2003" s="163" t="s">
        <v>894</v>
      </c>
      <c r="C2003" s="163" t="s">
        <v>6102</v>
      </c>
      <c r="D2003" s="163" t="s">
        <v>6103</v>
      </c>
      <c r="E2003" s="164" t="n">
        <v>5000</v>
      </c>
      <c r="F2003" s="165" t="s">
        <v>6104</v>
      </c>
    </row>
    <row r="2004" customFormat="false" ht="15" hidden="false" customHeight="true" outlineLevel="0" collapsed="false">
      <c r="A2004" s="163" t="s">
        <v>3033</v>
      </c>
      <c r="B2004" s="163" t="s">
        <v>894</v>
      </c>
      <c r="C2004" s="163" t="s">
        <v>3831</v>
      </c>
      <c r="D2004" s="163" t="s">
        <v>3832</v>
      </c>
      <c r="E2004" s="164" t="n">
        <v>5000</v>
      </c>
      <c r="F2004" s="165" t="s">
        <v>6105</v>
      </c>
    </row>
    <row r="2005" customFormat="false" ht="15" hidden="false" customHeight="true" outlineLevel="0" collapsed="false">
      <c r="A2005" s="163" t="s">
        <v>3033</v>
      </c>
      <c r="B2005" s="163" t="s">
        <v>894</v>
      </c>
      <c r="C2005" s="163" t="s">
        <v>6106</v>
      </c>
      <c r="D2005" s="163" t="s">
        <v>6107</v>
      </c>
      <c r="E2005" s="164" t="n">
        <v>5000</v>
      </c>
      <c r="F2005" s="165" t="s">
        <v>6108</v>
      </c>
    </row>
    <row r="2006" customFormat="false" ht="15" hidden="false" customHeight="true" outlineLevel="0" collapsed="false">
      <c r="A2006" s="163" t="s">
        <v>3033</v>
      </c>
      <c r="B2006" s="163" t="s">
        <v>894</v>
      </c>
      <c r="C2006" s="163" t="s">
        <v>6109</v>
      </c>
      <c r="D2006" s="163" t="s">
        <v>6110</v>
      </c>
      <c r="E2006" s="164" t="n">
        <v>5000</v>
      </c>
      <c r="F2006" s="165" t="s">
        <v>5960</v>
      </c>
    </row>
    <row r="2007" customFormat="false" ht="15" hidden="false" customHeight="true" outlineLevel="0" collapsed="false">
      <c r="A2007" s="163" t="s">
        <v>3033</v>
      </c>
      <c r="B2007" s="163" t="s">
        <v>894</v>
      </c>
      <c r="C2007" s="163" t="s">
        <v>5171</v>
      </c>
      <c r="D2007" s="163" t="s">
        <v>5172</v>
      </c>
      <c r="E2007" s="164" t="n">
        <v>5000</v>
      </c>
      <c r="F2007" s="165" t="s">
        <v>6111</v>
      </c>
    </row>
    <row r="2008" customFormat="false" ht="15" hidden="false" customHeight="true" outlineLevel="0" collapsed="false">
      <c r="A2008" s="163" t="s">
        <v>3033</v>
      </c>
      <c r="B2008" s="163" t="s">
        <v>894</v>
      </c>
      <c r="C2008" s="163" t="s">
        <v>3116</v>
      </c>
      <c r="D2008" s="163" t="s">
        <v>3117</v>
      </c>
      <c r="E2008" s="164" t="n">
        <v>5000</v>
      </c>
      <c r="F2008" s="165" t="s">
        <v>6112</v>
      </c>
    </row>
    <row r="2009" customFormat="false" ht="15" hidden="false" customHeight="true" outlineLevel="0" collapsed="false">
      <c r="A2009" s="163" t="s">
        <v>3033</v>
      </c>
      <c r="B2009" s="163" t="s">
        <v>894</v>
      </c>
      <c r="C2009" s="163" t="s">
        <v>6113</v>
      </c>
      <c r="D2009" s="163" t="s">
        <v>6114</v>
      </c>
      <c r="E2009" s="164" t="n">
        <v>5000</v>
      </c>
      <c r="F2009" s="165" t="s">
        <v>5960</v>
      </c>
    </row>
    <row r="2010" customFormat="false" ht="15" hidden="false" customHeight="true" outlineLevel="0" collapsed="false">
      <c r="A2010" s="163" t="s">
        <v>3033</v>
      </c>
      <c r="B2010" s="163" t="s">
        <v>894</v>
      </c>
      <c r="C2010" s="163" t="s">
        <v>974</v>
      </c>
      <c r="D2010" s="163" t="s">
        <v>1931</v>
      </c>
      <c r="E2010" s="164" t="n">
        <v>5000</v>
      </c>
      <c r="F2010" s="165" t="s">
        <v>6115</v>
      </c>
    </row>
    <row r="2011" customFormat="false" ht="15" hidden="false" customHeight="true" outlineLevel="0" collapsed="false">
      <c r="A2011" s="163" t="s">
        <v>3033</v>
      </c>
      <c r="B2011" s="163" t="s">
        <v>894</v>
      </c>
      <c r="C2011" s="163" t="s">
        <v>6116</v>
      </c>
      <c r="D2011" s="163" t="s">
        <v>1931</v>
      </c>
      <c r="E2011" s="164" t="n">
        <v>3500</v>
      </c>
      <c r="F2011" s="165" t="s">
        <v>3060</v>
      </c>
    </row>
    <row r="2012" customFormat="false" ht="15" hidden="false" customHeight="true" outlineLevel="0" collapsed="false">
      <c r="A2012" s="163" t="s">
        <v>3033</v>
      </c>
      <c r="B2012" s="163" t="s">
        <v>894</v>
      </c>
      <c r="C2012" s="163" t="s">
        <v>6117</v>
      </c>
      <c r="D2012" s="163" t="s">
        <v>1931</v>
      </c>
      <c r="E2012" s="164" t="n">
        <v>3500</v>
      </c>
      <c r="F2012" s="165" t="s">
        <v>3060</v>
      </c>
    </row>
    <row r="2013" customFormat="false" ht="15" hidden="false" customHeight="true" outlineLevel="0" collapsed="false">
      <c r="A2013" s="163" t="s">
        <v>3033</v>
      </c>
      <c r="B2013" s="163" t="s">
        <v>894</v>
      </c>
      <c r="C2013" s="163" t="s">
        <v>3219</v>
      </c>
      <c r="D2013" s="163" t="s">
        <v>3220</v>
      </c>
      <c r="E2013" s="164" t="n">
        <v>2750</v>
      </c>
      <c r="F2013" s="165" t="s">
        <v>5985</v>
      </c>
    </row>
    <row r="2014" customFormat="false" ht="15" hidden="false" customHeight="true" outlineLevel="0" collapsed="false">
      <c r="A2014" s="163" t="s">
        <v>3033</v>
      </c>
      <c r="B2014" s="163" t="s">
        <v>894</v>
      </c>
      <c r="C2014" s="163" t="s">
        <v>925</v>
      </c>
      <c r="D2014" s="163" t="s">
        <v>1931</v>
      </c>
      <c r="E2014" s="164" t="n">
        <v>2000</v>
      </c>
      <c r="F2014" s="165" t="s">
        <v>6118</v>
      </c>
    </row>
    <row r="2015" customFormat="false" ht="15" hidden="false" customHeight="true" outlineLevel="0" collapsed="false">
      <c r="A2015" s="163" t="s">
        <v>3033</v>
      </c>
      <c r="B2015" s="163" t="s">
        <v>894</v>
      </c>
      <c r="C2015" s="163" t="s">
        <v>925</v>
      </c>
      <c r="D2015" s="163" t="s">
        <v>1931</v>
      </c>
      <c r="E2015" s="164" t="n">
        <v>2000</v>
      </c>
      <c r="F2015" s="165" t="s">
        <v>6119</v>
      </c>
    </row>
    <row r="2016" customFormat="false" ht="15" hidden="false" customHeight="true" outlineLevel="0" collapsed="false">
      <c r="A2016" s="163" t="s">
        <v>3033</v>
      </c>
      <c r="B2016" s="163" t="s">
        <v>894</v>
      </c>
      <c r="C2016" s="163" t="s">
        <v>925</v>
      </c>
      <c r="D2016" s="163" t="s">
        <v>1931</v>
      </c>
      <c r="E2016" s="164" t="n">
        <v>2000</v>
      </c>
      <c r="F2016" s="165" t="s">
        <v>6120</v>
      </c>
    </row>
    <row r="2017" customFormat="false" ht="15" hidden="false" customHeight="true" outlineLevel="0" collapsed="false">
      <c r="A2017" s="163" t="s">
        <v>3033</v>
      </c>
      <c r="B2017" s="163" t="s">
        <v>894</v>
      </c>
      <c r="C2017" s="163" t="s">
        <v>974</v>
      </c>
      <c r="D2017" s="163" t="s">
        <v>1931</v>
      </c>
      <c r="E2017" s="164" t="n">
        <v>2000</v>
      </c>
      <c r="F2017" s="165" t="s">
        <v>6121</v>
      </c>
    </row>
    <row r="2018" customFormat="false" ht="15" hidden="false" customHeight="true" outlineLevel="0" collapsed="false">
      <c r="A2018" s="163" t="s">
        <v>3033</v>
      </c>
      <c r="B2018" s="163" t="s">
        <v>894</v>
      </c>
      <c r="C2018" s="163" t="s">
        <v>925</v>
      </c>
      <c r="D2018" s="163" t="s">
        <v>1931</v>
      </c>
      <c r="E2018" s="164" t="n">
        <v>1250</v>
      </c>
      <c r="F2018" s="165" t="s">
        <v>6122</v>
      </c>
    </row>
    <row r="2019" customFormat="false" ht="15" hidden="false" customHeight="true" outlineLevel="0" collapsed="false">
      <c r="A2019" s="163" t="s">
        <v>3033</v>
      </c>
      <c r="B2019" s="163" t="s">
        <v>894</v>
      </c>
      <c r="C2019" s="163" t="s">
        <v>925</v>
      </c>
      <c r="D2019" s="163" t="s">
        <v>1931</v>
      </c>
      <c r="E2019" s="164" t="n">
        <v>1250</v>
      </c>
      <c r="F2019" s="165" t="s">
        <v>6123</v>
      </c>
    </row>
    <row r="2020" customFormat="false" ht="15" hidden="false" customHeight="true" outlineLevel="0" collapsed="false">
      <c r="A2020" s="163" t="s">
        <v>3033</v>
      </c>
      <c r="B2020" s="163" t="s">
        <v>894</v>
      </c>
      <c r="C2020" s="163" t="s">
        <v>925</v>
      </c>
      <c r="D2020" s="163" t="s">
        <v>1931</v>
      </c>
      <c r="E2020" s="164" t="n">
        <v>1250</v>
      </c>
      <c r="F2020" s="165" t="s">
        <v>6124</v>
      </c>
    </row>
    <row r="2021" customFormat="false" ht="15" hidden="false" customHeight="true" outlineLevel="0" collapsed="false">
      <c r="A2021" s="163" t="s">
        <v>3033</v>
      </c>
      <c r="B2021" s="163" t="s">
        <v>894</v>
      </c>
      <c r="C2021" s="163" t="s">
        <v>925</v>
      </c>
      <c r="D2021" s="163" t="s">
        <v>1931</v>
      </c>
      <c r="E2021" s="164" t="n">
        <v>1250</v>
      </c>
      <c r="F2021" s="165" t="s">
        <v>6125</v>
      </c>
    </row>
    <row r="2022" customFormat="false" ht="15" hidden="false" customHeight="true" outlineLevel="0" collapsed="false">
      <c r="A2022" s="163" t="s">
        <v>3033</v>
      </c>
      <c r="B2022" s="163" t="s">
        <v>894</v>
      </c>
      <c r="C2022" s="163" t="s">
        <v>925</v>
      </c>
      <c r="D2022" s="163" t="s">
        <v>1931</v>
      </c>
      <c r="E2022" s="164" t="n">
        <v>1250</v>
      </c>
      <c r="F2022" s="165" t="s">
        <v>6126</v>
      </c>
    </row>
    <row r="2023" customFormat="false" ht="15" hidden="false" customHeight="true" outlineLevel="0" collapsed="false">
      <c r="A2023" s="163" t="s">
        <v>3033</v>
      </c>
      <c r="B2023" s="163" t="s">
        <v>894</v>
      </c>
      <c r="C2023" s="163" t="s">
        <v>925</v>
      </c>
      <c r="D2023" s="163" t="s">
        <v>1931</v>
      </c>
      <c r="E2023" s="164" t="n">
        <v>1250</v>
      </c>
      <c r="F2023" s="165" t="s">
        <v>6127</v>
      </c>
    </row>
    <row r="2024" customFormat="false" ht="15" hidden="false" customHeight="true" outlineLevel="0" collapsed="false">
      <c r="A2024" s="163" t="s">
        <v>3033</v>
      </c>
      <c r="B2024" s="163" t="s">
        <v>894</v>
      </c>
      <c r="C2024" s="163" t="s">
        <v>925</v>
      </c>
      <c r="D2024" s="163" t="s">
        <v>1931</v>
      </c>
      <c r="E2024" s="164" t="n">
        <v>1250</v>
      </c>
      <c r="F2024" s="165" t="s">
        <v>6128</v>
      </c>
    </row>
    <row r="2025" customFormat="false" ht="15" hidden="false" customHeight="true" outlineLevel="0" collapsed="false">
      <c r="A2025" s="163" t="s">
        <v>3033</v>
      </c>
      <c r="B2025" s="163" t="s">
        <v>894</v>
      </c>
      <c r="C2025" s="163" t="s">
        <v>925</v>
      </c>
      <c r="D2025" s="163" t="s">
        <v>1931</v>
      </c>
      <c r="E2025" s="164" t="n">
        <v>1250</v>
      </c>
      <c r="F2025" s="165" t="s">
        <v>6129</v>
      </c>
    </row>
    <row r="2026" customFormat="false" ht="15" hidden="false" customHeight="true" outlineLevel="0" collapsed="false">
      <c r="A2026" s="163" t="s">
        <v>3033</v>
      </c>
      <c r="B2026" s="163" t="s">
        <v>894</v>
      </c>
      <c r="C2026" s="163" t="s">
        <v>925</v>
      </c>
      <c r="D2026" s="163" t="s">
        <v>1931</v>
      </c>
      <c r="E2026" s="164" t="n">
        <v>1250</v>
      </c>
      <c r="F2026" s="165" t="s">
        <v>6130</v>
      </c>
    </row>
    <row r="2027" customFormat="false" ht="15" hidden="false" customHeight="true" outlineLevel="0" collapsed="false">
      <c r="A2027" s="163" t="s">
        <v>3033</v>
      </c>
      <c r="B2027" s="163" t="s">
        <v>894</v>
      </c>
      <c r="C2027" s="163" t="s">
        <v>2167</v>
      </c>
      <c r="D2027" s="163" t="s">
        <v>1931</v>
      </c>
      <c r="E2027" s="164" t="n">
        <v>1000</v>
      </c>
      <c r="F2027" s="165" t="s">
        <v>3060</v>
      </c>
    </row>
    <row r="2028" customFormat="false" ht="15" hidden="false" customHeight="true" outlineLevel="0" collapsed="false">
      <c r="A2028" s="163" t="s">
        <v>3033</v>
      </c>
      <c r="B2028" s="163" t="s">
        <v>882</v>
      </c>
      <c r="C2028" s="163" t="s">
        <v>2759</v>
      </c>
      <c r="D2028" s="163" t="s">
        <v>2760</v>
      </c>
      <c r="E2028" s="164" t="n">
        <v>100000</v>
      </c>
      <c r="F2028" s="165" t="s">
        <v>6131</v>
      </c>
    </row>
    <row r="2029" customFormat="false" ht="15" hidden="false" customHeight="true" outlineLevel="0" collapsed="false">
      <c r="A2029" s="163" t="s">
        <v>3033</v>
      </c>
      <c r="B2029" s="163" t="s">
        <v>882</v>
      </c>
      <c r="C2029" s="163" t="s">
        <v>640</v>
      </c>
      <c r="D2029" s="163" t="s">
        <v>1931</v>
      </c>
      <c r="E2029" s="164" t="n">
        <v>50000</v>
      </c>
      <c r="F2029" s="165" t="s">
        <v>6132</v>
      </c>
    </row>
    <row r="2030" customFormat="false" ht="15" hidden="false" customHeight="true" outlineLevel="0" collapsed="false">
      <c r="A2030" s="163" t="s">
        <v>3033</v>
      </c>
      <c r="B2030" s="163" t="s">
        <v>882</v>
      </c>
      <c r="C2030" s="163" t="s">
        <v>473</v>
      </c>
      <c r="D2030" s="163" t="s">
        <v>2764</v>
      </c>
      <c r="E2030" s="164" t="n">
        <v>40000</v>
      </c>
      <c r="F2030" s="165" t="s">
        <v>6133</v>
      </c>
    </row>
    <row r="2031" customFormat="false" ht="15" hidden="false" customHeight="true" outlineLevel="0" collapsed="false">
      <c r="A2031" s="163" t="s">
        <v>3033</v>
      </c>
      <c r="B2031" s="163" t="s">
        <v>882</v>
      </c>
      <c r="C2031" s="163" t="s">
        <v>197</v>
      </c>
      <c r="D2031" s="163" t="s">
        <v>1931</v>
      </c>
      <c r="E2031" s="164" t="n">
        <v>40000</v>
      </c>
      <c r="F2031" s="165" t="s">
        <v>5960</v>
      </c>
    </row>
    <row r="2032" customFormat="false" ht="15" hidden="false" customHeight="true" outlineLevel="0" collapsed="false">
      <c r="A2032" s="163" t="s">
        <v>3033</v>
      </c>
      <c r="B2032" s="163" t="s">
        <v>882</v>
      </c>
      <c r="C2032" s="163" t="s">
        <v>3709</v>
      </c>
      <c r="D2032" s="163" t="s">
        <v>3710</v>
      </c>
      <c r="E2032" s="164" t="n">
        <v>20000</v>
      </c>
      <c r="F2032" s="165" t="s">
        <v>5960</v>
      </c>
    </row>
    <row r="2033" customFormat="false" ht="15" hidden="false" customHeight="true" outlineLevel="0" collapsed="false">
      <c r="A2033" s="163" t="s">
        <v>3033</v>
      </c>
      <c r="B2033" s="163" t="s">
        <v>882</v>
      </c>
      <c r="C2033" s="163" t="s">
        <v>395</v>
      </c>
      <c r="D2033" s="163" t="s">
        <v>2196</v>
      </c>
      <c r="E2033" s="164" t="n">
        <v>10000</v>
      </c>
      <c r="F2033" s="165" t="s">
        <v>6134</v>
      </c>
    </row>
    <row r="2034" customFormat="false" ht="15" hidden="false" customHeight="true" outlineLevel="0" collapsed="false">
      <c r="A2034" s="163" t="s">
        <v>3033</v>
      </c>
      <c r="B2034" s="163" t="s">
        <v>2328</v>
      </c>
      <c r="C2034" s="163" t="s">
        <v>5957</v>
      </c>
      <c r="D2034" s="163" t="s">
        <v>5958</v>
      </c>
      <c r="E2034" s="164" t="n">
        <v>20000</v>
      </c>
      <c r="F2034" s="165" t="s">
        <v>6135</v>
      </c>
    </row>
    <row r="2035" customFormat="false" ht="15" hidden="false" customHeight="true" outlineLevel="0" collapsed="false">
      <c r="A2035" s="163" t="s">
        <v>3033</v>
      </c>
      <c r="B2035" s="163" t="s">
        <v>2328</v>
      </c>
      <c r="C2035" s="163" t="s">
        <v>3416</v>
      </c>
      <c r="D2035" s="163" t="s">
        <v>3417</v>
      </c>
      <c r="E2035" s="164" t="n">
        <v>20000</v>
      </c>
      <c r="F2035" s="165" t="s">
        <v>5960</v>
      </c>
    </row>
    <row r="2036" customFormat="false" ht="15" hidden="false" customHeight="true" outlineLevel="0" collapsed="false">
      <c r="A2036" s="163" t="s">
        <v>3033</v>
      </c>
      <c r="B2036" s="163" t="s">
        <v>2328</v>
      </c>
      <c r="C2036" s="163" t="s">
        <v>6019</v>
      </c>
      <c r="D2036" s="163" t="s">
        <v>6020</v>
      </c>
      <c r="E2036" s="164" t="n">
        <v>10000</v>
      </c>
      <c r="F2036" s="165" t="s">
        <v>6136</v>
      </c>
    </row>
    <row r="2037" customFormat="false" ht="15" hidden="false" customHeight="true" outlineLevel="0" collapsed="false">
      <c r="A2037" s="163" t="s">
        <v>3033</v>
      </c>
      <c r="B2037" s="163" t="s">
        <v>2342</v>
      </c>
      <c r="C2037" s="163" t="s">
        <v>197</v>
      </c>
      <c r="D2037" s="163" t="s">
        <v>1931</v>
      </c>
      <c r="E2037" s="164" t="n">
        <v>45000</v>
      </c>
      <c r="F2037" s="165" t="s">
        <v>5960</v>
      </c>
    </row>
    <row r="2038" customFormat="false" ht="15" hidden="false" customHeight="true" outlineLevel="0" collapsed="false">
      <c r="A2038" s="163" t="s">
        <v>3033</v>
      </c>
      <c r="B2038" s="163" t="s">
        <v>2342</v>
      </c>
      <c r="C2038" s="163" t="s">
        <v>230</v>
      </c>
      <c r="D2038" s="163" t="s">
        <v>2077</v>
      </c>
      <c r="E2038" s="164" t="n">
        <v>35000</v>
      </c>
      <c r="F2038" s="165" t="s">
        <v>6137</v>
      </c>
    </row>
    <row r="2039" customFormat="false" ht="15" hidden="false" customHeight="true" outlineLevel="0" collapsed="false">
      <c r="A2039" s="163" t="s">
        <v>3033</v>
      </c>
      <c r="B2039" s="163" t="s">
        <v>2342</v>
      </c>
      <c r="C2039" s="163" t="s">
        <v>4002</v>
      </c>
      <c r="D2039" s="163" t="s">
        <v>4003</v>
      </c>
      <c r="E2039" s="164" t="n">
        <v>10000</v>
      </c>
      <c r="F2039" s="165" t="s">
        <v>5960</v>
      </c>
    </row>
    <row r="2040" customFormat="false" ht="15" hidden="false" customHeight="true" outlineLevel="0" collapsed="false">
      <c r="A2040" s="163" t="s">
        <v>3033</v>
      </c>
      <c r="B2040" s="163" t="s">
        <v>2766</v>
      </c>
      <c r="C2040" s="163" t="s">
        <v>6078</v>
      </c>
      <c r="D2040" s="163" t="s">
        <v>6079</v>
      </c>
      <c r="E2040" s="164" t="n">
        <v>10000</v>
      </c>
      <c r="F2040" s="165" t="s">
        <v>6138</v>
      </c>
    </row>
    <row r="2041" customFormat="false" ht="15" hidden="false" customHeight="true" outlineLevel="0" collapsed="false">
      <c r="A2041" s="163" t="s">
        <v>3033</v>
      </c>
      <c r="B2041" s="163" t="s">
        <v>2766</v>
      </c>
      <c r="C2041" s="163" t="s">
        <v>6022</v>
      </c>
      <c r="D2041" s="163" t="s">
        <v>6023</v>
      </c>
      <c r="E2041" s="164" t="n">
        <v>10000</v>
      </c>
      <c r="F2041" s="165" t="s">
        <v>5960</v>
      </c>
    </row>
    <row r="2042" customFormat="false" ht="15" hidden="false" customHeight="true" outlineLevel="0" collapsed="false">
      <c r="A2042" s="163" t="s">
        <v>3033</v>
      </c>
      <c r="B2042" s="163" t="s">
        <v>2766</v>
      </c>
      <c r="C2042" s="163" t="s">
        <v>6106</v>
      </c>
      <c r="D2042" s="163" t="s">
        <v>6107</v>
      </c>
      <c r="E2042" s="164" t="n">
        <v>10000</v>
      </c>
      <c r="F2042" s="165" t="s">
        <v>5960</v>
      </c>
    </row>
    <row r="2043" customFormat="false" ht="15" hidden="false" customHeight="true" outlineLevel="0" collapsed="false">
      <c r="A2043" s="163" t="s">
        <v>3033</v>
      </c>
      <c r="B2043" s="163" t="s">
        <v>1743</v>
      </c>
      <c r="C2043" s="163" t="s">
        <v>5979</v>
      </c>
      <c r="D2043" s="163" t="s">
        <v>5980</v>
      </c>
      <c r="E2043" s="164" t="n">
        <v>50000</v>
      </c>
      <c r="F2043" s="165" t="s">
        <v>6139</v>
      </c>
    </row>
    <row r="2044" customFormat="false" ht="15" hidden="false" customHeight="true" outlineLevel="0" collapsed="false">
      <c r="A2044" s="163" t="s">
        <v>3033</v>
      </c>
      <c r="B2044" s="163" t="s">
        <v>1743</v>
      </c>
      <c r="C2044" s="163" t="s">
        <v>4191</v>
      </c>
      <c r="D2044" s="163" t="s">
        <v>4192</v>
      </c>
      <c r="E2044" s="164" t="n">
        <v>30000</v>
      </c>
      <c r="F2044" s="165" t="s">
        <v>6140</v>
      </c>
    </row>
    <row r="2045" customFormat="false" ht="15" hidden="false" customHeight="true" outlineLevel="0" collapsed="false">
      <c r="A2045" s="163" t="s">
        <v>3033</v>
      </c>
      <c r="B2045" s="163" t="s">
        <v>1743</v>
      </c>
      <c r="C2045" s="163" t="s">
        <v>6048</v>
      </c>
      <c r="D2045" s="163" t="s">
        <v>6049</v>
      </c>
      <c r="E2045" s="164" t="n">
        <v>30000</v>
      </c>
      <c r="F2045" s="165" t="s">
        <v>6141</v>
      </c>
    </row>
    <row r="2046" customFormat="false" ht="15" hidden="false" customHeight="true" outlineLevel="0" collapsed="false">
      <c r="A2046" s="163" t="s">
        <v>3033</v>
      </c>
      <c r="B2046" s="163" t="s">
        <v>1743</v>
      </c>
      <c r="C2046" s="163" t="s">
        <v>5973</v>
      </c>
      <c r="D2046" s="163" t="s">
        <v>5974</v>
      </c>
      <c r="E2046" s="164" t="n">
        <v>20000</v>
      </c>
      <c r="F2046" s="165" t="s">
        <v>6142</v>
      </c>
    </row>
    <row r="2047" customFormat="false" ht="15" hidden="false" customHeight="true" outlineLevel="0" collapsed="false">
      <c r="A2047" s="163" t="s">
        <v>3033</v>
      </c>
      <c r="B2047" s="163" t="s">
        <v>1743</v>
      </c>
      <c r="C2047" s="163" t="s">
        <v>5976</v>
      </c>
      <c r="D2047" s="163" t="s">
        <v>5977</v>
      </c>
      <c r="E2047" s="164" t="n">
        <v>10000</v>
      </c>
      <c r="F2047" s="165" t="s">
        <v>6143</v>
      </c>
    </row>
    <row r="2048" customFormat="false" ht="15" hidden="false" customHeight="true" outlineLevel="0" collapsed="false">
      <c r="A2048" s="163" t="s">
        <v>3033</v>
      </c>
      <c r="B2048" s="163" t="s">
        <v>1743</v>
      </c>
      <c r="C2048" s="163" t="s">
        <v>4420</v>
      </c>
      <c r="D2048" s="163" t="s">
        <v>4421</v>
      </c>
      <c r="E2048" s="164" t="n">
        <v>10000</v>
      </c>
      <c r="F2048" s="165" t="s">
        <v>6144</v>
      </c>
    </row>
    <row r="2049" customFormat="false" ht="15" hidden="false" customHeight="true" outlineLevel="0" collapsed="false">
      <c r="A2049" s="163" t="s">
        <v>3033</v>
      </c>
      <c r="B2049" s="163" t="s">
        <v>928</v>
      </c>
      <c r="C2049" s="163" t="s">
        <v>6048</v>
      </c>
      <c r="D2049" s="163" t="s">
        <v>6049</v>
      </c>
      <c r="E2049" s="164" t="n">
        <v>25000</v>
      </c>
      <c r="F2049" s="165" t="s">
        <v>6145</v>
      </c>
    </row>
    <row r="2050" customFormat="false" ht="15" hidden="false" customHeight="true" outlineLevel="0" collapsed="false">
      <c r="A2050" s="163" t="s">
        <v>3033</v>
      </c>
      <c r="B2050" s="163" t="s">
        <v>928</v>
      </c>
      <c r="C2050" s="163" t="s">
        <v>5142</v>
      </c>
      <c r="D2050" s="163" t="s">
        <v>5143</v>
      </c>
      <c r="E2050" s="164" t="n">
        <v>15000</v>
      </c>
      <c r="F2050" s="165" t="s">
        <v>6146</v>
      </c>
    </row>
    <row r="2051" customFormat="false" ht="15" hidden="false" customHeight="true" outlineLevel="0" collapsed="false">
      <c r="A2051" s="163" t="s">
        <v>3033</v>
      </c>
      <c r="B2051" s="163" t="s">
        <v>928</v>
      </c>
      <c r="C2051" s="163" t="s">
        <v>395</v>
      </c>
      <c r="D2051" s="163" t="s">
        <v>2196</v>
      </c>
      <c r="E2051" s="164" t="n">
        <v>15000</v>
      </c>
      <c r="F2051" s="165" t="s">
        <v>6147</v>
      </c>
    </row>
    <row r="2052" customFormat="false" ht="15" hidden="false" customHeight="true" outlineLevel="0" collapsed="false">
      <c r="A2052" s="163" t="s">
        <v>3033</v>
      </c>
      <c r="B2052" s="163" t="s">
        <v>928</v>
      </c>
      <c r="C2052" s="163" t="s">
        <v>3400</v>
      </c>
      <c r="D2052" s="163" t="s">
        <v>3401</v>
      </c>
      <c r="E2052" s="164" t="n">
        <v>13000</v>
      </c>
      <c r="F2052" s="165" t="s">
        <v>6148</v>
      </c>
    </row>
    <row r="2053" customFormat="false" ht="15" hidden="false" customHeight="true" outlineLevel="0" collapsed="false">
      <c r="A2053" s="163" t="s">
        <v>3033</v>
      </c>
      <c r="B2053" s="163" t="s">
        <v>928</v>
      </c>
      <c r="C2053" s="163" t="s">
        <v>4287</v>
      </c>
      <c r="D2053" s="163" t="s">
        <v>4288</v>
      </c>
      <c r="E2053" s="164" t="n">
        <v>10000</v>
      </c>
      <c r="F2053" s="165" t="s">
        <v>6149</v>
      </c>
    </row>
    <row r="2054" customFormat="false" ht="15" hidden="false" customHeight="true" outlineLevel="0" collapsed="false">
      <c r="A2054" s="163" t="s">
        <v>3033</v>
      </c>
      <c r="B2054" s="163" t="s">
        <v>928</v>
      </c>
      <c r="C2054" s="163" t="s">
        <v>3243</v>
      </c>
      <c r="D2054" s="163" t="s">
        <v>3244</v>
      </c>
      <c r="E2054" s="164" t="n">
        <v>8000</v>
      </c>
      <c r="F2054" s="165" t="s">
        <v>5960</v>
      </c>
    </row>
    <row r="2055" customFormat="false" ht="15" hidden="false" customHeight="true" outlineLevel="0" collapsed="false">
      <c r="A2055" s="163" t="s">
        <v>3033</v>
      </c>
      <c r="B2055" s="163" t="s">
        <v>928</v>
      </c>
      <c r="C2055" s="163" t="s">
        <v>5968</v>
      </c>
      <c r="D2055" s="163" t="s">
        <v>5969</v>
      </c>
      <c r="E2055" s="164" t="n">
        <v>8000</v>
      </c>
      <c r="F2055" s="165" t="s">
        <v>6150</v>
      </c>
    </row>
    <row r="2056" customFormat="false" ht="15" hidden="false" customHeight="true" outlineLevel="0" collapsed="false">
      <c r="A2056" s="163" t="s">
        <v>3033</v>
      </c>
      <c r="B2056" s="163" t="s">
        <v>928</v>
      </c>
      <c r="C2056" s="163" t="s">
        <v>5968</v>
      </c>
      <c r="D2056" s="163" t="s">
        <v>5969</v>
      </c>
      <c r="E2056" s="164" t="n">
        <v>6000</v>
      </c>
      <c r="F2056" s="165" t="s">
        <v>6151</v>
      </c>
    </row>
    <row r="2057" customFormat="false" ht="15" hidden="false" customHeight="true" outlineLevel="0" collapsed="false">
      <c r="A2057" s="163" t="s">
        <v>3033</v>
      </c>
      <c r="B2057" s="163" t="s">
        <v>928</v>
      </c>
      <c r="C2057" s="163" t="s">
        <v>3108</v>
      </c>
      <c r="D2057" s="163" t="s">
        <v>3109</v>
      </c>
      <c r="E2057" s="164" t="n">
        <v>5000</v>
      </c>
      <c r="F2057" s="165" t="s">
        <v>5960</v>
      </c>
    </row>
    <row r="2058" customFormat="false" ht="15" hidden="false" customHeight="true" outlineLevel="0" collapsed="false">
      <c r="A2058" s="163" t="s">
        <v>3033</v>
      </c>
      <c r="B2058" s="163" t="s">
        <v>928</v>
      </c>
      <c r="C2058" s="163" t="s">
        <v>3317</v>
      </c>
      <c r="D2058" s="163" t="s">
        <v>3318</v>
      </c>
      <c r="E2058" s="164" t="n">
        <v>5000</v>
      </c>
      <c r="F2058" s="165" t="s">
        <v>6152</v>
      </c>
    </row>
    <row r="2059" customFormat="false" ht="15" hidden="false" customHeight="true" outlineLevel="0" collapsed="false">
      <c r="A2059" s="163" t="s">
        <v>3033</v>
      </c>
      <c r="B2059" s="163" t="s">
        <v>928</v>
      </c>
      <c r="C2059" s="163" t="s">
        <v>1109</v>
      </c>
      <c r="D2059" s="163" t="s">
        <v>3755</v>
      </c>
      <c r="E2059" s="164" t="n">
        <v>5000</v>
      </c>
      <c r="F2059" s="165" t="s">
        <v>6153</v>
      </c>
    </row>
    <row r="2060" customFormat="false" ht="15" hidden="false" customHeight="true" outlineLevel="0" collapsed="false">
      <c r="A2060" s="163" t="s">
        <v>3033</v>
      </c>
      <c r="B2060" s="163" t="s">
        <v>928</v>
      </c>
      <c r="C2060" s="163" t="s">
        <v>6154</v>
      </c>
      <c r="D2060" s="163" t="s">
        <v>6155</v>
      </c>
      <c r="E2060" s="164" t="n">
        <v>5000</v>
      </c>
      <c r="F2060" s="165" t="s">
        <v>6156</v>
      </c>
    </row>
    <row r="2061" customFormat="false" ht="15" hidden="false" customHeight="true" outlineLevel="0" collapsed="false">
      <c r="A2061" s="163" t="s">
        <v>3033</v>
      </c>
      <c r="B2061" s="163" t="s">
        <v>928</v>
      </c>
      <c r="C2061" s="163" t="s">
        <v>6157</v>
      </c>
      <c r="D2061" s="163" t="s">
        <v>6158</v>
      </c>
      <c r="E2061" s="164" t="n">
        <v>5000</v>
      </c>
      <c r="F2061" s="165" t="s">
        <v>6159</v>
      </c>
    </row>
    <row r="2062" customFormat="false" ht="15" hidden="false" customHeight="true" outlineLevel="0" collapsed="false">
      <c r="A2062" s="163" t="s">
        <v>3033</v>
      </c>
      <c r="B2062" s="163" t="s">
        <v>928</v>
      </c>
      <c r="C2062" s="163" t="s">
        <v>5116</v>
      </c>
      <c r="D2062" s="163" t="s">
        <v>5117</v>
      </c>
      <c r="E2062" s="164" t="n">
        <v>5000</v>
      </c>
      <c r="F2062" s="165" t="s">
        <v>6160</v>
      </c>
    </row>
    <row r="2063" customFormat="false" ht="15" hidden="false" customHeight="true" outlineLevel="0" collapsed="false">
      <c r="A2063" s="163" t="s">
        <v>3033</v>
      </c>
      <c r="B2063" s="163" t="s">
        <v>928</v>
      </c>
      <c r="C2063" s="163" t="s">
        <v>6161</v>
      </c>
      <c r="D2063" s="163" t="s">
        <v>6162</v>
      </c>
      <c r="E2063" s="164" t="n">
        <v>5000</v>
      </c>
      <c r="F2063" s="165" t="s">
        <v>6163</v>
      </c>
    </row>
    <row r="2064" customFormat="false" ht="15" hidden="false" customHeight="true" outlineLevel="0" collapsed="false">
      <c r="A2064" s="163" t="s">
        <v>3033</v>
      </c>
      <c r="B2064" s="163" t="s">
        <v>928</v>
      </c>
      <c r="C2064" s="163" t="s">
        <v>6164</v>
      </c>
      <c r="D2064" s="163" t="s">
        <v>6165</v>
      </c>
      <c r="E2064" s="164" t="n">
        <v>5000</v>
      </c>
      <c r="F2064" s="165" t="s">
        <v>5960</v>
      </c>
    </row>
    <row r="2065" customFormat="false" ht="15" hidden="false" customHeight="true" outlineLevel="0" collapsed="false">
      <c r="A2065" s="163" t="s">
        <v>3033</v>
      </c>
      <c r="B2065" s="163" t="s">
        <v>928</v>
      </c>
      <c r="C2065" s="163" t="s">
        <v>6166</v>
      </c>
      <c r="D2065" s="163" t="s">
        <v>6167</v>
      </c>
      <c r="E2065" s="164" t="n">
        <v>5000</v>
      </c>
      <c r="F2065" s="165" t="s">
        <v>6168</v>
      </c>
    </row>
    <row r="2066" customFormat="false" ht="15" hidden="false" customHeight="true" outlineLevel="0" collapsed="false">
      <c r="A2066" s="163" t="s">
        <v>3033</v>
      </c>
      <c r="B2066" s="163" t="s">
        <v>928</v>
      </c>
      <c r="C2066" s="163" t="s">
        <v>6169</v>
      </c>
      <c r="D2066" s="163" t="s">
        <v>6170</v>
      </c>
      <c r="E2066" s="164" t="n">
        <v>5000</v>
      </c>
      <c r="F2066" s="165" t="s">
        <v>6171</v>
      </c>
    </row>
    <row r="2067" customFormat="false" ht="15" hidden="false" customHeight="true" outlineLevel="0" collapsed="false">
      <c r="A2067" s="163" t="s">
        <v>3045</v>
      </c>
      <c r="B2067" s="163" t="s">
        <v>957</v>
      </c>
      <c r="C2067" s="163" t="s">
        <v>4121</v>
      </c>
      <c r="D2067" s="163" t="s">
        <v>4122</v>
      </c>
      <c r="E2067" s="164" t="n">
        <v>25000</v>
      </c>
      <c r="F2067" s="165" t="s">
        <v>6172</v>
      </c>
    </row>
    <row r="2068" customFormat="false" ht="15" hidden="false" customHeight="true" outlineLevel="0" collapsed="false">
      <c r="A2068" s="163" t="s">
        <v>3045</v>
      </c>
      <c r="B2068" s="163" t="s">
        <v>957</v>
      </c>
      <c r="C2068" s="163" t="s">
        <v>3462</v>
      </c>
      <c r="D2068" s="163" t="s">
        <v>3463</v>
      </c>
      <c r="E2068" s="164" t="n">
        <v>20000</v>
      </c>
      <c r="F2068" s="165" t="s">
        <v>6173</v>
      </c>
    </row>
    <row r="2069" customFormat="false" ht="15" hidden="false" customHeight="true" outlineLevel="0" collapsed="false">
      <c r="A2069" s="163" t="s">
        <v>3045</v>
      </c>
      <c r="B2069" s="163" t="s">
        <v>957</v>
      </c>
      <c r="C2069" s="163" t="s">
        <v>1159</v>
      </c>
      <c r="D2069" s="163" t="s">
        <v>1936</v>
      </c>
      <c r="E2069" s="164" t="n">
        <v>20000</v>
      </c>
      <c r="F2069" s="165" t="s">
        <v>6174</v>
      </c>
    </row>
    <row r="2070" customFormat="false" ht="15" hidden="false" customHeight="true" outlineLevel="0" collapsed="false">
      <c r="A2070" s="163" t="s">
        <v>3045</v>
      </c>
      <c r="B2070" s="163" t="s">
        <v>957</v>
      </c>
      <c r="C2070" s="163" t="s">
        <v>5793</v>
      </c>
      <c r="D2070" s="163" t="s">
        <v>5794</v>
      </c>
      <c r="E2070" s="164" t="n">
        <v>15000</v>
      </c>
      <c r="F2070" s="165" t="s">
        <v>6175</v>
      </c>
    </row>
    <row r="2071" customFormat="false" ht="15" hidden="false" customHeight="true" outlineLevel="0" collapsed="false">
      <c r="A2071" s="163" t="s">
        <v>3045</v>
      </c>
      <c r="B2071" s="163" t="s">
        <v>957</v>
      </c>
      <c r="C2071" s="163" t="s">
        <v>6176</v>
      </c>
      <c r="D2071" s="163" t="s">
        <v>6177</v>
      </c>
      <c r="E2071" s="164" t="n">
        <v>15000</v>
      </c>
      <c r="F2071" s="165" t="s">
        <v>6178</v>
      </c>
    </row>
    <row r="2072" customFormat="false" ht="15" hidden="false" customHeight="true" outlineLevel="0" collapsed="false">
      <c r="A2072" s="163" t="s">
        <v>3045</v>
      </c>
      <c r="B2072" s="163" t="s">
        <v>957</v>
      </c>
      <c r="C2072" s="163" t="s">
        <v>3210</v>
      </c>
      <c r="D2072" s="163" t="s">
        <v>3211</v>
      </c>
      <c r="E2072" s="164" t="n">
        <v>15000</v>
      </c>
      <c r="F2072" s="165" t="s">
        <v>6179</v>
      </c>
    </row>
    <row r="2073" customFormat="false" ht="15" hidden="false" customHeight="true" outlineLevel="0" collapsed="false">
      <c r="A2073" s="163" t="s">
        <v>3045</v>
      </c>
      <c r="B2073" s="163" t="s">
        <v>945</v>
      </c>
      <c r="C2073" s="163" t="s">
        <v>4904</v>
      </c>
      <c r="D2073" s="163" t="s">
        <v>4905</v>
      </c>
      <c r="E2073" s="164" t="n">
        <v>20000</v>
      </c>
      <c r="F2073" s="165" t="s">
        <v>6180</v>
      </c>
    </row>
    <row r="2074" customFormat="false" ht="15" hidden="false" customHeight="true" outlineLevel="0" collapsed="false">
      <c r="A2074" s="163" t="s">
        <v>3045</v>
      </c>
      <c r="B2074" s="163" t="s">
        <v>945</v>
      </c>
      <c r="C2074" s="163" t="s">
        <v>3458</v>
      </c>
      <c r="D2074" s="163" t="s">
        <v>3459</v>
      </c>
      <c r="E2074" s="164" t="n">
        <v>20000</v>
      </c>
      <c r="F2074" s="165" t="s">
        <v>6181</v>
      </c>
    </row>
    <row r="2075" customFormat="false" ht="15" hidden="false" customHeight="true" outlineLevel="0" collapsed="false">
      <c r="A2075" s="163" t="s">
        <v>3045</v>
      </c>
      <c r="B2075" s="163" t="s">
        <v>945</v>
      </c>
      <c r="C2075" s="163" t="s">
        <v>4173</v>
      </c>
      <c r="D2075" s="163" t="s">
        <v>4174</v>
      </c>
      <c r="E2075" s="164" t="n">
        <v>10000</v>
      </c>
      <c r="F2075" s="165" t="s">
        <v>6182</v>
      </c>
    </row>
    <row r="2076" customFormat="false" ht="15" hidden="false" customHeight="true" outlineLevel="0" collapsed="false">
      <c r="A2076" s="163" t="s">
        <v>3045</v>
      </c>
      <c r="B2076" s="163" t="s">
        <v>945</v>
      </c>
      <c r="C2076" s="163" t="s">
        <v>4859</v>
      </c>
      <c r="D2076" s="163" t="s">
        <v>4860</v>
      </c>
      <c r="E2076" s="164" t="n">
        <v>8500</v>
      </c>
      <c r="F2076" s="165" t="s">
        <v>6180</v>
      </c>
    </row>
    <row r="2077" customFormat="false" ht="15" hidden="false" customHeight="true" outlineLevel="0" collapsed="false">
      <c r="A2077" s="163" t="s">
        <v>3045</v>
      </c>
      <c r="B2077" s="163" t="s">
        <v>945</v>
      </c>
      <c r="C2077" s="163" t="s">
        <v>4639</v>
      </c>
      <c r="D2077" s="163" t="s">
        <v>4640</v>
      </c>
      <c r="E2077" s="164" t="n">
        <v>6500</v>
      </c>
      <c r="F2077" s="165" t="s">
        <v>6183</v>
      </c>
    </row>
    <row r="2078" customFormat="false" ht="15" hidden="false" customHeight="true" outlineLevel="0" collapsed="false">
      <c r="A2078" s="163" t="s">
        <v>3045</v>
      </c>
      <c r="B2078" s="163" t="s">
        <v>945</v>
      </c>
      <c r="C2078" s="163" t="s">
        <v>5858</v>
      </c>
      <c r="D2078" s="163" t="s">
        <v>5859</v>
      </c>
      <c r="E2078" s="164" t="n">
        <v>5000</v>
      </c>
      <c r="F2078" s="165" t="s">
        <v>6184</v>
      </c>
    </row>
    <row r="2079" customFormat="false" ht="15" hidden="false" customHeight="true" outlineLevel="0" collapsed="false">
      <c r="A2079" s="163" t="s">
        <v>3045</v>
      </c>
      <c r="B2079" s="163" t="s">
        <v>945</v>
      </c>
      <c r="C2079" s="163" t="s">
        <v>6185</v>
      </c>
      <c r="D2079" s="163" t="s">
        <v>6186</v>
      </c>
      <c r="E2079" s="164" t="n">
        <v>5000</v>
      </c>
      <c r="F2079" s="165" t="s">
        <v>6180</v>
      </c>
    </row>
    <row r="2080" customFormat="false" ht="15" hidden="false" customHeight="true" outlineLevel="0" collapsed="false">
      <c r="A2080" s="163" t="s">
        <v>3045</v>
      </c>
      <c r="B2080" s="163" t="s">
        <v>3111</v>
      </c>
      <c r="C2080" s="163" t="s">
        <v>3980</v>
      </c>
      <c r="D2080" s="163" t="s">
        <v>3981</v>
      </c>
      <c r="E2080" s="164" t="n">
        <v>20000</v>
      </c>
      <c r="F2080" s="165" t="s">
        <v>6187</v>
      </c>
    </row>
    <row r="2081" customFormat="false" ht="15" hidden="false" customHeight="true" outlineLevel="0" collapsed="false">
      <c r="A2081" s="163" t="s">
        <v>3045</v>
      </c>
      <c r="B2081" s="163" t="s">
        <v>3111</v>
      </c>
      <c r="C2081" s="163" t="s">
        <v>3368</v>
      </c>
      <c r="D2081" s="163" t="s">
        <v>3369</v>
      </c>
      <c r="E2081" s="164" t="n">
        <v>20000</v>
      </c>
      <c r="F2081" s="165" t="s">
        <v>6188</v>
      </c>
    </row>
    <row r="2082" customFormat="false" ht="15" hidden="false" customHeight="true" outlineLevel="0" collapsed="false">
      <c r="A2082" s="163" t="s">
        <v>3045</v>
      </c>
      <c r="B2082" s="163" t="s">
        <v>3111</v>
      </c>
      <c r="C2082" s="163" t="s">
        <v>3202</v>
      </c>
      <c r="D2082" s="163" t="s">
        <v>3203</v>
      </c>
      <c r="E2082" s="164" t="n">
        <v>15000</v>
      </c>
      <c r="F2082" s="165" t="s">
        <v>6189</v>
      </c>
    </row>
    <row r="2083" customFormat="false" ht="15" hidden="false" customHeight="true" outlineLevel="0" collapsed="false">
      <c r="A2083" s="163" t="s">
        <v>3045</v>
      </c>
      <c r="B2083" s="163" t="s">
        <v>3111</v>
      </c>
      <c r="C2083" s="163" t="s">
        <v>1017</v>
      </c>
      <c r="D2083" s="163" t="s">
        <v>2698</v>
      </c>
      <c r="E2083" s="164" t="n">
        <v>15000</v>
      </c>
      <c r="F2083" s="165" t="s">
        <v>6180</v>
      </c>
    </row>
    <row r="2084" customFormat="false" ht="15" hidden="false" customHeight="true" outlineLevel="0" collapsed="false">
      <c r="A2084" s="163" t="s">
        <v>3045</v>
      </c>
      <c r="B2084" s="163" t="s">
        <v>3111</v>
      </c>
      <c r="C2084" s="163" t="s">
        <v>4173</v>
      </c>
      <c r="D2084" s="163" t="s">
        <v>4174</v>
      </c>
      <c r="E2084" s="164" t="n">
        <v>10000</v>
      </c>
      <c r="F2084" s="165" t="s">
        <v>6190</v>
      </c>
    </row>
    <row r="2085" customFormat="false" ht="15" hidden="false" customHeight="true" outlineLevel="0" collapsed="false">
      <c r="A2085" s="163" t="s">
        <v>3045</v>
      </c>
      <c r="B2085" s="163" t="s">
        <v>3111</v>
      </c>
      <c r="C2085" s="163" t="s">
        <v>3441</v>
      </c>
      <c r="D2085" s="163" t="s">
        <v>3442</v>
      </c>
      <c r="E2085" s="164" t="n">
        <v>10000</v>
      </c>
      <c r="F2085" s="165" t="s">
        <v>6191</v>
      </c>
    </row>
    <row r="2086" customFormat="false" ht="15" hidden="false" customHeight="true" outlineLevel="0" collapsed="false">
      <c r="A2086" s="163" t="s">
        <v>3045</v>
      </c>
      <c r="B2086" s="163" t="s">
        <v>3111</v>
      </c>
      <c r="C2086" s="163" t="s">
        <v>3498</v>
      </c>
      <c r="D2086" s="163" t="s">
        <v>3499</v>
      </c>
      <c r="E2086" s="164" t="n">
        <v>10000</v>
      </c>
      <c r="F2086" s="165" t="s">
        <v>6180</v>
      </c>
    </row>
    <row r="2087" customFormat="false" ht="15" hidden="false" customHeight="true" outlineLevel="0" collapsed="false">
      <c r="A2087" s="163" t="s">
        <v>3045</v>
      </c>
      <c r="B2087" s="163" t="s">
        <v>1938</v>
      </c>
      <c r="C2087" s="163" t="s">
        <v>3137</v>
      </c>
      <c r="D2087" s="163" t="s">
        <v>3138</v>
      </c>
      <c r="E2087" s="164" t="n">
        <v>20000</v>
      </c>
      <c r="F2087" s="165" t="s">
        <v>6192</v>
      </c>
    </row>
    <row r="2088" customFormat="false" ht="15" hidden="false" customHeight="true" outlineLevel="0" collapsed="false">
      <c r="A2088" s="163" t="s">
        <v>3045</v>
      </c>
      <c r="B2088" s="163" t="s">
        <v>1938</v>
      </c>
      <c r="C2088" s="163" t="s">
        <v>6193</v>
      </c>
      <c r="D2088" s="163" t="s">
        <v>6194</v>
      </c>
      <c r="E2088" s="164" t="n">
        <v>20000</v>
      </c>
      <c r="F2088" s="165" t="s">
        <v>6195</v>
      </c>
    </row>
    <row r="2089" customFormat="false" ht="15" hidden="false" customHeight="true" outlineLevel="0" collapsed="false">
      <c r="A2089" s="163" t="s">
        <v>3045</v>
      </c>
      <c r="B2089" s="163" t="s">
        <v>1938</v>
      </c>
      <c r="C2089" s="163" t="s">
        <v>6196</v>
      </c>
      <c r="D2089" s="163" t="s">
        <v>6197</v>
      </c>
      <c r="E2089" s="164" t="n">
        <v>20000</v>
      </c>
      <c r="F2089" s="165" t="s">
        <v>6198</v>
      </c>
    </row>
    <row r="2090" customFormat="false" ht="15" hidden="false" customHeight="true" outlineLevel="0" collapsed="false">
      <c r="A2090" s="163" t="s">
        <v>3045</v>
      </c>
      <c r="B2090" s="163" t="s">
        <v>1938</v>
      </c>
      <c r="C2090" s="163" t="s">
        <v>328</v>
      </c>
      <c r="D2090" s="163" t="s">
        <v>2660</v>
      </c>
      <c r="E2090" s="164" t="n">
        <v>20000</v>
      </c>
      <c r="F2090" s="165" t="s">
        <v>6199</v>
      </c>
    </row>
    <row r="2091" customFormat="false" ht="15" hidden="false" customHeight="true" outlineLevel="0" collapsed="false">
      <c r="A2091" s="163" t="s">
        <v>3045</v>
      </c>
      <c r="B2091" s="163" t="s">
        <v>1938</v>
      </c>
      <c r="C2091" s="163" t="s">
        <v>6200</v>
      </c>
      <c r="D2091" s="163" t="s">
        <v>6201</v>
      </c>
      <c r="E2091" s="164" t="n">
        <v>20000</v>
      </c>
      <c r="F2091" s="165" t="s">
        <v>6202</v>
      </c>
    </row>
    <row r="2092" customFormat="false" ht="15" hidden="false" customHeight="true" outlineLevel="0" collapsed="false">
      <c r="A2092" s="163" t="s">
        <v>3045</v>
      </c>
      <c r="B2092" s="163" t="s">
        <v>1938</v>
      </c>
      <c r="C2092" s="163" t="s">
        <v>6203</v>
      </c>
      <c r="D2092" s="163" t="s">
        <v>6204</v>
      </c>
      <c r="E2092" s="164" t="n">
        <v>20000</v>
      </c>
      <c r="F2092" s="165" t="s">
        <v>6205</v>
      </c>
    </row>
    <row r="2093" customFormat="false" ht="15" hidden="false" customHeight="true" outlineLevel="0" collapsed="false">
      <c r="A2093" s="163" t="s">
        <v>3045</v>
      </c>
      <c r="B2093" s="163" t="s">
        <v>1938</v>
      </c>
      <c r="C2093" s="163" t="s">
        <v>332</v>
      </c>
      <c r="D2093" s="163" t="s">
        <v>2673</v>
      </c>
      <c r="E2093" s="164" t="n">
        <v>20000</v>
      </c>
      <c r="F2093" s="165" t="s">
        <v>6206</v>
      </c>
    </row>
    <row r="2094" customFormat="false" ht="15" hidden="false" customHeight="true" outlineLevel="0" collapsed="false">
      <c r="A2094" s="163" t="s">
        <v>3045</v>
      </c>
      <c r="B2094" s="163" t="s">
        <v>1938</v>
      </c>
      <c r="C2094" s="163" t="s">
        <v>431</v>
      </c>
      <c r="D2094" s="163" t="s">
        <v>2678</v>
      </c>
      <c r="E2094" s="164" t="n">
        <v>20000</v>
      </c>
      <c r="F2094" s="165" t="s">
        <v>6207</v>
      </c>
    </row>
    <row r="2095" customFormat="false" ht="15" hidden="false" customHeight="true" outlineLevel="0" collapsed="false">
      <c r="A2095" s="163" t="s">
        <v>3045</v>
      </c>
      <c r="B2095" s="163" t="s">
        <v>1938</v>
      </c>
      <c r="C2095" s="163" t="s">
        <v>431</v>
      </c>
      <c r="D2095" s="163" t="s">
        <v>2678</v>
      </c>
      <c r="E2095" s="164" t="n">
        <v>20000</v>
      </c>
      <c r="F2095" s="165" t="s">
        <v>6208</v>
      </c>
    </row>
    <row r="2096" customFormat="false" ht="15" hidden="false" customHeight="true" outlineLevel="0" collapsed="false">
      <c r="A2096" s="163" t="s">
        <v>3045</v>
      </c>
      <c r="B2096" s="163" t="s">
        <v>1938</v>
      </c>
      <c r="C2096" s="163" t="s">
        <v>431</v>
      </c>
      <c r="D2096" s="163" t="s">
        <v>2678</v>
      </c>
      <c r="E2096" s="164" t="n">
        <v>20000</v>
      </c>
      <c r="F2096" s="165" t="s">
        <v>6209</v>
      </c>
    </row>
    <row r="2097" customFormat="false" ht="15" hidden="false" customHeight="true" outlineLevel="0" collapsed="false">
      <c r="A2097" s="163" t="s">
        <v>3045</v>
      </c>
      <c r="B2097" s="163" t="s">
        <v>1938</v>
      </c>
      <c r="C2097" s="163" t="s">
        <v>3406</v>
      </c>
      <c r="D2097" s="163" t="s">
        <v>3407</v>
      </c>
      <c r="E2097" s="164" t="n">
        <v>20000</v>
      </c>
      <c r="F2097" s="165" t="s">
        <v>6210</v>
      </c>
    </row>
    <row r="2098" customFormat="false" ht="15" hidden="false" customHeight="true" outlineLevel="0" collapsed="false">
      <c r="A2098" s="163" t="s">
        <v>3045</v>
      </c>
      <c r="B2098" s="163" t="s">
        <v>1938</v>
      </c>
      <c r="C2098" s="163" t="s">
        <v>3425</v>
      </c>
      <c r="D2098" s="163" t="s">
        <v>3426</v>
      </c>
      <c r="E2098" s="164" t="n">
        <v>20000</v>
      </c>
      <c r="F2098" s="165" t="s">
        <v>6211</v>
      </c>
    </row>
    <row r="2099" customFormat="false" ht="15" hidden="false" customHeight="true" outlineLevel="0" collapsed="false">
      <c r="A2099" s="163" t="s">
        <v>3045</v>
      </c>
      <c r="B2099" s="163" t="s">
        <v>1938</v>
      </c>
      <c r="C2099" s="163" t="s">
        <v>3835</v>
      </c>
      <c r="D2099" s="163" t="s">
        <v>3836</v>
      </c>
      <c r="E2099" s="164" t="n">
        <v>20000</v>
      </c>
      <c r="F2099" s="165" t="s">
        <v>6212</v>
      </c>
    </row>
    <row r="2100" customFormat="false" ht="15" hidden="false" customHeight="true" outlineLevel="0" collapsed="false">
      <c r="A2100" s="163" t="s">
        <v>3045</v>
      </c>
      <c r="B2100" s="163" t="s">
        <v>1938</v>
      </c>
      <c r="C2100" s="163" t="s">
        <v>4411</v>
      </c>
      <c r="D2100" s="163" t="s">
        <v>4412</v>
      </c>
      <c r="E2100" s="164" t="n">
        <v>20000</v>
      </c>
      <c r="F2100" s="165" t="s">
        <v>6213</v>
      </c>
    </row>
    <row r="2101" customFormat="false" ht="15" hidden="false" customHeight="true" outlineLevel="0" collapsed="false">
      <c r="A2101" s="163" t="s">
        <v>3045</v>
      </c>
      <c r="B2101" s="163" t="s">
        <v>1938</v>
      </c>
      <c r="C2101" s="163" t="s">
        <v>1159</v>
      </c>
      <c r="D2101" s="163" t="s">
        <v>1936</v>
      </c>
      <c r="E2101" s="164" t="n">
        <v>20000</v>
      </c>
      <c r="F2101" s="165" t="s">
        <v>6214</v>
      </c>
    </row>
    <row r="2102" customFormat="false" ht="15" hidden="false" customHeight="true" outlineLevel="0" collapsed="false">
      <c r="A2102" s="163" t="s">
        <v>3045</v>
      </c>
      <c r="B2102" s="163" t="s">
        <v>691</v>
      </c>
      <c r="C2102" s="163" t="s">
        <v>6215</v>
      </c>
      <c r="D2102" s="163" t="s">
        <v>6216</v>
      </c>
      <c r="E2102" s="164" t="n">
        <v>35000</v>
      </c>
      <c r="F2102" s="165" t="s">
        <v>6217</v>
      </c>
    </row>
    <row r="2103" customFormat="false" ht="15" hidden="false" customHeight="true" outlineLevel="0" collapsed="false">
      <c r="A2103" s="163" t="s">
        <v>3045</v>
      </c>
      <c r="B2103" s="163" t="s">
        <v>691</v>
      </c>
      <c r="C2103" s="163" t="s">
        <v>5707</v>
      </c>
      <c r="D2103" s="163" t="s">
        <v>5708</v>
      </c>
      <c r="E2103" s="164" t="n">
        <v>20000</v>
      </c>
      <c r="F2103" s="165" t="s">
        <v>6218</v>
      </c>
    </row>
    <row r="2104" customFormat="false" ht="15" hidden="false" customHeight="true" outlineLevel="0" collapsed="false">
      <c r="A2104" s="163" t="s">
        <v>3045</v>
      </c>
      <c r="B2104" s="163" t="s">
        <v>691</v>
      </c>
      <c r="C2104" s="163" t="s">
        <v>6203</v>
      </c>
      <c r="D2104" s="163" t="s">
        <v>6204</v>
      </c>
      <c r="E2104" s="164" t="n">
        <v>20000</v>
      </c>
      <c r="F2104" s="165" t="s">
        <v>6219</v>
      </c>
    </row>
    <row r="2105" customFormat="false" ht="15" hidden="false" customHeight="true" outlineLevel="0" collapsed="false">
      <c r="A2105" s="163" t="s">
        <v>3045</v>
      </c>
      <c r="B2105" s="163" t="s">
        <v>691</v>
      </c>
      <c r="C2105" s="163" t="s">
        <v>5183</v>
      </c>
      <c r="D2105" s="163" t="s">
        <v>5184</v>
      </c>
      <c r="E2105" s="164" t="n">
        <v>20000</v>
      </c>
      <c r="F2105" s="165" t="s">
        <v>6220</v>
      </c>
    </row>
    <row r="2106" customFormat="false" ht="15" hidden="false" customHeight="true" outlineLevel="0" collapsed="false">
      <c r="A2106" s="163" t="s">
        <v>3045</v>
      </c>
      <c r="B2106" s="163" t="s">
        <v>691</v>
      </c>
      <c r="C2106" s="163" t="s">
        <v>4388</v>
      </c>
      <c r="D2106" s="163" t="s">
        <v>4389</v>
      </c>
      <c r="E2106" s="164" t="n">
        <v>20000</v>
      </c>
      <c r="F2106" s="165" t="s">
        <v>6221</v>
      </c>
    </row>
    <row r="2107" customFormat="false" ht="15" hidden="false" customHeight="true" outlineLevel="0" collapsed="false">
      <c r="A2107" s="163" t="s">
        <v>3045</v>
      </c>
      <c r="B2107" s="163" t="s">
        <v>691</v>
      </c>
      <c r="C2107" s="163" t="s">
        <v>260</v>
      </c>
      <c r="D2107" s="163" t="s">
        <v>2097</v>
      </c>
      <c r="E2107" s="164" t="n">
        <v>15000</v>
      </c>
      <c r="F2107" s="165" t="s">
        <v>6180</v>
      </c>
    </row>
    <row r="2108" customFormat="false" ht="15" hidden="false" customHeight="true" outlineLevel="0" collapsed="false">
      <c r="A2108" s="163" t="s">
        <v>3045</v>
      </c>
      <c r="B2108" s="163" t="s">
        <v>691</v>
      </c>
      <c r="C2108" s="163" t="s">
        <v>353</v>
      </c>
      <c r="D2108" s="163" t="s">
        <v>2667</v>
      </c>
      <c r="E2108" s="164" t="n">
        <v>10000</v>
      </c>
      <c r="F2108" s="165" t="s">
        <v>6222</v>
      </c>
    </row>
    <row r="2109" customFormat="false" ht="15" hidden="false" customHeight="true" outlineLevel="0" collapsed="false">
      <c r="A2109" s="163" t="s">
        <v>3045</v>
      </c>
      <c r="B2109" s="163" t="s">
        <v>691</v>
      </c>
      <c r="C2109" s="163" t="s">
        <v>5543</v>
      </c>
      <c r="D2109" s="163" t="s">
        <v>5544</v>
      </c>
      <c r="E2109" s="164" t="n">
        <v>5000</v>
      </c>
      <c r="F2109" s="165" t="s">
        <v>3060</v>
      </c>
    </row>
    <row r="2110" customFormat="false" ht="15" hidden="false" customHeight="true" outlineLevel="0" collapsed="false">
      <c r="A2110" s="163" t="s">
        <v>3045</v>
      </c>
      <c r="B2110" s="163" t="s">
        <v>2027</v>
      </c>
      <c r="C2110" s="163" t="s">
        <v>950</v>
      </c>
      <c r="D2110" s="163" t="s">
        <v>4373</v>
      </c>
      <c r="E2110" s="164" t="n">
        <v>20000</v>
      </c>
      <c r="F2110" s="165" t="s">
        <v>6223</v>
      </c>
    </row>
    <row r="2111" customFormat="false" ht="15" hidden="false" customHeight="true" outlineLevel="0" collapsed="false">
      <c r="A2111" s="163" t="s">
        <v>3045</v>
      </c>
      <c r="B2111" s="163" t="s">
        <v>2027</v>
      </c>
      <c r="C2111" s="163" t="s">
        <v>935</v>
      </c>
      <c r="D2111" s="163" t="s">
        <v>3162</v>
      </c>
      <c r="E2111" s="164" t="n">
        <v>20000</v>
      </c>
      <c r="F2111" s="165" t="s">
        <v>6224</v>
      </c>
    </row>
    <row r="2112" customFormat="false" ht="15" hidden="false" customHeight="true" outlineLevel="0" collapsed="false">
      <c r="A2112" s="163" t="s">
        <v>3045</v>
      </c>
      <c r="B2112" s="163" t="s">
        <v>2027</v>
      </c>
      <c r="C2112" s="163" t="s">
        <v>360</v>
      </c>
      <c r="D2112" s="163" t="s">
        <v>2685</v>
      </c>
      <c r="E2112" s="164" t="n">
        <v>20000</v>
      </c>
      <c r="F2112" s="165" t="s">
        <v>6225</v>
      </c>
    </row>
    <row r="2113" customFormat="false" ht="15" hidden="false" customHeight="true" outlineLevel="0" collapsed="false">
      <c r="A2113" s="163" t="s">
        <v>3045</v>
      </c>
      <c r="B2113" s="163" t="s">
        <v>2027</v>
      </c>
      <c r="C2113" s="163" t="s">
        <v>3135</v>
      </c>
      <c r="D2113" s="163" t="s">
        <v>3136</v>
      </c>
      <c r="E2113" s="164" t="n">
        <v>20000</v>
      </c>
      <c r="F2113" s="165" t="s">
        <v>6226</v>
      </c>
    </row>
    <row r="2114" customFormat="false" ht="15" hidden="false" customHeight="true" outlineLevel="0" collapsed="false">
      <c r="A2114" s="163" t="s">
        <v>3045</v>
      </c>
      <c r="B2114" s="163" t="s">
        <v>2027</v>
      </c>
      <c r="C2114" s="163" t="s">
        <v>5199</v>
      </c>
      <c r="D2114" s="163" t="s">
        <v>5200</v>
      </c>
      <c r="E2114" s="164" t="n">
        <v>10000</v>
      </c>
      <c r="F2114" s="165" t="s">
        <v>6227</v>
      </c>
    </row>
    <row r="2115" customFormat="false" ht="15" hidden="false" customHeight="true" outlineLevel="0" collapsed="false">
      <c r="A2115" s="163" t="s">
        <v>3045</v>
      </c>
      <c r="B2115" s="163" t="s">
        <v>894</v>
      </c>
      <c r="C2115" s="163" t="s">
        <v>3485</v>
      </c>
      <c r="D2115" s="163" t="s">
        <v>3486</v>
      </c>
      <c r="E2115" s="164" t="n">
        <v>50000</v>
      </c>
      <c r="F2115" s="165" t="s">
        <v>6228</v>
      </c>
    </row>
    <row r="2116" customFormat="false" ht="15" hidden="false" customHeight="true" outlineLevel="0" collapsed="false">
      <c r="A2116" s="163" t="s">
        <v>3045</v>
      </c>
      <c r="B2116" s="163" t="s">
        <v>894</v>
      </c>
      <c r="C2116" s="163" t="s">
        <v>5815</v>
      </c>
      <c r="D2116" s="163" t="s">
        <v>5816</v>
      </c>
      <c r="E2116" s="164" t="n">
        <v>45000</v>
      </c>
      <c r="F2116" s="165" t="s">
        <v>6229</v>
      </c>
    </row>
    <row r="2117" customFormat="false" ht="15" hidden="false" customHeight="true" outlineLevel="0" collapsed="false">
      <c r="A2117" s="163" t="s">
        <v>3045</v>
      </c>
      <c r="B2117" s="163" t="s">
        <v>894</v>
      </c>
      <c r="C2117" s="163" t="s">
        <v>3406</v>
      </c>
      <c r="D2117" s="163" t="s">
        <v>3407</v>
      </c>
      <c r="E2117" s="164" t="n">
        <v>45000</v>
      </c>
      <c r="F2117" s="165" t="s">
        <v>6230</v>
      </c>
    </row>
    <row r="2118" customFormat="false" ht="15" hidden="false" customHeight="true" outlineLevel="0" collapsed="false">
      <c r="A2118" s="163" t="s">
        <v>3045</v>
      </c>
      <c r="B2118" s="163" t="s">
        <v>894</v>
      </c>
      <c r="C2118" s="163" t="s">
        <v>4090</v>
      </c>
      <c r="D2118" s="163" t="s">
        <v>4091</v>
      </c>
      <c r="E2118" s="164" t="n">
        <v>39000</v>
      </c>
      <c r="F2118" s="165" t="s">
        <v>6231</v>
      </c>
    </row>
    <row r="2119" customFormat="false" ht="15" hidden="false" customHeight="true" outlineLevel="0" collapsed="false">
      <c r="A2119" s="163" t="s">
        <v>3045</v>
      </c>
      <c r="B2119" s="163" t="s">
        <v>894</v>
      </c>
      <c r="C2119" s="163" t="s">
        <v>3176</v>
      </c>
      <c r="D2119" s="163" t="s">
        <v>3177</v>
      </c>
      <c r="E2119" s="164" t="n">
        <v>25000</v>
      </c>
      <c r="F2119" s="165" t="s">
        <v>6209</v>
      </c>
    </row>
    <row r="2120" customFormat="false" ht="15" hidden="false" customHeight="true" outlineLevel="0" collapsed="false">
      <c r="A2120" s="163" t="s">
        <v>3045</v>
      </c>
      <c r="B2120" s="163" t="s">
        <v>894</v>
      </c>
      <c r="C2120" s="163" t="s">
        <v>3108</v>
      </c>
      <c r="D2120" s="163" t="s">
        <v>3109</v>
      </c>
      <c r="E2120" s="164" t="n">
        <v>20000</v>
      </c>
      <c r="F2120" s="165" t="s">
        <v>6180</v>
      </c>
    </row>
    <row r="2121" customFormat="false" ht="15" hidden="false" customHeight="true" outlineLevel="0" collapsed="false">
      <c r="A2121" s="163" t="s">
        <v>3045</v>
      </c>
      <c r="B2121" s="163" t="s">
        <v>894</v>
      </c>
      <c r="C2121" s="163" t="s">
        <v>3602</v>
      </c>
      <c r="D2121" s="163" t="s">
        <v>3603</v>
      </c>
      <c r="E2121" s="164" t="n">
        <v>20000</v>
      </c>
      <c r="F2121" s="165" t="s">
        <v>6232</v>
      </c>
    </row>
    <row r="2122" customFormat="false" ht="15" hidden="false" customHeight="true" outlineLevel="0" collapsed="false">
      <c r="A2122" s="163" t="s">
        <v>3045</v>
      </c>
      <c r="B2122" s="163" t="s">
        <v>894</v>
      </c>
      <c r="C2122" s="163" t="s">
        <v>4303</v>
      </c>
      <c r="D2122" s="163" t="s">
        <v>4304</v>
      </c>
      <c r="E2122" s="164" t="n">
        <v>20000</v>
      </c>
      <c r="F2122" s="165" t="s">
        <v>6233</v>
      </c>
    </row>
    <row r="2123" customFormat="false" ht="15" hidden="false" customHeight="true" outlineLevel="0" collapsed="false">
      <c r="A2123" s="163" t="s">
        <v>3045</v>
      </c>
      <c r="B2123" s="163" t="s">
        <v>894</v>
      </c>
      <c r="C2123" s="163" t="s">
        <v>4717</v>
      </c>
      <c r="D2123" s="163" t="s">
        <v>4718</v>
      </c>
      <c r="E2123" s="164" t="n">
        <v>17000</v>
      </c>
      <c r="F2123" s="165" t="s">
        <v>6234</v>
      </c>
    </row>
    <row r="2124" customFormat="false" ht="15" hidden="false" customHeight="true" outlineLevel="0" collapsed="false">
      <c r="A2124" s="163" t="s">
        <v>3045</v>
      </c>
      <c r="B2124" s="163" t="s">
        <v>894</v>
      </c>
      <c r="C2124" s="163" t="s">
        <v>2879</v>
      </c>
      <c r="D2124" s="163" t="s">
        <v>1931</v>
      </c>
      <c r="E2124" s="164" t="n">
        <v>13500</v>
      </c>
      <c r="F2124" s="165" t="s">
        <v>6235</v>
      </c>
    </row>
    <row r="2125" customFormat="false" ht="15" hidden="false" customHeight="true" outlineLevel="0" collapsed="false">
      <c r="A2125" s="163" t="s">
        <v>3045</v>
      </c>
      <c r="B2125" s="163" t="s">
        <v>894</v>
      </c>
      <c r="C2125" s="163" t="s">
        <v>3468</v>
      </c>
      <c r="D2125" s="163" t="s">
        <v>3469</v>
      </c>
      <c r="E2125" s="164" t="n">
        <v>10000</v>
      </c>
      <c r="F2125" s="165" t="s">
        <v>6180</v>
      </c>
    </row>
    <row r="2126" customFormat="false" ht="15" hidden="false" customHeight="true" outlineLevel="0" collapsed="false">
      <c r="A2126" s="163" t="s">
        <v>3045</v>
      </c>
      <c r="B2126" s="163" t="s">
        <v>894</v>
      </c>
      <c r="C2126" s="163" t="s">
        <v>1021</v>
      </c>
      <c r="D2126" s="163" t="s">
        <v>1931</v>
      </c>
      <c r="E2126" s="164" t="n">
        <v>10000</v>
      </c>
      <c r="F2126" s="165" t="s">
        <v>6180</v>
      </c>
    </row>
    <row r="2127" customFormat="false" ht="15" hidden="false" customHeight="true" outlineLevel="0" collapsed="false">
      <c r="A2127" s="163" t="s">
        <v>3045</v>
      </c>
      <c r="B2127" s="163" t="s">
        <v>894</v>
      </c>
      <c r="C2127" s="163" t="s">
        <v>372</v>
      </c>
      <c r="D2127" s="163" t="s">
        <v>2692</v>
      </c>
      <c r="E2127" s="164" t="n">
        <v>10000</v>
      </c>
      <c r="F2127" s="165" t="s">
        <v>6180</v>
      </c>
    </row>
    <row r="2128" customFormat="false" ht="15" hidden="false" customHeight="true" outlineLevel="0" collapsed="false">
      <c r="A2128" s="163" t="s">
        <v>3045</v>
      </c>
      <c r="B2128" s="163" t="s">
        <v>894</v>
      </c>
      <c r="C2128" s="163" t="s">
        <v>6236</v>
      </c>
      <c r="D2128" s="163" t="s">
        <v>6237</v>
      </c>
      <c r="E2128" s="164" t="n">
        <v>10000</v>
      </c>
      <c r="F2128" s="165" t="s">
        <v>6238</v>
      </c>
    </row>
    <row r="2129" customFormat="false" ht="15" hidden="false" customHeight="true" outlineLevel="0" collapsed="false">
      <c r="A2129" s="163" t="s">
        <v>3045</v>
      </c>
      <c r="B2129" s="163" t="s">
        <v>894</v>
      </c>
      <c r="C2129" s="163" t="s">
        <v>4121</v>
      </c>
      <c r="D2129" s="163" t="s">
        <v>4122</v>
      </c>
      <c r="E2129" s="164" t="n">
        <v>10000</v>
      </c>
      <c r="F2129" s="165" t="s">
        <v>6239</v>
      </c>
    </row>
    <row r="2130" customFormat="false" ht="15" hidden="false" customHeight="true" outlineLevel="0" collapsed="false">
      <c r="A2130" s="163" t="s">
        <v>3045</v>
      </c>
      <c r="B2130" s="163" t="s">
        <v>894</v>
      </c>
      <c r="C2130" s="163" t="s">
        <v>473</v>
      </c>
      <c r="D2130" s="163" t="s">
        <v>2764</v>
      </c>
      <c r="E2130" s="164" t="n">
        <v>10000</v>
      </c>
      <c r="F2130" s="165" t="s">
        <v>6240</v>
      </c>
    </row>
    <row r="2131" customFormat="false" ht="15" hidden="false" customHeight="true" outlineLevel="0" collapsed="false">
      <c r="A2131" s="163" t="s">
        <v>3045</v>
      </c>
      <c r="B2131" s="163" t="s">
        <v>894</v>
      </c>
      <c r="C2131" s="163" t="s">
        <v>6241</v>
      </c>
      <c r="D2131" s="163" t="s">
        <v>6242</v>
      </c>
      <c r="E2131" s="164" t="n">
        <v>10000</v>
      </c>
      <c r="F2131" s="165" t="s">
        <v>6243</v>
      </c>
    </row>
    <row r="2132" customFormat="false" ht="15" hidden="false" customHeight="true" outlineLevel="0" collapsed="false">
      <c r="A2132" s="163" t="s">
        <v>3045</v>
      </c>
      <c r="B2132" s="163" t="s">
        <v>894</v>
      </c>
      <c r="C2132" s="163" t="s">
        <v>5380</v>
      </c>
      <c r="D2132" s="163" t="s">
        <v>5381</v>
      </c>
      <c r="E2132" s="164" t="n">
        <v>6500</v>
      </c>
      <c r="F2132" s="165" t="s">
        <v>6244</v>
      </c>
    </row>
    <row r="2133" customFormat="false" ht="15" hidden="false" customHeight="true" outlineLevel="0" collapsed="false">
      <c r="A2133" s="163" t="s">
        <v>3045</v>
      </c>
      <c r="B2133" s="163" t="s">
        <v>894</v>
      </c>
      <c r="C2133" s="163" t="s">
        <v>2695</v>
      </c>
      <c r="D2133" s="163" t="s">
        <v>2696</v>
      </c>
      <c r="E2133" s="164" t="n">
        <v>5000</v>
      </c>
      <c r="F2133" s="165" t="s">
        <v>6245</v>
      </c>
    </row>
    <row r="2134" customFormat="false" ht="15" hidden="false" customHeight="true" outlineLevel="0" collapsed="false">
      <c r="A2134" s="163" t="s">
        <v>3045</v>
      </c>
      <c r="B2134" s="163" t="s">
        <v>894</v>
      </c>
      <c r="C2134" s="163" t="s">
        <v>3436</v>
      </c>
      <c r="D2134" s="163" t="s">
        <v>3437</v>
      </c>
      <c r="E2134" s="164" t="n">
        <v>5000</v>
      </c>
      <c r="F2134" s="165" t="s">
        <v>6180</v>
      </c>
    </row>
    <row r="2135" customFormat="false" ht="15" hidden="false" customHeight="true" outlineLevel="0" collapsed="false">
      <c r="A2135" s="163" t="s">
        <v>3045</v>
      </c>
      <c r="B2135" s="163" t="s">
        <v>894</v>
      </c>
      <c r="C2135" s="163" t="s">
        <v>3416</v>
      </c>
      <c r="D2135" s="163" t="s">
        <v>3417</v>
      </c>
      <c r="E2135" s="164" t="n">
        <v>5000</v>
      </c>
      <c r="F2135" s="165" t="s">
        <v>6246</v>
      </c>
    </row>
    <row r="2136" customFormat="false" ht="15" hidden="false" customHeight="true" outlineLevel="0" collapsed="false">
      <c r="A2136" s="163" t="s">
        <v>3045</v>
      </c>
      <c r="B2136" s="163" t="s">
        <v>894</v>
      </c>
      <c r="C2136" s="163" t="s">
        <v>4714</v>
      </c>
      <c r="D2136" s="163" t="s">
        <v>4715</v>
      </c>
      <c r="E2136" s="164" t="n">
        <v>5000</v>
      </c>
      <c r="F2136" s="165" t="s">
        <v>6247</v>
      </c>
    </row>
    <row r="2137" customFormat="false" ht="15" hidden="false" customHeight="true" outlineLevel="0" collapsed="false">
      <c r="A2137" s="163" t="s">
        <v>3045</v>
      </c>
      <c r="B2137" s="163" t="s">
        <v>894</v>
      </c>
      <c r="C2137" s="163" t="s">
        <v>925</v>
      </c>
      <c r="D2137" s="163" t="s">
        <v>1931</v>
      </c>
      <c r="E2137" s="164" t="n">
        <v>1500</v>
      </c>
      <c r="F2137" s="165" t="s">
        <v>6248</v>
      </c>
    </row>
    <row r="2138" customFormat="false" ht="15" hidden="false" customHeight="true" outlineLevel="0" collapsed="false">
      <c r="A2138" s="163" t="s">
        <v>3045</v>
      </c>
      <c r="B2138" s="163" t="s">
        <v>894</v>
      </c>
      <c r="C2138" s="163" t="s">
        <v>925</v>
      </c>
      <c r="D2138" s="163" t="s">
        <v>1931</v>
      </c>
      <c r="E2138" s="164" t="n">
        <v>1500</v>
      </c>
      <c r="F2138" s="165" t="s">
        <v>6249</v>
      </c>
    </row>
    <row r="2139" customFormat="false" ht="15" hidden="false" customHeight="true" outlineLevel="0" collapsed="false">
      <c r="A2139" s="163" t="s">
        <v>3045</v>
      </c>
      <c r="B2139" s="163" t="s">
        <v>894</v>
      </c>
      <c r="C2139" s="163" t="s">
        <v>925</v>
      </c>
      <c r="D2139" s="163" t="s">
        <v>1931</v>
      </c>
      <c r="E2139" s="164" t="n">
        <v>1500</v>
      </c>
      <c r="F2139" s="165" t="s">
        <v>6250</v>
      </c>
    </row>
    <row r="2140" customFormat="false" ht="15" hidden="false" customHeight="true" outlineLevel="0" collapsed="false">
      <c r="A2140" s="163" t="s">
        <v>3045</v>
      </c>
      <c r="B2140" s="163" t="s">
        <v>894</v>
      </c>
      <c r="C2140" s="163" t="s">
        <v>925</v>
      </c>
      <c r="D2140" s="163" t="s">
        <v>1931</v>
      </c>
      <c r="E2140" s="164" t="n">
        <v>1500</v>
      </c>
      <c r="F2140" s="165" t="s">
        <v>6251</v>
      </c>
    </row>
    <row r="2141" customFormat="false" ht="15" hidden="false" customHeight="true" outlineLevel="0" collapsed="false">
      <c r="A2141" s="163" t="s">
        <v>3045</v>
      </c>
      <c r="B2141" s="163" t="s">
        <v>894</v>
      </c>
      <c r="C2141" s="163" t="s">
        <v>925</v>
      </c>
      <c r="D2141" s="163" t="s">
        <v>1931</v>
      </c>
      <c r="E2141" s="164" t="n">
        <v>1500</v>
      </c>
      <c r="F2141" s="165" t="s">
        <v>6252</v>
      </c>
    </row>
    <row r="2142" customFormat="false" ht="15" hidden="false" customHeight="true" outlineLevel="0" collapsed="false">
      <c r="A2142" s="163" t="s">
        <v>3045</v>
      </c>
      <c r="B2142" s="163" t="s">
        <v>894</v>
      </c>
      <c r="C2142" s="163" t="s">
        <v>925</v>
      </c>
      <c r="D2142" s="163" t="s">
        <v>1931</v>
      </c>
      <c r="E2142" s="164" t="n">
        <v>1500</v>
      </c>
      <c r="F2142" s="165" t="s">
        <v>6253</v>
      </c>
    </row>
    <row r="2143" customFormat="false" ht="15" hidden="false" customHeight="true" outlineLevel="0" collapsed="false">
      <c r="A2143" s="163" t="s">
        <v>3045</v>
      </c>
      <c r="B2143" s="163" t="s">
        <v>882</v>
      </c>
      <c r="C2143" s="163" t="s">
        <v>2759</v>
      </c>
      <c r="D2143" s="163" t="s">
        <v>2760</v>
      </c>
      <c r="E2143" s="164" t="n">
        <v>85000</v>
      </c>
      <c r="F2143" s="165" t="s">
        <v>6254</v>
      </c>
    </row>
    <row r="2144" customFormat="false" ht="15" hidden="false" customHeight="true" outlineLevel="0" collapsed="false">
      <c r="A2144" s="163" t="s">
        <v>3045</v>
      </c>
      <c r="B2144" s="163" t="s">
        <v>882</v>
      </c>
      <c r="C2144" s="163" t="s">
        <v>3334</v>
      </c>
      <c r="D2144" s="163" t="s">
        <v>3335</v>
      </c>
      <c r="E2144" s="164" t="n">
        <v>30000</v>
      </c>
      <c r="F2144" s="165" t="s">
        <v>6255</v>
      </c>
    </row>
    <row r="2145" customFormat="false" ht="15" hidden="false" customHeight="true" outlineLevel="0" collapsed="false">
      <c r="A2145" s="163" t="s">
        <v>3045</v>
      </c>
      <c r="B2145" s="163" t="s">
        <v>882</v>
      </c>
      <c r="C2145" s="163" t="s">
        <v>5343</v>
      </c>
      <c r="D2145" s="163" t="s">
        <v>5344</v>
      </c>
      <c r="E2145" s="164" t="n">
        <v>30000</v>
      </c>
      <c r="F2145" s="165" t="s">
        <v>6256</v>
      </c>
    </row>
    <row r="2146" customFormat="false" ht="15" hidden="false" customHeight="true" outlineLevel="0" collapsed="false">
      <c r="A2146" s="163" t="s">
        <v>3045</v>
      </c>
      <c r="B2146" s="163" t="s">
        <v>2328</v>
      </c>
      <c r="C2146" s="163" t="s">
        <v>5071</v>
      </c>
      <c r="D2146" s="163" t="s">
        <v>5072</v>
      </c>
      <c r="E2146" s="164" t="n">
        <v>20000</v>
      </c>
      <c r="F2146" s="165" t="s">
        <v>6257</v>
      </c>
    </row>
    <row r="2147" customFormat="false" ht="15" hidden="false" customHeight="true" outlineLevel="0" collapsed="false">
      <c r="A2147" s="163" t="s">
        <v>3045</v>
      </c>
      <c r="B2147" s="163" t="s">
        <v>2328</v>
      </c>
      <c r="C2147" s="163" t="s">
        <v>6258</v>
      </c>
      <c r="D2147" s="163" t="s">
        <v>6259</v>
      </c>
      <c r="E2147" s="164" t="n">
        <v>20000</v>
      </c>
      <c r="F2147" s="165" t="s">
        <v>6260</v>
      </c>
    </row>
    <row r="2148" customFormat="false" ht="15" hidden="false" customHeight="true" outlineLevel="0" collapsed="false">
      <c r="A2148" s="163" t="s">
        <v>3045</v>
      </c>
      <c r="B2148" s="163" t="s">
        <v>2328</v>
      </c>
      <c r="C2148" s="163" t="s">
        <v>6261</v>
      </c>
      <c r="D2148" s="163" t="s">
        <v>6262</v>
      </c>
      <c r="E2148" s="164" t="n">
        <v>10000</v>
      </c>
      <c r="F2148" s="165" t="s">
        <v>6263</v>
      </c>
    </row>
    <row r="2149" customFormat="false" ht="15" hidden="false" customHeight="true" outlineLevel="0" collapsed="false">
      <c r="A2149" s="163" t="s">
        <v>3045</v>
      </c>
      <c r="B2149" s="163" t="s">
        <v>2342</v>
      </c>
      <c r="C2149" s="163" t="s">
        <v>197</v>
      </c>
      <c r="D2149" s="163" t="s">
        <v>1931</v>
      </c>
      <c r="E2149" s="164" t="n">
        <v>40000</v>
      </c>
      <c r="F2149" s="165" t="s">
        <v>6264</v>
      </c>
    </row>
    <row r="2150" customFormat="false" ht="15" hidden="false" customHeight="true" outlineLevel="0" collapsed="false">
      <c r="A2150" s="163" t="s">
        <v>3045</v>
      </c>
      <c r="B2150" s="163" t="s">
        <v>2342</v>
      </c>
      <c r="C2150" s="163" t="s">
        <v>3334</v>
      </c>
      <c r="D2150" s="163" t="s">
        <v>3335</v>
      </c>
      <c r="E2150" s="164" t="n">
        <v>20000</v>
      </c>
      <c r="F2150" s="165" t="s">
        <v>6265</v>
      </c>
    </row>
    <row r="2151" customFormat="false" ht="15" hidden="false" customHeight="true" outlineLevel="0" collapsed="false">
      <c r="A2151" s="163" t="s">
        <v>3045</v>
      </c>
      <c r="B2151" s="163" t="s">
        <v>2342</v>
      </c>
      <c r="C2151" s="163" t="s">
        <v>3406</v>
      </c>
      <c r="D2151" s="163" t="s">
        <v>3407</v>
      </c>
      <c r="E2151" s="164" t="n">
        <v>20000</v>
      </c>
      <c r="F2151" s="165" t="s">
        <v>6266</v>
      </c>
    </row>
    <row r="2152" customFormat="false" ht="15" hidden="false" customHeight="true" outlineLevel="0" collapsed="false">
      <c r="A2152" s="163" t="s">
        <v>3045</v>
      </c>
      <c r="B2152" s="163" t="s">
        <v>2342</v>
      </c>
      <c r="C2152" s="163" t="s">
        <v>6267</v>
      </c>
      <c r="D2152" s="163" t="s">
        <v>6268</v>
      </c>
      <c r="E2152" s="164" t="n">
        <v>10000</v>
      </c>
      <c r="F2152" s="165" t="s">
        <v>6269</v>
      </c>
    </row>
    <row r="2153" customFormat="false" ht="15" hidden="false" customHeight="true" outlineLevel="0" collapsed="false">
      <c r="A2153" s="163" t="s">
        <v>3045</v>
      </c>
      <c r="B2153" s="163" t="s">
        <v>2766</v>
      </c>
      <c r="C2153" s="163" t="s">
        <v>6017</v>
      </c>
      <c r="D2153" s="163" t="s">
        <v>6018</v>
      </c>
      <c r="E2153" s="164" t="n">
        <v>15000</v>
      </c>
      <c r="F2153" s="165" t="s">
        <v>6270</v>
      </c>
    </row>
    <row r="2154" customFormat="false" ht="15" hidden="false" customHeight="true" outlineLevel="0" collapsed="false">
      <c r="A2154" s="163" t="s">
        <v>3045</v>
      </c>
      <c r="B2154" s="163" t="s">
        <v>2766</v>
      </c>
      <c r="C2154" s="163" t="s">
        <v>6017</v>
      </c>
      <c r="D2154" s="163" t="s">
        <v>6018</v>
      </c>
      <c r="E2154" s="164" t="n">
        <v>15000</v>
      </c>
      <c r="F2154" s="165" t="s">
        <v>6271</v>
      </c>
    </row>
    <row r="2155" customFormat="false" ht="15" hidden="false" customHeight="true" outlineLevel="0" collapsed="false">
      <c r="A2155" s="163" t="s">
        <v>3045</v>
      </c>
      <c r="B2155" s="163" t="s">
        <v>1743</v>
      </c>
      <c r="C2155" s="163" t="s">
        <v>6176</v>
      </c>
      <c r="D2155" s="163" t="s">
        <v>6177</v>
      </c>
      <c r="E2155" s="164" t="n">
        <v>50000</v>
      </c>
      <c r="F2155" s="165" t="s">
        <v>6272</v>
      </c>
    </row>
    <row r="2156" customFormat="false" ht="15" hidden="false" customHeight="true" outlineLevel="0" collapsed="false">
      <c r="A2156" s="163" t="s">
        <v>3045</v>
      </c>
      <c r="B2156" s="163" t="s">
        <v>1743</v>
      </c>
      <c r="C2156" s="163" t="s">
        <v>3478</v>
      </c>
      <c r="D2156" s="163" t="s">
        <v>3479</v>
      </c>
      <c r="E2156" s="164" t="n">
        <v>40000</v>
      </c>
      <c r="F2156" s="165" t="s">
        <v>6273</v>
      </c>
    </row>
    <row r="2157" customFormat="false" ht="15" hidden="false" customHeight="true" outlineLevel="0" collapsed="false">
      <c r="A2157" s="163" t="s">
        <v>3045</v>
      </c>
      <c r="B2157" s="163" t="s">
        <v>1743</v>
      </c>
      <c r="C2157" s="163" t="s">
        <v>4420</v>
      </c>
      <c r="D2157" s="163" t="s">
        <v>4421</v>
      </c>
      <c r="E2157" s="164" t="n">
        <v>25000</v>
      </c>
      <c r="F2157" s="165" t="s">
        <v>6274</v>
      </c>
    </row>
    <row r="2158" customFormat="false" ht="15" hidden="false" customHeight="true" outlineLevel="0" collapsed="false">
      <c r="A2158" s="163" t="s">
        <v>3045</v>
      </c>
      <c r="B2158" s="163" t="s">
        <v>1743</v>
      </c>
      <c r="C2158" s="163" t="s">
        <v>3478</v>
      </c>
      <c r="D2158" s="163" t="s">
        <v>3479</v>
      </c>
      <c r="E2158" s="164" t="n">
        <v>25000</v>
      </c>
      <c r="F2158" s="165" t="s">
        <v>6275</v>
      </c>
    </row>
    <row r="2159" customFormat="false" ht="15" hidden="false" customHeight="true" outlineLevel="0" collapsed="false">
      <c r="A2159" s="163" t="s">
        <v>3045</v>
      </c>
      <c r="B2159" s="163" t="s">
        <v>1743</v>
      </c>
      <c r="C2159" s="163" t="s">
        <v>3210</v>
      </c>
      <c r="D2159" s="163" t="s">
        <v>3211</v>
      </c>
      <c r="E2159" s="164" t="n">
        <v>10000</v>
      </c>
      <c r="F2159" s="165" t="s">
        <v>6276</v>
      </c>
    </row>
    <row r="2160" customFormat="false" ht="15" hidden="false" customHeight="true" outlineLevel="0" collapsed="false">
      <c r="A2160" s="163" t="s">
        <v>3045</v>
      </c>
      <c r="B2160" s="163" t="s">
        <v>928</v>
      </c>
      <c r="C2160" s="163" t="s">
        <v>6277</v>
      </c>
      <c r="D2160" s="163" t="s">
        <v>6278</v>
      </c>
      <c r="E2160" s="164" t="n">
        <v>30000</v>
      </c>
      <c r="F2160" s="165" t="s">
        <v>6180</v>
      </c>
    </row>
    <row r="2161" customFormat="false" ht="15" hidden="false" customHeight="true" outlineLevel="0" collapsed="false">
      <c r="A2161" s="163" t="s">
        <v>3045</v>
      </c>
      <c r="B2161" s="163" t="s">
        <v>928</v>
      </c>
      <c r="C2161" s="163" t="s">
        <v>3462</v>
      </c>
      <c r="D2161" s="163" t="s">
        <v>3463</v>
      </c>
      <c r="E2161" s="164" t="n">
        <v>20000</v>
      </c>
      <c r="F2161" s="165" t="s">
        <v>6279</v>
      </c>
    </row>
    <row r="2162" customFormat="false" ht="15" hidden="false" customHeight="true" outlineLevel="0" collapsed="false">
      <c r="A2162" s="163" t="s">
        <v>3045</v>
      </c>
      <c r="B2162" s="163" t="s">
        <v>928</v>
      </c>
      <c r="C2162" s="163" t="s">
        <v>3462</v>
      </c>
      <c r="D2162" s="163" t="s">
        <v>3463</v>
      </c>
      <c r="E2162" s="164" t="n">
        <v>20000</v>
      </c>
      <c r="F2162" s="165" t="s">
        <v>6280</v>
      </c>
    </row>
    <row r="2163" customFormat="false" ht="15" hidden="false" customHeight="true" outlineLevel="0" collapsed="false">
      <c r="A2163" s="163" t="s">
        <v>3045</v>
      </c>
      <c r="B2163" s="163" t="s">
        <v>928</v>
      </c>
      <c r="C2163" s="163" t="s">
        <v>1159</v>
      </c>
      <c r="D2163" s="163" t="s">
        <v>1936</v>
      </c>
      <c r="E2163" s="164" t="n">
        <v>15000</v>
      </c>
      <c r="F2163" s="165" t="s">
        <v>6281</v>
      </c>
    </row>
    <row r="2164" customFormat="false" ht="15" hidden="false" customHeight="true" outlineLevel="0" collapsed="false">
      <c r="A2164" s="163" t="s">
        <v>3045</v>
      </c>
      <c r="B2164" s="163" t="s">
        <v>928</v>
      </c>
      <c r="C2164" s="163" t="s">
        <v>2953</v>
      </c>
      <c r="D2164" s="163" t="s">
        <v>2954</v>
      </c>
      <c r="E2164" s="164" t="n">
        <v>10000</v>
      </c>
      <c r="F2164" s="165" t="s">
        <v>6282</v>
      </c>
    </row>
    <row r="2165" customFormat="false" ht="15" hidden="false" customHeight="true" outlineLevel="0" collapsed="false">
      <c r="A2165" s="163" t="s">
        <v>3045</v>
      </c>
      <c r="B2165" s="163" t="s">
        <v>928</v>
      </c>
      <c r="C2165" s="163" t="s">
        <v>6283</v>
      </c>
      <c r="D2165" s="163" t="s">
        <v>6284</v>
      </c>
      <c r="E2165" s="164" t="n">
        <v>10000</v>
      </c>
      <c r="F2165" s="165" t="s">
        <v>6285</v>
      </c>
    </row>
    <row r="2166" customFormat="false" ht="15" hidden="false" customHeight="true" outlineLevel="0" collapsed="false">
      <c r="A2166" s="163" t="s">
        <v>3045</v>
      </c>
      <c r="B2166" s="163" t="s">
        <v>928</v>
      </c>
      <c r="C2166" s="163" t="s">
        <v>4121</v>
      </c>
      <c r="D2166" s="163" t="s">
        <v>4122</v>
      </c>
      <c r="E2166" s="164" t="n">
        <v>10000</v>
      </c>
      <c r="F2166" s="165" t="s">
        <v>6239</v>
      </c>
    </row>
    <row r="2167" customFormat="false" ht="15" hidden="false" customHeight="true" outlineLevel="0" collapsed="false">
      <c r="A2167" s="163" t="s">
        <v>3045</v>
      </c>
      <c r="B2167" s="163" t="s">
        <v>928</v>
      </c>
      <c r="C2167" s="163" t="s">
        <v>6286</v>
      </c>
      <c r="D2167" s="163" t="s">
        <v>6287</v>
      </c>
      <c r="E2167" s="164" t="n">
        <v>8500</v>
      </c>
      <c r="F2167" s="165" t="s">
        <v>6288</v>
      </c>
    </row>
    <row r="2168" customFormat="false" ht="15" hidden="false" customHeight="true" outlineLevel="0" collapsed="false">
      <c r="A2168" s="163" t="s">
        <v>3045</v>
      </c>
      <c r="B2168" s="163" t="s">
        <v>928</v>
      </c>
      <c r="C2168" s="163" t="s">
        <v>2780</v>
      </c>
      <c r="D2168" s="163" t="s">
        <v>2429</v>
      </c>
      <c r="E2168" s="164" t="n">
        <v>6500</v>
      </c>
      <c r="F2168" s="165" t="s">
        <v>6180</v>
      </c>
    </row>
    <row r="2169" customFormat="false" ht="15" hidden="false" customHeight="true" outlineLevel="0" collapsed="false">
      <c r="A2169" s="163" t="s">
        <v>3045</v>
      </c>
      <c r="B2169" s="163" t="s">
        <v>928</v>
      </c>
      <c r="C2169" s="163" t="s">
        <v>6289</v>
      </c>
      <c r="D2169" s="163" t="s">
        <v>6290</v>
      </c>
      <c r="E2169" s="164" t="n">
        <v>5000</v>
      </c>
      <c r="F2169" s="165" t="s">
        <v>6291</v>
      </c>
    </row>
    <row r="2170" customFormat="false" ht="15" hidden="false" customHeight="true" outlineLevel="0" collapsed="false">
      <c r="A2170" s="163" t="s">
        <v>3045</v>
      </c>
      <c r="B2170" s="163" t="s">
        <v>928</v>
      </c>
      <c r="C2170" s="163" t="s">
        <v>6292</v>
      </c>
      <c r="D2170" s="163" t="s">
        <v>6293</v>
      </c>
      <c r="E2170" s="164" t="n">
        <v>5000</v>
      </c>
      <c r="F2170" s="165" t="s">
        <v>6294</v>
      </c>
    </row>
    <row r="2171" customFormat="false" ht="15" hidden="false" customHeight="true" outlineLevel="0" collapsed="false">
      <c r="A2171" s="163" t="s">
        <v>3045</v>
      </c>
      <c r="B2171" s="163" t="s">
        <v>928</v>
      </c>
      <c r="C2171" s="163" t="s">
        <v>6295</v>
      </c>
      <c r="D2171" s="163" t="s">
        <v>6296</v>
      </c>
      <c r="E2171" s="164" t="n">
        <v>5000</v>
      </c>
      <c r="F2171" s="165" t="s">
        <v>6297</v>
      </c>
    </row>
    <row r="2172" customFormat="false" ht="15" hidden="false" customHeight="true" outlineLevel="0" collapsed="false">
      <c r="A2172" s="163" t="s">
        <v>3045</v>
      </c>
      <c r="B2172" s="163" t="s">
        <v>928</v>
      </c>
      <c r="C2172" s="163" t="s">
        <v>3537</v>
      </c>
      <c r="D2172" s="163" t="s">
        <v>3538</v>
      </c>
      <c r="E2172" s="164" t="n">
        <v>5000</v>
      </c>
      <c r="F2172" s="165" t="s">
        <v>6180</v>
      </c>
    </row>
    <row r="2173" customFormat="false" ht="15" hidden="false" customHeight="true" outlineLevel="0" collapsed="false">
      <c r="A2173" s="163" t="s">
        <v>3047</v>
      </c>
      <c r="B2173" s="163" t="s">
        <v>957</v>
      </c>
      <c r="C2173" s="163" t="s">
        <v>3670</v>
      </c>
      <c r="D2173" s="163" t="s">
        <v>3671</v>
      </c>
      <c r="E2173" s="164" t="n">
        <v>25000</v>
      </c>
      <c r="F2173" s="165" t="s">
        <v>6298</v>
      </c>
    </row>
    <row r="2174" customFormat="false" ht="15" hidden="false" customHeight="true" outlineLevel="0" collapsed="false">
      <c r="A2174" s="163" t="s">
        <v>3047</v>
      </c>
      <c r="B2174" s="163" t="s">
        <v>957</v>
      </c>
      <c r="C2174" s="163" t="s">
        <v>3670</v>
      </c>
      <c r="D2174" s="163" t="s">
        <v>3671</v>
      </c>
      <c r="E2174" s="164" t="n">
        <v>20000</v>
      </c>
      <c r="F2174" s="165" t="s">
        <v>6299</v>
      </c>
    </row>
    <row r="2175" customFormat="false" ht="15" hidden="false" customHeight="true" outlineLevel="0" collapsed="false">
      <c r="A2175" s="163" t="s">
        <v>3047</v>
      </c>
      <c r="B2175" s="163" t="s">
        <v>957</v>
      </c>
      <c r="C2175" s="163" t="s">
        <v>6300</v>
      </c>
      <c r="D2175" s="163" t="s">
        <v>6301</v>
      </c>
      <c r="E2175" s="164" t="n">
        <v>16000</v>
      </c>
      <c r="F2175" s="165" t="s">
        <v>3060</v>
      </c>
    </row>
    <row r="2176" customFormat="false" ht="15" hidden="false" customHeight="true" outlineLevel="0" collapsed="false">
      <c r="A2176" s="163" t="s">
        <v>3047</v>
      </c>
      <c r="B2176" s="163" t="s">
        <v>957</v>
      </c>
      <c r="C2176" s="163" t="s">
        <v>6302</v>
      </c>
      <c r="D2176" s="163" t="s">
        <v>6303</v>
      </c>
      <c r="E2176" s="164" t="n">
        <v>10000</v>
      </c>
      <c r="F2176" s="165" t="s">
        <v>3060</v>
      </c>
    </row>
    <row r="2177" customFormat="false" ht="15" hidden="false" customHeight="true" outlineLevel="0" collapsed="false">
      <c r="A2177" s="163" t="s">
        <v>3047</v>
      </c>
      <c r="B2177" s="163" t="s">
        <v>957</v>
      </c>
      <c r="C2177" s="163" t="s">
        <v>5087</v>
      </c>
      <c r="D2177" s="163" t="s">
        <v>5088</v>
      </c>
      <c r="E2177" s="164" t="n">
        <v>8750</v>
      </c>
      <c r="F2177" s="165" t="s">
        <v>6304</v>
      </c>
    </row>
    <row r="2178" customFormat="false" ht="15" hidden="false" customHeight="true" outlineLevel="0" collapsed="false">
      <c r="A2178" s="163" t="s">
        <v>3047</v>
      </c>
      <c r="B2178" s="163" t="s">
        <v>957</v>
      </c>
      <c r="C2178" s="163" t="s">
        <v>6305</v>
      </c>
      <c r="D2178" s="163" t="s">
        <v>6306</v>
      </c>
      <c r="E2178" s="164" t="n">
        <v>7750</v>
      </c>
      <c r="F2178" s="165" t="s">
        <v>3060</v>
      </c>
    </row>
    <row r="2179" customFormat="false" ht="15" hidden="false" customHeight="true" outlineLevel="0" collapsed="false">
      <c r="A2179" s="163" t="s">
        <v>3047</v>
      </c>
      <c r="B2179" s="163" t="s">
        <v>957</v>
      </c>
      <c r="C2179" s="163" t="s">
        <v>6307</v>
      </c>
      <c r="D2179" s="163" t="s">
        <v>6308</v>
      </c>
      <c r="E2179" s="164" t="n">
        <v>7500</v>
      </c>
      <c r="F2179" s="165" t="s">
        <v>6309</v>
      </c>
    </row>
    <row r="2180" customFormat="false" ht="15" hidden="false" customHeight="true" outlineLevel="0" collapsed="false">
      <c r="A2180" s="163" t="s">
        <v>3047</v>
      </c>
      <c r="B2180" s="163" t="s">
        <v>957</v>
      </c>
      <c r="C2180" s="163" t="s">
        <v>4843</v>
      </c>
      <c r="D2180" s="163" t="s">
        <v>4844</v>
      </c>
      <c r="E2180" s="164" t="n">
        <v>5000</v>
      </c>
      <c r="F2180" s="165" t="s">
        <v>3060</v>
      </c>
    </row>
    <row r="2181" customFormat="false" ht="15" hidden="false" customHeight="true" outlineLevel="0" collapsed="false">
      <c r="A2181" s="163" t="s">
        <v>3047</v>
      </c>
      <c r="B2181" s="163" t="s">
        <v>957</v>
      </c>
      <c r="C2181" s="163" t="s">
        <v>6310</v>
      </c>
      <c r="D2181" s="163" t="s">
        <v>6311</v>
      </c>
      <c r="E2181" s="164" t="n">
        <v>5000</v>
      </c>
      <c r="F2181" s="165" t="s">
        <v>6312</v>
      </c>
    </row>
    <row r="2182" customFormat="false" ht="15" hidden="false" customHeight="true" outlineLevel="0" collapsed="false">
      <c r="A2182" s="163" t="s">
        <v>3047</v>
      </c>
      <c r="B2182" s="163" t="s">
        <v>957</v>
      </c>
      <c r="C2182" s="163" t="s">
        <v>3793</v>
      </c>
      <c r="D2182" s="163" t="s">
        <v>3794</v>
      </c>
      <c r="E2182" s="164" t="n">
        <v>5000</v>
      </c>
      <c r="F2182" s="165" t="s">
        <v>3060</v>
      </c>
    </row>
    <row r="2183" customFormat="false" ht="15" hidden="false" customHeight="true" outlineLevel="0" collapsed="false">
      <c r="A2183" s="163" t="s">
        <v>3047</v>
      </c>
      <c r="B2183" s="163" t="s">
        <v>945</v>
      </c>
      <c r="C2183" s="163" t="s">
        <v>6313</v>
      </c>
      <c r="D2183" s="163" t="s">
        <v>6314</v>
      </c>
      <c r="E2183" s="164" t="n">
        <v>50000</v>
      </c>
      <c r="F2183" s="165" t="s">
        <v>3060</v>
      </c>
    </row>
    <row r="2184" customFormat="false" ht="15" hidden="false" customHeight="true" outlineLevel="0" collapsed="false">
      <c r="A2184" s="163" t="s">
        <v>3047</v>
      </c>
      <c r="B2184" s="163" t="s">
        <v>945</v>
      </c>
      <c r="C2184" s="163" t="s">
        <v>1135</v>
      </c>
      <c r="D2184" s="163" t="s">
        <v>2507</v>
      </c>
      <c r="E2184" s="164" t="n">
        <v>25000</v>
      </c>
      <c r="F2184" s="165" t="s">
        <v>6315</v>
      </c>
    </row>
    <row r="2185" customFormat="false" ht="15" hidden="false" customHeight="true" outlineLevel="0" collapsed="false">
      <c r="A2185" s="163" t="s">
        <v>3047</v>
      </c>
      <c r="B2185" s="163" t="s">
        <v>3111</v>
      </c>
      <c r="C2185" s="163" t="s">
        <v>6316</v>
      </c>
      <c r="D2185" s="163" t="s">
        <v>6317</v>
      </c>
      <c r="E2185" s="164" t="n">
        <v>45000</v>
      </c>
      <c r="F2185" s="165" t="s">
        <v>6318</v>
      </c>
    </row>
    <row r="2186" customFormat="false" ht="15" hidden="false" customHeight="true" outlineLevel="0" collapsed="false">
      <c r="A2186" s="163" t="s">
        <v>3047</v>
      </c>
      <c r="B2186" s="163" t="s">
        <v>3111</v>
      </c>
      <c r="C2186" s="163" t="s">
        <v>6319</v>
      </c>
      <c r="D2186" s="163" t="s">
        <v>6320</v>
      </c>
      <c r="E2186" s="164" t="n">
        <v>45000</v>
      </c>
      <c r="F2186" s="165" t="s">
        <v>6318</v>
      </c>
    </row>
    <row r="2187" customFormat="false" ht="15" hidden="false" customHeight="true" outlineLevel="0" collapsed="false">
      <c r="A2187" s="163" t="s">
        <v>3047</v>
      </c>
      <c r="B2187" s="163" t="s">
        <v>3111</v>
      </c>
      <c r="C2187" s="163" t="s">
        <v>1268</v>
      </c>
      <c r="D2187" s="163" t="s">
        <v>2426</v>
      </c>
      <c r="E2187" s="164" t="n">
        <v>10000</v>
      </c>
      <c r="F2187" s="165" t="s">
        <v>3060</v>
      </c>
    </row>
    <row r="2188" customFormat="false" ht="15" hidden="false" customHeight="true" outlineLevel="0" collapsed="false">
      <c r="A2188" s="163" t="s">
        <v>3047</v>
      </c>
      <c r="B2188" s="163" t="s">
        <v>1938</v>
      </c>
      <c r="C2188" s="163" t="s">
        <v>6321</v>
      </c>
      <c r="D2188" s="163" t="s">
        <v>6322</v>
      </c>
      <c r="E2188" s="164" t="n">
        <v>20000</v>
      </c>
      <c r="F2188" s="165" t="s">
        <v>6323</v>
      </c>
    </row>
    <row r="2189" customFormat="false" ht="15" hidden="false" customHeight="true" outlineLevel="0" collapsed="false">
      <c r="A2189" s="163" t="s">
        <v>3047</v>
      </c>
      <c r="B2189" s="163" t="s">
        <v>1938</v>
      </c>
      <c r="C2189" s="163" t="s">
        <v>6321</v>
      </c>
      <c r="D2189" s="163" t="s">
        <v>6322</v>
      </c>
      <c r="E2189" s="164" t="n">
        <v>20000</v>
      </c>
      <c r="F2189" s="165" t="s">
        <v>6324</v>
      </c>
    </row>
    <row r="2190" customFormat="false" ht="15" hidden="false" customHeight="true" outlineLevel="0" collapsed="false">
      <c r="A2190" s="163" t="s">
        <v>3047</v>
      </c>
      <c r="B2190" s="163" t="s">
        <v>1938</v>
      </c>
      <c r="C2190" s="163" t="s">
        <v>3805</v>
      </c>
      <c r="D2190" s="163" t="s">
        <v>3806</v>
      </c>
      <c r="E2190" s="164" t="n">
        <v>20000</v>
      </c>
      <c r="F2190" s="165" t="s">
        <v>6325</v>
      </c>
    </row>
    <row r="2191" customFormat="false" ht="15" hidden="false" customHeight="true" outlineLevel="0" collapsed="false">
      <c r="A2191" s="163" t="s">
        <v>3047</v>
      </c>
      <c r="B2191" s="163" t="s">
        <v>1938</v>
      </c>
      <c r="C2191" s="163" t="s">
        <v>3805</v>
      </c>
      <c r="D2191" s="163" t="s">
        <v>3806</v>
      </c>
      <c r="E2191" s="164" t="n">
        <v>20000</v>
      </c>
      <c r="F2191" s="165" t="s">
        <v>6326</v>
      </c>
    </row>
    <row r="2192" customFormat="false" ht="15" hidden="false" customHeight="true" outlineLevel="0" collapsed="false">
      <c r="A2192" s="163" t="s">
        <v>3047</v>
      </c>
      <c r="B2192" s="163" t="s">
        <v>1938</v>
      </c>
      <c r="C2192" s="163" t="s">
        <v>3805</v>
      </c>
      <c r="D2192" s="163" t="s">
        <v>3806</v>
      </c>
      <c r="E2192" s="164" t="n">
        <v>20000</v>
      </c>
      <c r="F2192" s="165" t="s">
        <v>6327</v>
      </c>
    </row>
    <row r="2193" customFormat="false" ht="15" hidden="false" customHeight="true" outlineLevel="0" collapsed="false">
      <c r="A2193" s="163" t="s">
        <v>3047</v>
      </c>
      <c r="B2193" s="163" t="s">
        <v>1938</v>
      </c>
      <c r="C2193" s="163" t="s">
        <v>3805</v>
      </c>
      <c r="D2193" s="163" t="s">
        <v>3806</v>
      </c>
      <c r="E2193" s="164" t="n">
        <v>20000</v>
      </c>
      <c r="F2193" s="165" t="s">
        <v>6328</v>
      </c>
    </row>
    <row r="2194" customFormat="false" ht="15" hidden="false" customHeight="true" outlineLevel="0" collapsed="false">
      <c r="A2194" s="163" t="s">
        <v>3047</v>
      </c>
      <c r="B2194" s="163" t="s">
        <v>1938</v>
      </c>
      <c r="C2194" s="163" t="s">
        <v>1876</v>
      </c>
      <c r="D2194" s="163" t="s">
        <v>1877</v>
      </c>
      <c r="E2194" s="164" t="n">
        <v>20000</v>
      </c>
      <c r="F2194" s="165" t="s">
        <v>6329</v>
      </c>
    </row>
    <row r="2195" customFormat="false" ht="15" hidden="false" customHeight="true" outlineLevel="0" collapsed="false">
      <c r="A2195" s="163" t="s">
        <v>3047</v>
      </c>
      <c r="B2195" s="163" t="s">
        <v>1938</v>
      </c>
      <c r="C2195" s="163" t="s">
        <v>1876</v>
      </c>
      <c r="D2195" s="163" t="s">
        <v>1877</v>
      </c>
      <c r="E2195" s="164" t="n">
        <v>20000</v>
      </c>
      <c r="F2195" s="165" t="s">
        <v>6330</v>
      </c>
    </row>
    <row r="2196" customFormat="false" ht="15" hidden="false" customHeight="true" outlineLevel="0" collapsed="false">
      <c r="A2196" s="163" t="s">
        <v>3047</v>
      </c>
      <c r="B2196" s="163" t="s">
        <v>1938</v>
      </c>
      <c r="C2196" s="163" t="s">
        <v>1129</v>
      </c>
      <c r="D2196" s="163" t="s">
        <v>2892</v>
      </c>
      <c r="E2196" s="164" t="n">
        <v>20000</v>
      </c>
      <c r="F2196" s="165" t="s">
        <v>6331</v>
      </c>
    </row>
    <row r="2197" customFormat="false" ht="15" hidden="false" customHeight="true" outlineLevel="0" collapsed="false">
      <c r="A2197" s="163" t="s">
        <v>3047</v>
      </c>
      <c r="B2197" s="163" t="s">
        <v>1938</v>
      </c>
      <c r="C2197" s="163" t="s">
        <v>3133</v>
      </c>
      <c r="D2197" s="163" t="s">
        <v>3134</v>
      </c>
      <c r="E2197" s="164" t="n">
        <v>20000</v>
      </c>
      <c r="F2197" s="165" t="s">
        <v>6332</v>
      </c>
    </row>
    <row r="2198" customFormat="false" ht="15" hidden="false" customHeight="true" outlineLevel="0" collapsed="false">
      <c r="A2198" s="163" t="s">
        <v>3047</v>
      </c>
      <c r="B2198" s="163" t="s">
        <v>1938</v>
      </c>
      <c r="C2198" s="163" t="s">
        <v>3133</v>
      </c>
      <c r="D2198" s="163" t="s">
        <v>3134</v>
      </c>
      <c r="E2198" s="164" t="n">
        <v>20000</v>
      </c>
      <c r="F2198" s="165" t="s">
        <v>6328</v>
      </c>
    </row>
    <row r="2199" customFormat="false" ht="15" hidden="false" customHeight="true" outlineLevel="0" collapsed="false">
      <c r="A2199" s="163" t="s">
        <v>3047</v>
      </c>
      <c r="B2199" s="163" t="s">
        <v>1938</v>
      </c>
      <c r="C2199" s="163" t="s">
        <v>1169</v>
      </c>
      <c r="D2199" s="163" t="s">
        <v>2801</v>
      </c>
      <c r="E2199" s="164" t="n">
        <v>20000</v>
      </c>
      <c r="F2199" s="165" t="s">
        <v>6333</v>
      </c>
    </row>
    <row r="2200" customFormat="false" ht="15" hidden="false" customHeight="true" outlineLevel="0" collapsed="false">
      <c r="A2200" s="163" t="s">
        <v>3047</v>
      </c>
      <c r="B2200" s="163" t="s">
        <v>1938</v>
      </c>
      <c r="C2200" s="163" t="s">
        <v>1169</v>
      </c>
      <c r="D2200" s="163" t="s">
        <v>2801</v>
      </c>
      <c r="E2200" s="164" t="n">
        <v>20000</v>
      </c>
      <c r="F2200" s="165" t="s">
        <v>6334</v>
      </c>
    </row>
    <row r="2201" customFormat="false" ht="15" hidden="false" customHeight="true" outlineLevel="0" collapsed="false">
      <c r="A2201" s="163" t="s">
        <v>3047</v>
      </c>
      <c r="B2201" s="163" t="s">
        <v>1938</v>
      </c>
      <c r="C2201" s="163" t="s">
        <v>1169</v>
      </c>
      <c r="D2201" s="163" t="s">
        <v>2801</v>
      </c>
      <c r="E2201" s="164" t="n">
        <v>20000</v>
      </c>
      <c r="F2201" s="165" t="s">
        <v>6335</v>
      </c>
    </row>
    <row r="2202" customFormat="false" ht="15" hidden="false" customHeight="true" outlineLevel="0" collapsed="false">
      <c r="A2202" s="163" t="s">
        <v>3047</v>
      </c>
      <c r="B2202" s="163" t="s">
        <v>1938</v>
      </c>
      <c r="C2202" s="163" t="s">
        <v>1169</v>
      </c>
      <c r="D2202" s="163" t="s">
        <v>2801</v>
      </c>
      <c r="E2202" s="164" t="n">
        <v>20000</v>
      </c>
      <c r="F2202" s="165" t="s">
        <v>6336</v>
      </c>
    </row>
    <row r="2203" customFormat="false" ht="15" hidden="false" customHeight="true" outlineLevel="0" collapsed="false">
      <c r="A2203" s="163" t="s">
        <v>3047</v>
      </c>
      <c r="B2203" s="163" t="s">
        <v>1938</v>
      </c>
      <c r="C2203" s="163" t="s">
        <v>6337</v>
      </c>
      <c r="D2203" s="163" t="s">
        <v>6338</v>
      </c>
      <c r="E2203" s="164" t="n">
        <v>20000</v>
      </c>
      <c r="F2203" s="165" t="s">
        <v>6339</v>
      </c>
    </row>
    <row r="2204" customFormat="false" ht="15" hidden="false" customHeight="true" outlineLevel="0" collapsed="false">
      <c r="A2204" s="163" t="s">
        <v>3047</v>
      </c>
      <c r="B2204" s="163" t="s">
        <v>1938</v>
      </c>
      <c r="C2204" s="163" t="s">
        <v>3395</v>
      </c>
      <c r="D2204" s="163" t="s">
        <v>3396</v>
      </c>
      <c r="E2204" s="164" t="n">
        <v>20000</v>
      </c>
      <c r="F2204" s="165" t="s">
        <v>6340</v>
      </c>
    </row>
    <row r="2205" customFormat="false" ht="15" hidden="false" customHeight="true" outlineLevel="0" collapsed="false">
      <c r="A2205" s="163" t="s">
        <v>3047</v>
      </c>
      <c r="B2205" s="163" t="s">
        <v>691</v>
      </c>
      <c r="C2205" s="163" t="s">
        <v>3853</v>
      </c>
      <c r="D2205" s="163" t="s">
        <v>3854</v>
      </c>
      <c r="E2205" s="164" t="n">
        <v>75000</v>
      </c>
      <c r="F2205" s="165" t="s">
        <v>6341</v>
      </c>
    </row>
    <row r="2206" customFormat="false" ht="15" hidden="false" customHeight="true" outlineLevel="0" collapsed="false">
      <c r="A2206" s="163" t="s">
        <v>3047</v>
      </c>
      <c r="B2206" s="163" t="s">
        <v>691</v>
      </c>
      <c r="C2206" s="163" t="s">
        <v>6342</v>
      </c>
      <c r="D2206" s="163" t="s">
        <v>6343</v>
      </c>
      <c r="E2206" s="164" t="n">
        <v>70000</v>
      </c>
      <c r="F2206" s="165" t="s">
        <v>6344</v>
      </c>
    </row>
    <row r="2207" customFormat="false" ht="15" hidden="false" customHeight="true" outlineLevel="0" collapsed="false">
      <c r="A2207" s="163" t="s">
        <v>3047</v>
      </c>
      <c r="B2207" s="163" t="s">
        <v>2027</v>
      </c>
      <c r="C2207" s="163" t="s">
        <v>3853</v>
      </c>
      <c r="D2207" s="163" t="s">
        <v>3854</v>
      </c>
      <c r="E2207" s="164" t="n">
        <v>32500</v>
      </c>
      <c r="F2207" s="165" t="s">
        <v>3060</v>
      </c>
    </row>
    <row r="2208" customFormat="false" ht="15" hidden="false" customHeight="true" outlineLevel="0" collapsed="false">
      <c r="A2208" s="163" t="s">
        <v>3047</v>
      </c>
      <c r="B2208" s="163" t="s">
        <v>2027</v>
      </c>
      <c r="C2208" s="163" t="s">
        <v>6345</v>
      </c>
      <c r="D2208" s="163" t="s">
        <v>6346</v>
      </c>
      <c r="E2208" s="164" t="n">
        <v>30000</v>
      </c>
      <c r="F2208" s="165" t="s">
        <v>6347</v>
      </c>
    </row>
    <row r="2209" customFormat="false" ht="15" hidden="false" customHeight="true" outlineLevel="0" collapsed="false">
      <c r="A2209" s="163" t="s">
        <v>3047</v>
      </c>
      <c r="B2209" s="163" t="s">
        <v>2027</v>
      </c>
      <c r="C2209" s="163" t="s">
        <v>6342</v>
      </c>
      <c r="D2209" s="163" t="s">
        <v>6343</v>
      </c>
      <c r="E2209" s="164" t="n">
        <v>27500</v>
      </c>
      <c r="F2209" s="165" t="s">
        <v>6347</v>
      </c>
    </row>
    <row r="2210" customFormat="false" ht="15" hidden="false" customHeight="true" outlineLevel="0" collapsed="false">
      <c r="A2210" s="163" t="s">
        <v>3047</v>
      </c>
      <c r="B2210" s="163" t="s">
        <v>2037</v>
      </c>
      <c r="C2210" s="163" t="s">
        <v>4769</v>
      </c>
      <c r="D2210" s="163" t="s">
        <v>4770</v>
      </c>
      <c r="E2210" s="164" t="n">
        <v>91000</v>
      </c>
      <c r="F2210" s="165" t="s">
        <v>3060</v>
      </c>
    </row>
    <row r="2211" customFormat="false" ht="15" hidden="false" customHeight="true" outlineLevel="0" collapsed="false">
      <c r="A2211" s="163" t="s">
        <v>3047</v>
      </c>
      <c r="B2211" s="163" t="s">
        <v>2037</v>
      </c>
      <c r="C2211" s="163" t="s">
        <v>6348</v>
      </c>
      <c r="D2211" s="163" t="s">
        <v>6349</v>
      </c>
      <c r="E2211" s="164" t="n">
        <v>30000</v>
      </c>
      <c r="F2211" s="165" t="s">
        <v>3060</v>
      </c>
    </row>
    <row r="2212" customFormat="false" ht="15" hidden="false" customHeight="true" outlineLevel="0" collapsed="false">
      <c r="A2212" s="163" t="s">
        <v>3047</v>
      </c>
      <c r="B2212" s="163" t="s">
        <v>2037</v>
      </c>
      <c r="C2212" s="163" t="s">
        <v>6350</v>
      </c>
      <c r="D2212" s="163" t="s">
        <v>6351</v>
      </c>
      <c r="E2212" s="164" t="n">
        <v>12000</v>
      </c>
      <c r="F2212" s="165" t="s">
        <v>3060</v>
      </c>
    </row>
    <row r="2213" customFormat="false" ht="15" hidden="false" customHeight="true" outlineLevel="0" collapsed="false">
      <c r="A2213" s="163" t="s">
        <v>3047</v>
      </c>
      <c r="B2213" s="163" t="s">
        <v>894</v>
      </c>
      <c r="C2213" s="163" t="s">
        <v>6352</v>
      </c>
      <c r="D2213" s="163" t="s">
        <v>6353</v>
      </c>
      <c r="E2213" s="164" t="n">
        <v>50000</v>
      </c>
      <c r="F2213" s="165" t="s">
        <v>3060</v>
      </c>
    </row>
    <row r="2214" customFormat="false" ht="15" hidden="false" customHeight="true" outlineLevel="0" collapsed="false">
      <c r="A2214" s="163" t="s">
        <v>3047</v>
      </c>
      <c r="B2214" s="163" t="s">
        <v>894</v>
      </c>
      <c r="C2214" s="163" t="s">
        <v>6354</v>
      </c>
      <c r="D2214" s="163" t="s">
        <v>6355</v>
      </c>
      <c r="E2214" s="164" t="n">
        <v>50000</v>
      </c>
      <c r="F2214" s="165" t="s">
        <v>3060</v>
      </c>
    </row>
    <row r="2215" customFormat="false" ht="15" hidden="false" customHeight="true" outlineLevel="0" collapsed="false">
      <c r="A2215" s="163" t="s">
        <v>3047</v>
      </c>
      <c r="B2215" s="163" t="s">
        <v>894</v>
      </c>
      <c r="C2215" s="163" t="s">
        <v>6313</v>
      </c>
      <c r="D2215" s="163" t="s">
        <v>6314</v>
      </c>
      <c r="E2215" s="164" t="n">
        <v>50000</v>
      </c>
      <c r="F2215" s="165" t="s">
        <v>6356</v>
      </c>
    </row>
    <row r="2216" customFormat="false" ht="15" hidden="false" customHeight="true" outlineLevel="0" collapsed="false">
      <c r="A2216" s="163" t="s">
        <v>3047</v>
      </c>
      <c r="B2216" s="163" t="s">
        <v>894</v>
      </c>
      <c r="C2216" s="163" t="s">
        <v>5731</v>
      </c>
      <c r="D2216" s="163" t="s">
        <v>5732</v>
      </c>
      <c r="E2216" s="164" t="n">
        <v>30000</v>
      </c>
      <c r="F2216" s="165" t="s">
        <v>6357</v>
      </c>
    </row>
    <row r="2217" customFormat="false" ht="15" hidden="false" customHeight="true" outlineLevel="0" collapsed="false">
      <c r="A2217" s="163" t="s">
        <v>3047</v>
      </c>
      <c r="B2217" s="163" t="s">
        <v>894</v>
      </c>
      <c r="C2217" s="163" t="s">
        <v>2167</v>
      </c>
      <c r="D2217" s="163" t="s">
        <v>1931</v>
      </c>
      <c r="E2217" s="164" t="n">
        <v>25000</v>
      </c>
      <c r="F2217" s="165" t="s">
        <v>6358</v>
      </c>
    </row>
    <row r="2218" customFormat="false" ht="15" hidden="false" customHeight="true" outlineLevel="0" collapsed="false">
      <c r="A2218" s="163" t="s">
        <v>3047</v>
      </c>
      <c r="B2218" s="163" t="s">
        <v>894</v>
      </c>
      <c r="C2218" s="163" t="s">
        <v>6359</v>
      </c>
      <c r="D2218" s="163" t="s">
        <v>6360</v>
      </c>
      <c r="E2218" s="164" t="n">
        <v>24500</v>
      </c>
      <c r="F2218" s="165" t="s">
        <v>3060</v>
      </c>
    </row>
    <row r="2219" customFormat="false" ht="15" hidden="false" customHeight="true" outlineLevel="0" collapsed="false">
      <c r="A2219" s="163" t="s">
        <v>3047</v>
      </c>
      <c r="B2219" s="163" t="s">
        <v>894</v>
      </c>
      <c r="C2219" s="163" t="s">
        <v>6361</v>
      </c>
      <c r="D2219" s="163" t="s">
        <v>6362</v>
      </c>
      <c r="E2219" s="164" t="n">
        <v>20000</v>
      </c>
      <c r="F2219" s="165" t="s">
        <v>3060</v>
      </c>
    </row>
    <row r="2220" customFormat="false" ht="15" hidden="false" customHeight="true" outlineLevel="0" collapsed="false">
      <c r="A2220" s="163" t="s">
        <v>3047</v>
      </c>
      <c r="B2220" s="163" t="s">
        <v>894</v>
      </c>
      <c r="C2220" s="163" t="s">
        <v>6342</v>
      </c>
      <c r="D2220" s="163" t="s">
        <v>6343</v>
      </c>
      <c r="E2220" s="164" t="n">
        <v>15500</v>
      </c>
      <c r="F2220" s="165" t="s">
        <v>3060</v>
      </c>
    </row>
    <row r="2221" customFormat="false" ht="15" hidden="false" customHeight="true" outlineLevel="0" collapsed="false">
      <c r="A2221" s="163" t="s">
        <v>3047</v>
      </c>
      <c r="B2221" s="163" t="s">
        <v>894</v>
      </c>
      <c r="C2221" s="163" t="s">
        <v>6363</v>
      </c>
      <c r="D2221" s="163" t="s">
        <v>6364</v>
      </c>
      <c r="E2221" s="164" t="n">
        <v>12500</v>
      </c>
      <c r="F2221" s="165" t="s">
        <v>6365</v>
      </c>
    </row>
    <row r="2222" customFormat="false" ht="15" hidden="false" customHeight="true" outlineLevel="0" collapsed="false">
      <c r="A2222" s="163" t="s">
        <v>3047</v>
      </c>
      <c r="B2222" s="163" t="s">
        <v>894</v>
      </c>
      <c r="C2222" s="163" t="s">
        <v>6366</v>
      </c>
      <c r="D2222" s="163" t="s">
        <v>6367</v>
      </c>
      <c r="E2222" s="164" t="n">
        <v>12000</v>
      </c>
      <c r="F2222" s="165" t="s">
        <v>3060</v>
      </c>
    </row>
    <row r="2223" customFormat="false" ht="15" hidden="false" customHeight="true" outlineLevel="0" collapsed="false">
      <c r="A2223" s="163" t="s">
        <v>3047</v>
      </c>
      <c r="B2223" s="163" t="s">
        <v>894</v>
      </c>
      <c r="C2223" s="163" t="s">
        <v>6368</v>
      </c>
      <c r="D2223" s="163" t="s">
        <v>6369</v>
      </c>
      <c r="E2223" s="164" t="n">
        <v>10000</v>
      </c>
      <c r="F2223" s="165" t="s">
        <v>3060</v>
      </c>
    </row>
    <row r="2224" customFormat="false" ht="15" hidden="false" customHeight="true" outlineLevel="0" collapsed="false">
      <c r="A2224" s="163" t="s">
        <v>3047</v>
      </c>
      <c r="B2224" s="163" t="s">
        <v>894</v>
      </c>
      <c r="C2224" s="163" t="s">
        <v>6370</v>
      </c>
      <c r="D2224" s="163" t="s">
        <v>6371</v>
      </c>
      <c r="E2224" s="164" t="n">
        <v>10000</v>
      </c>
      <c r="F2224" s="165" t="s">
        <v>6372</v>
      </c>
    </row>
    <row r="2225" customFormat="false" ht="15" hidden="false" customHeight="true" outlineLevel="0" collapsed="false">
      <c r="A2225" s="163" t="s">
        <v>3047</v>
      </c>
      <c r="B2225" s="163" t="s">
        <v>894</v>
      </c>
      <c r="C2225" s="163" t="s">
        <v>6373</v>
      </c>
      <c r="D2225" s="163" t="s">
        <v>6374</v>
      </c>
      <c r="E2225" s="164" t="n">
        <v>8000</v>
      </c>
      <c r="F2225" s="165" t="s">
        <v>6375</v>
      </c>
    </row>
    <row r="2226" customFormat="false" ht="15" hidden="false" customHeight="true" outlineLevel="0" collapsed="false">
      <c r="A2226" s="163" t="s">
        <v>3047</v>
      </c>
      <c r="B2226" s="163" t="s">
        <v>894</v>
      </c>
      <c r="C2226" s="163" t="s">
        <v>6376</v>
      </c>
      <c r="D2226" s="163" t="s">
        <v>6377</v>
      </c>
      <c r="E2226" s="164" t="n">
        <v>8000</v>
      </c>
      <c r="F2226" s="165" t="s">
        <v>6375</v>
      </c>
    </row>
    <row r="2227" customFormat="false" ht="15" hidden="false" customHeight="true" outlineLevel="0" collapsed="false">
      <c r="A2227" s="163" t="s">
        <v>3047</v>
      </c>
      <c r="B2227" s="163" t="s">
        <v>894</v>
      </c>
      <c r="C2227" s="163" t="s">
        <v>6378</v>
      </c>
      <c r="D2227" s="163" t="s">
        <v>6379</v>
      </c>
      <c r="E2227" s="164" t="n">
        <v>7500</v>
      </c>
      <c r="F2227" s="165" t="s">
        <v>6380</v>
      </c>
    </row>
    <row r="2228" customFormat="false" ht="15" hidden="false" customHeight="true" outlineLevel="0" collapsed="false">
      <c r="A2228" s="163" t="s">
        <v>3047</v>
      </c>
      <c r="B2228" s="163" t="s">
        <v>894</v>
      </c>
      <c r="C2228" s="163" t="s">
        <v>6316</v>
      </c>
      <c r="D2228" s="163" t="s">
        <v>6317</v>
      </c>
      <c r="E2228" s="164" t="n">
        <v>7000</v>
      </c>
      <c r="F2228" s="165" t="s">
        <v>6318</v>
      </c>
    </row>
    <row r="2229" customFormat="false" ht="15" hidden="false" customHeight="true" outlineLevel="0" collapsed="false">
      <c r="A2229" s="163" t="s">
        <v>3047</v>
      </c>
      <c r="B2229" s="163" t="s">
        <v>894</v>
      </c>
      <c r="C2229" s="163" t="s">
        <v>6381</v>
      </c>
      <c r="D2229" s="163" t="s">
        <v>6382</v>
      </c>
      <c r="E2229" s="164" t="n">
        <v>7000</v>
      </c>
      <c r="F2229" s="165" t="s">
        <v>6347</v>
      </c>
    </row>
    <row r="2230" customFormat="false" ht="15" hidden="false" customHeight="true" outlineLevel="0" collapsed="false">
      <c r="A2230" s="163" t="s">
        <v>3047</v>
      </c>
      <c r="B2230" s="163" t="s">
        <v>894</v>
      </c>
      <c r="C2230" s="163" t="s">
        <v>4834</v>
      </c>
      <c r="D2230" s="163" t="s">
        <v>4835</v>
      </c>
      <c r="E2230" s="164" t="n">
        <v>5000</v>
      </c>
      <c r="F2230" s="165" t="s">
        <v>6383</v>
      </c>
    </row>
    <row r="2231" customFormat="false" ht="15" hidden="false" customHeight="true" outlineLevel="0" collapsed="false">
      <c r="A2231" s="163" t="s">
        <v>3047</v>
      </c>
      <c r="B2231" s="163" t="s">
        <v>894</v>
      </c>
      <c r="C2231" s="163" t="s">
        <v>6384</v>
      </c>
      <c r="D2231" s="163" t="s">
        <v>6385</v>
      </c>
      <c r="E2231" s="164" t="n">
        <v>5000</v>
      </c>
      <c r="F2231" s="165" t="s">
        <v>3060</v>
      </c>
    </row>
    <row r="2232" customFormat="false" ht="15" hidden="false" customHeight="true" outlineLevel="0" collapsed="false">
      <c r="A2232" s="163" t="s">
        <v>3047</v>
      </c>
      <c r="B2232" s="163" t="s">
        <v>894</v>
      </c>
      <c r="C2232" s="163" t="s">
        <v>6092</v>
      </c>
      <c r="D2232" s="163" t="s">
        <v>6093</v>
      </c>
      <c r="E2232" s="164" t="n">
        <v>5000</v>
      </c>
      <c r="F2232" s="165" t="s">
        <v>3060</v>
      </c>
    </row>
    <row r="2233" customFormat="false" ht="15" hidden="false" customHeight="true" outlineLevel="0" collapsed="false">
      <c r="A2233" s="163" t="s">
        <v>3047</v>
      </c>
      <c r="B2233" s="163" t="s">
        <v>894</v>
      </c>
      <c r="C2233" s="163" t="s">
        <v>6345</v>
      </c>
      <c r="D2233" s="163" t="s">
        <v>6346</v>
      </c>
      <c r="E2233" s="164" t="n">
        <v>5000</v>
      </c>
      <c r="F2233" s="165" t="s">
        <v>6386</v>
      </c>
    </row>
    <row r="2234" customFormat="false" ht="15" hidden="false" customHeight="true" outlineLevel="0" collapsed="false">
      <c r="A2234" s="163" t="s">
        <v>3047</v>
      </c>
      <c r="B2234" s="163" t="s">
        <v>894</v>
      </c>
      <c r="C2234" s="163" t="s">
        <v>6387</v>
      </c>
      <c r="D2234" s="163" t="s">
        <v>6388</v>
      </c>
      <c r="E2234" s="164" t="n">
        <v>5000</v>
      </c>
      <c r="F2234" s="165" t="s">
        <v>6389</v>
      </c>
    </row>
    <row r="2235" customFormat="false" ht="15" hidden="false" customHeight="true" outlineLevel="0" collapsed="false">
      <c r="A2235" s="163" t="s">
        <v>3047</v>
      </c>
      <c r="B2235" s="163" t="s">
        <v>894</v>
      </c>
      <c r="C2235" s="163" t="s">
        <v>6390</v>
      </c>
      <c r="D2235" s="163" t="s">
        <v>6391</v>
      </c>
      <c r="E2235" s="164" t="n">
        <v>5000</v>
      </c>
      <c r="F2235" s="165" t="s">
        <v>3060</v>
      </c>
    </row>
    <row r="2236" customFormat="false" ht="15" hidden="false" customHeight="true" outlineLevel="0" collapsed="false">
      <c r="A2236" s="163" t="s">
        <v>3047</v>
      </c>
      <c r="B2236" s="163" t="s">
        <v>894</v>
      </c>
      <c r="C2236" s="163" t="s">
        <v>893</v>
      </c>
      <c r="D2236" s="163" t="s">
        <v>1931</v>
      </c>
      <c r="E2236" s="164" t="n">
        <v>5000</v>
      </c>
      <c r="F2236" s="165" t="s">
        <v>6392</v>
      </c>
    </row>
    <row r="2237" customFormat="false" ht="15" hidden="false" customHeight="true" outlineLevel="0" collapsed="false">
      <c r="A2237" s="163" t="s">
        <v>3047</v>
      </c>
      <c r="B2237" s="163" t="s">
        <v>894</v>
      </c>
      <c r="C2237" s="163" t="s">
        <v>6393</v>
      </c>
      <c r="D2237" s="163" t="s">
        <v>6394</v>
      </c>
      <c r="E2237" s="164" t="n">
        <v>5000</v>
      </c>
      <c r="F2237" s="165" t="s">
        <v>3060</v>
      </c>
    </row>
    <row r="2238" customFormat="false" ht="15" hidden="false" customHeight="true" outlineLevel="0" collapsed="false">
      <c r="A2238" s="163" t="s">
        <v>3047</v>
      </c>
      <c r="B2238" s="163" t="s">
        <v>894</v>
      </c>
      <c r="C2238" s="163" t="s">
        <v>6395</v>
      </c>
      <c r="D2238" s="163" t="s">
        <v>6396</v>
      </c>
      <c r="E2238" s="164" t="n">
        <v>5000</v>
      </c>
      <c r="F2238" s="165" t="s">
        <v>3060</v>
      </c>
    </row>
    <row r="2239" customFormat="false" ht="15" hidden="false" customHeight="true" outlineLevel="0" collapsed="false">
      <c r="A2239" s="163" t="s">
        <v>3047</v>
      </c>
      <c r="B2239" s="163" t="s">
        <v>894</v>
      </c>
      <c r="C2239" s="163" t="s">
        <v>6397</v>
      </c>
      <c r="D2239" s="163" t="s">
        <v>6398</v>
      </c>
      <c r="E2239" s="164" t="n">
        <v>5000</v>
      </c>
      <c r="F2239" s="165" t="s">
        <v>3060</v>
      </c>
    </row>
    <row r="2240" customFormat="false" ht="15" hidden="false" customHeight="true" outlineLevel="0" collapsed="false">
      <c r="A2240" s="163" t="s">
        <v>3047</v>
      </c>
      <c r="B2240" s="163" t="s">
        <v>894</v>
      </c>
      <c r="C2240" s="163" t="s">
        <v>4343</v>
      </c>
      <c r="D2240" s="163" t="s">
        <v>4344</v>
      </c>
      <c r="E2240" s="164" t="n">
        <v>3000</v>
      </c>
      <c r="F2240" s="165" t="s">
        <v>6347</v>
      </c>
    </row>
    <row r="2241" customFormat="false" ht="15" hidden="false" customHeight="true" outlineLevel="0" collapsed="false">
      <c r="A2241" s="163" t="s">
        <v>3047</v>
      </c>
      <c r="B2241" s="163" t="s">
        <v>2328</v>
      </c>
      <c r="C2241" s="163" t="s">
        <v>6342</v>
      </c>
      <c r="D2241" s="163" t="s">
        <v>6343</v>
      </c>
      <c r="E2241" s="164" t="n">
        <v>25000</v>
      </c>
      <c r="F2241" s="165" t="s">
        <v>6347</v>
      </c>
    </row>
    <row r="2242" customFormat="false" ht="15" hidden="false" customHeight="true" outlineLevel="0" collapsed="false">
      <c r="A2242" s="163" t="s">
        <v>3047</v>
      </c>
      <c r="B2242" s="163" t="s">
        <v>2328</v>
      </c>
      <c r="C2242" s="163" t="s">
        <v>3853</v>
      </c>
      <c r="D2242" s="163" t="s">
        <v>3854</v>
      </c>
      <c r="E2242" s="164" t="n">
        <v>25000</v>
      </c>
      <c r="F2242" s="165" t="s">
        <v>6347</v>
      </c>
    </row>
    <row r="2243" customFormat="false" ht="15" hidden="false" customHeight="true" outlineLevel="0" collapsed="false">
      <c r="A2243" s="163" t="s">
        <v>3047</v>
      </c>
      <c r="B2243" s="163" t="s">
        <v>1743</v>
      </c>
      <c r="C2243" s="163" t="s">
        <v>3853</v>
      </c>
      <c r="D2243" s="163" t="s">
        <v>3854</v>
      </c>
      <c r="E2243" s="164" t="n">
        <v>30000</v>
      </c>
      <c r="F2243" s="165" t="s">
        <v>3060</v>
      </c>
    </row>
    <row r="2244" customFormat="false" ht="15" hidden="false" customHeight="true" outlineLevel="0" collapsed="false">
      <c r="A2244" s="163" t="s">
        <v>3047</v>
      </c>
      <c r="B2244" s="163" t="s">
        <v>1743</v>
      </c>
      <c r="C2244" s="163" t="s">
        <v>6300</v>
      </c>
      <c r="D2244" s="163" t="s">
        <v>6301</v>
      </c>
      <c r="E2244" s="164" t="n">
        <v>20000</v>
      </c>
      <c r="F2244" s="165" t="s">
        <v>6399</v>
      </c>
    </row>
    <row r="2245" customFormat="false" ht="15" hidden="false" customHeight="true" outlineLevel="0" collapsed="false">
      <c r="A2245" s="163" t="s">
        <v>3047</v>
      </c>
      <c r="B2245" s="163" t="s">
        <v>1743</v>
      </c>
      <c r="C2245" s="163" t="s">
        <v>6342</v>
      </c>
      <c r="D2245" s="163" t="s">
        <v>6343</v>
      </c>
      <c r="E2245" s="164" t="n">
        <v>20000</v>
      </c>
      <c r="F2245" s="165" t="s">
        <v>3060</v>
      </c>
    </row>
    <row r="2246" customFormat="false" ht="15" hidden="false" customHeight="true" outlineLevel="0" collapsed="false">
      <c r="A2246" s="163" t="s">
        <v>3047</v>
      </c>
      <c r="B2246" s="163" t="s">
        <v>1743</v>
      </c>
      <c r="C2246" s="163" t="s">
        <v>6305</v>
      </c>
      <c r="D2246" s="163" t="s">
        <v>6306</v>
      </c>
      <c r="E2246" s="164" t="n">
        <v>15000</v>
      </c>
      <c r="F2246" s="165" t="s">
        <v>6400</v>
      </c>
    </row>
    <row r="2247" customFormat="false" ht="15" hidden="false" customHeight="true" outlineLevel="0" collapsed="false">
      <c r="A2247" s="163" t="s">
        <v>3047</v>
      </c>
      <c r="B2247" s="163" t="s">
        <v>1743</v>
      </c>
      <c r="C2247" s="163" t="s">
        <v>6401</v>
      </c>
      <c r="D2247" s="163" t="s">
        <v>6402</v>
      </c>
      <c r="E2247" s="164" t="n">
        <v>15000</v>
      </c>
      <c r="F2247" s="165" t="s">
        <v>6403</v>
      </c>
    </row>
    <row r="2248" customFormat="false" ht="15" hidden="false" customHeight="true" outlineLevel="0" collapsed="false">
      <c r="A2248" s="163" t="s">
        <v>3047</v>
      </c>
      <c r="B2248" s="163" t="s">
        <v>1743</v>
      </c>
      <c r="C2248" s="163" t="s">
        <v>4343</v>
      </c>
      <c r="D2248" s="163" t="s">
        <v>4344</v>
      </c>
      <c r="E2248" s="164" t="n">
        <v>10000</v>
      </c>
      <c r="F2248" s="165" t="s">
        <v>3060</v>
      </c>
    </row>
    <row r="2249" customFormat="false" ht="15" hidden="false" customHeight="true" outlineLevel="0" collapsed="false">
      <c r="A2249" s="163" t="s">
        <v>3047</v>
      </c>
      <c r="B2249" s="163" t="s">
        <v>1743</v>
      </c>
      <c r="C2249" s="163" t="s">
        <v>4769</v>
      </c>
      <c r="D2249" s="163" t="s">
        <v>4770</v>
      </c>
      <c r="E2249" s="164" t="n">
        <v>10000</v>
      </c>
      <c r="F2249" s="165" t="s">
        <v>3060</v>
      </c>
    </row>
    <row r="2250" customFormat="false" ht="15" hidden="false" customHeight="true" outlineLevel="0" collapsed="false">
      <c r="A2250" s="163" t="s">
        <v>3047</v>
      </c>
      <c r="B2250" s="163" t="s">
        <v>1743</v>
      </c>
      <c r="C2250" s="163" t="s">
        <v>6404</v>
      </c>
      <c r="D2250" s="163" t="s">
        <v>6405</v>
      </c>
      <c r="E2250" s="164" t="n">
        <v>10000</v>
      </c>
      <c r="F2250" s="165" t="s">
        <v>6406</v>
      </c>
    </row>
    <row r="2251" customFormat="false" ht="15" hidden="false" customHeight="true" outlineLevel="0" collapsed="false">
      <c r="A2251" s="163" t="s">
        <v>3047</v>
      </c>
      <c r="B2251" s="163" t="s">
        <v>1743</v>
      </c>
      <c r="C2251" s="163" t="s">
        <v>6407</v>
      </c>
      <c r="D2251" s="163" t="s">
        <v>6408</v>
      </c>
      <c r="E2251" s="164" t="n">
        <v>10000</v>
      </c>
      <c r="F2251" s="165" t="s">
        <v>6409</v>
      </c>
    </row>
    <row r="2252" customFormat="false" ht="15" hidden="false" customHeight="true" outlineLevel="0" collapsed="false">
      <c r="A2252" s="163" t="s">
        <v>3047</v>
      </c>
      <c r="B2252" s="163" t="s">
        <v>1743</v>
      </c>
      <c r="C2252" s="163" t="s">
        <v>6410</v>
      </c>
      <c r="D2252" s="163" t="s">
        <v>6411</v>
      </c>
      <c r="E2252" s="164" t="n">
        <v>5000</v>
      </c>
      <c r="F2252" s="165" t="s">
        <v>3060</v>
      </c>
    </row>
    <row r="2253" customFormat="false" ht="15" hidden="false" customHeight="true" outlineLevel="0" collapsed="false">
      <c r="A2253" s="163" t="s">
        <v>3047</v>
      </c>
      <c r="B2253" s="163" t="s">
        <v>1743</v>
      </c>
      <c r="C2253" s="163" t="s">
        <v>5087</v>
      </c>
      <c r="D2253" s="163" t="s">
        <v>5088</v>
      </c>
      <c r="E2253" s="164" t="n">
        <v>5000</v>
      </c>
      <c r="F2253" s="165" t="s">
        <v>6412</v>
      </c>
    </row>
    <row r="2254" customFormat="false" ht="15" hidden="false" customHeight="true" outlineLevel="0" collapsed="false">
      <c r="A2254" s="163" t="s">
        <v>3047</v>
      </c>
      <c r="B2254" s="163" t="s">
        <v>928</v>
      </c>
      <c r="C2254" s="163" t="s">
        <v>6413</v>
      </c>
      <c r="D2254" s="163" t="s">
        <v>6414</v>
      </c>
      <c r="E2254" s="164" t="n">
        <v>50000</v>
      </c>
      <c r="F2254" s="165" t="s">
        <v>3060</v>
      </c>
    </row>
    <row r="2255" customFormat="false" ht="15" hidden="false" customHeight="true" outlineLevel="0" collapsed="false">
      <c r="A2255" s="163" t="s">
        <v>3047</v>
      </c>
      <c r="B2255" s="163" t="s">
        <v>928</v>
      </c>
      <c r="C2255" s="163" t="s">
        <v>6415</v>
      </c>
      <c r="D2255" s="163" t="s">
        <v>6416</v>
      </c>
      <c r="E2255" s="164" t="n">
        <v>25000</v>
      </c>
      <c r="F2255" s="165" t="s">
        <v>3060</v>
      </c>
    </row>
    <row r="2256" customFormat="false" ht="15" hidden="false" customHeight="true" outlineLevel="0" collapsed="false">
      <c r="A2256" s="163" t="s">
        <v>3047</v>
      </c>
      <c r="B2256" s="163" t="s">
        <v>928</v>
      </c>
      <c r="C2256" s="163" t="s">
        <v>6417</v>
      </c>
      <c r="D2256" s="163" t="s">
        <v>6418</v>
      </c>
      <c r="E2256" s="164" t="n">
        <v>23000</v>
      </c>
      <c r="F2256" s="165" t="s">
        <v>6347</v>
      </c>
    </row>
    <row r="2257" customFormat="false" ht="15" hidden="false" customHeight="true" outlineLevel="0" collapsed="false">
      <c r="A2257" s="163" t="s">
        <v>3047</v>
      </c>
      <c r="B2257" s="163" t="s">
        <v>928</v>
      </c>
      <c r="C2257" s="163" t="s">
        <v>6419</v>
      </c>
      <c r="D2257" s="163" t="s">
        <v>6420</v>
      </c>
      <c r="E2257" s="164" t="n">
        <v>13000</v>
      </c>
      <c r="F2257" s="165" t="s">
        <v>3060</v>
      </c>
    </row>
    <row r="2258" customFormat="false" ht="15" hidden="false" customHeight="true" outlineLevel="0" collapsed="false">
      <c r="A2258" s="163" t="s">
        <v>3047</v>
      </c>
      <c r="B2258" s="163" t="s">
        <v>928</v>
      </c>
      <c r="C2258" s="163" t="s">
        <v>6363</v>
      </c>
      <c r="D2258" s="163" t="s">
        <v>6364</v>
      </c>
      <c r="E2258" s="164" t="n">
        <v>12500</v>
      </c>
      <c r="F2258" s="165" t="s">
        <v>3060</v>
      </c>
    </row>
    <row r="2259" customFormat="false" ht="15" hidden="false" customHeight="true" outlineLevel="0" collapsed="false">
      <c r="A2259" s="163" t="s">
        <v>3047</v>
      </c>
      <c r="B2259" s="163" t="s">
        <v>928</v>
      </c>
      <c r="C2259" s="163" t="s">
        <v>6421</v>
      </c>
      <c r="D2259" s="163" t="s">
        <v>6422</v>
      </c>
      <c r="E2259" s="164" t="n">
        <v>10000</v>
      </c>
      <c r="F2259" s="165" t="s">
        <v>3060</v>
      </c>
    </row>
    <row r="2260" customFormat="false" ht="15" hidden="false" customHeight="true" outlineLevel="0" collapsed="false">
      <c r="A2260" s="163" t="s">
        <v>3047</v>
      </c>
      <c r="B2260" s="163" t="s">
        <v>928</v>
      </c>
      <c r="C2260" s="163" t="s">
        <v>6423</v>
      </c>
      <c r="D2260" s="163" t="s">
        <v>6424</v>
      </c>
      <c r="E2260" s="164" t="n">
        <v>8000</v>
      </c>
      <c r="F2260" s="165" t="s">
        <v>6425</v>
      </c>
    </row>
    <row r="2261" customFormat="false" ht="15" hidden="false" customHeight="true" outlineLevel="0" collapsed="false">
      <c r="A2261" s="163" t="s">
        <v>3047</v>
      </c>
      <c r="B2261" s="163" t="s">
        <v>928</v>
      </c>
      <c r="C2261" s="163" t="s">
        <v>6426</v>
      </c>
      <c r="D2261" s="163" t="s">
        <v>6427</v>
      </c>
      <c r="E2261" s="164" t="n">
        <v>5000</v>
      </c>
      <c r="F2261" s="165" t="s">
        <v>6347</v>
      </c>
    </row>
    <row r="2262" customFormat="false" ht="15" hidden="false" customHeight="true" outlineLevel="0" collapsed="false">
      <c r="A2262" s="163" t="s">
        <v>3047</v>
      </c>
      <c r="B2262" s="163" t="s">
        <v>928</v>
      </c>
      <c r="C2262" s="163" t="s">
        <v>6348</v>
      </c>
      <c r="D2262" s="163" t="s">
        <v>6349</v>
      </c>
      <c r="E2262" s="164" t="n">
        <v>3500</v>
      </c>
      <c r="F2262" s="165" t="s">
        <v>3060</v>
      </c>
    </row>
    <row r="2263" customFormat="false" ht="15" hidden="false" customHeight="true" outlineLevel="0" collapsed="false">
      <c r="A2263" s="163" t="s">
        <v>3010</v>
      </c>
      <c r="B2263" s="163" t="s">
        <v>926</v>
      </c>
      <c r="C2263" s="163" t="s">
        <v>3063</v>
      </c>
      <c r="D2263" s="163" t="s">
        <v>3064</v>
      </c>
      <c r="E2263" s="164" t="n">
        <v>40000</v>
      </c>
      <c r="F2263" s="165" t="s">
        <v>6428</v>
      </c>
    </row>
    <row r="2264" customFormat="false" ht="15" hidden="false" customHeight="true" outlineLevel="0" collapsed="false">
      <c r="A2264" s="163" t="s">
        <v>3010</v>
      </c>
      <c r="B2264" s="163" t="s">
        <v>926</v>
      </c>
      <c r="C2264" s="163" t="s">
        <v>6267</v>
      </c>
      <c r="D2264" s="163" t="s">
        <v>6268</v>
      </c>
      <c r="E2264" s="164" t="n">
        <v>30000</v>
      </c>
      <c r="F2264" s="165" t="s">
        <v>6429</v>
      </c>
    </row>
    <row r="2265" customFormat="false" ht="15" hidden="false" customHeight="true" outlineLevel="0" collapsed="false">
      <c r="A2265" s="163" t="s">
        <v>3010</v>
      </c>
      <c r="B2265" s="163" t="s">
        <v>926</v>
      </c>
      <c r="C2265" s="163" t="s">
        <v>3406</v>
      </c>
      <c r="D2265" s="163" t="s">
        <v>3407</v>
      </c>
      <c r="E2265" s="164" t="n">
        <v>30000</v>
      </c>
      <c r="F2265" s="165" t="s">
        <v>6430</v>
      </c>
    </row>
    <row r="2266" customFormat="false" ht="15" hidden="false" customHeight="true" outlineLevel="0" collapsed="false">
      <c r="A2266" s="163" t="s">
        <v>3010</v>
      </c>
      <c r="B2266" s="163" t="s">
        <v>957</v>
      </c>
      <c r="C2266" s="163" t="s">
        <v>6431</v>
      </c>
      <c r="D2266" s="163" t="s">
        <v>6432</v>
      </c>
      <c r="E2266" s="164" t="n">
        <v>30000</v>
      </c>
      <c r="F2266" s="165" t="s">
        <v>6433</v>
      </c>
    </row>
    <row r="2267" customFormat="false" ht="15" hidden="false" customHeight="true" outlineLevel="0" collapsed="false">
      <c r="A2267" s="163" t="s">
        <v>3010</v>
      </c>
      <c r="B2267" s="163" t="s">
        <v>957</v>
      </c>
      <c r="C2267" s="163" t="s">
        <v>3478</v>
      </c>
      <c r="D2267" s="163" t="s">
        <v>3479</v>
      </c>
      <c r="E2267" s="164" t="n">
        <v>25000</v>
      </c>
      <c r="F2267" s="165" t="s">
        <v>6434</v>
      </c>
    </row>
    <row r="2268" customFormat="false" ht="15" hidden="false" customHeight="true" outlineLevel="0" collapsed="false">
      <c r="A2268" s="163" t="s">
        <v>3010</v>
      </c>
      <c r="B2268" s="163" t="s">
        <v>957</v>
      </c>
      <c r="C2268" s="163" t="s">
        <v>5815</v>
      </c>
      <c r="D2268" s="163" t="s">
        <v>5816</v>
      </c>
      <c r="E2268" s="164" t="n">
        <v>20000</v>
      </c>
      <c r="F2268" s="165" t="s">
        <v>6435</v>
      </c>
    </row>
    <row r="2269" customFormat="false" ht="15" hidden="false" customHeight="true" outlineLevel="0" collapsed="false">
      <c r="A2269" s="163" t="s">
        <v>3010</v>
      </c>
      <c r="B2269" s="163" t="s">
        <v>957</v>
      </c>
      <c r="C2269" s="163" t="s">
        <v>1860</v>
      </c>
      <c r="D2269" s="163" t="s">
        <v>1861</v>
      </c>
      <c r="E2269" s="164" t="n">
        <v>15000</v>
      </c>
      <c r="F2269" s="165" t="s">
        <v>6436</v>
      </c>
    </row>
    <row r="2270" customFormat="false" ht="15" hidden="false" customHeight="true" outlineLevel="0" collapsed="false">
      <c r="A2270" s="163" t="s">
        <v>3010</v>
      </c>
      <c r="B2270" s="163" t="s">
        <v>957</v>
      </c>
      <c r="C2270" s="163" t="s">
        <v>5783</v>
      </c>
      <c r="D2270" s="163" t="s">
        <v>5784</v>
      </c>
      <c r="E2270" s="164" t="n">
        <v>10000</v>
      </c>
      <c r="F2270" s="165" t="s">
        <v>6437</v>
      </c>
    </row>
    <row r="2271" customFormat="false" ht="15" hidden="false" customHeight="true" outlineLevel="0" collapsed="false">
      <c r="A2271" s="163" t="s">
        <v>3010</v>
      </c>
      <c r="B2271" s="163" t="s">
        <v>957</v>
      </c>
      <c r="C2271" s="163" t="s">
        <v>6438</v>
      </c>
      <c r="D2271" s="163" t="s">
        <v>6439</v>
      </c>
      <c r="E2271" s="164" t="n">
        <v>10000</v>
      </c>
      <c r="F2271" s="165" t="s">
        <v>6440</v>
      </c>
    </row>
    <row r="2272" customFormat="false" ht="15" hidden="false" customHeight="true" outlineLevel="0" collapsed="false">
      <c r="A2272" s="163" t="s">
        <v>3010</v>
      </c>
      <c r="B2272" s="163" t="s">
        <v>945</v>
      </c>
      <c r="C2272" s="163" t="s">
        <v>1021</v>
      </c>
      <c r="D2272" s="163" t="s">
        <v>1931</v>
      </c>
      <c r="E2272" s="164" t="n">
        <v>50000</v>
      </c>
      <c r="F2272" s="165" t="s">
        <v>6441</v>
      </c>
    </row>
    <row r="2273" customFormat="false" ht="15" hidden="false" customHeight="true" outlineLevel="0" collapsed="false">
      <c r="A2273" s="163" t="s">
        <v>3010</v>
      </c>
      <c r="B2273" s="163" t="s">
        <v>945</v>
      </c>
      <c r="C2273" s="163" t="s">
        <v>5637</v>
      </c>
      <c r="D2273" s="163" t="s">
        <v>5638</v>
      </c>
      <c r="E2273" s="164" t="n">
        <v>20000</v>
      </c>
      <c r="F2273" s="165" t="s">
        <v>6442</v>
      </c>
    </row>
    <row r="2274" customFormat="false" ht="15" hidden="false" customHeight="true" outlineLevel="0" collapsed="false">
      <c r="A2274" s="163" t="s">
        <v>3010</v>
      </c>
      <c r="B2274" s="163" t="s">
        <v>945</v>
      </c>
      <c r="C2274" s="163" t="s">
        <v>4995</v>
      </c>
      <c r="D2274" s="163" t="s">
        <v>4996</v>
      </c>
      <c r="E2274" s="164" t="n">
        <v>15000</v>
      </c>
      <c r="F2274" s="165" t="s">
        <v>6443</v>
      </c>
    </row>
    <row r="2275" customFormat="false" ht="15" hidden="false" customHeight="true" outlineLevel="0" collapsed="false">
      <c r="A2275" s="163" t="s">
        <v>3010</v>
      </c>
      <c r="B2275" s="163" t="s">
        <v>945</v>
      </c>
      <c r="C2275" s="163" t="s">
        <v>6444</v>
      </c>
      <c r="D2275" s="163" t="s">
        <v>6445</v>
      </c>
      <c r="E2275" s="164" t="n">
        <v>10000</v>
      </c>
      <c r="F2275" s="165" t="s">
        <v>6446</v>
      </c>
    </row>
    <row r="2276" customFormat="false" ht="15" hidden="false" customHeight="true" outlineLevel="0" collapsed="false">
      <c r="A2276" s="163" t="s">
        <v>3010</v>
      </c>
      <c r="B2276" s="163" t="s">
        <v>945</v>
      </c>
      <c r="C2276" s="163" t="s">
        <v>3061</v>
      </c>
      <c r="D2276" s="163" t="s">
        <v>3062</v>
      </c>
      <c r="E2276" s="164" t="n">
        <v>5000</v>
      </c>
      <c r="F2276" s="165" t="s">
        <v>6447</v>
      </c>
    </row>
    <row r="2277" customFormat="false" ht="15" hidden="false" customHeight="true" outlineLevel="0" collapsed="false">
      <c r="A2277" s="163" t="s">
        <v>3010</v>
      </c>
      <c r="B2277" s="163" t="s">
        <v>3111</v>
      </c>
      <c r="C2277" s="163" t="s">
        <v>3458</v>
      </c>
      <c r="D2277" s="163" t="s">
        <v>3459</v>
      </c>
      <c r="E2277" s="164" t="n">
        <v>25000</v>
      </c>
      <c r="F2277" s="165" t="s">
        <v>6448</v>
      </c>
    </row>
    <row r="2278" customFormat="false" ht="15" hidden="false" customHeight="true" outlineLevel="0" collapsed="false">
      <c r="A2278" s="163" t="s">
        <v>3010</v>
      </c>
      <c r="B2278" s="163" t="s">
        <v>3111</v>
      </c>
      <c r="C2278" s="163" t="s">
        <v>6449</v>
      </c>
      <c r="D2278" s="163" t="s">
        <v>6450</v>
      </c>
      <c r="E2278" s="164" t="n">
        <v>20000</v>
      </c>
      <c r="F2278" s="165" t="s">
        <v>6446</v>
      </c>
    </row>
    <row r="2279" customFormat="false" ht="15" hidden="false" customHeight="true" outlineLevel="0" collapsed="false">
      <c r="A2279" s="163" t="s">
        <v>3010</v>
      </c>
      <c r="B2279" s="163" t="s">
        <v>3111</v>
      </c>
      <c r="C2279" s="163" t="s">
        <v>3980</v>
      </c>
      <c r="D2279" s="163" t="s">
        <v>3981</v>
      </c>
      <c r="E2279" s="164" t="n">
        <v>20000</v>
      </c>
      <c r="F2279" s="165" t="s">
        <v>6451</v>
      </c>
    </row>
    <row r="2280" customFormat="false" ht="15" hidden="false" customHeight="true" outlineLevel="0" collapsed="false">
      <c r="A2280" s="163" t="s">
        <v>3010</v>
      </c>
      <c r="B2280" s="163" t="s">
        <v>3111</v>
      </c>
      <c r="C2280" s="163" t="s">
        <v>6452</v>
      </c>
      <c r="D2280" s="163" t="s">
        <v>6453</v>
      </c>
      <c r="E2280" s="164" t="n">
        <v>15000</v>
      </c>
      <c r="F2280" s="165" t="s">
        <v>6454</v>
      </c>
    </row>
    <row r="2281" customFormat="false" ht="15" hidden="false" customHeight="true" outlineLevel="0" collapsed="false">
      <c r="A2281" s="163" t="s">
        <v>3010</v>
      </c>
      <c r="B2281" s="163" t="s">
        <v>3111</v>
      </c>
      <c r="C2281" s="163" t="s">
        <v>5611</v>
      </c>
      <c r="D2281" s="163" t="s">
        <v>5612</v>
      </c>
      <c r="E2281" s="164" t="n">
        <v>10000</v>
      </c>
      <c r="F2281" s="165" t="s">
        <v>6455</v>
      </c>
    </row>
    <row r="2282" customFormat="false" ht="15" hidden="false" customHeight="true" outlineLevel="0" collapsed="false">
      <c r="A2282" s="163" t="s">
        <v>3010</v>
      </c>
      <c r="B2282" s="163" t="s">
        <v>3111</v>
      </c>
      <c r="C2282" s="163" t="s">
        <v>6456</v>
      </c>
      <c r="D2282" s="163" t="s">
        <v>1931</v>
      </c>
      <c r="E2282" s="164" t="n">
        <v>10000</v>
      </c>
      <c r="F2282" s="165" t="s">
        <v>6457</v>
      </c>
    </row>
    <row r="2283" customFormat="false" ht="15" hidden="false" customHeight="true" outlineLevel="0" collapsed="false">
      <c r="A2283" s="163" t="s">
        <v>3010</v>
      </c>
      <c r="B2283" s="163" t="s">
        <v>1938</v>
      </c>
      <c r="C2283" s="163" t="s">
        <v>3131</v>
      </c>
      <c r="D2283" s="163" t="s">
        <v>3132</v>
      </c>
      <c r="E2283" s="164" t="n">
        <v>20000</v>
      </c>
      <c r="F2283" s="165" t="s">
        <v>6458</v>
      </c>
    </row>
    <row r="2284" customFormat="false" ht="15" hidden="false" customHeight="true" outlineLevel="0" collapsed="false">
      <c r="A2284" s="163" t="s">
        <v>3010</v>
      </c>
      <c r="B2284" s="163" t="s">
        <v>1938</v>
      </c>
      <c r="C2284" s="163" t="s">
        <v>3131</v>
      </c>
      <c r="D2284" s="163" t="s">
        <v>3132</v>
      </c>
      <c r="E2284" s="164" t="n">
        <v>20000</v>
      </c>
      <c r="F2284" s="165" t="s">
        <v>6459</v>
      </c>
    </row>
    <row r="2285" customFormat="false" ht="15" hidden="false" customHeight="true" outlineLevel="0" collapsed="false">
      <c r="A2285" s="163" t="s">
        <v>3010</v>
      </c>
      <c r="B2285" s="163" t="s">
        <v>1938</v>
      </c>
      <c r="C2285" s="163" t="s">
        <v>3602</v>
      </c>
      <c r="D2285" s="163" t="s">
        <v>3603</v>
      </c>
      <c r="E2285" s="164" t="n">
        <v>20000</v>
      </c>
      <c r="F2285" s="165" t="s">
        <v>6460</v>
      </c>
    </row>
    <row r="2286" customFormat="false" ht="15" hidden="false" customHeight="true" outlineLevel="0" collapsed="false">
      <c r="A2286" s="163" t="s">
        <v>3010</v>
      </c>
      <c r="B2286" s="163" t="s">
        <v>1938</v>
      </c>
      <c r="C2286" s="163" t="s">
        <v>3602</v>
      </c>
      <c r="D2286" s="163" t="s">
        <v>3603</v>
      </c>
      <c r="E2286" s="164" t="n">
        <v>20000</v>
      </c>
      <c r="F2286" s="165" t="s">
        <v>6461</v>
      </c>
    </row>
    <row r="2287" customFormat="false" ht="15" hidden="false" customHeight="true" outlineLevel="0" collapsed="false">
      <c r="A2287" s="163" t="s">
        <v>3010</v>
      </c>
      <c r="B2287" s="163" t="s">
        <v>1938</v>
      </c>
      <c r="C2287" s="163" t="s">
        <v>6462</v>
      </c>
      <c r="D2287" s="163" t="s">
        <v>6463</v>
      </c>
      <c r="E2287" s="164" t="n">
        <v>20000</v>
      </c>
      <c r="F2287" s="165" t="s">
        <v>6464</v>
      </c>
    </row>
    <row r="2288" customFormat="false" ht="15" hidden="false" customHeight="true" outlineLevel="0" collapsed="false">
      <c r="A2288" s="163" t="s">
        <v>3010</v>
      </c>
      <c r="B2288" s="163" t="s">
        <v>1938</v>
      </c>
      <c r="C2288" s="163" t="s">
        <v>3835</v>
      </c>
      <c r="D2288" s="163" t="s">
        <v>3836</v>
      </c>
      <c r="E2288" s="164" t="n">
        <v>20000</v>
      </c>
      <c r="F2288" s="165" t="s">
        <v>6465</v>
      </c>
    </row>
    <row r="2289" customFormat="false" ht="15" hidden="false" customHeight="true" outlineLevel="0" collapsed="false">
      <c r="A2289" s="163" t="s">
        <v>3010</v>
      </c>
      <c r="B2289" s="163" t="s">
        <v>1938</v>
      </c>
      <c r="C2289" s="163" t="s">
        <v>3139</v>
      </c>
      <c r="D2289" s="163" t="s">
        <v>3140</v>
      </c>
      <c r="E2289" s="164" t="n">
        <v>20000</v>
      </c>
      <c r="F2289" s="165" t="s">
        <v>6466</v>
      </c>
    </row>
    <row r="2290" customFormat="false" ht="15" hidden="false" customHeight="true" outlineLevel="0" collapsed="false">
      <c r="A2290" s="163" t="s">
        <v>3010</v>
      </c>
      <c r="B2290" s="163" t="s">
        <v>1938</v>
      </c>
      <c r="C2290" s="163" t="s">
        <v>6467</v>
      </c>
      <c r="D2290" s="163" t="s">
        <v>6468</v>
      </c>
      <c r="E2290" s="164" t="n">
        <v>20000</v>
      </c>
      <c r="F2290" s="165" t="s">
        <v>6469</v>
      </c>
    </row>
    <row r="2291" customFormat="false" ht="15" hidden="false" customHeight="true" outlineLevel="0" collapsed="false">
      <c r="A2291" s="163" t="s">
        <v>3010</v>
      </c>
      <c r="B2291" s="163" t="s">
        <v>1938</v>
      </c>
      <c r="C2291" s="163" t="s">
        <v>3135</v>
      </c>
      <c r="D2291" s="163" t="s">
        <v>3136</v>
      </c>
      <c r="E2291" s="164" t="n">
        <v>20000</v>
      </c>
      <c r="F2291" s="165" t="s">
        <v>6470</v>
      </c>
    </row>
    <row r="2292" customFormat="false" ht="15" hidden="false" customHeight="true" outlineLevel="0" collapsed="false">
      <c r="A2292" s="163" t="s">
        <v>3010</v>
      </c>
      <c r="B2292" s="163" t="s">
        <v>1938</v>
      </c>
      <c r="C2292" s="163" t="s">
        <v>3406</v>
      </c>
      <c r="D2292" s="163" t="s">
        <v>3407</v>
      </c>
      <c r="E2292" s="164" t="n">
        <v>20000</v>
      </c>
      <c r="F2292" s="165" t="s">
        <v>6471</v>
      </c>
    </row>
    <row r="2293" customFormat="false" ht="15" hidden="false" customHeight="true" outlineLevel="0" collapsed="false">
      <c r="A2293" s="163" t="s">
        <v>3010</v>
      </c>
      <c r="B2293" s="163" t="s">
        <v>1938</v>
      </c>
      <c r="C2293" s="163" t="s">
        <v>296</v>
      </c>
      <c r="D2293" s="163" t="s">
        <v>2127</v>
      </c>
      <c r="E2293" s="164" t="n">
        <v>20000</v>
      </c>
      <c r="F2293" s="165" t="s">
        <v>6472</v>
      </c>
    </row>
    <row r="2294" customFormat="false" ht="15" hidden="false" customHeight="true" outlineLevel="0" collapsed="false">
      <c r="A2294" s="163" t="s">
        <v>3010</v>
      </c>
      <c r="B2294" s="163" t="s">
        <v>1938</v>
      </c>
      <c r="C2294" s="163" t="s">
        <v>4303</v>
      </c>
      <c r="D2294" s="163" t="s">
        <v>4304</v>
      </c>
      <c r="E2294" s="164" t="n">
        <v>20000</v>
      </c>
      <c r="F2294" s="165" t="s">
        <v>6473</v>
      </c>
    </row>
    <row r="2295" customFormat="false" ht="15" hidden="false" customHeight="true" outlineLevel="0" collapsed="false">
      <c r="A2295" s="163" t="s">
        <v>3010</v>
      </c>
      <c r="B2295" s="163" t="s">
        <v>1938</v>
      </c>
      <c r="C2295" s="163" t="s">
        <v>4303</v>
      </c>
      <c r="D2295" s="163" t="s">
        <v>4304</v>
      </c>
      <c r="E2295" s="164" t="n">
        <v>20000</v>
      </c>
      <c r="F2295" s="165" t="s">
        <v>6474</v>
      </c>
    </row>
    <row r="2296" customFormat="false" ht="15" hidden="false" customHeight="true" outlineLevel="0" collapsed="false">
      <c r="A2296" s="163" t="s">
        <v>3010</v>
      </c>
      <c r="B2296" s="163" t="s">
        <v>1938</v>
      </c>
      <c r="C2296" s="163" t="s">
        <v>4303</v>
      </c>
      <c r="D2296" s="163" t="s">
        <v>4304</v>
      </c>
      <c r="E2296" s="164" t="n">
        <v>20000</v>
      </c>
      <c r="F2296" s="165" t="s">
        <v>6475</v>
      </c>
    </row>
    <row r="2297" customFormat="false" ht="15" hidden="false" customHeight="true" outlineLevel="0" collapsed="false">
      <c r="A2297" s="163" t="s">
        <v>3010</v>
      </c>
      <c r="B2297" s="163" t="s">
        <v>1938</v>
      </c>
      <c r="C2297" s="163" t="s">
        <v>3835</v>
      </c>
      <c r="D2297" s="163" t="s">
        <v>3836</v>
      </c>
      <c r="E2297" s="164" t="n">
        <v>20000</v>
      </c>
      <c r="F2297" s="165" t="s">
        <v>6465</v>
      </c>
    </row>
    <row r="2298" customFormat="false" ht="15" hidden="false" customHeight="true" outlineLevel="0" collapsed="false">
      <c r="A2298" s="163" t="s">
        <v>3010</v>
      </c>
      <c r="B2298" s="163" t="s">
        <v>1938</v>
      </c>
      <c r="C2298" s="163" t="s">
        <v>6467</v>
      </c>
      <c r="D2298" s="163" t="s">
        <v>6468</v>
      </c>
      <c r="E2298" s="164" t="n">
        <v>20000</v>
      </c>
      <c r="F2298" s="165" t="s">
        <v>6476</v>
      </c>
    </row>
    <row r="2299" customFormat="false" ht="15" hidden="false" customHeight="true" outlineLevel="0" collapsed="false">
      <c r="A2299" s="163" t="s">
        <v>3010</v>
      </c>
      <c r="B2299" s="163" t="s">
        <v>1938</v>
      </c>
      <c r="C2299" s="163" t="s">
        <v>6477</v>
      </c>
      <c r="D2299" s="163" t="s">
        <v>6478</v>
      </c>
      <c r="E2299" s="164" t="n">
        <v>20000</v>
      </c>
      <c r="F2299" s="165" t="s">
        <v>6479</v>
      </c>
    </row>
    <row r="2300" customFormat="false" ht="15" hidden="false" customHeight="true" outlineLevel="0" collapsed="false">
      <c r="A2300" s="163" t="s">
        <v>3010</v>
      </c>
      <c r="B2300" s="163" t="s">
        <v>691</v>
      </c>
      <c r="C2300" s="163" t="s">
        <v>4717</v>
      </c>
      <c r="D2300" s="163" t="s">
        <v>4718</v>
      </c>
      <c r="E2300" s="164" t="n">
        <v>35000</v>
      </c>
      <c r="F2300" s="165" t="s">
        <v>6480</v>
      </c>
    </row>
    <row r="2301" customFormat="false" ht="15" hidden="false" customHeight="true" outlineLevel="0" collapsed="false">
      <c r="A2301" s="163" t="s">
        <v>3010</v>
      </c>
      <c r="B2301" s="163" t="s">
        <v>691</v>
      </c>
      <c r="C2301" s="163" t="s">
        <v>3137</v>
      </c>
      <c r="D2301" s="163" t="s">
        <v>3138</v>
      </c>
      <c r="E2301" s="164" t="n">
        <v>20000</v>
      </c>
      <c r="F2301" s="165" t="s">
        <v>6481</v>
      </c>
    </row>
    <row r="2302" customFormat="false" ht="15" hidden="false" customHeight="true" outlineLevel="0" collapsed="false">
      <c r="A2302" s="163" t="s">
        <v>3010</v>
      </c>
      <c r="B2302" s="163" t="s">
        <v>691</v>
      </c>
      <c r="C2302" s="163" t="s">
        <v>3143</v>
      </c>
      <c r="D2302" s="163" t="s">
        <v>3144</v>
      </c>
      <c r="E2302" s="164" t="n">
        <v>20000</v>
      </c>
      <c r="F2302" s="165" t="s">
        <v>6482</v>
      </c>
    </row>
    <row r="2303" customFormat="false" ht="15" hidden="false" customHeight="true" outlineLevel="0" collapsed="false">
      <c r="A2303" s="163" t="s">
        <v>3010</v>
      </c>
      <c r="B2303" s="163" t="s">
        <v>691</v>
      </c>
      <c r="C2303" s="163" t="s">
        <v>935</v>
      </c>
      <c r="D2303" s="163" t="s">
        <v>3162</v>
      </c>
      <c r="E2303" s="164" t="n">
        <v>20000</v>
      </c>
      <c r="F2303" s="165" t="s">
        <v>6483</v>
      </c>
    </row>
    <row r="2304" customFormat="false" ht="15" hidden="false" customHeight="true" outlineLevel="0" collapsed="false">
      <c r="A2304" s="163" t="s">
        <v>3010</v>
      </c>
      <c r="B2304" s="163" t="s">
        <v>691</v>
      </c>
      <c r="C2304" s="163" t="s">
        <v>3385</v>
      </c>
      <c r="D2304" s="163" t="s">
        <v>3386</v>
      </c>
      <c r="E2304" s="164" t="n">
        <v>20000</v>
      </c>
      <c r="F2304" s="165" t="s">
        <v>6484</v>
      </c>
    </row>
    <row r="2305" customFormat="false" ht="15" hidden="false" customHeight="true" outlineLevel="0" collapsed="false">
      <c r="A2305" s="163" t="s">
        <v>3010</v>
      </c>
      <c r="B2305" s="163" t="s">
        <v>691</v>
      </c>
      <c r="C2305" s="163" t="s">
        <v>260</v>
      </c>
      <c r="D2305" s="163" t="s">
        <v>2097</v>
      </c>
      <c r="E2305" s="164" t="n">
        <v>15000</v>
      </c>
      <c r="F2305" s="165" t="s">
        <v>6485</v>
      </c>
    </row>
    <row r="2306" customFormat="false" ht="15" hidden="false" customHeight="true" outlineLevel="0" collapsed="false">
      <c r="A2306" s="163" t="s">
        <v>3010</v>
      </c>
      <c r="B2306" s="163" t="s">
        <v>691</v>
      </c>
      <c r="C2306" s="163" t="s">
        <v>6486</v>
      </c>
      <c r="D2306" s="163" t="s">
        <v>6487</v>
      </c>
      <c r="E2306" s="164" t="n">
        <v>15000</v>
      </c>
      <c r="F2306" s="165" t="s">
        <v>6488</v>
      </c>
    </row>
    <row r="2307" customFormat="false" ht="15" hidden="false" customHeight="true" outlineLevel="0" collapsed="false">
      <c r="A2307" s="163" t="s">
        <v>3010</v>
      </c>
      <c r="B2307" s="163" t="s">
        <v>2027</v>
      </c>
      <c r="C2307" s="163" t="s">
        <v>3135</v>
      </c>
      <c r="D2307" s="163" t="s">
        <v>3136</v>
      </c>
      <c r="E2307" s="164" t="n">
        <v>20000</v>
      </c>
      <c r="F2307" s="165" t="s">
        <v>6489</v>
      </c>
    </row>
    <row r="2308" customFormat="false" ht="15" hidden="false" customHeight="true" outlineLevel="0" collapsed="false">
      <c r="A2308" s="163" t="s">
        <v>3010</v>
      </c>
      <c r="B2308" s="163" t="s">
        <v>2027</v>
      </c>
      <c r="C2308" s="163" t="s">
        <v>4202</v>
      </c>
      <c r="D2308" s="163" t="s">
        <v>4203</v>
      </c>
      <c r="E2308" s="164" t="n">
        <v>20000</v>
      </c>
      <c r="F2308" s="165" t="s">
        <v>6490</v>
      </c>
    </row>
    <row r="2309" customFormat="false" ht="15" hidden="false" customHeight="true" outlineLevel="0" collapsed="false">
      <c r="A2309" s="163" t="s">
        <v>3010</v>
      </c>
      <c r="B2309" s="163" t="s">
        <v>2027</v>
      </c>
      <c r="C2309" s="163" t="s">
        <v>3856</v>
      </c>
      <c r="D2309" s="163" t="s">
        <v>3857</v>
      </c>
      <c r="E2309" s="164" t="n">
        <v>20000</v>
      </c>
      <c r="F2309" s="165" t="s">
        <v>6491</v>
      </c>
    </row>
    <row r="2310" customFormat="false" ht="15" hidden="false" customHeight="true" outlineLevel="0" collapsed="false">
      <c r="A2310" s="163" t="s">
        <v>3010</v>
      </c>
      <c r="B2310" s="163" t="s">
        <v>2027</v>
      </c>
      <c r="C2310" s="163" t="s">
        <v>4303</v>
      </c>
      <c r="D2310" s="163" t="s">
        <v>4304</v>
      </c>
      <c r="E2310" s="164" t="n">
        <v>20000</v>
      </c>
      <c r="F2310" s="165" t="s">
        <v>6492</v>
      </c>
    </row>
    <row r="2311" customFormat="false" ht="15" hidden="false" customHeight="true" outlineLevel="0" collapsed="false">
      <c r="A2311" s="163" t="s">
        <v>3010</v>
      </c>
      <c r="B2311" s="163" t="s">
        <v>2027</v>
      </c>
      <c r="C2311" s="163" t="s">
        <v>4692</v>
      </c>
      <c r="D2311" s="163" t="s">
        <v>4693</v>
      </c>
      <c r="E2311" s="164" t="n">
        <v>10000</v>
      </c>
      <c r="F2311" s="165" t="s">
        <v>6493</v>
      </c>
    </row>
    <row r="2312" customFormat="false" ht="15" hidden="false" customHeight="true" outlineLevel="0" collapsed="false">
      <c r="A2312" s="163" t="s">
        <v>3010</v>
      </c>
      <c r="B2312" s="163" t="s">
        <v>2037</v>
      </c>
      <c r="C2312" s="163" t="s">
        <v>6033</v>
      </c>
      <c r="D2312" s="163" t="s">
        <v>6034</v>
      </c>
      <c r="E2312" s="164" t="n">
        <v>50000</v>
      </c>
      <c r="F2312" s="165" t="s">
        <v>6428</v>
      </c>
    </row>
    <row r="2313" customFormat="false" ht="15" hidden="false" customHeight="true" outlineLevel="0" collapsed="false">
      <c r="A2313" s="163" t="s">
        <v>3010</v>
      </c>
      <c r="B2313" s="163" t="s">
        <v>2037</v>
      </c>
      <c r="C2313" s="163" t="s">
        <v>372</v>
      </c>
      <c r="D2313" s="163" t="s">
        <v>2692</v>
      </c>
      <c r="E2313" s="164" t="n">
        <v>45000</v>
      </c>
      <c r="F2313" s="165" t="s">
        <v>6494</v>
      </c>
    </row>
    <row r="2314" customFormat="false" ht="15" hidden="false" customHeight="true" outlineLevel="0" collapsed="false">
      <c r="A2314" s="163" t="s">
        <v>3010</v>
      </c>
      <c r="B2314" s="163" t="s">
        <v>2037</v>
      </c>
      <c r="C2314" s="163" t="s">
        <v>5266</v>
      </c>
      <c r="D2314" s="163" t="s">
        <v>5267</v>
      </c>
      <c r="E2314" s="164" t="n">
        <v>40000</v>
      </c>
      <c r="F2314" s="165" t="s">
        <v>6495</v>
      </c>
    </row>
    <row r="2315" customFormat="false" ht="15" hidden="false" customHeight="true" outlineLevel="0" collapsed="false">
      <c r="A2315" s="163" t="s">
        <v>3010</v>
      </c>
      <c r="B2315" s="163" t="s">
        <v>2037</v>
      </c>
      <c r="C2315" s="163" t="s">
        <v>6496</v>
      </c>
      <c r="D2315" s="163" t="s">
        <v>6497</v>
      </c>
      <c r="E2315" s="164" t="n">
        <v>25000</v>
      </c>
      <c r="F2315" s="165" t="s">
        <v>6428</v>
      </c>
    </row>
    <row r="2316" customFormat="false" ht="15" hidden="false" customHeight="true" outlineLevel="0" collapsed="false">
      <c r="A2316" s="163" t="s">
        <v>3010</v>
      </c>
      <c r="B2316" s="163" t="s">
        <v>2037</v>
      </c>
      <c r="C2316" s="163" t="s">
        <v>5690</v>
      </c>
      <c r="D2316" s="163" t="s">
        <v>5691</v>
      </c>
      <c r="E2316" s="164" t="n">
        <v>20000</v>
      </c>
      <c r="F2316" s="165" t="s">
        <v>6428</v>
      </c>
    </row>
    <row r="2317" customFormat="false" ht="15" hidden="false" customHeight="true" outlineLevel="0" collapsed="false">
      <c r="A2317" s="163" t="s">
        <v>3010</v>
      </c>
      <c r="B2317" s="163" t="s">
        <v>2037</v>
      </c>
      <c r="C2317" s="163" t="s">
        <v>3451</v>
      </c>
      <c r="D2317" s="163" t="s">
        <v>3452</v>
      </c>
      <c r="E2317" s="164" t="n">
        <v>20000</v>
      </c>
      <c r="F2317" s="165" t="s">
        <v>6498</v>
      </c>
    </row>
    <row r="2318" customFormat="false" ht="15" hidden="false" customHeight="true" outlineLevel="0" collapsed="false">
      <c r="A2318" s="163" t="s">
        <v>3010</v>
      </c>
      <c r="B2318" s="163" t="s">
        <v>2037</v>
      </c>
      <c r="C2318" s="163" t="s">
        <v>4714</v>
      </c>
      <c r="D2318" s="163" t="s">
        <v>4715</v>
      </c>
      <c r="E2318" s="164" t="n">
        <v>15000</v>
      </c>
      <c r="F2318" s="165" t="s">
        <v>6499</v>
      </c>
    </row>
    <row r="2319" customFormat="false" ht="15" hidden="false" customHeight="true" outlineLevel="0" collapsed="false">
      <c r="A2319" s="163" t="s">
        <v>3010</v>
      </c>
      <c r="B2319" s="163" t="s">
        <v>2037</v>
      </c>
      <c r="C2319" s="163" t="s">
        <v>2695</v>
      </c>
      <c r="D2319" s="163" t="s">
        <v>2696</v>
      </c>
      <c r="E2319" s="164" t="n">
        <v>10000</v>
      </c>
      <c r="F2319" s="165" t="s">
        <v>6428</v>
      </c>
    </row>
    <row r="2320" customFormat="false" ht="15" hidden="false" customHeight="true" outlineLevel="0" collapsed="false">
      <c r="A2320" s="163" t="s">
        <v>3010</v>
      </c>
      <c r="B2320" s="163" t="s">
        <v>894</v>
      </c>
      <c r="C2320" s="163" t="s">
        <v>3183</v>
      </c>
      <c r="D2320" s="163" t="s">
        <v>3184</v>
      </c>
      <c r="E2320" s="164" t="n">
        <v>60000</v>
      </c>
      <c r="F2320" s="165" t="s">
        <v>6500</v>
      </c>
    </row>
    <row r="2321" customFormat="false" ht="15" hidden="false" customHeight="true" outlineLevel="0" collapsed="false">
      <c r="A2321" s="163" t="s">
        <v>3010</v>
      </c>
      <c r="B2321" s="163" t="s">
        <v>894</v>
      </c>
      <c r="C2321" s="163" t="s">
        <v>452</v>
      </c>
      <c r="D2321" s="163" t="s">
        <v>2102</v>
      </c>
      <c r="E2321" s="164" t="n">
        <v>45000</v>
      </c>
      <c r="F2321" s="165" t="s">
        <v>6501</v>
      </c>
    </row>
    <row r="2322" customFormat="false" ht="15" hidden="false" customHeight="true" outlineLevel="0" collapsed="false">
      <c r="A2322" s="163" t="s">
        <v>3010</v>
      </c>
      <c r="B2322" s="163" t="s">
        <v>894</v>
      </c>
      <c r="C2322" s="163" t="s">
        <v>6452</v>
      </c>
      <c r="D2322" s="163" t="s">
        <v>6453</v>
      </c>
      <c r="E2322" s="164" t="n">
        <v>40000</v>
      </c>
      <c r="F2322" s="165" t="s">
        <v>6502</v>
      </c>
    </row>
    <row r="2323" customFormat="false" ht="15" hidden="false" customHeight="true" outlineLevel="0" collapsed="false">
      <c r="A2323" s="163" t="s">
        <v>3010</v>
      </c>
      <c r="B2323" s="163" t="s">
        <v>894</v>
      </c>
      <c r="C2323" s="163" t="s">
        <v>6503</v>
      </c>
      <c r="D2323" s="163" t="s">
        <v>6504</v>
      </c>
      <c r="E2323" s="164" t="n">
        <v>40000</v>
      </c>
      <c r="F2323" s="165" t="s">
        <v>6505</v>
      </c>
    </row>
    <row r="2324" customFormat="false" ht="15" hidden="false" customHeight="true" outlineLevel="0" collapsed="false">
      <c r="A2324" s="163" t="s">
        <v>3010</v>
      </c>
      <c r="B2324" s="163" t="s">
        <v>894</v>
      </c>
      <c r="C2324" s="163" t="s">
        <v>1021</v>
      </c>
      <c r="D2324" s="163" t="s">
        <v>1931</v>
      </c>
      <c r="E2324" s="164" t="n">
        <v>25000</v>
      </c>
      <c r="F2324" s="165" t="s">
        <v>6441</v>
      </c>
    </row>
    <row r="2325" customFormat="false" ht="15" hidden="false" customHeight="true" outlineLevel="0" collapsed="false">
      <c r="A2325" s="163" t="s">
        <v>3010</v>
      </c>
      <c r="B2325" s="163" t="s">
        <v>894</v>
      </c>
      <c r="C2325" s="163" t="s">
        <v>560</v>
      </c>
      <c r="D2325" s="163" t="s">
        <v>2450</v>
      </c>
      <c r="E2325" s="164" t="n">
        <v>20000</v>
      </c>
      <c r="F2325" s="165" t="s">
        <v>6506</v>
      </c>
    </row>
    <row r="2326" customFormat="false" ht="15" hidden="false" customHeight="true" outlineLevel="0" collapsed="false">
      <c r="A2326" s="163" t="s">
        <v>3010</v>
      </c>
      <c r="B2326" s="163" t="s">
        <v>894</v>
      </c>
      <c r="C2326" s="163" t="s">
        <v>431</v>
      </c>
      <c r="D2326" s="163" t="s">
        <v>2678</v>
      </c>
      <c r="E2326" s="164" t="n">
        <v>20000</v>
      </c>
      <c r="F2326" s="165" t="s">
        <v>6507</v>
      </c>
    </row>
    <row r="2327" customFormat="false" ht="15" hidden="false" customHeight="true" outlineLevel="0" collapsed="false">
      <c r="A2327" s="163" t="s">
        <v>3010</v>
      </c>
      <c r="B2327" s="163" t="s">
        <v>894</v>
      </c>
      <c r="C2327" s="163" t="s">
        <v>332</v>
      </c>
      <c r="D2327" s="163" t="s">
        <v>2673</v>
      </c>
      <c r="E2327" s="164" t="n">
        <v>20000</v>
      </c>
      <c r="F2327" s="165" t="s">
        <v>6508</v>
      </c>
    </row>
    <row r="2328" customFormat="false" ht="15" hidden="false" customHeight="true" outlineLevel="0" collapsed="false">
      <c r="A2328" s="163" t="s">
        <v>3010</v>
      </c>
      <c r="B2328" s="163" t="s">
        <v>894</v>
      </c>
      <c r="C2328" s="163" t="s">
        <v>6509</v>
      </c>
      <c r="D2328" s="163" t="s">
        <v>6510</v>
      </c>
      <c r="E2328" s="164" t="n">
        <v>20000</v>
      </c>
      <c r="F2328" s="165" t="s">
        <v>6511</v>
      </c>
    </row>
    <row r="2329" customFormat="false" ht="15" hidden="false" customHeight="true" outlineLevel="0" collapsed="false">
      <c r="A2329" s="163" t="s">
        <v>3010</v>
      </c>
      <c r="B2329" s="163" t="s">
        <v>894</v>
      </c>
      <c r="C2329" s="163" t="s">
        <v>3131</v>
      </c>
      <c r="D2329" s="163" t="s">
        <v>3132</v>
      </c>
      <c r="E2329" s="164" t="n">
        <v>20000</v>
      </c>
      <c r="F2329" s="165" t="s">
        <v>6512</v>
      </c>
    </row>
    <row r="2330" customFormat="false" ht="15" hidden="false" customHeight="true" outlineLevel="0" collapsed="false">
      <c r="A2330" s="163" t="s">
        <v>3010</v>
      </c>
      <c r="B2330" s="163" t="s">
        <v>894</v>
      </c>
      <c r="C2330" s="163" t="s">
        <v>5637</v>
      </c>
      <c r="D2330" s="163" t="s">
        <v>5638</v>
      </c>
      <c r="E2330" s="164" t="n">
        <v>15000</v>
      </c>
      <c r="F2330" s="165" t="s">
        <v>6513</v>
      </c>
    </row>
    <row r="2331" customFormat="false" ht="15" hidden="false" customHeight="true" outlineLevel="0" collapsed="false">
      <c r="A2331" s="163" t="s">
        <v>3010</v>
      </c>
      <c r="B2331" s="163" t="s">
        <v>894</v>
      </c>
      <c r="C2331" s="163" t="s">
        <v>4090</v>
      </c>
      <c r="D2331" s="163" t="s">
        <v>4091</v>
      </c>
      <c r="E2331" s="164" t="n">
        <v>15000</v>
      </c>
      <c r="F2331" s="165" t="s">
        <v>6514</v>
      </c>
    </row>
    <row r="2332" customFormat="false" ht="15" hidden="false" customHeight="true" outlineLevel="0" collapsed="false">
      <c r="A2332" s="163" t="s">
        <v>3010</v>
      </c>
      <c r="B2332" s="163" t="s">
        <v>894</v>
      </c>
      <c r="C2332" s="163" t="s">
        <v>3145</v>
      </c>
      <c r="D2332" s="163" t="s">
        <v>3146</v>
      </c>
      <c r="E2332" s="164" t="n">
        <v>15000</v>
      </c>
      <c r="F2332" s="165" t="s">
        <v>6515</v>
      </c>
    </row>
    <row r="2333" customFormat="false" ht="15" hidden="false" customHeight="true" outlineLevel="0" collapsed="false">
      <c r="A2333" s="163" t="s">
        <v>3010</v>
      </c>
      <c r="B2333" s="163" t="s">
        <v>894</v>
      </c>
      <c r="C2333" s="163" t="s">
        <v>6452</v>
      </c>
      <c r="D2333" s="163" t="s">
        <v>6453</v>
      </c>
      <c r="E2333" s="164" t="n">
        <v>10000</v>
      </c>
      <c r="F2333" s="165" t="s">
        <v>6454</v>
      </c>
    </row>
    <row r="2334" customFormat="false" ht="15" hidden="false" customHeight="true" outlineLevel="0" collapsed="false">
      <c r="A2334" s="163" t="s">
        <v>3010</v>
      </c>
      <c r="B2334" s="163" t="s">
        <v>894</v>
      </c>
      <c r="C2334" s="163" t="s">
        <v>3324</v>
      </c>
      <c r="D2334" s="163" t="s">
        <v>3325</v>
      </c>
      <c r="E2334" s="164" t="n">
        <v>10000</v>
      </c>
      <c r="F2334" s="165" t="s">
        <v>6516</v>
      </c>
    </row>
    <row r="2335" customFormat="false" ht="15" hidden="false" customHeight="true" outlineLevel="0" collapsed="false">
      <c r="A2335" s="163" t="s">
        <v>3010</v>
      </c>
      <c r="B2335" s="163" t="s">
        <v>894</v>
      </c>
      <c r="C2335" s="163" t="s">
        <v>2953</v>
      </c>
      <c r="D2335" s="163" t="s">
        <v>2954</v>
      </c>
      <c r="E2335" s="164" t="n">
        <v>10000</v>
      </c>
      <c r="F2335" s="165" t="s">
        <v>6517</v>
      </c>
    </row>
    <row r="2336" customFormat="false" ht="15" hidden="false" customHeight="true" outlineLevel="0" collapsed="false">
      <c r="A2336" s="163" t="s">
        <v>3010</v>
      </c>
      <c r="B2336" s="163" t="s">
        <v>894</v>
      </c>
      <c r="C2336" s="163" t="s">
        <v>6518</v>
      </c>
      <c r="D2336" s="163" t="s">
        <v>6519</v>
      </c>
      <c r="E2336" s="164" t="n">
        <v>5000</v>
      </c>
      <c r="F2336" s="165" t="s">
        <v>6520</v>
      </c>
    </row>
    <row r="2337" customFormat="false" ht="15" hidden="false" customHeight="true" outlineLevel="0" collapsed="false">
      <c r="A2337" s="163" t="s">
        <v>3010</v>
      </c>
      <c r="B2337" s="163" t="s">
        <v>894</v>
      </c>
      <c r="C2337" s="163" t="s">
        <v>6521</v>
      </c>
      <c r="D2337" s="163" t="s">
        <v>1931</v>
      </c>
      <c r="E2337" s="164" t="n">
        <v>5000</v>
      </c>
      <c r="F2337" s="165" t="s">
        <v>6455</v>
      </c>
    </row>
    <row r="2338" customFormat="false" ht="15" hidden="false" customHeight="true" outlineLevel="0" collapsed="false">
      <c r="A2338" s="163" t="s">
        <v>3010</v>
      </c>
      <c r="B2338" s="163" t="s">
        <v>894</v>
      </c>
      <c r="C2338" s="163" t="s">
        <v>925</v>
      </c>
      <c r="D2338" s="163" t="s">
        <v>1931</v>
      </c>
      <c r="E2338" s="164" t="n">
        <v>5000</v>
      </c>
      <c r="F2338" s="165" t="s">
        <v>6522</v>
      </c>
    </row>
    <row r="2339" customFormat="false" ht="15" hidden="false" customHeight="true" outlineLevel="0" collapsed="false">
      <c r="A2339" s="163" t="s">
        <v>3010</v>
      </c>
      <c r="B2339" s="163" t="s">
        <v>882</v>
      </c>
      <c r="C2339" s="163" t="s">
        <v>640</v>
      </c>
      <c r="D2339" s="163" t="s">
        <v>1931</v>
      </c>
      <c r="E2339" s="164" t="n">
        <v>105000</v>
      </c>
      <c r="F2339" s="165" t="s">
        <v>6523</v>
      </c>
    </row>
    <row r="2340" customFormat="false" ht="15" hidden="false" customHeight="true" outlineLevel="0" collapsed="false">
      <c r="A2340" s="163" t="s">
        <v>3010</v>
      </c>
      <c r="B2340" s="163" t="s">
        <v>882</v>
      </c>
      <c r="C2340" s="163" t="s">
        <v>3063</v>
      </c>
      <c r="D2340" s="163" t="s">
        <v>3064</v>
      </c>
      <c r="E2340" s="164" t="n">
        <v>60000</v>
      </c>
      <c r="F2340" s="165" t="s">
        <v>6524</v>
      </c>
    </row>
    <row r="2341" customFormat="false" ht="15" hidden="false" customHeight="true" outlineLevel="0" collapsed="false">
      <c r="A2341" s="163" t="s">
        <v>3010</v>
      </c>
      <c r="B2341" s="163" t="s">
        <v>882</v>
      </c>
      <c r="C2341" s="163" t="s">
        <v>2759</v>
      </c>
      <c r="D2341" s="163" t="s">
        <v>2760</v>
      </c>
      <c r="E2341" s="164" t="n">
        <v>55000</v>
      </c>
      <c r="F2341" s="165" t="s">
        <v>6523</v>
      </c>
    </row>
    <row r="2342" customFormat="false" ht="15" hidden="false" customHeight="true" outlineLevel="0" collapsed="false">
      <c r="A2342" s="163" t="s">
        <v>3010</v>
      </c>
      <c r="B2342" s="163" t="s">
        <v>882</v>
      </c>
      <c r="C2342" s="163" t="s">
        <v>5697</v>
      </c>
      <c r="D2342" s="163" t="s">
        <v>5698</v>
      </c>
      <c r="E2342" s="164" t="n">
        <v>30000</v>
      </c>
      <c r="F2342" s="165" t="s">
        <v>6525</v>
      </c>
    </row>
    <row r="2343" customFormat="false" ht="15" hidden="false" customHeight="true" outlineLevel="0" collapsed="false">
      <c r="A2343" s="163" t="s">
        <v>3010</v>
      </c>
      <c r="B2343" s="163" t="s">
        <v>882</v>
      </c>
      <c r="C2343" s="163" t="s">
        <v>6452</v>
      </c>
      <c r="D2343" s="163" t="s">
        <v>6453</v>
      </c>
      <c r="E2343" s="164" t="n">
        <v>15000</v>
      </c>
      <c r="F2343" s="165" t="s">
        <v>6526</v>
      </c>
    </row>
    <row r="2344" customFormat="false" ht="15" hidden="false" customHeight="true" outlineLevel="0" collapsed="false">
      <c r="A2344" s="163" t="s">
        <v>3010</v>
      </c>
      <c r="B2344" s="163" t="s">
        <v>882</v>
      </c>
      <c r="C2344" s="163" t="s">
        <v>640</v>
      </c>
      <c r="D2344" s="163" t="s">
        <v>1931</v>
      </c>
      <c r="E2344" s="164" t="n">
        <v>15000</v>
      </c>
      <c r="F2344" s="165" t="s">
        <v>6523</v>
      </c>
    </row>
    <row r="2345" customFormat="false" ht="15" hidden="false" customHeight="true" outlineLevel="0" collapsed="false">
      <c r="A2345" s="163" t="s">
        <v>3010</v>
      </c>
      <c r="B2345" s="163" t="s">
        <v>2328</v>
      </c>
      <c r="C2345" s="163" t="s">
        <v>6503</v>
      </c>
      <c r="D2345" s="163" t="s">
        <v>6504</v>
      </c>
      <c r="E2345" s="164" t="n">
        <v>40000</v>
      </c>
      <c r="F2345" s="165" t="s">
        <v>6527</v>
      </c>
    </row>
    <row r="2346" customFormat="false" ht="15" hidden="false" customHeight="true" outlineLevel="0" collapsed="false">
      <c r="A2346" s="163" t="s">
        <v>3010</v>
      </c>
      <c r="B2346" s="163" t="s">
        <v>2328</v>
      </c>
      <c r="C2346" s="163" t="s">
        <v>3455</v>
      </c>
      <c r="D2346" s="163" t="s">
        <v>3456</v>
      </c>
      <c r="E2346" s="164" t="n">
        <v>10000</v>
      </c>
      <c r="F2346" s="165" t="s">
        <v>5256</v>
      </c>
    </row>
    <row r="2347" customFormat="false" ht="15" hidden="false" customHeight="true" outlineLevel="0" collapsed="false">
      <c r="A2347" s="163" t="s">
        <v>3010</v>
      </c>
      <c r="B2347" s="163" t="s">
        <v>2342</v>
      </c>
      <c r="C2347" s="163" t="s">
        <v>230</v>
      </c>
      <c r="D2347" s="163" t="s">
        <v>2077</v>
      </c>
      <c r="E2347" s="164" t="n">
        <v>30000</v>
      </c>
      <c r="F2347" s="165" t="s">
        <v>6528</v>
      </c>
    </row>
    <row r="2348" customFormat="false" ht="15" hidden="false" customHeight="true" outlineLevel="0" collapsed="false">
      <c r="A2348" s="163" t="s">
        <v>3010</v>
      </c>
      <c r="B2348" s="163" t="s">
        <v>2342</v>
      </c>
      <c r="C2348" s="163" t="s">
        <v>6529</v>
      </c>
      <c r="D2348" s="163" t="s">
        <v>6530</v>
      </c>
      <c r="E2348" s="164" t="n">
        <v>20000</v>
      </c>
      <c r="F2348" s="165" t="s">
        <v>6531</v>
      </c>
    </row>
    <row r="2349" customFormat="false" ht="15" hidden="false" customHeight="true" outlineLevel="0" collapsed="false">
      <c r="A2349" s="163" t="s">
        <v>3010</v>
      </c>
      <c r="B2349" s="163" t="s">
        <v>2342</v>
      </c>
      <c r="C2349" s="163" t="s">
        <v>4002</v>
      </c>
      <c r="D2349" s="163" t="s">
        <v>4003</v>
      </c>
      <c r="E2349" s="164" t="n">
        <v>15000</v>
      </c>
      <c r="F2349" s="165" t="s">
        <v>6532</v>
      </c>
    </row>
    <row r="2350" customFormat="false" ht="15" hidden="false" customHeight="true" outlineLevel="0" collapsed="false">
      <c r="A2350" s="163" t="s">
        <v>3010</v>
      </c>
      <c r="B2350" s="163" t="s">
        <v>2342</v>
      </c>
      <c r="C2350" s="163" t="s">
        <v>5343</v>
      </c>
      <c r="D2350" s="163" t="s">
        <v>5344</v>
      </c>
      <c r="E2350" s="164" t="n">
        <v>15000</v>
      </c>
      <c r="F2350" s="165" t="s">
        <v>6533</v>
      </c>
    </row>
    <row r="2351" customFormat="false" ht="15" hidden="false" customHeight="true" outlineLevel="0" collapsed="false">
      <c r="A2351" s="163" t="s">
        <v>3010</v>
      </c>
      <c r="B2351" s="163" t="s">
        <v>2342</v>
      </c>
      <c r="C2351" s="163" t="s">
        <v>395</v>
      </c>
      <c r="D2351" s="163" t="s">
        <v>2196</v>
      </c>
      <c r="E2351" s="164" t="n">
        <v>10000</v>
      </c>
      <c r="F2351" s="165" t="s">
        <v>6534</v>
      </c>
    </row>
    <row r="2352" customFormat="false" ht="15" hidden="false" customHeight="true" outlineLevel="0" collapsed="false">
      <c r="A2352" s="163" t="s">
        <v>3010</v>
      </c>
      <c r="B2352" s="163" t="s">
        <v>1743</v>
      </c>
      <c r="C2352" s="163" t="s">
        <v>3180</v>
      </c>
      <c r="D2352" s="163" t="s">
        <v>3181</v>
      </c>
      <c r="E2352" s="164" t="n">
        <v>30000</v>
      </c>
      <c r="F2352" s="165" t="s">
        <v>6535</v>
      </c>
    </row>
    <row r="2353" customFormat="false" ht="15" hidden="false" customHeight="true" outlineLevel="0" collapsed="false">
      <c r="A2353" s="163" t="s">
        <v>3010</v>
      </c>
      <c r="B2353" s="163" t="s">
        <v>1743</v>
      </c>
      <c r="C2353" s="163" t="s">
        <v>6536</v>
      </c>
      <c r="D2353" s="163" t="s">
        <v>6537</v>
      </c>
      <c r="E2353" s="164" t="n">
        <v>25000</v>
      </c>
      <c r="F2353" s="165" t="s">
        <v>6499</v>
      </c>
    </row>
    <row r="2354" customFormat="false" ht="15" hidden="false" customHeight="true" outlineLevel="0" collapsed="false">
      <c r="A2354" s="163" t="s">
        <v>3010</v>
      </c>
      <c r="B2354" s="163" t="s">
        <v>1743</v>
      </c>
      <c r="C2354" s="163" t="s">
        <v>6538</v>
      </c>
      <c r="D2354" s="163" t="s">
        <v>6539</v>
      </c>
      <c r="E2354" s="164" t="n">
        <v>25000</v>
      </c>
      <c r="F2354" s="165" t="s">
        <v>6540</v>
      </c>
    </row>
    <row r="2355" customFormat="false" ht="15" hidden="false" customHeight="true" outlineLevel="0" collapsed="false">
      <c r="A2355" s="163" t="s">
        <v>3010</v>
      </c>
      <c r="B2355" s="163" t="s">
        <v>1743</v>
      </c>
      <c r="C2355" s="163" t="s">
        <v>3063</v>
      </c>
      <c r="D2355" s="163" t="s">
        <v>3064</v>
      </c>
      <c r="E2355" s="164" t="n">
        <v>20000</v>
      </c>
      <c r="F2355" s="165" t="s">
        <v>6541</v>
      </c>
    </row>
    <row r="2356" customFormat="false" ht="15" hidden="false" customHeight="true" outlineLevel="0" collapsed="false">
      <c r="A2356" s="163" t="s">
        <v>3010</v>
      </c>
      <c r="B2356" s="163" t="s">
        <v>1743</v>
      </c>
      <c r="C2356" s="163" t="s">
        <v>5815</v>
      </c>
      <c r="D2356" s="163" t="s">
        <v>5816</v>
      </c>
      <c r="E2356" s="164" t="n">
        <v>20000</v>
      </c>
      <c r="F2356" s="165" t="s">
        <v>6435</v>
      </c>
    </row>
    <row r="2357" customFormat="false" ht="15" hidden="false" customHeight="true" outlineLevel="0" collapsed="false">
      <c r="A2357" s="163" t="s">
        <v>3010</v>
      </c>
      <c r="B2357" s="163" t="s">
        <v>1743</v>
      </c>
      <c r="C2357" s="163" t="s">
        <v>5710</v>
      </c>
      <c r="D2357" s="163" t="s">
        <v>5711</v>
      </c>
      <c r="E2357" s="164" t="n">
        <v>15000</v>
      </c>
      <c r="F2357" s="165" t="s">
        <v>6542</v>
      </c>
    </row>
    <row r="2358" customFormat="false" ht="15" hidden="false" customHeight="true" outlineLevel="0" collapsed="false">
      <c r="A2358" s="163" t="s">
        <v>3010</v>
      </c>
      <c r="B2358" s="163" t="s">
        <v>1743</v>
      </c>
      <c r="C2358" s="163" t="s">
        <v>1268</v>
      </c>
      <c r="D2358" s="163" t="s">
        <v>2426</v>
      </c>
      <c r="E2358" s="164" t="n">
        <v>15000</v>
      </c>
      <c r="F2358" s="165" t="s">
        <v>6543</v>
      </c>
    </row>
    <row r="2359" customFormat="false" ht="15" hidden="false" customHeight="true" outlineLevel="0" collapsed="false">
      <c r="A2359" s="163" t="s">
        <v>3010</v>
      </c>
      <c r="B2359" s="163" t="s">
        <v>928</v>
      </c>
      <c r="C2359" s="163" t="s">
        <v>6544</v>
      </c>
      <c r="D2359" s="163" t="s">
        <v>6545</v>
      </c>
      <c r="E2359" s="164" t="n">
        <v>50000</v>
      </c>
      <c r="F2359" s="165" t="s">
        <v>6546</v>
      </c>
    </row>
    <row r="2360" customFormat="false" ht="15" hidden="false" customHeight="true" outlineLevel="0" collapsed="false">
      <c r="A2360" s="163" t="s">
        <v>3010</v>
      </c>
      <c r="B2360" s="163" t="s">
        <v>928</v>
      </c>
      <c r="C2360" s="163" t="s">
        <v>3317</v>
      </c>
      <c r="D2360" s="163" t="s">
        <v>3318</v>
      </c>
      <c r="E2360" s="164" t="n">
        <v>20000</v>
      </c>
      <c r="F2360" s="165" t="s">
        <v>6547</v>
      </c>
    </row>
    <row r="2361" customFormat="false" ht="15" hidden="false" customHeight="true" outlineLevel="0" collapsed="false">
      <c r="A2361" s="163" t="s">
        <v>3010</v>
      </c>
      <c r="B2361" s="163" t="s">
        <v>928</v>
      </c>
      <c r="C2361" s="163" t="s">
        <v>549</v>
      </c>
      <c r="D2361" s="163" t="s">
        <v>2441</v>
      </c>
      <c r="E2361" s="164" t="n">
        <v>20000</v>
      </c>
      <c r="F2361" s="165" t="s">
        <v>6548</v>
      </c>
    </row>
    <row r="2362" customFormat="false" ht="15" hidden="false" customHeight="true" outlineLevel="0" collapsed="false">
      <c r="A2362" s="163" t="s">
        <v>3010</v>
      </c>
      <c r="B2362" s="163" t="s">
        <v>928</v>
      </c>
      <c r="C2362" s="163" t="s">
        <v>6549</v>
      </c>
      <c r="D2362" s="163" t="s">
        <v>6550</v>
      </c>
      <c r="E2362" s="164" t="n">
        <v>20000</v>
      </c>
      <c r="F2362" s="165" t="s">
        <v>6469</v>
      </c>
    </row>
    <row r="2363" customFormat="false" ht="15" hidden="false" customHeight="true" outlineLevel="0" collapsed="false">
      <c r="A2363" s="163" t="s">
        <v>3010</v>
      </c>
      <c r="B2363" s="163" t="s">
        <v>928</v>
      </c>
      <c r="C2363" s="163" t="s">
        <v>6549</v>
      </c>
      <c r="D2363" s="163" t="s">
        <v>6550</v>
      </c>
      <c r="E2363" s="164" t="n">
        <v>20000</v>
      </c>
      <c r="F2363" s="165" t="s">
        <v>6551</v>
      </c>
    </row>
    <row r="2364" customFormat="false" ht="15" hidden="false" customHeight="true" outlineLevel="0" collapsed="false">
      <c r="A2364" s="163" t="s">
        <v>3010</v>
      </c>
      <c r="B2364" s="163" t="s">
        <v>928</v>
      </c>
      <c r="C2364" s="163" t="s">
        <v>3980</v>
      </c>
      <c r="D2364" s="163" t="s">
        <v>3981</v>
      </c>
      <c r="E2364" s="164" t="n">
        <v>10000</v>
      </c>
      <c r="F2364" s="165" t="s">
        <v>6552</v>
      </c>
    </row>
    <row r="2365" customFormat="false" ht="15" hidden="false" customHeight="true" outlineLevel="0" collapsed="false">
      <c r="A2365" s="163" t="s">
        <v>3010</v>
      </c>
      <c r="B2365" s="163" t="s">
        <v>928</v>
      </c>
      <c r="C2365" s="163" t="s">
        <v>395</v>
      </c>
      <c r="D2365" s="163" t="s">
        <v>2196</v>
      </c>
      <c r="E2365" s="164" t="n">
        <v>10000</v>
      </c>
      <c r="F2365" s="165" t="s">
        <v>6534</v>
      </c>
    </row>
    <row r="2366" customFormat="false" ht="15" hidden="false" customHeight="true" outlineLevel="0" collapsed="false">
      <c r="A2366" s="163" t="s">
        <v>3023</v>
      </c>
      <c r="B2366" s="163" t="s">
        <v>926</v>
      </c>
      <c r="C2366" s="163" t="s">
        <v>197</v>
      </c>
      <c r="D2366" s="163" t="s">
        <v>1931</v>
      </c>
      <c r="E2366" s="164" t="n">
        <v>25000</v>
      </c>
      <c r="F2366" s="165" t="s">
        <v>6553</v>
      </c>
    </row>
    <row r="2367" customFormat="false" ht="15" hidden="false" customHeight="true" outlineLevel="0" collapsed="false">
      <c r="A2367" s="163" t="s">
        <v>3023</v>
      </c>
      <c r="B2367" s="163" t="s">
        <v>926</v>
      </c>
      <c r="C2367" s="163" t="s">
        <v>197</v>
      </c>
      <c r="D2367" s="163" t="s">
        <v>1931</v>
      </c>
      <c r="E2367" s="164" t="n">
        <v>25000</v>
      </c>
      <c r="F2367" s="165" t="s">
        <v>3060</v>
      </c>
    </row>
    <row r="2368" customFormat="false" ht="15" hidden="false" customHeight="true" outlineLevel="0" collapsed="false">
      <c r="A2368" s="163" t="s">
        <v>3023</v>
      </c>
      <c r="B2368" s="163" t="s">
        <v>926</v>
      </c>
      <c r="C2368" s="163" t="s">
        <v>3334</v>
      </c>
      <c r="D2368" s="163" t="s">
        <v>3335</v>
      </c>
      <c r="E2368" s="164" t="n">
        <v>20000</v>
      </c>
      <c r="F2368" s="165" t="s">
        <v>6554</v>
      </c>
    </row>
    <row r="2369" customFormat="false" ht="15" hidden="false" customHeight="true" outlineLevel="0" collapsed="false">
      <c r="A2369" s="163" t="s">
        <v>3023</v>
      </c>
      <c r="B2369" s="163" t="s">
        <v>926</v>
      </c>
      <c r="C2369" s="163" t="s">
        <v>197</v>
      </c>
      <c r="D2369" s="163" t="s">
        <v>1931</v>
      </c>
      <c r="E2369" s="164" t="n">
        <v>20000</v>
      </c>
      <c r="F2369" s="165" t="s">
        <v>6555</v>
      </c>
    </row>
    <row r="2370" customFormat="false" ht="15" hidden="false" customHeight="true" outlineLevel="0" collapsed="false">
      <c r="A2370" s="163" t="s">
        <v>3023</v>
      </c>
      <c r="B2370" s="163" t="s">
        <v>926</v>
      </c>
      <c r="C2370" s="163" t="s">
        <v>197</v>
      </c>
      <c r="D2370" s="163" t="s">
        <v>1931</v>
      </c>
      <c r="E2370" s="164" t="n">
        <v>10000</v>
      </c>
      <c r="F2370" s="165" t="s">
        <v>6556</v>
      </c>
    </row>
    <row r="2371" customFormat="false" ht="15" hidden="false" customHeight="true" outlineLevel="0" collapsed="false">
      <c r="A2371" s="163" t="s">
        <v>3023</v>
      </c>
      <c r="B2371" s="163" t="s">
        <v>957</v>
      </c>
      <c r="C2371" s="163" t="s">
        <v>6557</v>
      </c>
      <c r="D2371" s="163" t="s">
        <v>6558</v>
      </c>
      <c r="E2371" s="164" t="n">
        <v>40000</v>
      </c>
      <c r="F2371" s="165" t="s">
        <v>3060</v>
      </c>
    </row>
    <row r="2372" customFormat="false" ht="15" hidden="false" customHeight="true" outlineLevel="0" collapsed="false">
      <c r="A2372" s="163" t="s">
        <v>3023</v>
      </c>
      <c r="B2372" s="163" t="s">
        <v>957</v>
      </c>
      <c r="C2372" s="163" t="s">
        <v>3564</v>
      </c>
      <c r="D2372" s="163" t="s">
        <v>3565</v>
      </c>
      <c r="E2372" s="164" t="n">
        <v>29000</v>
      </c>
      <c r="F2372" s="165" t="s">
        <v>3060</v>
      </c>
    </row>
    <row r="2373" customFormat="false" ht="15" hidden="false" customHeight="true" outlineLevel="0" collapsed="false">
      <c r="A2373" s="163" t="s">
        <v>3023</v>
      </c>
      <c r="B2373" s="163" t="s">
        <v>957</v>
      </c>
      <c r="C2373" s="163" t="s">
        <v>3670</v>
      </c>
      <c r="D2373" s="163" t="s">
        <v>3671</v>
      </c>
      <c r="E2373" s="164" t="n">
        <v>16000</v>
      </c>
      <c r="F2373" s="165" t="s">
        <v>3060</v>
      </c>
    </row>
    <row r="2374" customFormat="false" ht="15" hidden="false" customHeight="true" outlineLevel="0" collapsed="false">
      <c r="A2374" s="163" t="s">
        <v>3023</v>
      </c>
      <c r="B2374" s="163" t="s">
        <v>957</v>
      </c>
      <c r="C2374" s="163" t="s">
        <v>5858</v>
      </c>
      <c r="D2374" s="163" t="s">
        <v>5859</v>
      </c>
      <c r="E2374" s="164" t="n">
        <v>10000</v>
      </c>
      <c r="F2374" s="165" t="s">
        <v>3060</v>
      </c>
    </row>
    <row r="2375" customFormat="false" ht="15" hidden="false" customHeight="true" outlineLevel="0" collapsed="false">
      <c r="A2375" s="163" t="s">
        <v>3023</v>
      </c>
      <c r="B2375" s="163" t="s">
        <v>957</v>
      </c>
      <c r="C2375" s="163" t="s">
        <v>5087</v>
      </c>
      <c r="D2375" s="163" t="s">
        <v>5088</v>
      </c>
      <c r="E2375" s="164" t="n">
        <v>10000</v>
      </c>
      <c r="F2375" s="165" t="s">
        <v>6559</v>
      </c>
    </row>
    <row r="2376" customFormat="false" ht="15" hidden="false" customHeight="true" outlineLevel="0" collapsed="false">
      <c r="A2376" s="163" t="s">
        <v>3023</v>
      </c>
      <c r="B2376" s="163" t="s">
        <v>957</v>
      </c>
      <c r="C2376" s="163" t="s">
        <v>5214</v>
      </c>
      <c r="D2376" s="163" t="s">
        <v>5215</v>
      </c>
      <c r="E2376" s="164" t="n">
        <v>5000</v>
      </c>
      <c r="F2376" s="165" t="s">
        <v>6560</v>
      </c>
    </row>
    <row r="2377" customFormat="false" ht="15" hidden="false" customHeight="true" outlineLevel="0" collapsed="false">
      <c r="A2377" s="163" t="s">
        <v>3023</v>
      </c>
      <c r="B2377" s="163" t="s">
        <v>945</v>
      </c>
      <c r="C2377" s="163" t="s">
        <v>5858</v>
      </c>
      <c r="D2377" s="163" t="s">
        <v>5859</v>
      </c>
      <c r="E2377" s="164" t="n">
        <v>15000</v>
      </c>
      <c r="F2377" s="165" t="s">
        <v>6561</v>
      </c>
    </row>
    <row r="2378" customFormat="false" ht="15" hidden="false" customHeight="true" outlineLevel="0" collapsed="false">
      <c r="A2378" s="163" t="s">
        <v>3023</v>
      </c>
      <c r="B2378" s="163" t="s">
        <v>945</v>
      </c>
      <c r="C2378" s="163" t="s">
        <v>6562</v>
      </c>
      <c r="D2378" s="163" t="s">
        <v>6563</v>
      </c>
      <c r="E2378" s="164" t="n">
        <v>15000</v>
      </c>
      <c r="F2378" s="165" t="s">
        <v>3060</v>
      </c>
    </row>
    <row r="2379" customFormat="false" ht="15" hidden="false" customHeight="true" outlineLevel="0" collapsed="false">
      <c r="A2379" s="163" t="s">
        <v>3023</v>
      </c>
      <c r="B2379" s="163" t="s">
        <v>945</v>
      </c>
      <c r="C2379" s="163" t="s">
        <v>4995</v>
      </c>
      <c r="D2379" s="163" t="s">
        <v>4996</v>
      </c>
      <c r="E2379" s="164" t="n">
        <v>10000</v>
      </c>
      <c r="F2379" s="165" t="s">
        <v>6564</v>
      </c>
    </row>
    <row r="2380" customFormat="false" ht="15" hidden="false" customHeight="true" outlineLevel="0" collapsed="false">
      <c r="A2380" s="163" t="s">
        <v>3023</v>
      </c>
      <c r="B2380" s="163" t="s">
        <v>945</v>
      </c>
      <c r="C2380" s="163" t="s">
        <v>6565</v>
      </c>
      <c r="D2380" s="163" t="s">
        <v>6566</v>
      </c>
      <c r="E2380" s="164" t="n">
        <v>5000</v>
      </c>
      <c r="F2380" s="165" t="s">
        <v>6567</v>
      </c>
    </row>
    <row r="2381" customFormat="false" ht="15" hidden="false" customHeight="true" outlineLevel="0" collapsed="false">
      <c r="A2381" s="163" t="s">
        <v>3023</v>
      </c>
      <c r="B2381" s="163" t="s">
        <v>945</v>
      </c>
      <c r="C2381" s="163" t="s">
        <v>6568</v>
      </c>
      <c r="D2381" s="163" t="s">
        <v>6569</v>
      </c>
      <c r="E2381" s="164" t="n">
        <v>5000</v>
      </c>
      <c r="F2381" s="165" t="s">
        <v>6567</v>
      </c>
    </row>
    <row r="2382" customFormat="false" ht="15" hidden="false" customHeight="true" outlineLevel="0" collapsed="false">
      <c r="A2382" s="163" t="s">
        <v>3023</v>
      </c>
      <c r="B2382" s="163" t="s">
        <v>3111</v>
      </c>
      <c r="C2382" s="163" t="s">
        <v>5214</v>
      </c>
      <c r="D2382" s="163" t="s">
        <v>5215</v>
      </c>
      <c r="E2382" s="164" t="n">
        <v>40000</v>
      </c>
      <c r="F2382" s="165" t="s">
        <v>6570</v>
      </c>
    </row>
    <row r="2383" customFormat="false" ht="15" hidden="false" customHeight="true" outlineLevel="0" collapsed="false">
      <c r="A2383" s="163" t="s">
        <v>3023</v>
      </c>
      <c r="B2383" s="163" t="s">
        <v>3111</v>
      </c>
      <c r="C2383" s="163" t="s">
        <v>6571</v>
      </c>
      <c r="D2383" s="163" t="s">
        <v>6572</v>
      </c>
      <c r="E2383" s="164" t="n">
        <v>40000</v>
      </c>
      <c r="F2383" s="165" t="s">
        <v>6560</v>
      </c>
    </row>
    <row r="2384" customFormat="false" ht="15" hidden="false" customHeight="true" outlineLevel="0" collapsed="false">
      <c r="A2384" s="163" t="s">
        <v>3023</v>
      </c>
      <c r="B2384" s="163" t="s">
        <v>3111</v>
      </c>
      <c r="C2384" s="163" t="s">
        <v>3622</v>
      </c>
      <c r="D2384" s="163" t="s">
        <v>3623</v>
      </c>
      <c r="E2384" s="164" t="n">
        <v>10000</v>
      </c>
      <c r="F2384" s="165" t="s">
        <v>6560</v>
      </c>
    </row>
    <row r="2385" customFormat="false" ht="15" hidden="false" customHeight="true" outlineLevel="0" collapsed="false">
      <c r="A2385" s="163" t="s">
        <v>3023</v>
      </c>
      <c r="B2385" s="163" t="s">
        <v>3111</v>
      </c>
      <c r="C2385" s="163" t="s">
        <v>6573</v>
      </c>
      <c r="D2385" s="163" t="s">
        <v>6574</v>
      </c>
      <c r="E2385" s="164" t="n">
        <v>10000</v>
      </c>
      <c r="F2385" s="165" t="s">
        <v>3060</v>
      </c>
    </row>
    <row r="2386" customFormat="false" ht="15" hidden="false" customHeight="true" outlineLevel="0" collapsed="false">
      <c r="A2386" s="163" t="s">
        <v>3023</v>
      </c>
      <c r="B2386" s="163" t="s">
        <v>1938</v>
      </c>
      <c r="C2386" s="163" t="s">
        <v>5474</v>
      </c>
      <c r="D2386" s="163" t="s">
        <v>5475</v>
      </c>
      <c r="E2386" s="164" t="n">
        <v>20000</v>
      </c>
      <c r="F2386" s="165" t="s">
        <v>6575</v>
      </c>
    </row>
    <row r="2387" customFormat="false" ht="15" hidden="false" customHeight="true" outlineLevel="0" collapsed="false">
      <c r="A2387" s="163" t="s">
        <v>3023</v>
      </c>
      <c r="B2387" s="163" t="s">
        <v>1938</v>
      </c>
      <c r="C2387" s="163" t="s">
        <v>6200</v>
      </c>
      <c r="D2387" s="163" t="s">
        <v>6201</v>
      </c>
      <c r="E2387" s="164" t="n">
        <v>20000</v>
      </c>
      <c r="F2387" s="165" t="s">
        <v>6576</v>
      </c>
    </row>
    <row r="2388" customFormat="false" ht="15" hidden="false" customHeight="true" outlineLevel="0" collapsed="false">
      <c r="A2388" s="163" t="s">
        <v>3023</v>
      </c>
      <c r="B2388" s="163" t="s">
        <v>1938</v>
      </c>
      <c r="C2388" s="163" t="s">
        <v>4957</v>
      </c>
      <c r="D2388" s="163" t="s">
        <v>4958</v>
      </c>
      <c r="E2388" s="164" t="n">
        <v>20000</v>
      </c>
      <c r="F2388" s="165" t="s">
        <v>6577</v>
      </c>
    </row>
    <row r="2389" customFormat="false" ht="15" hidden="false" customHeight="true" outlineLevel="0" collapsed="false">
      <c r="A2389" s="163" t="s">
        <v>3023</v>
      </c>
      <c r="B2389" s="163" t="s">
        <v>1938</v>
      </c>
      <c r="C2389" s="163" t="s">
        <v>332</v>
      </c>
      <c r="D2389" s="163" t="s">
        <v>2673</v>
      </c>
      <c r="E2389" s="164" t="n">
        <v>20000</v>
      </c>
      <c r="F2389" s="165" t="s">
        <v>6578</v>
      </c>
    </row>
    <row r="2390" customFormat="false" ht="15" hidden="false" customHeight="true" outlineLevel="0" collapsed="false">
      <c r="A2390" s="163" t="s">
        <v>3023</v>
      </c>
      <c r="B2390" s="163" t="s">
        <v>1938</v>
      </c>
      <c r="C2390" s="163" t="s">
        <v>332</v>
      </c>
      <c r="D2390" s="163" t="s">
        <v>2673</v>
      </c>
      <c r="E2390" s="164" t="n">
        <v>20000</v>
      </c>
      <c r="F2390" s="165" t="s">
        <v>6579</v>
      </c>
    </row>
    <row r="2391" customFormat="false" ht="15" hidden="false" customHeight="true" outlineLevel="0" collapsed="false">
      <c r="A2391" s="163" t="s">
        <v>3023</v>
      </c>
      <c r="B2391" s="163" t="s">
        <v>1938</v>
      </c>
      <c r="C2391" s="163" t="s">
        <v>431</v>
      </c>
      <c r="D2391" s="163" t="s">
        <v>2678</v>
      </c>
      <c r="E2391" s="164" t="n">
        <v>20000</v>
      </c>
      <c r="F2391" s="165" t="s">
        <v>6580</v>
      </c>
    </row>
    <row r="2392" customFormat="false" ht="15" hidden="false" customHeight="true" outlineLevel="0" collapsed="false">
      <c r="A2392" s="163" t="s">
        <v>3023</v>
      </c>
      <c r="B2392" s="163" t="s">
        <v>1938</v>
      </c>
      <c r="C2392" s="163" t="s">
        <v>431</v>
      </c>
      <c r="D2392" s="163" t="s">
        <v>2678</v>
      </c>
      <c r="E2392" s="164" t="n">
        <v>20000</v>
      </c>
      <c r="F2392" s="165" t="s">
        <v>6581</v>
      </c>
    </row>
    <row r="2393" customFormat="false" ht="15" hidden="false" customHeight="true" outlineLevel="0" collapsed="false">
      <c r="A2393" s="163" t="s">
        <v>3023</v>
      </c>
      <c r="B2393" s="163" t="s">
        <v>1938</v>
      </c>
      <c r="C2393" s="163" t="s">
        <v>452</v>
      </c>
      <c r="D2393" s="163" t="s">
        <v>1931</v>
      </c>
      <c r="E2393" s="164" t="n">
        <v>20000</v>
      </c>
      <c r="F2393" s="165" t="s">
        <v>6582</v>
      </c>
    </row>
    <row r="2394" customFormat="false" ht="15" hidden="false" customHeight="true" outlineLevel="0" collapsed="false">
      <c r="A2394" s="163" t="s">
        <v>3023</v>
      </c>
      <c r="B2394" s="163" t="s">
        <v>1938</v>
      </c>
      <c r="C2394" s="163" t="s">
        <v>452</v>
      </c>
      <c r="D2394" s="163" t="s">
        <v>1931</v>
      </c>
      <c r="E2394" s="164" t="n">
        <v>20000</v>
      </c>
      <c r="F2394" s="165" t="s">
        <v>6582</v>
      </c>
    </row>
    <row r="2395" customFormat="false" ht="15" hidden="false" customHeight="true" outlineLevel="0" collapsed="false">
      <c r="A2395" s="163" t="s">
        <v>3023</v>
      </c>
      <c r="B2395" s="163" t="s">
        <v>1938</v>
      </c>
      <c r="C2395" s="163" t="s">
        <v>452</v>
      </c>
      <c r="D2395" s="163" t="s">
        <v>1931</v>
      </c>
      <c r="E2395" s="164" t="n">
        <v>20000</v>
      </c>
      <c r="F2395" s="165" t="s">
        <v>6582</v>
      </c>
    </row>
    <row r="2396" customFormat="false" ht="15" hidden="false" customHeight="true" outlineLevel="0" collapsed="false">
      <c r="A2396" s="163" t="s">
        <v>3023</v>
      </c>
      <c r="B2396" s="163" t="s">
        <v>1938</v>
      </c>
      <c r="C2396" s="163" t="s">
        <v>452</v>
      </c>
      <c r="D2396" s="163" t="s">
        <v>1931</v>
      </c>
      <c r="E2396" s="164" t="n">
        <v>20000</v>
      </c>
      <c r="F2396" s="165" t="s">
        <v>6582</v>
      </c>
    </row>
    <row r="2397" customFormat="false" ht="15" hidden="false" customHeight="true" outlineLevel="0" collapsed="false">
      <c r="A2397" s="163" t="s">
        <v>3023</v>
      </c>
      <c r="B2397" s="163" t="s">
        <v>1938</v>
      </c>
      <c r="C2397" s="163" t="s">
        <v>3835</v>
      </c>
      <c r="D2397" s="163" t="s">
        <v>3836</v>
      </c>
      <c r="E2397" s="164" t="n">
        <v>20000</v>
      </c>
      <c r="F2397" s="165" t="s">
        <v>6583</v>
      </c>
    </row>
    <row r="2398" customFormat="false" ht="15" hidden="false" customHeight="true" outlineLevel="0" collapsed="false">
      <c r="A2398" s="163" t="s">
        <v>3023</v>
      </c>
      <c r="B2398" s="163" t="s">
        <v>1938</v>
      </c>
      <c r="C2398" s="163" t="s">
        <v>296</v>
      </c>
      <c r="D2398" s="163" t="s">
        <v>2127</v>
      </c>
      <c r="E2398" s="164" t="n">
        <v>20000</v>
      </c>
      <c r="F2398" s="165" t="s">
        <v>6584</v>
      </c>
    </row>
    <row r="2399" customFormat="false" ht="15" hidden="false" customHeight="true" outlineLevel="0" collapsed="false">
      <c r="A2399" s="163" t="s">
        <v>3023</v>
      </c>
      <c r="B2399" s="163" t="s">
        <v>1938</v>
      </c>
      <c r="C2399" s="163" t="s">
        <v>6585</v>
      </c>
      <c r="D2399" s="163" t="s">
        <v>6586</v>
      </c>
      <c r="E2399" s="164" t="n">
        <v>20000</v>
      </c>
      <c r="F2399" s="165" t="s">
        <v>6587</v>
      </c>
    </row>
    <row r="2400" customFormat="false" ht="15" hidden="false" customHeight="true" outlineLevel="0" collapsed="false">
      <c r="A2400" s="163" t="s">
        <v>3023</v>
      </c>
      <c r="B2400" s="163" t="s">
        <v>1938</v>
      </c>
      <c r="C2400" s="163" t="s">
        <v>3392</v>
      </c>
      <c r="D2400" s="163" t="s">
        <v>3393</v>
      </c>
      <c r="E2400" s="164" t="n">
        <v>20000</v>
      </c>
      <c r="F2400" s="165" t="s">
        <v>6588</v>
      </c>
    </row>
    <row r="2401" customFormat="false" ht="15" hidden="false" customHeight="true" outlineLevel="0" collapsed="false">
      <c r="A2401" s="163" t="s">
        <v>3023</v>
      </c>
      <c r="B2401" s="163" t="s">
        <v>1938</v>
      </c>
      <c r="C2401" s="163" t="s">
        <v>3392</v>
      </c>
      <c r="D2401" s="163" t="s">
        <v>3393</v>
      </c>
      <c r="E2401" s="164" t="n">
        <v>20000</v>
      </c>
      <c r="F2401" s="165" t="s">
        <v>6589</v>
      </c>
    </row>
    <row r="2402" customFormat="false" ht="15" hidden="false" customHeight="true" outlineLevel="0" collapsed="false">
      <c r="A2402" s="163" t="s">
        <v>3023</v>
      </c>
      <c r="B2402" s="163" t="s">
        <v>1938</v>
      </c>
      <c r="C2402" s="163" t="s">
        <v>3392</v>
      </c>
      <c r="D2402" s="163" t="s">
        <v>3393</v>
      </c>
      <c r="E2402" s="164" t="n">
        <v>20000</v>
      </c>
      <c r="F2402" s="165" t="s">
        <v>6590</v>
      </c>
    </row>
    <row r="2403" customFormat="false" ht="15" hidden="false" customHeight="true" outlineLevel="0" collapsed="false">
      <c r="A2403" s="163" t="s">
        <v>3023</v>
      </c>
      <c r="B2403" s="163" t="s">
        <v>691</v>
      </c>
      <c r="C2403" s="163" t="s">
        <v>3564</v>
      </c>
      <c r="D2403" s="163" t="s">
        <v>3565</v>
      </c>
      <c r="E2403" s="164" t="n">
        <v>35000</v>
      </c>
      <c r="F2403" s="165" t="s">
        <v>3060</v>
      </c>
    </row>
    <row r="2404" customFormat="false" ht="15" hidden="false" customHeight="true" outlineLevel="0" collapsed="false">
      <c r="A2404" s="163" t="s">
        <v>3023</v>
      </c>
      <c r="B2404" s="163" t="s">
        <v>691</v>
      </c>
      <c r="C2404" s="163" t="s">
        <v>1135</v>
      </c>
      <c r="D2404" s="163" t="s">
        <v>2507</v>
      </c>
      <c r="E2404" s="164" t="n">
        <v>30000</v>
      </c>
      <c r="F2404" s="165" t="s">
        <v>6591</v>
      </c>
    </row>
    <row r="2405" customFormat="false" ht="15" hidden="false" customHeight="true" outlineLevel="0" collapsed="false">
      <c r="A2405" s="163" t="s">
        <v>3023</v>
      </c>
      <c r="B2405" s="163" t="s">
        <v>691</v>
      </c>
      <c r="C2405" s="163" t="s">
        <v>260</v>
      </c>
      <c r="D2405" s="163" t="s">
        <v>2097</v>
      </c>
      <c r="E2405" s="164" t="n">
        <v>20000</v>
      </c>
      <c r="F2405" s="165" t="s">
        <v>6592</v>
      </c>
    </row>
    <row r="2406" customFormat="false" ht="15" hidden="false" customHeight="true" outlineLevel="0" collapsed="false">
      <c r="A2406" s="163" t="s">
        <v>3023</v>
      </c>
      <c r="B2406" s="163" t="s">
        <v>691</v>
      </c>
      <c r="C2406" s="163" t="s">
        <v>5148</v>
      </c>
      <c r="D2406" s="163" t="s">
        <v>5149</v>
      </c>
      <c r="E2406" s="164" t="n">
        <v>10000</v>
      </c>
      <c r="F2406" s="165" t="s">
        <v>3060</v>
      </c>
    </row>
    <row r="2407" customFormat="false" ht="15" hidden="false" customHeight="true" outlineLevel="0" collapsed="false">
      <c r="A2407" s="163" t="s">
        <v>3023</v>
      </c>
      <c r="B2407" s="163" t="s">
        <v>691</v>
      </c>
      <c r="C2407" s="163" t="s">
        <v>5479</v>
      </c>
      <c r="D2407" s="163" t="s">
        <v>5480</v>
      </c>
      <c r="E2407" s="164" t="n">
        <v>10000</v>
      </c>
      <c r="F2407" s="165" t="s">
        <v>6593</v>
      </c>
    </row>
    <row r="2408" customFormat="false" ht="15" hidden="false" customHeight="true" outlineLevel="0" collapsed="false">
      <c r="A2408" s="163" t="s">
        <v>3023</v>
      </c>
      <c r="B2408" s="163" t="s">
        <v>691</v>
      </c>
      <c r="C2408" s="163" t="s">
        <v>4597</v>
      </c>
      <c r="D2408" s="163" t="s">
        <v>4598</v>
      </c>
      <c r="E2408" s="164" t="n">
        <v>10000</v>
      </c>
      <c r="F2408" s="165" t="s">
        <v>3060</v>
      </c>
    </row>
    <row r="2409" customFormat="false" ht="15" hidden="false" customHeight="true" outlineLevel="0" collapsed="false">
      <c r="A2409" s="163" t="s">
        <v>3023</v>
      </c>
      <c r="B2409" s="163" t="s">
        <v>691</v>
      </c>
      <c r="C2409" s="163" t="s">
        <v>3609</v>
      </c>
      <c r="D2409" s="163" t="s">
        <v>3610</v>
      </c>
      <c r="E2409" s="164" t="n">
        <v>10000</v>
      </c>
      <c r="F2409" s="165" t="s">
        <v>3060</v>
      </c>
    </row>
    <row r="2410" customFormat="false" ht="15" hidden="false" customHeight="true" outlineLevel="0" collapsed="false">
      <c r="A2410" s="163" t="s">
        <v>3023</v>
      </c>
      <c r="B2410" s="163" t="s">
        <v>691</v>
      </c>
      <c r="C2410" s="163" t="s">
        <v>6594</v>
      </c>
      <c r="D2410" s="163" t="s">
        <v>6595</v>
      </c>
      <c r="E2410" s="164" t="n">
        <v>10000</v>
      </c>
      <c r="F2410" s="165" t="s">
        <v>3060</v>
      </c>
    </row>
    <row r="2411" customFormat="false" ht="15" hidden="false" customHeight="true" outlineLevel="0" collapsed="false">
      <c r="A2411" s="163" t="s">
        <v>3023</v>
      </c>
      <c r="B2411" s="163" t="s">
        <v>691</v>
      </c>
      <c r="C2411" s="163" t="s">
        <v>4890</v>
      </c>
      <c r="D2411" s="163" t="s">
        <v>4891</v>
      </c>
      <c r="E2411" s="164" t="n">
        <v>10000</v>
      </c>
      <c r="F2411" s="165" t="s">
        <v>3060</v>
      </c>
    </row>
    <row r="2412" customFormat="false" ht="15" hidden="false" customHeight="true" outlineLevel="0" collapsed="false">
      <c r="A2412" s="163" t="s">
        <v>3023</v>
      </c>
      <c r="B2412" s="163" t="s">
        <v>2027</v>
      </c>
      <c r="C2412" s="163" t="s">
        <v>935</v>
      </c>
      <c r="D2412" s="163" t="s">
        <v>3162</v>
      </c>
      <c r="E2412" s="164" t="n">
        <v>30000</v>
      </c>
      <c r="F2412" s="165" t="s">
        <v>3060</v>
      </c>
    </row>
    <row r="2413" customFormat="false" ht="15" hidden="false" customHeight="true" outlineLevel="0" collapsed="false">
      <c r="A2413" s="163" t="s">
        <v>3023</v>
      </c>
      <c r="B2413" s="163" t="s">
        <v>2027</v>
      </c>
      <c r="C2413" s="163" t="s">
        <v>3622</v>
      </c>
      <c r="D2413" s="163" t="s">
        <v>3623</v>
      </c>
      <c r="E2413" s="164" t="n">
        <v>20000</v>
      </c>
      <c r="F2413" s="165" t="s">
        <v>3060</v>
      </c>
    </row>
    <row r="2414" customFormat="false" ht="15" hidden="false" customHeight="true" outlineLevel="0" collapsed="false">
      <c r="A2414" s="163" t="s">
        <v>3023</v>
      </c>
      <c r="B2414" s="163" t="s">
        <v>2027</v>
      </c>
      <c r="C2414" s="163" t="s">
        <v>3163</v>
      </c>
      <c r="D2414" s="163" t="s">
        <v>3164</v>
      </c>
      <c r="E2414" s="164" t="n">
        <v>20000</v>
      </c>
      <c r="F2414" s="165" t="s">
        <v>3060</v>
      </c>
    </row>
    <row r="2415" customFormat="false" ht="15" hidden="false" customHeight="true" outlineLevel="0" collapsed="false">
      <c r="A2415" s="163" t="s">
        <v>3023</v>
      </c>
      <c r="B2415" s="163" t="s">
        <v>2027</v>
      </c>
      <c r="C2415" s="163" t="s">
        <v>5028</v>
      </c>
      <c r="D2415" s="163" t="s">
        <v>1931</v>
      </c>
      <c r="E2415" s="164" t="n">
        <v>20000</v>
      </c>
      <c r="F2415" s="165" t="s">
        <v>3060</v>
      </c>
    </row>
    <row r="2416" customFormat="false" ht="15" hidden="false" customHeight="true" outlineLevel="0" collapsed="false">
      <c r="A2416" s="163" t="s">
        <v>3023</v>
      </c>
      <c r="B2416" s="163" t="s">
        <v>2037</v>
      </c>
      <c r="C2416" s="163" t="s">
        <v>5694</v>
      </c>
      <c r="D2416" s="163" t="s">
        <v>5695</v>
      </c>
      <c r="E2416" s="164" t="n">
        <v>103000</v>
      </c>
      <c r="F2416" s="165" t="s">
        <v>3060</v>
      </c>
    </row>
    <row r="2417" customFormat="false" ht="15" hidden="false" customHeight="true" outlineLevel="0" collapsed="false">
      <c r="A2417" s="163" t="s">
        <v>3023</v>
      </c>
      <c r="B2417" s="163" t="s">
        <v>2037</v>
      </c>
      <c r="C2417" s="163" t="s">
        <v>6350</v>
      </c>
      <c r="D2417" s="163" t="s">
        <v>6351</v>
      </c>
      <c r="E2417" s="164" t="n">
        <v>30000</v>
      </c>
      <c r="F2417" s="165" t="s">
        <v>3060</v>
      </c>
    </row>
    <row r="2418" customFormat="false" ht="15" hidden="false" customHeight="true" outlineLevel="0" collapsed="false">
      <c r="A2418" s="163" t="s">
        <v>3023</v>
      </c>
      <c r="B2418" s="163" t="s">
        <v>894</v>
      </c>
      <c r="C2418" s="163" t="s">
        <v>5214</v>
      </c>
      <c r="D2418" s="163" t="s">
        <v>5215</v>
      </c>
      <c r="E2418" s="164" t="n">
        <v>42000</v>
      </c>
      <c r="F2418" s="165" t="s">
        <v>6596</v>
      </c>
    </row>
    <row r="2419" customFormat="false" ht="15" hidden="false" customHeight="true" outlineLevel="0" collapsed="false">
      <c r="A2419" s="163" t="s">
        <v>3023</v>
      </c>
      <c r="B2419" s="163" t="s">
        <v>894</v>
      </c>
      <c r="C2419" s="163" t="s">
        <v>6597</v>
      </c>
      <c r="D2419" s="163" t="s">
        <v>6598</v>
      </c>
      <c r="E2419" s="164" t="n">
        <v>30000</v>
      </c>
      <c r="F2419" s="165" t="s">
        <v>6599</v>
      </c>
    </row>
    <row r="2420" customFormat="false" ht="15" hidden="false" customHeight="true" outlineLevel="0" collapsed="false">
      <c r="A2420" s="163" t="s">
        <v>3023</v>
      </c>
      <c r="B2420" s="163" t="s">
        <v>894</v>
      </c>
      <c r="C2420" s="163" t="s">
        <v>3560</v>
      </c>
      <c r="D2420" s="163" t="s">
        <v>3561</v>
      </c>
      <c r="E2420" s="164" t="n">
        <v>22500</v>
      </c>
      <c r="F2420" s="165" t="s">
        <v>6560</v>
      </c>
    </row>
    <row r="2421" customFormat="false" ht="15" hidden="false" customHeight="true" outlineLevel="0" collapsed="false">
      <c r="A2421" s="163" t="s">
        <v>3023</v>
      </c>
      <c r="B2421" s="163" t="s">
        <v>894</v>
      </c>
      <c r="C2421" s="163" t="s">
        <v>3063</v>
      </c>
      <c r="D2421" s="163" t="s">
        <v>3064</v>
      </c>
      <c r="E2421" s="164" t="n">
        <v>19000</v>
      </c>
      <c r="F2421" s="165" t="s">
        <v>6560</v>
      </c>
    </row>
    <row r="2422" customFormat="false" ht="15" hidden="false" customHeight="true" outlineLevel="0" collapsed="false">
      <c r="A2422" s="163" t="s">
        <v>3023</v>
      </c>
      <c r="B2422" s="163" t="s">
        <v>894</v>
      </c>
      <c r="C2422" s="163" t="s">
        <v>1268</v>
      </c>
      <c r="D2422" s="163" t="s">
        <v>2426</v>
      </c>
      <c r="E2422" s="164" t="n">
        <v>15000</v>
      </c>
      <c r="F2422" s="165" t="s">
        <v>3060</v>
      </c>
    </row>
    <row r="2423" customFormat="false" ht="15" hidden="false" customHeight="true" outlineLevel="0" collapsed="false">
      <c r="A2423" s="163" t="s">
        <v>3023</v>
      </c>
      <c r="B2423" s="163" t="s">
        <v>894</v>
      </c>
      <c r="C2423" s="163" t="s">
        <v>4914</v>
      </c>
      <c r="D2423" s="163" t="s">
        <v>4915</v>
      </c>
      <c r="E2423" s="164" t="n">
        <v>13000</v>
      </c>
      <c r="F2423" s="165" t="s">
        <v>6600</v>
      </c>
    </row>
    <row r="2424" customFormat="false" ht="15" hidden="false" customHeight="true" outlineLevel="0" collapsed="false">
      <c r="A2424" s="163" t="s">
        <v>3023</v>
      </c>
      <c r="B2424" s="163" t="s">
        <v>894</v>
      </c>
      <c r="C2424" s="163" t="s">
        <v>5290</v>
      </c>
      <c r="D2424" s="163" t="s">
        <v>5291</v>
      </c>
      <c r="E2424" s="164" t="n">
        <v>12500</v>
      </c>
      <c r="F2424" s="165" t="s">
        <v>3060</v>
      </c>
    </row>
    <row r="2425" customFormat="false" ht="15" hidden="false" customHeight="true" outlineLevel="0" collapsed="false">
      <c r="A2425" s="163" t="s">
        <v>3023</v>
      </c>
      <c r="B2425" s="163" t="s">
        <v>894</v>
      </c>
      <c r="C2425" s="163" t="s">
        <v>3425</v>
      </c>
      <c r="D2425" s="163" t="s">
        <v>3426</v>
      </c>
      <c r="E2425" s="164" t="n">
        <v>12500</v>
      </c>
      <c r="F2425" s="165" t="s">
        <v>6560</v>
      </c>
    </row>
    <row r="2426" customFormat="false" ht="15" hidden="false" customHeight="true" outlineLevel="0" collapsed="false">
      <c r="A2426" s="163" t="s">
        <v>3023</v>
      </c>
      <c r="B2426" s="163" t="s">
        <v>894</v>
      </c>
      <c r="C2426" s="163" t="s">
        <v>1860</v>
      </c>
      <c r="D2426" s="163" t="s">
        <v>1861</v>
      </c>
      <c r="E2426" s="164" t="n">
        <v>11000</v>
      </c>
      <c r="F2426" s="165" t="s">
        <v>6560</v>
      </c>
    </row>
    <row r="2427" customFormat="false" ht="15" hidden="false" customHeight="true" outlineLevel="0" collapsed="false">
      <c r="A2427" s="163" t="s">
        <v>3023</v>
      </c>
      <c r="B2427" s="163" t="s">
        <v>894</v>
      </c>
      <c r="C2427" s="163" t="s">
        <v>6601</v>
      </c>
      <c r="D2427" s="163" t="s">
        <v>6602</v>
      </c>
      <c r="E2427" s="164" t="n">
        <v>10000</v>
      </c>
      <c r="F2427" s="165" t="s">
        <v>3060</v>
      </c>
    </row>
    <row r="2428" customFormat="false" ht="15" hidden="false" customHeight="true" outlineLevel="0" collapsed="false">
      <c r="A2428" s="163" t="s">
        <v>3023</v>
      </c>
      <c r="B2428" s="163" t="s">
        <v>894</v>
      </c>
      <c r="C2428" s="163" t="s">
        <v>452</v>
      </c>
      <c r="D2428" s="163" t="s">
        <v>1931</v>
      </c>
      <c r="E2428" s="164" t="n">
        <v>10000</v>
      </c>
      <c r="F2428" s="165" t="s">
        <v>6603</v>
      </c>
    </row>
    <row r="2429" customFormat="false" ht="15" hidden="false" customHeight="true" outlineLevel="0" collapsed="false">
      <c r="A2429" s="163" t="s">
        <v>3023</v>
      </c>
      <c r="B2429" s="163" t="s">
        <v>894</v>
      </c>
      <c r="C2429" s="163" t="s">
        <v>6604</v>
      </c>
      <c r="D2429" s="163" t="s">
        <v>6605</v>
      </c>
      <c r="E2429" s="164" t="n">
        <v>10000</v>
      </c>
      <c r="F2429" s="165" t="s">
        <v>3060</v>
      </c>
    </row>
    <row r="2430" customFormat="false" ht="15" hidden="false" customHeight="true" outlineLevel="0" collapsed="false">
      <c r="A2430" s="163" t="s">
        <v>3023</v>
      </c>
      <c r="B2430" s="163" t="s">
        <v>894</v>
      </c>
      <c r="C2430" s="163" t="s">
        <v>925</v>
      </c>
      <c r="D2430" s="163" t="s">
        <v>1931</v>
      </c>
      <c r="E2430" s="164" t="n">
        <v>10000</v>
      </c>
      <c r="F2430" s="165" t="s">
        <v>6606</v>
      </c>
    </row>
    <row r="2431" customFormat="false" ht="15" hidden="false" customHeight="true" outlineLevel="0" collapsed="false">
      <c r="A2431" s="163" t="s">
        <v>3023</v>
      </c>
      <c r="B2431" s="163" t="s">
        <v>894</v>
      </c>
      <c r="C2431" s="163" t="s">
        <v>6607</v>
      </c>
      <c r="D2431" s="163" t="s">
        <v>6608</v>
      </c>
      <c r="E2431" s="164" t="n">
        <v>10000</v>
      </c>
      <c r="F2431" s="165" t="s">
        <v>3060</v>
      </c>
    </row>
    <row r="2432" customFormat="false" ht="15" hidden="false" customHeight="true" outlineLevel="0" collapsed="false">
      <c r="A2432" s="163" t="s">
        <v>3023</v>
      </c>
      <c r="B2432" s="163" t="s">
        <v>894</v>
      </c>
      <c r="C2432" s="163" t="s">
        <v>3709</v>
      </c>
      <c r="D2432" s="163" t="s">
        <v>3710</v>
      </c>
      <c r="E2432" s="164" t="n">
        <v>10000</v>
      </c>
      <c r="F2432" s="165" t="s">
        <v>6609</v>
      </c>
    </row>
    <row r="2433" customFormat="false" ht="15" hidden="false" customHeight="true" outlineLevel="0" collapsed="false">
      <c r="A2433" s="163" t="s">
        <v>3023</v>
      </c>
      <c r="B2433" s="163" t="s">
        <v>894</v>
      </c>
      <c r="C2433" s="163" t="s">
        <v>4202</v>
      </c>
      <c r="D2433" s="163" t="s">
        <v>4203</v>
      </c>
      <c r="E2433" s="164" t="n">
        <v>10000</v>
      </c>
      <c r="F2433" s="165" t="s">
        <v>6610</v>
      </c>
    </row>
    <row r="2434" customFormat="false" ht="15" hidden="false" customHeight="true" outlineLevel="0" collapsed="false">
      <c r="A2434" s="163" t="s">
        <v>3023</v>
      </c>
      <c r="B2434" s="163" t="s">
        <v>894</v>
      </c>
      <c r="C2434" s="163" t="s">
        <v>552</v>
      </c>
      <c r="D2434" s="163" t="s">
        <v>2445</v>
      </c>
      <c r="E2434" s="164" t="n">
        <v>10000</v>
      </c>
      <c r="F2434" s="165" t="s">
        <v>6611</v>
      </c>
    </row>
    <row r="2435" customFormat="false" ht="15" hidden="false" customHeight="true" outlineLevel="0" collapsed="false">
      <c r="A2435" s="163" t="s">
        <v>3023</v>
      </c>
      <c r="B2435" s="163" t="s">
        <v>894</v>
      </c>
      <c r="C2435" s="163" t="s">
        <v>6612</v>
      </c>
      <c r="D2435" s="163" t="s">
        <v>6613</v>
      </c>
      <c r="E2435" s="164" t="n">
        <v>10000</v>
      </c>
      <c r="F2435" s="165" t="s">
        <v>6614</v>
      </c>
    </row>
    <row r="2436" customFormat="false" ht="15" hidden="false" customHeight="true" outlineLevel="0" collapsed="false">
      <c r="A2436" s="163" t="s">
        <v>3023</v>
      </c>
      <c r="B2436" s="163" t="s">
        <v>894</v>
      </c>
      <c r="C2436" s="163" t="s">
        <v>452</v>
      </c>
      <c r="D2436" s="163" t="s">
        <v>2102</v>
      </c>
      <c r="E2436" s="164" t="n">
        <v>7500</v>
      </c>
      <c r="F2436" s="165" t="s">
        <v>6615</v>
      </c>
    </row>
    <row r="2437" customFormat="false" ht="15" hidden="false" customHeight="true" outlineLevel="0" collapsed="false">
      <c r="A2437" s="163" t="s">
        <v>3023</v>
      </c>
      <c r="B2437" s="163" t="s">
        <v>894</v>
      </c>
      <c r="C2437" s="163" t="s">
        <v>6568</v>
      </c>
      <c r="D2437" s="163" t="s">
        <v>6569</v>
      </c>
      <c r="E2437" s="164" t="n">
        <v>7000</v>
      </c>
      <c r="F2437" s="165" t="s">
        <v>6560</v>
      </c>
    </row>
    <row r="2438" customFormat="false" ht="15" hidden="false" customHeight="true" outlineLevel="0" collapsed="false">
      <c r="A2438" s="163" t="s">
        <v>3023</v>
      </c>
      <c r="B2438" s="163" t="s">
        <v>894</v>
      </c>
      <c r="C2438" s="163" t="s">
        <v>6215</v>
      </c>
      <c r="D2438" s="163" t="s">
        <v>6216</v>
      </c>
      <c r="E2438" s="164" t="n">
        <v>6500</v>
      </c>
      <c r="F2438" s="165" t="s">
        <v>3060</v>
      </c>
    </row>
    <row r="2439" customFormat="false" ht="15" hidden="false" customHeight="true" outlineLevel="0" collapsed="false">
      <c r="A2439" s="163" t="s">
        <v>3023</v>
      </c>
      <c r="B2439" s="163" t="s">
        <v>894</v>
      </c>
      <c r="C2439" s="163" t="s">
        <v>6616</v>
      </c>
      <c r="D2439" s="163" t="s">
        <v>6617</v>
      </c>
      <c r="E2439" s="164" t="n">
        <v>6000</v>
      </c>
      <c r="F2439" s="165" t="s">
        <v>6618</v>
      </c>
    </row>
    <row r="2440" customFormat="false" ht="15" hidden="false" customHeight="true" outlineLevel="0" collapsed="false">
      <c r="A2440" s="163" t="s">
        <v>3023</v>
      </c>
      <c r="B2440" s="163" t="s">
        <v>894</v>
      </c>
      <c r="C2440" s="163" t="s">
        <v>424</v>
      </c>
      <c r="D2440" s="163" t="s">
        <v>2630</v>
      </c>
      <c r="E2440" s="164" t="n">
        <v>6000</v>
      </c>
      <c r="F2440" s="165" t="s">
        <v>3060</v>
      </c>
    </row>
    <row r="2441" customFormat="false" ht="15" hidden="false" customHeight="true" outlineLevel="0" collapsed="false">
      <c r="A2441" s="163" t="s">
        <v>3023</v>
      </c>
      <c r="B2441" s="163" t="s">
        <v>894</v>
      </c>
      <c r="C2441" s="163" t="s">
        <v>6619</v>
      </c>
      <c r="D2441" s="163" t="s">
        <v>6620</v>
      </c>
      <c r="E2441" s="164" t="n">
        <v>6000</v>
      </c>
      <c r="F2441" s="165" t="s">
        <v>3060</v>
      </c>
    </row>
    <row r="2442" customFormat="false" ht="15" hidden="false" customHeight="true" outlineLevel="0" collapsed="false">
      <c r="A2442" s="163" t="s">
        <v>3023</v>
      </c>
      <c r="B2442" s="163" t="s">
        <v>894</v>
      </c>
      <c r="C2442" s="163" t="s">
        <v>6350</v>
      </c>
      <c r="D2442" s="163" t="s">
        <v>6351</v>
      </c>
      <c r="E2442" s="164" t="n">
        <v>5000</v>
      </c>
      <c r="F2442" s="165" t="s">
        <v>3060</v>
      </c>
    </row>
    <row r="2443" customFormat="false" ht="15" hidden="false" customHeight="true" outlineLevel="0" collapsed="false">
      <c r="A2443" s="163" t="s">
        <v>3023</v>
      </c>
      <c r="B2443" s="163" t="s">
        <v>894</v>
      </c>
      <c r="C2443" s="163" t="s">
        <v>6621</v>
      </c>
      <c r="D2443" s="163" t="s">
        <v>6622</v>
      </c>
      <c r="E2443" s="164" t="n">
        <v>5000</v>
      </c>
      <c r="F2443" s="165" t="s">
        <v>6623</v>
      </c>
    </row>
    <row r="2444" customFormat="false" ht="15" hidden="false" customHeight="true" outlineLevel="0" collapsed="false">
      <c r="A2444" s="163" t="s">
        <v>3023</v>
      </c>
      <c r="B2444" s="163" t="s">
        <v>894</v>
      </c>
      <c r="C2444" s="163" t="s">
        <v>6624</v>
      </c>
      <c r="D2444" s="163" t="s">
        <v>6625</v>
      </c>
      <c r="E2444" s="164" t="n">
        <v>5000</v>
      </c>
      <c r="F2444" s="165" t="s">
        <v>6560</v>
      </c>
    </row>
    <row r="2445" customFormat="false" ht="15" hidden="false" customHeight="true" outlineLevel="0" collapsed="false">
      <c r="A2445" s="163" t="s">
        <v>3023</v>
      </c>
      <c r="B2445" s="163" t="s">
        <v>894</v>
      </c>
      <c r="C2445" s="163" t="s">
        <v>5017</v>
      </c>
      <c r="D2445" s="163" t="s">
        <v>5018</v>
      </c>
      <c r="E2445" s="164" t="n">
        <v>5000</v>
      </c>
      <c r="F2445" s="165" t="s">
        <v>6626</v>
      </c>
    </row>
    <row r="2446" customFormat="false" ht="15" hidden="false" customHeight="true" outlineLevel="0" collapsed="false">
      <c r="A2446" s="163" t="s">
        <v>3023</v>
      </c>
      <c r="B2446" s="163" t="s">
        <v>894</v>
      </c>
      <c r="C2446" s="163" t="s">
        <v>6627</v>
      </c>
      <c r="D2446" s="163" t="s">
        <v>6628</v>
      </c>
      <c r="E2446" s="164" t="n">
        <v>5000</v>
      </c>
      <c r="F2446" s="165" t="s">
        <v>3060</v>
      </c>
    </row>
    <row r="2447" customFormat="false" ht="15" hidden="false" customHeight="true" outlineLevel="0" collapsed="false">
      <c r="A2447" s="163" t="s">
        <v>3023</v>
      </c>
      <c r="B2447" s="163" t="s">
        <v>894</v>
      </c>
      <c r="C2447" s="163" t="s">
        <v>3692</v>
      </c>
      <c r="D2447" s="163" t="s">
        <v>3693</v>
      </c>
      <c r="E2447" s="164" t="n">
        <v>5000</v>
      </c>
      <c r="F2447" s="165" t="s">
        <v>6629</v>
      </c>
    </row>
    <row r="2448" customFormat="false" ht="15" hidden="false" customHeight="true" outlineLevel="0" collapsed="false">
      <c r="A2448" s="163" t="s">
        <v>3023</v>
      </c>
      <c r="B2448" s="163" t="s">
        <v>894</v>
      </c>
      <c r="C2448" s="163" t="s">
        <v>5028</v>
      </c>
      <c r="D2448" s="163" t="s">
        <v>1931</v>
      </c>
      <c r="E2448" s="164" t="n">
        <v>5000</v>
      </c>
      <c r="F2448" s="165" t="s">
        <v>6630</v>
      </c>
    </row>
    <row r="2449" customFormat="false" ht="15" hidden="false" customHeight="true" outlineLevel="0" collapsed="false">
      <c r="A2449" s="163" t="s">
        <v>3023</v>
      </c>
      <c r="B2449" s="163" t="s">
        <v>894</v>
      </c>
      <c r="C2449" s="163" t="s">
        <v>5028</v>
      </c>
      <c r="D2449" s="163" t="s">
        <v>1931</v>
      </c>
      <c r="E2449" s="164" t="n">
        <v>5000</v>
      </c>
      <c r="F2449" s="165" t="s">
        <v>6631</v>
      </c>
    </row>
    <row r="2450" customFormat="false" ht="15" hidden="false" customHeight="true" outlineLevel="0" collapsed="false">
      <c r="A2450" s="163" t="s">
        <v>3023</v>
      </c>
      <c r="B2450" s="163" t="s">
        <v>894</v>
      </c>
      <c r="C2450" s="163" t="s">
        <v>5028</v>
      </c>
      <c r="D2450" s="163" t="s">
        <v>1931</v>
      </c>
      <c r="E2450" s="164" t="n">
        <v>5000</v>
      </c>
      <c r="F2450" s="165" t="s">
        <v>6632</v>
      </c>
    </row>
    <row r="2451" customFormat="false" ht="15" hidden="false" customHeight="true" outlineLevel="0" collapsed="false">
      <c r="A2451" s="163" t="s">
        <v>3023</v>
      </c>
      <c r="B2451" s="163" t="s">
        <v>894</v>
      </c>
      <c r="C2451" s="163" t="s">
        <v>5028</v>
      </c>
      <c r="D2451" s="163" t="s">
        <v>1931</v>
      </c>
      <c r="E2451" s="164" t="n">
        <v>5000</v>
      </c>
      <c r="F2451" s="165" t="s">
        <v>6633</v>
      </c>
    </row>
    <row r="2452" customFormat="false" ht="15" hidden="false" customHeight="true" outlineLevel="0" collapsed="false">
      <c r="A2452" s="163" t="s">
        <v>3023</v>
      </c>
      <c r="B2452" s="163" t="s">
        <v>894</v>
      </c>
      <c r="C2452" s="163" t="s">
        <v>5028</v>
      </c>
      <c r="D2452" s="163" t="s">
        <v>1931</v>
      </c>
      <c r="E2452" s="164" t="n">
        <v>5000</v>
      </c>
      <c r="F2452" s="165" t="s">
        <v>6634</v>
      </c>
    </row>
    <row r="2453" customFormat="false" ht="15" hidden="false" customHeight="true" outlineLevel="0" collapsed="false">
      <c r="A2453" s="163" t="s">
        <v>3023</v>
      </c>
      <c r="B2453" s="163" t="s">
        <v>894</v>
      </c>
      <c r="C2453" s="163" t="s">
        <v>5028</v>
      </c>
      <c r="D2453" s="163" t="s">
        <v>1931</v>
      </c>
      <c r="E2453" s="164" t="n">
        <v>5000</v>
      </c>
      <c r="F2453" s="165" t="s">
        <v>6635</v>
      </c>
    </row>
    <row r="2454" customFormat="false" ht="15" hidden="false" customHeight="true" outlineLevel="0" collapsed="false">
      <c r="A2454" s="163" t="s">
        <v>3023</v>
      </c>
      <c r="B2454" s="163" t="s">
        <v>894</v>
      </c>
      <c r="C2454" s="163" t="s">
        <v>6636</v>
      </c>
      <c r="D2454" s="163" t="s">
        <v>6637</v>
      </c>
      <c r="E2454" s="164" t="n">
        <v>5000</v>
      </c>
      <c r="F2454" s="165" t="s">
        <v>6638</v>
      </c>
    </row>
    <row r="2455" customFormat="false" ht="15" hidden="false" customHeight="true" outlineLevel="0" collapsed="false">
      <c r="A2455" s="163" t="s">
        <v>3023</v>
      </c>
      <c r="B2455" s="163" t="s">
        <v>894</v>
      </c>
      <c r="C2455" s="163" t="s">
        <v>6562</v>
      </c>
      <c r="D2455" s="163" t="s">
        <v>6563</v>
      </c>
      <c r="E2455" s="164" t="n">
        <v>5000</v>
      </c>
      <c r="F2455" s="165" t="s">
        <v>3060</v>
      </c>
    </row>
    <row r="2456" customFormat="false" ht="15" hidden="false" customHeight="true" outlineLevel="0" collapsed="false">
      <c r="A2456" s="163" t="s">
        <v>3023</v>
      </c>
      <c r="B2456" s="163" t="s">
        <v>894</v>
      </c>
      <c r="C2456" s="163" t="s">
        <v>6573</v>
      </c>
      <c r="D2456" s="163" t="s">
        <v>6574</v>
      </c>
      <c r="E2456" s="164" t="n">
        <v>5000</v>
      </c>
      <c r="F2456" s="165" t="s">
        <v>6639</v>
      </c>
    </row>
    <row r="2457" customFormat="false" ht="15" hidden="false" customHeight="true" outlineLevel="0" collapsed="false">
      <c r="A2457" s="163" t="s">
        <v>3023</v>
      </c>
      <c r="B2457" s="163" t="s">
        <v>894</v>
      </c>
      <c r="C2457" s="163" t="s">
        <v>452</v>
      </c>
      <c r="D2457" s="163" t="s">
        <v>2102</v>
      </c>
      <c r="E2457" s="164" t="n">
        <v>5000</v>
      </c>
      <c r="F2457" s="165" t="s">
        <v>6640</v>
      </c>
    </row>
    <row r="2458" customFormat="false" ht="15" hidden="false" customHeight="true" outlineLevel="0" collapsed="false">
      <c r="A2458" s="163" t="s">
        <v>3023</v>
      </c>
      <c r="B2458" s="163" t="s">
        <v>894</v>
      </c>
      <c r="C2458" s="163" t="s">
        <v>452</v>
      </c>
      <c r="D2458" s="163" t="s">
        <v>2102</v>
      </c>
      <c r="E2458" s="164" t="n">
        <v>5000</v>
      </c>
      <c r="F2458" s="165" t="s">
        <v>6641</v>
      </c>
    </row>
    <row r="2459" customFormat="false" ht="15" hidden="false" customHeight="true" outlineLevel="0" collapsed="false">
      <c r="A2459" s="163" t="s">
        <v>3023</v>
      </c>
      <c r="B2459" s="163" t="s">
        <v>894</v>
      </c>
      <c r="C2459" s="163" t="s">
        <v>6642</v>
      </c>
      <c r="D2459" s="163" t="s">
        <v>6643</v>
      </c>
      <c r="E2459" s="164" t="n">
        <v>5000</v>
      </c>
      <c r="F2459" s="165" t="s">
        <v>6560</v>
      </c>
    </row>
    <row r="2460" customFormat="false" ht="15" hidden="false" customHeight="true" outlineLevel="0" collapsed="false">
      <c r="A2460" s="163" t="s">
        <v>3023</v>
      </c>
      <c r="B2460" s="163" t="s">
        <v>894</v>
      </c>
      <c r="C2460" s="163" t="s">
        <v>197</v>
      </c>
      <c r="D2460" s="163" t="s">
        <v>1931</v>
      </c>
      <c r="E2460" s="164" t="n">
        <v>3500</v>
      </c>
      <c r="F2460" s="165" t="s">
        <v>6644</v>
      </c>
    </row>
    <row r="2461" customFormat="false" ht="15" hidden="false" customHeight="true" outlineLevel="0" collapsed="false">
      <c r="A2461" s="163" t="s">
        <v>3023</v>
      </c>
      <c r="B2461" s="163" t="s">
        <v>882</v>
      </c>
      <c r="C2461" s="163" t="s">
        <v>2759</v>
      </c>
      <c r="D2461" s="163" t="s">
        <v>2760</v>
      </c>
      <c r="E2461" s="164" t="n">
        <v>185000</v>
      </c>
      <c r="F2461" s="165" t="s">
        <v>3060</v>
      </c>
    </row>
    <row r="2462" customFormat="false" ht="15" hidden="false" customHeight="true" outlineLevel="0" collapsed="false">
      <c r="A2462" s="163" t="s">
        <v>3023</v>
      </c>
      <c r="B2462" s="163" t="s">
        <v>882</v>
      </c>
      <c r="C2462" s="163" t="s">
        <v>640</v>
      </c>
      <c r="D2462" s="163" t="s">
        <v>1931</v>
      </c>
      <c r="E2462" s="164" t="n">
        <v>95000</v>
      </c>
      <c r="F2462" s="165" t="s">
        <v>6645</v>
      </c>
    </row>
    <row r="2463" customFormat="false" ht="15" hidden="false" customHeight="true" outlineLevel="0" collapsed="false">
      <c r="A2463" s="163" t="s">
        <v>3023</v>
      </c>
      <c r="B2463" s="163" t="s">
        <v>2328</v>
      </c>
      <c r="C2463" s="163" t="s">
        <v>3706</v>
      </c>
      <c r="D2463" s="163" t="s">
        <v>3707</v>
      </c>
      <c r="E2463" s="164" t="n">
        <v>30000</v>
      </c>
      <c r="F2463" s="165" t="s">
        <v>6646</v>
      </c>
    </row>
    <row r="2464" customFormat="false" ht="15" hidden="false" customHeight="true" outlineLevel="0" collapsed="false">
      <c r="A2464" s="163" t="s">
        <v>3023</v>
      </c>
      <c r="B2464" s="163" t="s">
        <v>2328</v>
      </c>
      <c r="C2464" s="163" t="s">
        <v>5071</v>
      </c>
      <c r="D2464" s="163" t="s">
        <v>5072</v>
      </c>
      <c r="E2464" s="164" t="n">
        <v>20000</v>
      </c>
      <c r="F2464" s="165" t="s">
        <v>3060</v>
      </c>
    </row>
    <row r="2465" customFormat="false" ht="15" hidden="false" customHeight="true" outlineLevel="0" collapsed="false">
      <c r="A2465" s="163" t="s">
        <v>3023</v>
      </c>
      <c r="B2465" s="163" t="s">
        <v>2342</v>
      </c>
      <c r="C2465" s="163" t="s">
        <v>197</v>
      </c>
      <c r="D2465" s="163" t="s">
        <v>1931</v>
      </c>
      <c r="E2465" s="164" t="n">
        <v>50000</v>
      </c>
      <c r="F2465" s="165" t="s">
        <v>6647</v>
      </c>
    </row>
    <row r="2466" customFormat="false" ht="15" hidden="false" customHeight="true" outlineLevel="0" collapsed="false">
      <c r="A2466" s="163" t="s">
        <v>3023</v>
      </c>
      <c r="B2466" s="163" t="s">
        <v>2342</v>
      </c>
      <c r="C2466" s="163" t="s">
        <v>197</v>
      </c>
      <c r="D2466" s="163" t="s">
        <v>1931</v>
      </c>
      <c r="E2466" s="164" t="n">
        <v>40000</v>
      </c>
      <c r="F2466" s="165" t="s">
        <v>6648</v>
      </c>
    </row>
    <row r="2467" customFormat="false" ht="15" hidden="false" customHeight="true" outlineLevel="0" collapsed="false">
      <c r="A2467" s="163" t="s">
        <v>3023</v>
      </c>
      <c r="B2467" s="163" t="s">
        <v>2766</v>
      </c>
      <c r="C2467" s="163" t="s">
        <v>452</v>
      </c>
      <c r="D2467" s="163" t="s">
        <v>1931</v>
      </c>
      <c r="E2467" s="164" t="n">
        <v>15000</v>
      </c>
      <c r="F2467" s="165" t="s">
        <v>6582</v>
      </c>
    </row>
    <row r="2468" customFormat="false" ht="15" hidden="false" customHeight="true" outlineLevel="0" collapsed="false">
      <c r="A2468" s="163" t="s">
        <v>3023</v>
      </c>
      <c r="B2468" s="163" t="s">
        <v>2766</v>
      </c>
      <c r="C2468" s="163" t="s">
        <v>5474</v>
      </c>
      <c r="D2468" s="163" t="s">
        <v>5475</v>
      </c>
      <c r="E2468" s="164" t="n">
        <v>15000</v>
      </c>
      <c r="F2468" s="165" t="s">
        <v>6649</v>
      </c>
    </row>
    <row r="2469" customFormat="false" ht="15" hidden="false" customHeight="true" outlineLevel="0" collapsed="false">
      <c r="A2469" s="163" t="s">
        <v>3023</v>
      </c>
      <c r="B2469" s="163" t="s">
        <v>2766</v>
      </c>
      <c r="C2469" s="163" t="s">
        <v>6650</v>
      </c>
      <c r="D2469" s="163" t="s">
        <v>6651</v>
      </c>
      <c r="E2469" s="164" t="n">
        <v>15000</v>
      </c>
      <c r="F2469" s="165" t="s">
        <v>6652</v>
      </c>
    </row>
    <row r="2470" customFormat="false" ht="15" hidden="false" customHeight="true" outlineLevel="0" collapsed="false">
      <c r="A2470" s="163" t="s">
        <v>3023</v>
      </c>
      <c r="B2470" s="163" t="s">
        <v>2766</v>
      </c>
      <c r="C2470" s="163" t="s">
        <v>3595</v>
      </c>
      <c r="D2470" s="163" t="s">
        <v>3596</v>
      </c>
      <c r="E2470" s="164" t="n">
        <v>15000</v>
      </c>
      <c r="F2470" s="165" t="s">
        <v>3060</v>
      </c>
    </row>
    <row r="2471" customFormat="false" ht="15" hidden="false" customHeight="true" outlineLevel="0" collapsed="false">
      <c r="A2471" s="163" t="s">
        <v>3023</v>
      </c>
      <c r="B2471" s="163" t="s">
        <v>2766</v>
      </c>
      <c r="C2471" s="163" t="s">
        <v>5160</v>
      </c>
      <c r="D2471" s="163" t="s">
        <v>5161</v>
      </c>
      <c r="E2471" s="164" t="n">
        <v>15000</v>
      </c>
      <c r="F2471" s="165" t="s">
        <v>6653</v>
      </c>
    </row>
    <row r="2472" customFormat="false" ht="15" hidden="false" customHeight="true" outlineLevel="0" collapsed="false">
      <c r="A2472" s="163" t="s">
        <v>3023</v>
      </c>
      <c r="B2472" s="163" t="s">
        <v>1743</v>
      </c>
      <c r="C2472" s="163" t="s">
        <v>6604</v>
      </c>
      <c r="D2472" s="163" t="s">
        <v>6605</v>
      </c>
      <c r="E2472" s="164" t="n">
        <v>70000</v>
      </c>
      <c r="F2472" s="165" t="s">
        <v>6654</v>
      </c>
    </row>
    <row r="2473" customFormat="false" ht="15" hidden="false" customHeight="true" outlineLevel="0" collapsed="false">
      <c r="A2473" s="163" t="s">
        <v>3023</v>
      </c>
      <c r="B2473" s="163" t="s">
        <v>1743</v>
      </c>
      <c r="C2473" s="163" t="s">
        <v>6557</v>
      </c>
      <c r="D2473" s="163" t="s">
        <v>6558</v>
      </c>
      <c r="E2473" s="164" t="n">
        <v>40000</v>
      </c>
      <c r="F2473" s="165" t="s">
        <v>6655</v>
      </c>
    </row>
    <row r="2474" customFormat="false" ht="15" hidden="false" customHeight="true" outlineLevel="0" collapsed="false">
      <c r="A2474" s="163" t="s">
        <v>3023</v>
      </c>
      <c r="B2474" s="163" t="s">
        <v>1743</v>
      </c>
      <c r="C2474" s="163" t="s">
        <v>3670</v>
      </c>
      <c r="D2474" s="163" t="s">
        <v>3671</v>
      </c>
      <c r="E2474" s="164" t="n">
        <v>10000</v>
      </c>
      <c r="F2474" s="165" t="s">
        <v>6656</v>
      </c>
    </row>
    <row r="2475" customFormat="false" ht="15" hidden="false" customHeight="true" outlineLevel="0" collapsed="false">
      <c r="A2475" s="163" t="s">
        <v>3023</v>
      </c>
      <c r="B2475" s="163" t="s">
        <v>1743</v>
      </c>
      <c r="C2475" s="163" t="s">
        <v>4350</v>
      </c>
      <c r="D2475" s="163" t="s">
        <v>4351</v>
      </c>
      <c r="E2475" s="164" t="n">
        <v>10000</v>
      </c>
      <c r="F2475" s="165" t="s">
        <v>3060</v>
      </c>
    </row>
    <row r="2476" customFormat="false" ht="15" hidden="false" customHeight="true" outlineLevel="0" collapsed="false">
      <c r="A2476" s="163" t="s">
        <v>3023</v>
      </c>
      <c r="B2476" s="163" t="s">
        <v>1743</v>
      </c>
      <c r="C2476" s="163" t="s">
        <v>5196</v>
      </c>
      <c r="D2476" s="163" t="s">
        <v>5197</v>
      </c>
      <c r="E2476" s="164" t="n">
        <v>10000</v>
      </c>
      <c r="F2476" s="165" t="s">
        <v>6657</v>
      </c>
    </row>
    <row r="2477" customFormat="false" ht="15" hidden="false" customHeight="true" outlineLevel="0" collapsed="false">
      <c r="A2477" s="163" t="s">
        <v>3023</v>
      </c>
      <c r="B2477" s="163" t="s">
        <v>1743</v>
      </c>
      <c r="C2477" s="163" t="s">
        <v>1860</v>
      </c>
      <c r="D2477" s="163" t="s">
        <v>1861</v>
      </c>
      <c r="E2477" s="164" t="n">
        <v>10000</v>
      </c>
      <c r="F2477" s="165" t="s">
        <v>3060</v>
      </c>
    </row>
    <row r="2478" customFormat="false" ht="15" hidden="false" customHeight="true" outlineLevel="0" collapsed="false">
      <c r="A2478" s="163" t="s">
        <v>3023</v>
      </c>
      <c r="B2478" s="163" t="s">
        <v>928</v>
      </c>
      <c r="C2478" s="163" t="s">
        <v>5214</v>
      </c>
      <c r="D2478" s="163" t="s">
        <v>5215</v>
      </c>
      <c r="E2478" s="164" t="n">
        <v>65000</v>
      </c>
      <c r="F2478" s="165" t="s">
        <v>6658</v>
      </c>
    </row>
    <row r="2479" customFormat="false" ht="15" hidden="false" customHeight="true" outlineLevel="0" collapsed="false">
      <c r="A2479" s="163" t="s">
        <v>3023</v>
      </c>
      <c r="B2479" s="163" t="s">
        <v>928</v>
      </c>
      <c r="C2479" s="163" t="s">
        <v>6659</v>
      </c>
      <c r="D2479" s="163" t="s">
        <v>6660</v>
      </c>
      <c r="E2479" s="164" t="n">
        <v>15000</v>
      </c>
      <c r="F2479" s="165" t="s">
        <v>3060</v>
      </c>
    </row>
    <row r="2480" customFormat="false" ht="15" hidden="false" customHeight="true" outlineLevel="0" collapsed="false">
      <c r="A2480" s="163" t="s">
        <v>3023</v>
      </c>
      <c r="B2480" s="163" t="s">
        <v>928</v>
      </c>
      <c r="C2480" s="163" t="s">
        <v>2953</v>
      </c>
      <c r="D2480" s="163" t="s">
        <v>2954</v>
      </c>
      <c r="E2480" s="164" t="n">
        <v>12500</v>
      </c>
      <c r="F2480" s="165" t="s">
        <v>3060</v>
      </c>
    </row>
    <row r="2481" customFormat="false" ht="15" hidden="false" customHeight="true" outlineLevel="0" collapsed="false">
      <c r="A2481" s="163" t="s">
        <v>3023</v>
      </c>
      <c r="B2481" s="163" t="s">
        <v>928</v>
      </c>
      <c r="C2481" s="163" t="s">
        <v>6604</v>
      </c>
      <c r="D2481" s="163" t="s">
        <v>6605</v>
      </c>
      <c r="E2481" s="164" t="n">
        <v>10000</v>
      </c>
      <c r="F2481" s="165" t="s">
        <v>3060</v>
      </c>
    </row>
    <row r="2482" customFormat="false" ht="15" hidden="false" customHeight="true" outlineLevel="0" collapsed="false">
      <c r="A2482" s="163" t="s">
        <v>3023</v>
      </c>
      <c r="B2482" s="163" t="s">
        <v>928</v>
      </c>
      <c r="C2482" s="163" t="s">
        <v>4964</v>
      </c>
      <c r="D2482" s="163" t="s">
        <v>4965</v>
      </c>
      <c r="E2482" s="164" t="n">
        <v>10000</v>
      </c>
      <c r="F2482" s="165" t="s">
        <v>5216</v>
      </c>
    </row>
    <row r="2483" customFormat="false" ht="15" hidden="false" customHeight="true" outlineLevel="0" collapsed="false">
      <c r="A2483" s="163" t="s">
        <v>3023</v>
      </c>
      <c r="B2483" s="163" t="s">
        <v>928</v>
      </c>
      <c r="C2483" s="163" t="s">
        <v>240</v>
      </c>
      <c r="D2483" s="163" t="s">
        <v>2418</v>
      </c>
      <c r="E2483" s="164" t="n">
        <v>7500</v>
      </c>
      <c r="F2483" s="165" t="s">
        <v>6661</v>
      </c>
    </row>
    <row r="2484" customFormat="false" ht="15" hidden="false" customHeight="true" outlineLevel="0" collapsed="false">
      <c r="A2484" s="163" t="s">
        <v>3023</v>
      </c>
      <c r="B2484" s="163" t="s">
        <v>928</v>
      </c>
      <c r="C2484" s="163" t="s">
        <v>6662</v>
      </c>
      <c r="D2484" s="163" t="s">
        <v>6663</v>
      </c>
      <c r="E2484" s="164" t="n">
        <v>5000</v>
      </c>
      <c r="F2484" s="165" t="s">
        <v>3060</v>
      </c>
    </row>
    <row r="2485" customFormat="false" ht="15" hidden="false" customHeight="true" outlineLevel="0" collapsed="false">
      <c r="A2485" s="163" t="s">
        <v>3023</v>
      </c>
      <c r="B2485" s="163" t="s">
        <v>928</v>
      </c>
      <c r="C2485" s="163" t="s">
        <v>6664</v>
      </c>
      <c r="D2485" s="163" t="s">
        <v>6665</v>
      </c>
      <c r="E2485" s="164" t="n">
        <v>5000</v>
      </c>
      <c r="F2485" s="165" t="s">
        <v>3060</v>
      </c>
    </row>
    <row r="2486" customFormat="false" ht="15" hidden="false" customHeight="true" outlineLevel="0" collapsed="false">
      <c r="A2486" s="163" t="s">
        <v>3023</v>
      </c>
      <c r="B2486" s="163" t="s">
        <v>928</v>
      </c>
      <c r="C2486" s="163" t="s">
        <v>2780</v>
      </c>
      <c r="D2486" s="163" t="s">
        <v>2429</v>
      </c>
      <c r="E2486" s="164" t="n">
        <v>5000</v>
      </c>
      <c r="F2486" s="165" t="s">
        <v>6666</v>
      </c>
    </row>
    <row r="2487" customFormat="false" ht="15" hidden="false" customHeight="true" outlineLevel="0" collapsed="false">
      <c r="A2487" s="163" t="s">
        <v>3023</v>
      </c>
      <c r="B2487" s="163" t="s">
        <v>928</v>
      </c>
      <c r="C2487" s="163" t="s">
        <v>5157</v>
      </c>
      <c r="D2487" s="163" t="s">
        <v>5158</v>
      </c>
      <c r="E2487" s="164" t="n">
        <v>5000</v>
      </c>
      <c r="F2487" s="165" t="s">
        <v>6667</v>
      </c>
    </row>
    <row r="2488" customFormat="false" ht="15" hidden="false" customHeight="true" outlineLevel="0" collapsed="false">
      <c r="A2488" s="163" t="s">
        <v>3023</v>
      </c>
      <c r="B2488" s="163" t="s">
        <v>928</v>
      </c>
      <c r="C2488" s="163" t="s">
        <v>3622</v>
      </c>
      <c r="D2488" s="163" t="s">
        <v>3623</v>
      </c>
      <c r="E2488" s="164" t="n">
        <v>5000</v>
      </c>
      <c r="F2488" s="165" t="s">
        <v>6668</v>
      </c>
    </row>
    <row r="2489" customFormat="false" ht="15" hidden="false" customHeight="true" outlineLevel="0" collapsed="false">
      <c r="A2489" s="163" t="s">
        <v>3023</v>
      </c>
      <c r="B2489" s="163" t="s">
        <v>928</v>
      </c>
      <c r="C2489" s="163" t="s">
        <v>5333</v>
      </c>
      <c r="D2489" s="163" t="s">
        <v>5334</v>
      </c>
      <c r="E2489" s="164" t="n">
        <v>5000</v>
      </c>
      <c r="F2489" s="165" t="s">
        <v>6560</v>
      </c>
    </row>
    <row r="2490" customFormat="false" ht="15" hidden="false" customHeight="true" outlineLevel="0" collapsed="false">
      <c r="A2490" s="163" t="s">
        <v>3016</v>
      </c>
      <c r="B2490" s="163" t="s">
        <v>926</v>
      </c>
      <c r="C2490" s="163" t="s">
        <v>3145</v>
      </c>
      <c r="D2490" s="163" t="s">
        <v>3146</v>
      </c>
      <c r="E2490" s="164" t="n">
        <v>20000</v>
      </c>
      <c r="F2490" s="165" t="s">
        <v>6669</v>
      </c>
    </row>
    <row r="2491" customFormat="false" ht="15" hidden="false" customHeight="true" outlineLevel="0" collapsed="false">
      <c r="A2491" s="163" t="s">
        <v>3016</v>
      </c>
      <c r="B2491" s="163" t="s">
        <v>926</v>
      </c>
      <c r="C2491" s="163" t="s">
        <v>3061</v>
      </c>
      <c r="D2491" s="163" t="s">
        <v>3062</v>
      </c>
      <c r="E2491" s="164" t="n">
        <v>15000</v>
      </c>
      <c r="F2491" s="165" t="s">
        <v>6670</v>
      </c>
    </row>
    <row r="2492" customFormat="false" ht="15" hidden="false" customHeight="true" outlineLevel="0" collapsed="false">
      <c r="A2492" s="163" t="s">
        <v>3016</v>
      </c>
      <c r="B2492" s="163" t="s">
        <v>926</v>
      </c>
      <c r="C2492" s="163" t="s">
        <v>6671</v>
      </c>
      <c r="D2492" s="163" t="s">
        <v>6672</v>
      </c>
      <c r="E2492" s="164" t="n">
        <v>15000</v>
      </c>
      <c r="F2492" s="165" t="s">
        <v>6673</v>
      </c>
    </row>
    <row r="2493" customFormat="false" ht="15" hidden="false" customHeight="true" outlineLevel="0" collapsed="false">
      <c r="A2493" s="163" t="s">
        <v>3016</v>
      </c>
      <c r="B2493" s="163" t="s">
        <v>926</v>
      </c>
      <c r="C2493" s="163" t="s">
        <v>3709</v>
      </c>
      <c r="D2493" s="163" t="s">
        <v>3710</v>
      </c>
      <c r="E2493" s="164" t="n">
        <v>10000</v>
      </c>
      <c r="F2493" s="165" t="s">
        <v>6674</v>
      </c>
    </row>
    <row r="2494" customFormat="false" ht="15" hidden="false" customHeight="true" outlineLevel="0" collapsed="false">
      <c r="A2494" s="163" t="s">
        <v>3016</v>
      </c>
      <c r="B2494" s="163" t="s">
        <v>926</v>
      </c>
      <c r="C2494" s="163" t="s">
        <v>6675</v>
      </c>
      <c r="D2494" s="163" t="s">
        <v>6676</v>
      </c>
      <c r="E2494" s="164" t="n">
        <v>10000</v>
      </c>
      <c r="F2494" s="165" t="s">
        <v>6677</v>
      </c>
    </row>
    <row r="2495" customFormat="false" ht="15" hidden="false" customHeight="true" outlineLevel="0" collapsed="false">
      <c r="A2495" s="163" t="s">
        <v>3016</v>
      </c>
      <c r="B2495" s="163" t="s">
        <v>926</v>
      </c>
      <c r="C2495" s="163" t="s">
        <v>395</v>
      </c>
      <c r="D2495" s="163" t="s">
        <v>2196</v>
      </c>
      <c r="E2495" s="164" t="n">
        <v>10000</v>
      </c>
      <c r="F2495" s="165" t="s">
        <v>4316</v>
      </c>
    </row>
    <row r="2496" customFormat="false" ht="15" hidden="false" customHeight="true" outlineLevel="0" collapsed="false">
      <c r="A2496" s="163" t="s">
        <v>3016</v>
      </c>
      <c r="B2496" s="163" t="s">
        <v>926</v>
      </c>
      <c r="C2496" s="163" t="s">
        <v>6678</v>
      </c>
      <c r="D2496" s="163" t="s">
        <v>6679</v>
      </c>
      <c r="E2496" s="164" t="n">
        <v>10000</v>
      </c>
      <c r="F2496" s="165" t="s">
        <v>6669</v>
      </c>
    </row>
    <row r="2497" customFormat="false" ht="15" hidden="false" customHeight="true" outlineLevel="0" collapsed="false">
      <c r="A2497" s="163" t="s">
        <v>3016</v>
      </c>
      <c r="B2497" s="163" t="s">
        <v>926</v>
      </c>
      <c r="C2497" s="163" t="s">
        <v>6680</v>
      </c>
      <c r="D2497" s="163" t="s">
        <v>6681</v>
      </c>
      <c r="E2497" s="164" t="n">
        <v>10000</v>
      </c>
      <c r="F2497" s="165" t="s">
        <v>6682</v>
      </c>
    </row>
    <row r="2498" customFormat="false" ht="15" hidden="false" customHeight="true" outlineLevel="0" collapsed="false">
      <c r="A2498" s="163" t="s">
        <v>3016</v>
      </c>
      <c r="B2498" s="163" t="s">
        <v>957</v>
      </c>
      <c r="C2498" s="163" t="s">
        <v>6683</v>
      </c>
      <c r="D2498" s="163" t="s">
        <v>6684</v>
      </c>
      <c r="E2498" s="164" t="n">
        <v>34000</v>
      </c>
      <c r="F2498" s="165" t="s">
        <v>6685</v>
      </c>
    </row>
    <row r="2499" customFormat="false" ht="15" hidden="false" customHeight="true" outlineLevel="0" collapsed="false">
      <c r="A2499" s="163" t="s">
        <v>3016</v>
      </c>
      <c r="B2499" s="163" t="s">
        <v>957</v>
      </c>
      <c r="C2499" s="163" t="s">
        <v>3210</v>
      </c>
      <c r="D2499" s="163" t="s">
        <v>3211</v>
      </c>
      <c r="E2499" s="164" t="n">
        <v>10000</v>
      </c>
      <c r="F2499" s="165" t="s">
        <v>6686</v>
      </c>
    </row>
    <row r="2500" customFormat="false" ht="15" hidden="false" customHeight="true" outlineLevel="0" collapsed="false">
      <c r="A2500" s="163" t="s">
        <v>3016</v>
      </c>
      <c r="B2500" s="163" t="s">
        <v>957</v>
      </c>
      <c r="C2500" s="163" t="s">
        <v>4787</v>
      </c>
      <c r="D2500" s="163" t="s">
        <v>4788</v>
      </c>
      <c r="E2500" s="164" t="n">
        <v>10000</v>
      </c>
      <c r="F2500" s="165" t="s">
        <v>6687</v>
      </c>
    </row>
    <row r="2501" customFormat="false" ht="15" hidden="false" customHeight="true" outlineLevel="0" collapsed="false">
      <c r="A2501" s="163" t="s">
        <v>3016</v>
      </c>
      <c r="B2501" s="163" t="s">
        <v>957</v>
      </c>
      <c r="C2501" s="163" t="s">
        <v>4420</v>
      </c>
      <c r="D2501" s="163" t="s">
        <v>4421</v>
      </c>
      <c r="E2501" s="164" t="n">
        <v>10000</v>
      </c>
      <c r="F2501" s="165" t="s">
        <v>6688</v>
      </c>
    </row>
    <row r="2502" customFormat="false" ht="15" hidden="false" customHeight="true" outlineLevel="0" collapsed="false">
      <c r="A2502" s="163" t="s">
        <v>3016</v>
      </c>
      <c r="B2502" s="163" t="s">
        <v>957</v>
      </c>
      <c r="C2502" s="163" t="s">
        <v>6689</v>
      </c>
      <c r="D2502" s="163" t="s">
        <v>6690</v>
      </c>
      <c r="E2502" s="164" t="n">
        <v>10000</v>
      </c>
      <c r="F2502" s="165" t="s">
        <v>6691</v>
      </c>
    </row>
    <row r="2503" customFormat="false" ht="15" hidden="false" customHeight="true" outlineLevel="0" collapsed="false">
      <c r="A2503" s="163" t="s">
        <v>3016</v>
      </c>
      <c r="B2503" s="163" t="s">
        <v>957</v>
      </c>
      <c r="C2503" s="163" t="s">
        <v>6692</v>
      </c>
      <c r="D2503" s="163" t="s">
        <v>6693</v>
      </c>
      <c r="E2503" s="164" t="n">
        <v>9000</v>
      </c>
      <c r="F2503" s="165" t="s">
        <v>6694</v>
      </c>
    </row>
    <row r="2504" customFormat="false" ht="15" hidden="false" customHeight="true" outlineLevel="0" collapsed="false">
      <c r="A2504" s="163" t="s">
        <v>3016</v>
      </c>
      <c r="B2504" s="163" t="s">
        <v>957</v>
      </c>
      <c r="C2504" s="163" t="s">
        <v>6680</v>
      </c>
      <c r="D2504" s="163" t="s">
        <v>6681</v>
      </c>
      <c r="E2504" s="164" t="n">
        <v>7000</v>
      </c>
      <c r="F2504" s="165" t="s">
        <v>6695</v>
      </c>
    </row>
    <row r="2505" customFormat="false" ht="15" hidden="false" customHeight="true" outlineLevel="0" collapsed="false">
      <c r="A2505" s="163" t="s">
        <v>3016</v>
      </c>
      <c r="B2505" s="163" t="s">
        <v>957</v>
      </c>
      <c r="C2505" s="163" t="s">
        <v>3210</v>
      </c>
      <c r="D2505" s="163" t="s">
        <v>3211</v>
      </c>
      <c r="E2505" s="164" t="n">
        <v>5000</v>
      </c>
      <c r="F2505" s="165" t="s">
        <v>6696</v>
      </c>
    </row>
    <row r="2506" customFormat="false" ht="15" hidden="false" customHeight="true" outlineLevel="0" collapsed="false">
      <c r="A2506" s="163" t="s">
        <v>3016</v>
      </c>
      <c r="B2506" s="163" t="s">
        <v>957</v>
      </c>
      <c r="C2506" s="163" t="s">
        <v>6689</v>
      </c>
      <c r="D2506" s="163" t="s">
        <v>6690</v>
      </c>
      <c r="E2506" s="164" t="n">
        <v>5000</v>
      </c>
      <c r="F2506" s="165" t="s">
        <v>6697</v>
      </c>
    </row>
    <row r="2507" customFormat="false" ht="15" hidden="false" customHeight="true" outlineLevel="0" collapsed="false">
      <c r="A2507" s="163" t="s">
        <v>3016</v>
      </c>
      <c r="B2507" s="163" t="s">
        <v>957</v>
      </c>
      <c r="C2507" s="163" t="s">
        <v>6692</v>
      </c>
      <c r="D2507" s="163" t="s">
        <v>6693</v>
      </c>
      <c r="E2507" s="164" t="n">
        <v>5000</v>
      </c>
      <c r="F2507" s="165" t="s">
        <v>6698</v>
      </c>
    </row>
    <row r="2508" customFormat="false" ht="15" hidden="false" customHeight="true" outlineLevel="0" collapsed="false">
      <c r="A2508" s="163" t="s">
        <v>3016</v>
      </c>
      <c r="B2508" s="163" t="s">
        <v>957</v>
      </c>
      <c r="C2508" s="163" t="s">
        <v>6680</v>
      </c>
      <c r="D2508" s="163" t="s">
        <v>6681</v>
      </c>
      <c r="E2508" s="164" t="n">
        <v>5000</v>
      </c>
      <c r="F2508" s="165" t="s">
        <v>6685</v>
      </c>
    </row>
    <row r="2509" customFormat="false" ht="15" hidden="false" customHeight="true" outlineLevel="0" collapsed="false">
      <c r="A2509" s="163" t="s">
        <v>3016</v>
      </c>
      <c r="B2509" s="163" t="s">
        <v>945</v>
      </c>
      <c r="C2509" s="163" t="s">
        <v>4784</v>
      </c>
      <c r="D2509" s="163" t="s">
        <v>4785</v>
      </c>
      <c r="E2509" s="164" t="n">
        <v>65000</v>
      </c>
      <c r="F2509" s="165" t="s">
        <v>6699</v>
      </c>
    </row>
    <row r="2510" customFormat="false" ht="15" hidden="false" customHeight="true" outlineLevel="0" collapsed="false">
      <c r="A2510" s="163" t="s">
        <v>3016</v>
      </c>
      <c r="B2510" s="163" t="s">
        <v>945</v>
      </c>
      <c r="C2510" s="163" t="s">
        <v>4757</v>
      </c>
      <c r="D2510" s="163" t="s">
        <v>4758</v>
      </c>
      <c r="E2510" s="164" t="n">
        <v>10000</v>
      </c>
      <c r="F2510" s="165" t="s">
        <v>6700</v>
      </c>
    </row>
    <row r="2511" customFormat="false" ht="15" hidden="false" customHeight="true" outlineLevel="0" collapsed="false">
      <c r="A2511" s="163" t="s">
        <v>3016</v>
      </c>
      <c r="B2511" s="163" t="s">
        <v>3111</v>
      </c>
      <c r="C2511" s="163" t="s">
        <v>6680</v>
      </c>
      <c r="D2511" s="163" t="s">
        <v>6681</v>
      </c>
      <c r="E2511" s="164" t="n">
        <v>50000</v>
      </c>
      <c r="F2511" s="165" t="s">
        <v>6701</v>
      </c>
    </row>
    <row r="2512" customFormat="false" ht="15" hidden="false" customHeight="true" outlineLevel="0" collapsed="false">
      <c r="A2512" s="163" t="s">
        <v>3016</v>
      </c>
      <c r="B2512" s="163" t="s">
        <v>3111</v>
      </c>
      <c r="C2512" s="163" t="s">
        <v>4874</v>
      </c>
      <c r="D2512" s="163" t="s">
        <v>4875</v>
      </c>
      <c r="E2512" s="164" t="n">
        <v>20000</v>
      </c>
      <c r="F2512" s="165" t="s">
        <v>6702</v>
      </c>
    </row>
    <row r="2513" customFormat="false" ht="15" hidden="false" customHeight="true" outlineLevel="0" collapsed="false">
      <c r="A2513" s="163" t="s">
        <v>3016</v>
      </c>
      <c r="B2513" s="163" t="s">
        <v>3111</v>
      </c>
      <c r="C2513" s="163" t="s">
        <v>2695</v>
      </c>
      <c r="D2513" s="163" t="s">
        <v>2696</v>
      </c>
      <c r="E2513" s="164" t="n">
        <v>10000</v>
      </c>
      <c r="F2513" s="165" t="s">
        <v>6703</v>
      </c>
    </row>
    <row r="2514" customFormat="false" ht="15" hidden="false" customHeight="true" outlineLevel="0" collapsed="false">
      <c r="A2514" s="163" t="s">
        <v>3016</v>
      </c>
      <c r="B2514" s="163" t="s">
        <v>3111</v>
      </c>
      <c r="C2514" s="163" t="s">
        <v>6683</v>
      </c>
      <c r="D2514" s="163" t="s">
        <v>6684</v>
      </c>
      <c r="E2514" s="164" t="n">
        <v>10000</v>
      </c>
      <c r="F2514" s="165" t="s">
        <v>6704</v>
      </c>
    </row>
    <row r="2515" customFormat="false" ht="15" hidden="false" customHeight="true" outlineLevel="0" collapsed="false">
      <c r="A2515" s="163" t="s">
        <v>3016</v>
      </c>
      <c r="B2515" s="163" t="s">
        <v>3111</v>
      </c>
      <c r="C2515" s="163" t="s">
        <v>6705</v>
      </c>
      <c r="D2515" s="163" t="s">
        <v>6706</v>
      </c>
      <c r="E2515" s="164" t="n">
        <v>10000</v>
      </c>
      <c r="F2515" s="165" t="s">
        <v>6707</v>
      </c>
    </row>
    <row r="2516" customFormat="false" ht="15" hidden="false" customHeight="true" outlineLevel="0" collapsed="false">
      <c r="A2516" s="163" t="s">
        <v>3016</v>
      </c>
      <c r="B2516" s="163" t="s">
        <v>1938</v>
      </c>
      <c r="C2516" s="163" t="s">
        <v>5183</v>
      </c>
      <c r="D2516" s="163" t="s">
        <v>5184</v>
      </c>
      <c r="E2516" s="164" t="n">
        <v>20000</v>
      </c>
      <c r="F2516" s="165" t="s">
        <v>6708</v>
      </c>
    </row>
    <row r="2517" customFormat="false" ht="15" hidden="false" customHeight="true" outlineLevel="0" collapsed="false">
      <c r="A2517" s="163" t="s">
        <v>3016</v>
      </c>
      <c r="B2517" s="163" t="s">
        <v>1938</v>
      </c>
      <c r="C2517" s="163" t="s">
        <v>5968</v>
      </c>
      <c r="D2517" s="163" t="s">
        <v>5969</v>
      </c>
      <c r="E2517" s="164" t="n">
        <v>20000</v>
      </c>
      <c r="F2517" s="165" t="s">
        <v>6709</v>
      </c>
    </row>
    <row r="2518" customFormat="false" ht="15" hidden="false" customHeight="true" outlineLevel="0" collapsed="false">
      <c r="A2518" s="163" t="s">
        <v>3016</v>
      </c>
      <c r="B2518" s="163" t="s">
        <v>1938</v>
      </c>
      <c r="C2518" s="163" t="s">
        <v>3135</v>
      </c>
      <c r="D2518" s="163" t="s">
        <v>3136</v>
      </c>
      <c r="E2518" s="164" t="n">
        <v>20000</v>
      </c>
      <c r="F2518" s="165" t="s">
        <v>6710</v>
      </c>
    </row>
    <row r="2519" customFormat="false" ht="15" hidden="false" customHeight="true" outlineLevel="0" collapsed="false">
      <c r="A2519" s="163" t="s">
        <v>3016</v>
      </c>
      <c r="B2519" s="163" t="s">
        <v>1938</v>
      </c>
      <c r="C2519" s="163" t="s">
        <v>3552</v>
      </c>
      <c r="D2519" s="163" t="s">
        <v>3553</v>
      </c>
      <c r="E2519" s="164" t="n">
        <v>20000</v>
      </c>
      <c r="F2519" s="165" t="s">
        <v>6711</v>
      </c>
    </row>
    <row r="2520" customFormat="false" ht="15" hidden="false" customHeight="true" outlineLevel="0" collapsed="false">
      <c r="A2520" s="163" t="s">
        <v>3016</v>
      </c>
      <c r="B2520" s="163" t="s">
        <v>1938</v>
      </c>
      <c r="C2520" s="163" t="s">
        <v>3137</v>
      </c>
      <c r="D2520" s="163" t="s">
        <v>3138</v>
      </c>
      <c r="E2520" s="164" t="n">
        <v>20000</v>
      </c>
      <c r="F2520" s="165" t="s">
        <v>6712</v>
      </c>
    </row>
    <row r="2521" customFormat="false" ht="15" hidden="false" customHeight="true" outlineLevel="0" collapsed="false">
      <c r="A2521" s="163" t="s">
        <v>3016</v>
      </c>
      <c r="B2521" s="163" t="s">
        <v>1938</v>
      </c>
      <c r="C2521" s="163" t="s">
        <v>3137</v>
      </c>
      <c r="D2521" s="163" t="s">
        <v>3138</v>
      </c>
      <c r="E2521" s="164" t="n">
        <v>20000</v>
      </c>
      <c r="F2521" s="165" t="s">
        <v>6713</v>
      </c>
    </row>
    <row r="2522" customFormat="false" ht="15" hidden="false" customHeight="true" outlineLevel="0" collapsed="false">
      <c r="A2522" s="163" t="s">
        <v>3016</v>
      </c>
      <c r="B2522" s="163" t="s">
        <v>1938</v>
      </c>
      <c r="C2522" s="163" t="s">
        <v>3392</v>
      </c>
      <c r="D2522" s="163" t="s">
        <v>3393</v>
      </c>
      <c r="E2522" s="164" t="n">
        <v>20000</v>
      </c>
      <c r="F2522" s="165" t="s">
        <v>6714</v>
      </c>
    </row>
    <row r="2523" customFormat="false" ht="15" hidden="false" customHeight="true" outlineLevel="0" collapsed="false">
      <c r="A2523" s="163" t="s">
        <v>3016</v>
      </c>
      <c r="B2523" s="163" t="s">
        <v>1938</v>
      </c>
      <c r="C2523" s="163" t="s">
        <v>3805</v>
      </c>
      <c r="D2523" s="163" t="s">
        <v>3806</v>
      </c>
      <c r="E2523" s="164" t="n">
        <v>20000</v>
      </c>
      <c r="F2523" s="165" t="s">
        <v>6715</v>
      </c>
    </row>
    <row r="2524" customFormat="false" ht="15" hidden="false" customHeight="true" outlineLevel="0" collapsed="false">
      <c r="A2524" s="163" t="s">
        <v>3016</v>
      </c>
      <c r="B2524" s="163" t="s">
        <v>1938</v>
      </c>
      <c r="C2524" s="163" t="s">
        <v>3139</v>
      </c>
      <c r="D2524" s="163" t="s">
        <v>3140</v>
      </c>
      <c r="E2524" s="164" t="n">
        <v>20000</v>
      </c>
      <c r="F2524" s="165" t="s">
        <v>6716</v>
      </c>
    </row>
    <row r="2525" customFormat="false" ht="15" hidden="false" customHeight="true" outlineLevel="0" collapsed="false">
      <c r="A2525" s="163" t="s">
        <v>3016</v>
      </c>
      <c r="B2525" s="163" t="s">
        <v>1938</v>
      </c>
      <c r="C2525" s="163" t="s">
        <v>3139</v>
      </c>
      <c r="D2525" s="163" t="s">
        <v>3140</v>
      </c>
      <c r="E2525" s="164" t="n">
        <v>20000</v>
      </c>
      <c r="F2525" s="165" t="s">
        <v>6717</v>
      </c>
    </row>
    <row r="2526" customFormat="false" ht="15" hidden="false" customHeight="true" outlineLevel="0" collapsed="false">
      <c r="A2526" s="163" t="s">
        <v>3016</v>
      </c>
      <c r="B2526" s="163" t="s">
        <v>1938</v>
      </c>
      <c r="C2526" s="163" t="s">
        <v>6718</v>
      </c>
      <c r="D2526" s="163" t="s">
        <v>6719</v>
      </c>
      <c r="E2526" s="164" t="n">
        <v>20000</v>
      </c>
      <c r="F2526" s="165" t="s">
        <v>6720</v>
      </c>
    </row>
    <row r="2527" customFormat="false" ht="15" hidden="false" customHeight="true" outlineLevel="0" collapsed="false">
      <c r="A2527" s="163" t="s">
        <v>3016</v>
      </c>
      <c r="B2527" s="163" t="s">
        <v>1938</v>
      </c>
      <c r="C2527" s="163" t="s">
        <v>260</v>
      </c>
      <c r="D2527" s="163" t="s">
        <v>2097</v>
      </c>
      <c r="E2527" s="164" t="n">
        <v>20000</v>
      </c>
      <c r="F2527" s="165" t="s">
        <v>6721</v>
      </c>
    </row>
    <row r="2528" customFormat="false" ht="15" hidden="false" customHeight="true" outlineLevel="0" collapsed="false">
      <c r="A2528" s="163" t="s">
        <v>3016</v>
      </c>
      <c r="B2528" s="163" t="s">
        <v>1938</v>
      </c>
      <c r="C2528" s="163" t="s">
        <v>260</v>
      </c>
      <c r="D2528" s="163" t="s">
        <v>2097</v>
      </c>
      <c r="E2528" s="164" t="n">
        <v>20000</v>
      </c>
      <c r="F2528" s="165" t="s">
        <v>6722</v>
      </c>
    </row>
    <row r="2529" customFormat="false" ht="15" hidden="false" customHeight="true" outlineLevel="0" collapsed="false">
      <c r="A2529" s="163" t="s">
        <v>3016</v>
      </c>
      <c r="B2529" s="163" t="s">
        <v>1938</v>
      </c>
      <c r="C2529" s="163" t="s">
        <v>4808</v>
      </c>
      <c r="D2529" s="163" t="s">
        <v>4809</v>
      </c>
      <c r="E2529" s="164" t="n">
        <v>20000</v>
      </c>
      <c r="F2529" s="165" t="s">
        <v>6723</v>
      </c>
    </row>
    <row r="2530" customFormat="false" ht="15" hidden="false" customHeight="true" outlineLevel="0" collapsed="false">
      <c r="A2530" s="163" t="s">
        <v>3016</v>
      </c>
      <c r="B2530" s="163" t="s">
        <v>1938</v>
      </c>
      <c r="C2530" s="163" t="s">
        <v>4808</v>
      </c>
      <c r="D2530" s="163" t="s">
        <v>4809</v>
      </c>
      <c r="E2530" s="164" t="n">
        <v>20000</v>
      </c>
      <c r="F2530" s="165" t="s">
        <v>6724</v>
      </c>
    </row>
    <row r="2531" customFormat="false" ht="15" hidden="false" customHeight="true" outlineLevel="0" collapsed="false">
      <c r="A2531" s="163" t="s">
        <v>3016</v>
      </c>
      <c r="B2531" s="163" t="s">
        <v>1938</v>
      </c>
      <c r="C2531" s="163" t="s">
        <v>4808</v>
      </c>
      <c r="D2531" s="163" t="s">
        <v>4809</v>
      </c>
      <c r="E2531" s="164" t="n">
        <v>20000</v>
      </c>
      <c r="F2531" s="165" t="s">
        <v>6725</v>
      </c>
    </row>
    <row r="2532" customFormat="false" ht="15" hidden="false" customHeight="true" outlineLevel="0" collapsed="false">
      <c r="A2532" s="163" t="s">
        <v>3016</v>
      </c>
      <c r="B2532" s="163" t="s">
        <v>1938</v>
      </c>
      <c r="C2532" s="163" t="s">
        <v>4808</v>
      </c>
      <c r="D2532" s="163" t="s">
        <v>4809</v>
      </c>
      <c r="E2532" s="164" t="n">
        <v>20000</v>
      </c>
      <c r="F2532" s="165" t="s">
        <v>6726</v>
      </c>
    </row>
    <row r="2533" customFormat="false" ht="15" hidden="false" customHeight="true" outlineLevel="0" collapsed="false">
      <c r="A2533" s="163" t="s">
        <v>3016</v>
      </c>
      <c r="B2533" s="163" t="s">
        <v>691</v>
      </c>
      <c r="C2533" s="163" t="s">
        <v>4808</v>
      </c>
      <c r="D2533" s="163" t="s">
        <v>4809</v>
      </c>
      <c r="E2533" s="164" t="n">
        <v>25000</v>
      </c>
      <c r="F2533" s="165" t="s">
        <v>6727</v>
      </c>
    </row>
    <row r="2534" customFormat="false" ht="15" hidden="false" customHeight="true" outlineLevel="0" collapsed="false">
      <c r="A2534" s="163" t="s">
        <v>3016</v>
      </c>
      <c r="B2534" s="163" t="s">
        <v>691</v>
      </c>
      <c r="C2534" s="163" t="s">
        <v>6728</v>
      </c>
      <c r="D2534" s="163" t="s">
        <v>6729</v>
      </c>
      <c r="E2534" s="164" t="n">
        <v>20000</v>
      </c>
      <c r="F2534" s="165" t="s">
        <v>6730</v>
      </c>
    </row>
    <row r="2535" customFormat="false" ht="15" hidden="false" customHeight="true" outlineLevel="0" collapsed="false">
      <c r="A2535" s="163" t="s">
        <v>3016</v>
      </c>
      <c r="B2535" s="163" t="s">
        <v>691</v>
      </c>
      <c r="C2535" s="163" t="s">
        <v>6683</v>
      </c>
      <c r="D2535" s="163" t="s">
        <v>6684</v>
      </c>
      <c r="E2535" s="164" t="n">
        <v>20000</v>
      </c>
      <c r="F2535" s="165" t="s">
        <v>6731</v>
      </c>
    </row>
    <row r="2536" customFormat="false" ht="15" hidden="false" customHeight="true" outlineLevel="0" collapsed="false">
      <c r="A2536" s="163" t="s">
        <v>3016</v>
      </c>
      <c r="B2536" s="163" t="s">
        <v>691</v>
      </c>
      <c r="C2536" s="163" t="s">
        <v>6732</v>
      </c>
      <c r="D2536" s="163" t="s">
        <v>6733</v>
      </c>
      <c r="E2536" s="164" t="n">
        <v>20000</v>
      </c>
      <c r="F2536" s="165" t="s">
        <v>6734</v>
      </c>
    </row>
    <row r="2537" customFormat="false" ht="15" hidden="false" customHeight="true" outlineLevel="0" collapsed="false">
      <c r="A2537" s="163" t="s">
        <v>3016</v>
      </c>
      <c r="B2537" s="163" t="s">
        <v>691</v>
      </c>
      <c r="C2537" s="163" t="s">
        <v>2949</v>
      </c>
      <c r="D2537" s="163" t="s">
        <v>2950</v>
      </c>
      <c r="E2537" s="164" t="n">
        <v>20000</v>
      </c>
      <c r="F2537" s="165" t="s">
        <v>6735</v>
      </c>
    </row>
    <row r="2538" customFormat="false" ht="15" hidden="false" customHeight="true" outlineLevel="0" collapsed="false">
      <c r="A2538" s="163" t="s">
        <v>3016</v>
      </c>
      <c r="B2538" s="163" t="s">
        <v>691</v>
      </c>
      <c r="C2538" s="163" t="s">
        <v>5171</v>
      </c>
      <c r="D2538" s="163" t="s">
        <v>5172</v>
      </c>
      <c r="E2538" s="164" t="n">
        <v>10000</v>
      </c>
      <c r="F2538" s="165" t="s">
        <v>6736</v>
      </c>
    </row>
    <row r="2539" customFormat="false" ht="15" hidden="false" customHeight="true" outlineLevel="0" collapsed="false">
      <c r="A2539" s="163" t="s">
        <v>3016</v>
      </c>
      <c r="B2539" s="163" t="s">
        <v>691</v>
      </c>
      <c r="C2539" s="163" t="s">
        <v>4874</v>
      </c>
      <c r="D2539" s="163" t="s">
        <v>4875</v>
      </c>
      <c r="E2539" s="164" t="n">
        <v>10000</v>
      </c>
      <c r="F2539" s="165" t="s">
        <v>6730</v>
      </c>
    </row>
    <row r="2540" customFormat="false" ht="15" hidden="false" customHeight="true" outlineLevel="0" collapsed="false">
      <c r="A2540" s="163" t="s">
        <v>3016</v>
      </c>
      <c r="B2540" s="163" t="s">
        <v>691</v>
      </c>
      <c r="C2540" s="163" t="s">
        <v>3137</v>
      </c>
      <c r="D2540" s="163" t="s">
        <v>3138</v>
      </c>
      <c r="E2540" s="164" t="n">
        <v>10000</v>
      </c>
      <c r="F2540" s="165" t="s">
        <v>6737</v>
      </c>
    </row>
    <row r="2541" customFormat="false" ht="15" hidden="false" customHeight="true" outlineLevel="0" collapsed="false">
      <c r="A2541" s="163" t="s">
        <v>3016</v>
      </c>
      <c r="B2541" s="163" t="s">
        <v>691</v>
      </c>
      <c r="C2541" s="163" t="s">
        <v>6738</v>
      </c>
      <c r="D2541" s="163" t="s">
        <v>6739</v>
      </c>
      <c r="E2541" s="164" t="n">
        <v>10000</v>
      </c>
      <c r="F2541" s="165" t="s">
        <v>6740</v>
      </c>
    </row>
    <row r="2542" customFormat="false" ht="15" hidden="false" customHeight="true" outlineLevel="0" collapsed="false">
      <c r="A2542" s="163" t="s">
        <v>3016</v>
      </c>
      <c r="B2542" s="163" t="s">
        <v>2027</v>
      </c>
      <c r="C2542" s="163" t="s">
        <v>395</v>
      </c>
      <c r="D2542" s="163" t="s">
        <v>2196</v>
      </c>
      <c r="E2542" s="164" t="n">
        <v>25000</v>
      </c>
      <c r="F2542" s="165" t="s">
        <v>6741</v>
      </c>
    </row>
    <row r="2543" customFormat="false" ht="15" hidden="false" customHeight="true" outlineLevel="0" collapsed="false">
      <c r="A2543" s="163" t="s">
        <v>3016</v>
      </c>
      <c r="B2543" s="163" t="s">
        <v>2027</v>
      </c>
      <c r="C2543" s="163" t="s">
        <v>3700</v>
      </c>
      <c r="D2543" s="163" t="s">
        <v>3701</v>
      </c>
      <c r="E2543" s="164" t="n">
        <v>25000</v>
      </c>
      <c r="F2543" s="165" t="s">
        <v>6716</v>
      </c>
    </row>
    <row r="2544" customFormat="false" ht="15" hidden="false" customHeight="true" outlineLevel="0" collapsed="false">
      <c r="A2544" s="163" t="s">
        <v>3016</v>
      </c>
      <c r="B2544" s="163" t="s">
        <v>2027</v>
      </c>
      <c r="C2544" s="163" t="s">
        <v>4420</v>
      </c>
      <c r="D2544" s="163" t="s">
        <v>4421</v>
      </c>
      <c r="E2544" s="164" t="n">
        <v>20000</v>
      </c>
      <c r="F2544" s="165" t="s">
        <v>5565</v>
      </c>
    </row>
    <row r="2545" customFormat="false" ht="15" hidden="false" customHeight="true" outlineLevel="0" collapsed="false">
      <c r="A2545" s="163" t="s">
        <v>3016</v>
      </c>
      <c r="B2545" s="163" t="s">
        <v>2027</v>
      </c>
      <c r="C2545" s="163" t="s">
        <v>4202</v>
      </c>
      <c r="D2545" s="163" t="s">
        <v>4203</v>
      </c>
      <c r="E2545" s="164" t="n">
        <v>20000</v>
      </c>
      <c r="F2545" s="165" t="s">
        <v>6742</v>
      </c>
    </row>
    <row r="2546" customFormat="false" ht="15" hidden="false" customHeight="true" outlineLevel="0" collapsed="false">
      <c r="A2546" s="163" t="s">
        <v>3016</v>
      </c>
      <c r="B2546" s="163" t="s">
        <v>2037</v>
      </c>
      <c r="C2546" s="163" t="s">
        <v>6743</v>
      </c>
      <c r="D2546" s="163" t="s">
        <v>6744</v>
      </c>
      <c r="E2546" s="164" t="n">
        <v>165000</v>
      </c>
      <c r="F2546" s="165" t="s">
        <v>6745</v>
      </c>
    </row>
    <row r="2547" customFormat="false" ht="15" hidden="false" customHeight="true" outlineLevel="0" collapsed="false">
      <c r="A2547" s="163" t="s">
        <v>3016</v>
      </c>
      <c r="B2547" s="163" t="s">
        <v>2037</v>
      </c>
      <c r="C2547" s="163" t="s">
        <v>5142</v>
      </c>
      <c r="D2547" s="163" t="s">
        <v>5143</v>
      </c>
      <c r="E2547" s="164" t="n">
        <v>30000</v>
      </c>
      <c r="F2547" s="165" t="s">
        <v>6746</v>
      </c>
    </row>
    <row r="2548" customFormat="false" ht="15" hidden="false" customHeight="true" outlineLevel="0" collapsed="false">
      <c r="A2548" s="163" t="s">
        <v>3016</v>
      </c>
      <c r="B2548" s="163" t="s">
        <v>894</v>
      </c>
      <c r="C2548" s="163" t="s">
        <v>6680</v>
      </c>
      <c r="D2548" s="163" t="s">
        <v>6681</v>
      </c>
      <c r="E2548" s="164" t="n">
        <v>36000</v>
      </c>
      <c r="F2548" s="165" t="s">
        <v>6747</v>
      </c>
    </row>
    <row r="2549" customFormat="false" ht="15" hidden="false" customHeight="true" outlineLevel="0" collapsed="false">
      <c r="A2549" s="163" t="s">
        <v>3016</v>
      </c>
      <c r="B2549" s="163" t="s">
        <v>894</v>
      </c>
      <c r="C2549" s="163" t="s">
        <v>6748</v>
      </c>
      <c r="D2549" s="163" t="s">
        <v>6749</v>
      </c>
      <c r="E2549" s="164" t="n">
        <v>30000</v>
      </c>
      <c r="F2549" s="165" t="s">
        <v>6750</v>
      </c>
    </row>
    <row r="2550" customFormat="false" ht="15" hidden="false" customHeight="true" outlineLevel="0" collapsed="false">
      <c r="A2550" s="163" t="s">
        <v>3016</v>
      </c>
      <c r="B2550" s="163" t="s">
        <v>894</v>
      </c>
      <c r="C2550" s="163" t="s">
        <v>6751</v>
      </c>
      <c r="D2550" s="163" t="s">
        <v>6752</v>
      </c>
      <c r="E2550" s="164" t="n">
        <v>20000</v>
      </c>
      <c r="F2550" s="165" t="s">
        <v>6753</v>
      </c>
    </row>
    <row r="2551" customFormat="false" ht="15" hidden="false" customHeight="true" outlineLevel="0" collapsed="false">
      <c r="A2551" s="163" t="s">
        <v>3016</v>
      </c>
      <c r="B2551" s="163" t="s">
        <v>894</v>
      </c>
      <c r="C2551" s="163" t="s">
        <v>4874</v>
      </c>
      <c r="D2551" s="163" t="s">
        <v>4875</v>
      </c>
      <c r="E2551" s="164" t="n">
        <v>15000</v>
      </c>
      <c r="F2551" s="165" t="s">
        <v>6754</v>
      </c>
    </row>
    <row r="2552" customFormat="false" ht="15" hidden="false" customHeight="true" outlineLevel="0" collapsed="false">
      <c r="A2552" s="163" t="s">
        <v>3016</v>
      </c>
      <c r="B2552" s="163" t="s">
        <v>894</v>
      </c>
      <c r="C2552" s="163" t="s">
        <v>6755</v>
      </c>
      <c r="D2552" s="163" t="s">
        <v>6756</v>
      </c>
      <c r="E2552" s="164" t="n">
        <v>15000</v>
      </c>
      <c r="F2552" s="165" t="s">
        <v>6757</v>
      </c>
    </row>
    <row r="2553" customFormat="false" ht="15" hidden="false" customHeight="true" outlineLevel="0" collapsed="false">
      <c r="A2553" s="163" t="s">
        <v>3016</v>
      </c>
      <c r="B2553" s="163" t="s">
        <v>894</v>
      </c>
      <c r="C2553" s="163" t="s">
        <v>6683</v>
      </c>
      <c r="D2553" s="163" t="s">
        <v>6684</v>
      </c>
      <c r="E2553" s="164" t="n">
        <v>15000</v>
      </c>
      <c r="F2553" s="165" t="s">
        <v>6758</v>
      </c>
    </row>
    <row r="2554" customFormat="false" ht="15" hidden="false" customHeight="true" outlineLevel="0" collapsed="false">
      <c r="A2554" s="163" t="s">
        <v>3016</v>
      </c>
      <c r="B2554" s="163" t="s">
        <v>894</v>
      </c>
      <c r="C2554" s="163" t="s">
        <v>6759</v>
      </c>
      <c r="D2554" s="163" t="s">
        <v>6760</v>
      </c>
      <c r="E2554" s="164" t="n">
        <v>10000</v>
      </c>
      <c r="F2554" s="165" t="s">
        <v>6761</v>
      </c>
    </row>
    <row r="2555" customFormat="false" ht="15" hidden="false" customHeight="true" outlineLevel="0" collapsed="false">
      <c r="A2555" s="163" t="s">
        <v>3016</v>
      </c>
      <c r="B2555" s="163" t="s">
        <v>894</v>
      </c>
      <c r="C2555" s="163" t="s">
        <v>6762</v>
      </c>
      <c r="D2555" s="163" t="s">
        <v>6763</v>
      </c>
      <c r="E2555" s="164" t="n">
        <v>10000</v>
      </c>
      <c r="F2555" s="165" t="s">
        <v>6764</v>
      </c>
    </row>
    <row r="2556" customFormat="false" ht="15" hidden="false" customHeight="true" outlineLevel="0" collapsed="false">
      <c r="A2556" s="163" t="s">
        <v>3016</v>
      </c>
      <c r="B2556" s="163" t="s">
        <v>894</v>
      </c>
      <c r="C2556" s="163" t="s">
        <v>6692</v>
      </c>
      <c r="D2556" s="163" t="s">
        <v>6693</v>
      </c>
      <c r="E2556" s="164" t="n">
        <v>10000</v>
      </c>
      <c r="F2556" s="165" t="s">
        <v>6765</v>
      </c>
    </row>
    <row r="2557" customFormat="false" ht="15" hidden="false" customHeight="true" outlineLevel="0" collapsed="false">
      <c r="A2557" s="163" t="s">
        <v>3016</v>
      </c>
      <c r="B2557" s="163" t="s">
        <v>894</v>
      </c>
      <c r="C2557" s="163" t="s">
        <v>4787</v>
      </c>
      <c r="D2557" s="163" t="s">
        <v>4788</v>
      </c>
      <c r="E2557" s="164" t="n">
        <v>10000</v>
      </c>
      <c r="F2557" s="165" t="s">
        <v>6757</v>
      </c>
    </row>
    <row r="2558" customFormat="false" ht="15" hidden="false" customHeight="true" outlineLevel="0" collapsed="false">
      <c r="A2558" s="163" t="s">
        <v>3016</v>
      </c>
      <c r="B2558" s="163" t="s">
        <v>894</v>
      </c>
      <c r="C2558" s="163" t="s">
        <v>6728</v>
      </c>
      <c r="D2558" s="163" t="s">
        <v>6729</v>
      </c>
      <c r="E2558" s="164" t="n">
        <v>10000</v>
      </c>
      <c r="F2558" s="165" t="s">
        <v>6766</v>
      </c>
    </row>
    <row r="2559" customFormat="false" ht="15" hidden="false" customHeight="true" outlineLevel="0" collapsed="false">
      <c r="A2559" s="163" t="s">
        <v>3016</v>
      </c>
      <c r="B2559" s="163" t="s">
        <v>894</v>
      </c>
      <c r="C2559" s="163" t="s">
        <v>6678</v>
      </c>
      <c r="D2559" s="163" t="s">
        <v>6679</v>
      </c>
      <c r="E2559" s="164" t="n">
        <v>10000</v>
      </c>
      <c r="F2559" s="165" t="s">
        <v>6767</v>
      </c>
    </row>
    <row r="2560" customFormat="false" ht="15" hidden="false" customHeight="true" outlineLevel="0" collapsed="false">
      <c r="A2560" s="163" t="s">
        <v>3016</v>
      </c>
      <c r="B2560" s="163" t="s">
        <v>894</v>
      </c>
      <c r="C2560" s="163" t="s">
        <v>6768</v>
      </c>
      <c r="D2560" s="163" t="s">
        <v>6769</v>
      </c>
      <c r="E2560" s="164" t="n">
        <v>10000</v>
      </c>
      <c r="F2560" s="165" t="s">
        <v>6770</v>
      </c>
    </row>
    <row r="2561" customFormat="false" ht="15" hidden="false" customHeight="true" outlineLevel="0" collapsed="false">
      <c r="A2561" s="163" t="s">
        <v>3016</v>
      </c>
      <c r="B2561" s="163" t="s">
        <v>894</v>
      </c>
      <c r="C2561" s="163" t="s">
        <v>925</v>
      </c>
      <c r="D2561" s="163" t="s">
        <v>1931</v>
      </c>
      <c r="E2561" s="164" t="n">
        <v>10000</v>
      </c>
      <c r="F2561" s="165" t="s">
        <v>6771</v>
      </c>
    </row>
    <row r="2562" customFormat="false" ht="15" hidden="false" customHeight="true" outlineLevel="0" collapsed="false">
      <c r="A2562" s="163" t="s">
        <v>3016</v>
      </c>
      <c r="B2562" s="163" t="s">
        <v>894</v>
      </c>
      <c r="C2562" s="163" t="s">
        <v>6675</v>
      </c>
      <c r="D2562" s="163" t="s">
        <v>6676</v>
      </c>
      <c r="E2562" s="164" t="n">
        <v>9000</v>
      </c>
      <c r="F2562" s="165" t="s">
        <v>6772</v>
      </c>
    </row>
    <row r="2563" customFormat="false" ht="15" hidden="false" customHeight="true" outlineLevel="0" collapsed="false">
      <c r="A2563" s="163" t="s">
        <v>3016</v>
      </c>
      <c r="B2563" s="163" t="s">
        <v>894</v>
      </c>
      <c r="C2563" s="163" t="s">
        <v>4784</v>
      </c>
      <c r="D2563" s="163" t="s">
        <v>4785</v>
      </c>
      <c r="E2563" s="164" t="n">
        <v>8000</v>
      </c>
      <c r="F2563" s="165" t="s">
        <v>6773</v>
      </c>
    </row>
    <row r="2564" customFormat="false" ht="15" hidden="false" customHeight="true" outlineLevel="0" collapsed="false">
      <c r="A2564" s="163" t="s">
        <v>3016</v>
      </c>
      <c r="B2564" s="163" t="s">
        <v>894</v>
      </c>
      <c r="C2564" s="163" t="s">
        <v>6774</v>
      </c>
      <c r="D2564" s="163" t="s">
        <v>6775</v>
      </c>
      <c r="E2564" s="164" t="n">
        <v>7500</v>
      </c>
      <c r="F2564" s="165" t="s">
        <v>6776</v>
      </c>
    </row>
    <row r="2565" customFormat="false" ht="15" hidden="false" customHeight="true" outlineLevel="0" collapsed="false">
      <c r="A2565" s="163" t="s">
        <v>3016</v>
      </c>
      <c r="B2565" s="163" t="s">
        <v>894</v>
      </c>
      <c r="C2565" s="163" t="s">
        <v>4784</v>
      </c>
      <c r="D2565" s="163" t="s">
        <v>4785</v>
      </c>
      <c r="E2565" s="164" t="n">
        <v>6000</v>
      </c>
      <c r="F2565" s="165" t="s">
        <v>6699</v>
      </c>
    </row>
    <row r="2566" customFormat="false" ht="15" hidden="false" customHeight="true" outlineLevel="0" collapsed="false">
      <c r="A2566" s="163" t="s">
        <v>3016</v>
      </c>
      <c r="B2566" s="163" t="s">
        <v>894</v>
      </c>
      <c r="C2566" s="163" t="s">
        <v>3137</v>
      </c>
      <c r="D2566" s="163" t="s">
        <v>3138</v>
      </c>
      <c r="E2566" s="164" t="n">
        <v>5000</v>
      </c>
      <c r="F2566" s="165" t="s">
        <v>6777</v>
      </c>
    </row>
    <row r="2567" customFormat="false" ht="15" hidden="false" customHeight="true" outlineLevel="0" collapsed="false">
      <c r="A2567" s="163" t="s">
        <v>3016</v>
      </c>
      <c r="B2567" s="163" t="s">
        <v>894</v>
      </c>
      <c r="C2567" s="163" t="s">
        <v>5858</v>
      </c>
      <c r="D2567" s="163" t="s">
        <v>5859</v>
      </c>
      <c r="E2567" s="164" t="n">
        <v>5000</v>
      </c>
      <c r="F2567" s="165" t="s">
        <v>6778</v>
      </c>
    </row>
    <row r="2568" customFormat="false" ht="15" hidden="false" customHeight="true" outlineLevel="0" collapsed="false">
      <c r="A2568" s="163" t="s">
        <v>3016</v>
      </c>
      <c r="B2568" s="163" t="s">
        <v>894</v>
      </c>
      <c r="C2568" s="163" t="s">
        <v>6779</v>
      </c>
      <c r="D2568" s="163" t="s">
        <v>6780</v>
      </c>
      <c r="E2568" s="164" t="n">
        <v>5000</v>
      </c>
      <c r="F2568" s="165" t="s">
        <v>6781</v>
      </c>
    </row>
    <row r="2569" customFormat="false" ht="15" hidden="false" customHeight="true" outlineLevel="0" collapsed="false">
      <c r="A2569" s="163" t="s">
        <v>3016</v>
      </c>
      <c r="B2569" s="163" t="s">
        <v>894</v>
      </c>
      <c r="C2569" s="163" t="s">
        <v>6782</v>
      </c>
      <c r="D2569" s="163" t="s">
        <v>6783</v>
      </c>
      <c r="E2569" s="164" t="n">
        <v>5000</v>
      </c>
      <c r="F2569" s="165" t="s">
        <v>6784</v>
      </c>
    </row>
    <row r="2570" customFormat="false" ht="15" hidden="false" customHeight="true" outlineLevel="0" collapsed="false">
      <c r="A2570" s="163" t="s">
        <v>3016</v>
      </c>
      <c r="B2570" s="163" t="s">
        <v>894</v>
      </c>
      <c r="C2570" s="163" t="s">
        <v>6785</v>
      </c>
      <c r="D2570" s="163" t="s">
        <v>6786</v>
      </c>
      <c r="E2570" s="164" t="n">
        <v>5000</v>
      </c>
      <c r="F2570" s="165" t="s">
        <v>6787</v>
      </c>
    </row>
    <row r="2571" customFormat="false" ht="15" hidden="false" customHeight="true" outlineLevel="0" collapsed="false">
      <c r="A2571" s="163" t="s">
        <v>3016</v>
      </c>
      <c r="B2571" s="163" t="s">
        <v>894</v>
      </c>
      <c r="C2571" s="163" t="s">
        <v>6788</v>
      </c>
      <c r="D2571" s="163" t="s">
        <v>6789</v>
      </c>
      <c r="E2571" s="164" t="n">
        <v>5000</v>
      </c>
      <c r="F2571" s="165" t="s">
        <v>6790</v>
      </c>
    </row>
    <row r="2572" customFormat="false" ht="15" hidden="false" customHeight="true" outlineLevel="0" collapsed="false">
      <c r="A2572" s="163" t="s">
        <v>3016</v>
      </c>
      <c r="B2572" s="163" t="s">
        <v>894</v>
      </c>
      <c r="C2572" s="163" t="s">
        <v>273</v>
      </c>
      <c r="D2572" s="163" t="s">
        <v>1891</v>
      </c>
      <c r="E2572" s="164" t="n">
        <v>5000</v>
      </c>
      <c r="F2572" s="165" t="s">
        <v>6791</v>
      </c>
    </row>
    <row r="2573" customFormat="false" ht="15" hidden="false" customHeight="true" outlineLevel="0" collapsed="false">
      <c r="A2573" s="163" t="s">
        <v>3016</v>
      </c>
      <c r="B2573" s="163" t="s">
        <v>894</v>
      </c>
      <c r="C2573" s="163" t="s">
        <v>4229</v>
      </c>
      <c r="D2573" s="163" t="s">
        <v>4230</v>
      </c>
      <c r="E2573" s="164" t="n">
        <v>5000</v>
      </c>
      <c r="F2573" s="165" t="s">
        <v>6792</v>
      </c>
    </row>
    <row r="2574" customFormat="false" ht="15" hidden="false" customHeight="true" outlineLevel="0" collapsed="false">
      <c r="A2574" s="163" t="s">
        <v>3016</v>
      </c>
      <c r="B2574" s="163" t="s">
        <v>894</v>
      </c>
      <c r="C2574" s="163" t="s">
        <v>5157</v>
      </c>
      <c r="D2574" s="163" t="s">
        <v>5158</v>
      </c>
      <c r="E2574" s="164" t="n">
        <v>5000</v>
      </c>
      <c r="F2574" s="165" t="s">
        <v>6793</v>
      </c>
    </row>
    <row r="2575" customFormat="false" ht="15" hidden="false" customHeight="true" outlineLevel="0" collapsed="false">
      <c r="A2575" s="163" t="s">
        <v>3016</v>
      </c>
      <c r="B2575" s="163" t="s">
        <v>894</v>
      </c>
      <c r="C2575" s="163" t="s">
        <v>6794</v>
      </c>
      <c r="D2575" s="163" t="s">
        <v>6795</v>
      </c>
      <c r="E2575" s="164" t="n">
        <v>5000</v>
      </c>
      <c r="F2575" s="165" t="s">
        <v>6796</v>
      </c>
    </row>
    <row r="2576" customFormat="false" ht="15" hidden="false" customHeight="true" outlineLevel="0" collapsed="false">
      <c r="A2576" s="163" t="s">
        <v>3016</v>
      </c>
      <c r="B2576" s="163" t="s">
        <v>894</v>
      </c>
      <c r="C2576" s="163" t="s">
        <v>6797</v>
      </c>
      <c r="D2576" s="163" t="s">
        <v>6798</v>
      </c>
      <c r="E2576" s="164" t="n">
        <v>5000</v>
      </c>
      <c r="F2576" s="165" t="s">
        <v>6799</v>
      </c>
    </row>
    <row r="2577" customFormat="false" ht="15" hidden="false" customHeight="true" outlineLevel="0" collapsed="false">
      <c r="A2577" s="163" t="s">
        <v>3016</v>
      </c>
      <c r="B2577" s="163" t="s">
        <v>894</v>
      </c>
      <c r="C2577" s="163" t="s">
        <v>4757</v>
      </c>
      <c r="D2577" s="163" t="s">
        <v>4758</v>
      </c>
      <c r="E2577" s="164" t="n">
        <v>5000</v>
      </c>
      <c r="F2577" s="165" t="s">
        <v>6757</v>
      </c>
    </row>
    <row r="2578" customFormat="false" ht="15" hidden="false" customHeight="true" outlineLevel="0" collapsed="false">
      <c r="A2578" s="163" t="s">
        <v>3016</v>
      </c>
      <c r="B2578" s="163" t="s">
        <v>894</v>
      </c>
      <c r="C2578" s="163" t="s">
        <v>6800</v>
      </c>
      <c r="D2578" s="163" t="s">
        <v>6801</v>
      </c>
      <c r="E2578" s="164" t="n">
        <v>5000</v>
      </c>
      <c r="F2578" s="165" t="s">
        <v>6757</v>
      </c>
    </row>
    <row r="2579" customFormat="false" ht="15" hidden="false" customHeight="true" outlineLevel="0" collapsed="false">
      <c r="A2579" s="163" t="s">
        <v>3016</v>
      </c>
      <c r="B2579" s="163" t="s">
        <v>894</v>
      </c>
      <c r="C2579" s="163" t="s">
        <v>6683</v>
      </c>
      <c r="D2579" s="163" t="s">
        <v>6684</v>
      </c>
      <c r="E2579" s="164" t="n">
        <v>5000</v>
      </c>
      <c r="F2579" s="165" t="s">
        <v>6757</v>
      </c>
    </row>
    <row r="2580" customFormat="false" ht="15" hidden="false" customHeight="true" outlineLevel="0" collapsed="false">
      <c r="A2580" s="163" t="s">
        <v>3016</v>
      </c>
      <c r="B2580" s="163" t="s">
        <v>894</v>
      </c>
      <c r="C2580" s="163" t="s">
        <v>4294</v>
      </c>
      <c r="D2580" s="163" t="s">
        <v>4295</v>
      </c>
      <c r="E2580" s="164" t="n">
        <v>5000</v>
      </c>
      <c r="F2580" s="165" t="s">
        <v>6802</v>
      </c>
    </row>
    <row r="2581" customFormat="false" ht="15" hidden="false" customHeight="true" outlineLevel="0" collapsed="false">
      <c r="A2581" s="163" t="s">
        <v>3016</v>
      </c>
      <c r="B2581" s="163" t="s">
        <v>894</v>
      </c>
      <c r="C2581" s="163" t="s">
        <v>5511</v>
      </c>
      <c r="D2581" s="163" t="s">
        <v>5512</v>
      </c>
      <c r="E2581" s="164" t="n">
        <v>5000</v>
      </c>
      <c r="F2581" s="165" t="s">
        <v>6803</v>
      </c>
    </row>
    <row r="2582" customFormat="false" ht="15" hidden="false" customHeight="true" outlineLevel="0" collapsed="false">
      <c r="A2582" s="163" t="s">
        <v>3016</v>
      </c>
      <c r="B2582" s="163" t="s">
        <v>894</v>
      </c>
      <c r="C2582" s="163" t="s">
        <v>6804</v>
      </c>
      <c r="D2582" s="163" t="s">
        <v>6805</v>
      </c>
      <c r="E2582" s="164" t="n">
        <v>5000</v>
      </c>
      <c r="F2582" s="165" t="s">
        <v>6806</v>
      </c>
    </row>
    <row r="2583" customFormat="false" ht="15" hidden="false" customHeight="true" outlineLevel="0" collapsed="false">
      <c r="A2583" s="163" t="s">
        <v>3016</v>
      </c>
      <c r="B2583" s="163" t="s">
        <v>894</v>
      </c>
      <c r="C2583" s="163" t="s">
        <v>6807</v>
      </c>
      <c r="D2583" s="163" t="s">
        <v>6808</v>
      </c>
      <c r="E2583" s="164" t="n">
        <v>5000</v>
      </c>
      <c r="F2583" s="165" t="s">
        <v>6809</v>
      </c>
    </row>
    <row r="2584" customFormat="false" ht="15" hidden="false" customHeight="true" outlineLevel="0" collapsed="false">
      <c r="A2584" s="163" t="s">
        <v>3016</v>
      </c>
      <c r="B2584" s="163" t="s">
        <v>894</v>
      </c>
      <c r="C2584" s="163" t="s">
        <v>6810</v>
      </c>
      <c r="D2584" s="163" t="s">
        <v>6811</v>
      </c>
      <c r="E2584" s="164" t="n">
        <v>5000</v>
      </c>
      <c r="F2584" s="165" t="s">
        <v>6812</v>
      </c>
    </row>
    <row r="2585" customFormat="false" ht="15" hidden="false" customHeight="true" outlineLevel="0" collapsed="false">
      <c r="A2585" s="163" t="s">
        <v>3016</v>
      </c>
      <c r="B2585" s="163" t="s">
        <v>894</v>
      </c>
      <c r="C2585" s="163" t="s">
        <v>6813</v>
      </c>
      <c r="D2585" s="163" t="s">
        <v>6814</v>
      </c>
      <c r="E2585" s="164" t="n">
        <v>5000</v>
      </c>
      <c r="F2585" s="165" t="s">
        <v>6815</v>
      </c>
    </row>
    <row r="2586" customFormat="false" ht="15" hidden="false" customHeight="true" outlineLevel="0" collapsed="false">
      <c r="A2586" s="163" t="s">
        <v>3016</v>
      </c>
      <c r="B2586" s="163" t="s">
        <v>894</v>
      </c>
      <c r="C2586" s="163" t="s">
        <v>6678</v>
      </c>
      <c r="D2586" s="163" t="s">
        <v>6679</v>
      </c>
      <c r="E2586" s="164" t="n">
        <v>5000</v>
      </c>
      <c r="F2586" s="165" t="s">
        <v>6816</v>
      </c>
    </row>
    <row r="2587" customFormat="false" ht="15" hidden="false" customHeight="true" outlineLevel="0" collapsed="false">
      <c r="A2587" s="163" t="s">
        <v>3016</v>
      </c>
      <c r="B2587" s="163" t="s">
        <v>894</v>
      </c>
      <c r="C2587" s="163" t="s">
        <v>6817</v>
      </c>
      <c r="D2587" s="163" t="s">
        <v>6818</v>
      </c>
      <c r="E2587" s="164" t="n">
        <v>5000</v>
      </c>
      <c r="F2587" s="165" t="s">
        <v>6819</v>
      </c>
    </row>
    <row r="2588" customFormat="false" ht="15" hidden="false" customHeight="true" outlineLevel="0" collapsed="false">
      <c r="A2588" s="163" t="s">
        <v>3016</v>
      </c>
      <c r="B2588" s="163" t="s">
        <v>894</v>
      </c>
      <c r="C2588" s="163" t="s">
        <v>925</v>
      </c>
      <c r="D2588" s="163" t="s">
        <v>1931</v>
      </c>
      <c r="E2588" s="164" t="n">
        <v>5000</v>
      </c>
      <c r="F2588" s="165" t="s">
        <v>6820</v>
      </c>
    </row>
    <row r="2589" customFormat="false" ht="15" hidden="false" customHeight="true" outlineLevel="0" collapsed="false">
      <c r="A2589" s="163" t="s">
        <v>3016</v>
      </c>
      <c r="B2589" s="163" t="s">
        <v>894</v>
      </c>
      <c r="C2589" s="163" t="s">
        <v>925</v>
      </c>
      <c r="D2589" s="163" t="s">
        <v>1931</v>
      </c>
      <c r="E2589" s="164" t="n">
        <v>5000</v>
      </c>
      <c r="F2589" s="165" t="s">
        <v>6821</v>
      </c>
    </row>
    <row r="2590" customFormat="false" ht="15" hidden="false" customHeight="true" outlineLevel="0" collapsed="false">
      <c r="A2590" s="163" t="s">
        <v>3016</v>
      </c>
      <c r="B2590" s="163" t="s">
        <v>894</v>
      </c>
      <c r="C2590" s="163" t="s">
        <v>925</v>
      </c>
      <c r="D2590" s="163" t="s">
        <v>1931</v>
      </c>
      <c r="E2590" s="164" t="n">
        <v>5000</v>
      </c>
      <c r="F2590" s="165" t="s">
        <v>6822</v>
      </c>
    </row>
    <row r="2591" customFormat="false" ht="15" hidden="false" customHeight="true" outlineLevel="0" collapsed="false">
      <c r="A2591" s="163" t="s">
        <v>3016</v>
      </c>
      <c r="B2591" s="163" t="s">
        <v>894</v>
      </c>
      <c r="C2591" s="163" t="s">
        <v>925</v>
      </c>
      <c r="D2591" s="163" t="s">
        <v>1931</v>
      </c>
      <c r="E2591" s="164" t="n">
        <v>5000</v>
      </c>
      <c r="F2591" s="165" t="s">
        <v>6823</v>
      </c>
    </row>
    <row r="2592" customFormat="false" ht="15" hidden="false" customHeight="true" outlineLevel="0" collapsed="false">
      <c r="A2592" s="163" t="s">
        <v>3016</v>
      </c>
      <c r="B2592" s="163" t="s">
        <v>894</v>
      </c>
      <c r="C2592" s="163" t="s">
        <v>925</v>
      </c>
      <c r="D2592" s="163" t="s">
        <v>1931</v>
      </c>
      <c r="E2592" s="164" t="n">
        <v>5000</v>
      </c>
      <c r="F2592" s="165" t="s">
        <v>6824</v>
      </c>
    </row>
    <row r="2593" customFormat="false" ht="15" hidden="false" customHeight="true" outlineLevel="0" collapsed="false">
      <c r="A2593" s="163" t="s">
        <v>3016</v>
      </c>
      <c r="B2593" s="163" t="s">
        <v>894</v>
      </c>
      <c r="C2593" s="163" t="s">
        <v>925</v>
      </c>
      <c r="D2593" s="163" t="s">
        <v>1931</v>
      </c>
      <c r="E2593" s="164" t="n">
        <v>5000</v>
      </c>
      <c r="F2593" s="165" t="s">
        <v>6825</v>
      </c>
    </row>
    <row r="2594" customFormat="false" ht="15" hidden="false" customHeight="true" outlineLevel="0" collapsed="false">
      <c r="A2594" s="163" t="s">
        <v>3016</v>
      </c>
      <c r="B2594" s="163" t="s">
        <v>894</v>
      </c>
      <c r="C2594" s="163" t="s">
        <v>925</v>
      </c>
      <c r="D2594" s="163" t="s">
        <v>1931</v>
      </c>
      <c r="E2594" s="164" t="n">
        <v>5000</v>
      </c>
      <c r="F2594" s="165" t="s">
        <v>6826</v>
      </c>
    </row>
    <row r="2595" customFormat="false" ht="15" hidden="false" customHeight="true" outlineLevel="0" collapsed="false">
      <c r="A2595" s="163" t="s">
        <v>3016</v>
      </c>
      <c r="B2595" s="163" t="s">
        <v>894</v>
      </c>
      <c r="C2595" s="163" t="s">
        <v>925</v>
      </c>
      <c r="D2595" s="163" t="s">
        <v>1931</v>
      </c>
      <c r="E2595" s="164" t="n">
        <v>5000</v>
      </c>
      <c r="F2595" s="165" t="s">
        <v>6827</v>
      </c>
    </row>
    <row r="2596" customFormat="false" ht="15" hidden="false" customHeight="true" outlineLevel="0" collapsed="false">
      <c r="A2596" s="163" t="s">
        <v>3016</v>
      </c>
      <c r="B2596" s="163" t="s">
        <v>894</v>
      </c>
      <c r="C2596" s="163" t="s">
        <v>4808</v>
      </c>
      <c r="D2596" s="163" t="s">
        <v>4809</v>
      </c>
      <c r="E2596" s="164" t="n">
        <v>4500</v>
      </c>
      <c r="F2596" s="165" t="s">
        <v>6828</v>
      </c>
    </row>
    <row r="2597" customFormat="false" ht="15" hidden="false" customHeight="true" outlineLevel="0" collapsed="false">
      <c r="A2597" s="163" t="s">
        <v>3016</v>
      </c>
      <c r="B2597" s="163" t="s">
        <v>894</v>
      </c>
      <c r="C2597" s="163" t="s">
        <v>893</v>
      </c>
      <c r="D2597" s="163" t="s">
        <v>1931</v>
      </c>
      <c r="E2597" s="164" t="n">
        <v>2000</v>
      </c>
      <c r="F2597" s="165" t="s">
        <v>6829</v>
      </c>
    </row>
    <row r="2598" customFormat="false" ht="15" hidden="false" customHeight="true" outlineLevel="0" collapsed="false">
      <c r="A2598" s="163" t="s">
        <v>3016</v>
      </c>
      <c r="B2598" s="163" t="s">
        <v>894</v>
      </c>
      <c r="C2598" s="163" t="s">
        <v>893</v>
      </c>
      <c r="D2598" s="163" t="s">
        <v>1931</v>
      </c>
      <c r="E2598" s="164" t="n">
        <v>2000</v>
      </c>
      <c r="F2598" s="165" t="s">
        <v>6830</v>
      </c>
    </row>
    <row r="2599" customFormat="false" ht="15" hidden="false" customHeight="true" outlineLevel="0" collapsed="false">
      <c r="A2599" s="163" t="s">
        <v>3016</v>
      </c>
      <c r="B2599" s="163" t="s">
        <v>882</v>
      </c>
      <c r="C2599" s="163" t="s">
        <v>2759</v>
      </c>
      <c r="D2599" s="163" t="s">
        <v>2760</v>
      </c>
      <c r="E2599" s="164" t="n">
        <v>160000</v>
      </c>
      <c r="F2599" s="165" t="s">
        <v>6831</v>
      </c>
    </row>
    <row r="2600" customFormat="false" ht="15" hidden="false" customHeight="true" outlineLevel="0" collapsed="false">
      <c r="A2600" s="163" t="s">
        <v>3016</v>
      </c>
      <c r="B2600" s="163" t="s">
        <v>882</v>
      </c>
      <c r="C2600" s="163" t="s">
        <v>3063</v>
      </c>
      <c r="D2600" s="163" t="s">
        <v>3064</v>
      </c>
      <c r="E2600" s="164" t="n">
        <v>40000</v>
      </c>
      <c r="F2600" s="165" t="s">
        <v>6832</v>
      </c>
    </row>
    <row r="2601" customFormat="false" ht="15" hidden="false" customHeight="true" outlineLevel="0" collapsed="false">
      <c r="A2601" s="163" t="s">
        <v>3016</v>
      </c>
      <c r="B2601" s="163" t="s">
        <v>882</v>
      </c>
      <c r="C2601" s="163" t="s">
        <v>640</v>
      </c>
      <c r="D2601" s="163" t="s">
        <v>1931</v>
      </c>
      <c r="E2601" s="164" t="n">
        <v>40000</v>
      </c>
      <c r="F2601" s="165" t="s">
        <v>6833</v>
      </c>
    </row>
    <row r="2602" customFormat="false" ht="15" hidden="false" customHeight="true" outlineLevel="0" collapsed="false">
      <c r="A2602" s="163" t="s">
        <v>3016</v>
      </c>
      <c r="B2602" s="163" t="s">
        <v>882</v>
      </c>
      <c r="C2602" s="163" t="s">
        <v>640</v>
      </c>
      <c r="D2602" s="163" t="s">
        <v>1931</v>
      </c>
      <c r="E2602" s="164" t="n">
        <v>20000</v>
      </c>
      <c r="F2602" s="165" t="s">
        <v>6834</v>
      </c>
    </row>
    <row r="2603" customFormat="false" ht="15" hidden="false" customHeight="true" outlineLevel="0" collapsed="false">
      <c r="A2603" s="163" t="s">
        <v>3016</v>
      </c>
      <c r="B2603" s="163" t="s">
        <v>882</v>
      </c>
      <c r="C2603" s="163" t="s">
        <v>6678</v>
      </c>
      <c r="D2603" s="163" t="s">
        <v>6679</v>
      </c>
      <c r="E2603" s="164" t="n">
        <v>10000</v>
      </c>
      <c r="F2603" s="165" t="s">
        <v>6831</v>
      </c>
    </row>
    <row r="2604" customFormat="false" ht="15" hidden="false" customHeight="true" outlineLevel="0" collapsed="false">
      <c r="A2604" s="163" t="s">
        <v>3016</v>
      </c>
      <c r="B2604" s="163" t="s">
        <v>882</v>
      </c>
      <c r="C2604" s="163" t="s">
        <v>6768</v>
      </c>
      <c r="D2604" s="163" t="s">
        <v>6769</v>
      </c>
      <c r="E2604" s="164" t="n">
        <v>10000</v>
      </c>
      <c r="F2604" s="165" t="s">
        <v>6831</v>
      </c>
    </row>
    <row r="2605" customFormat="false" ht="15" hidden="false" customHeight="true" outlineLevel="0" collapsed="false">
      <c r="A2605" s="163" t="s">
        <v>3016</v>
      </c>
      <c r="B2605" s="163" t="s">
        <v>2328</v>
      </c>
      <c r="C2605" s="163" t="s">
        <v>6835</v>
      </c>
      <c r="D2605" s="163" t="s">
        <v>6836</v>
      </c>
      <c r="E2605" s="164" t="n">
        <v>20000</v>
      </c>
      <c r="F2605" s="165" t="s">
        <v>6837</v>
      </c>
    </row>
    <row r="2606" customFormat="false" ht="15" hidden="false" customHeight="true" outlineLevel="0" collapsed="false">
      <c r="A2606" s="163" t="s">
        <v>3016</v>
      </c>
      <c r="B2606" s="163" t="s">
        <v>2328</v>
      </c>
      <c r="C2606" s="163" t="s">
        <v>6680</v>
      </c>
      <c r="D2606" s="163" t="s">
        <v>6681</v>
      </c>
      <c r="E2606" s="164" t="n">
        <v>10000</v>
      </c>
      <c r="F2606" s="165" t="s">
        <v>6838</v>
      </c>
    </row>
    <row r="2607" customFormat="false" ht="15" hidden="false" customHeight="true" outlineLevel="0" collapsed="false">
      <c r="A2607" s="163" t="s">
        <v>3016</v>
      </c>
      <c r="B2607" s="163" t="s">
        <v>2328</v>
      </c>
      <c r="C2607" s="163" t="s">
        <v>6839</v>
      </c>
      <c r="D2607" s="163" t="s">
        <v>6840</v>
      </c>
      <c r="E2607" s="164" t="n">
        <v>10000</v>
      </c>
      <c r="F2607" s="165" t="s">
        <v>6841</v>
      </c>
    </row>
    <row r="2608" customFormat="false" ht="15" hidden="false" customHeight="true" outlineLevel="0" collapsed="false">
      <c r="A2608" s="163" t="s">
        <v>3016</v>
      </c>
      <c r="B2608" s="163" t="s">
        <v>2328</v>
      </c>
      <c r="C2608" s="163" t="s">
        <v>1233</v>
      </c>
      <c r="D2608" s="163" t="s">
        <v>2151</v>
      </c>
      <c r="E2608" s="164" t="n">
        <v>10000</v>
      </c>
      <c r="F2608" s="165" t="s">
        <v>6842</v>
      </c>
    </row>
    <row r="2609" customFormat="false" ht="15" hidden="false" customHeight="true" outlineLevel="0" collapsed="false">
      <c r="A2609" s="163" t="s">
        <v>3016</v>
      </c>
      <c r="B2609" s="163" t="s">
        <v>2342</v>
      </c>
      <c r="C2609" s="163" t="s">
        <v>6692</v>
      </c>
      <c r="D2609" s="163" t="s">
        <v>6693</v>
      </c>
      <c r="E2609" s="164" t="n">
        <v>20000</v>
      </c>
      <c r="F2609" s="165" t="s">
        <v>6843</v>
      </c>
    </row>
    <row r="2610" customFormat="false" ht="15" hidden="false" customHeight="true" outlineLevel="0" collapsed="false">
      <c r="A2610" s="163" t="s">
        <v>3016</v>
      </c>
      <c r="B2610" s="163" t="s">
        <v>2342</v>
      </c>
      <c r="C2610" s="163" t="s">
        <v>4808</v>
      </c>
      <c r="D2610" s="163" t="s">
        <v>4809</v>
      </c>
      <c r="E2610" s="164" t="n">
        <v>20000</v>
      </c>
      <c r="F2610" s="165" t="s">
        <v>6844</v>
      </c>
    </row>
    <row r="2611" customFormat="false" ht="15" hidden="false" customHeight="true" outlineLevel="0" collapsed="false">
      <c r="A2611" s="163" t="s">
        <v>3016</v>
      </c>
      <c r="B2611" s="163" t="s">
        <v>2342</v>
      </c>
      <c r="C2611" s="163" t="s">
        <v>395</v>
      </c>
      <c r="D2611" s="163" t="s">
        <v>2196</v>
      </c>
      <c r="E2611" s="164" t="n">
        <v>15000</v>
      </c>
      <c r="F2611" s="165" t="s">
        <v>6845</v>
      </c>
    </row>
    <row r="2612" customFormat="false" ht="15" hidden="false" customHeight="true" outlineLevel="0" collapsed="false">
      <c r="A2612" s="163" t="s">
        <v>3016</v>
      </c>
      <c r="B2612" s="163" t="s">
        <v>2342</v>
      </c>
      <c r="C2612" s="163" t="s">
        <v>230</v>
      </c>
      <c r="D2612" s="163" t="s">
        <v>2077</v>
      </c>
      <c r="E2612" s="164" t="n">
        <v>10000</v>
      </c>
      <c r="F2612" s="165" t="s">
        <v>6846</v>
      </c>
    </row>
    <row r="2613" customFormat="false" ht="15" hidden="false" customHeight="true" outlineLevel="0" collapsed="false">
      <c r="A2613" s="163" t="s">
        <v>3016</v>
      </c>
      <c r="B2613" s="163" t="s">
        <v>2342</v>
      </c>
      <c r="C2613" s="163" t="s">
        <v>6678</v>
      </c>
      <c r="D2613" s="163" t="s">
        <v>6679</v>
      </c>
      <c r="E2613" s="164" t="n">
        <v>10000</v>
      </c>
      <c r="F2613" s="165" t="s">
        <v>6847</v>
      </c>
    </row>
    <row r="2614" customFormat="false" ht="15" hidden="false" customHeight="true" outlineLevel="0" collapsed="false">
      <c r="A2614" s="163" t="s">
        <v>3016</v>
      </c>
      <c r="B2614" s="163" t="s">
        <v>2342</v>
      </c>
      <c r="C2614" s="163" t="s">
        <v>6810</v>
      </c>
      <c r="D2614" s="163" t="s">
        <v>6811</v>
      </c>
      <c r="E2614" s="164" t="n">
        <v>10000</v>
      </c>
      <c r="F2614" s="165" t="s">
        <v>6848</v>
      </c>
    </row>
    <row r="2615" customFormat="false" ht="15" hidden="false" customHeight="true" outlineLevel="0" collapsed="false">
      <c r="A2615" s="163" t="s">
        <v>3016</v>
      </c>
      <c r="B2615" s="163" t="s">
        <v>2342</v>
      </c>
      <c r="C2615" s="163" t="s">
        <v>197</v>
      </c>
      <c r="D2615" s="163" t="s">
        <v>1931</v>
      </c>
      <c r="E2615" s="164" t="n">
        <v>5000</v>
      </c>
      <c r="F2615" s="165" t="s">
        <v>6849</v>
      </c>
    </row>
    <row r="2616" customFormat="false" ht="15" hidden="false" customHeight="true" outlineLevel="0" collapsed="false">
      <c r="A2616" s="163" t="s">
        <v>3016</v>
      </c>
      <c r="B2616" s="163" t="s">
        <v>2766</v>
      </c>
      <c r="C2616" s="163" t="s">
        <v>2949</v>
      </c>
      <c r="D2616" s="163" t="s">
        <v>2950</v>
      </c>
      <c r="E2616" s="164" t="n">
        <v>15000</v>
      </c>
      <c r="F2616" s="165" t="s">
        <v>6850</v>
      </c>
    </row>
    <row r="2617" customFormat="false" ht="15" hidden="false" customHeight="true" outlineLevel="0" collapsed="false">
      <c r="A2617" s="163" t="s">
        <v>3016</v>
      </c>
      <c r="B2617" s="163" t="s">
        <v>2766</v>
      </c>
      <c r="C2617" s="163" t="s">
        <v>6851</v>
      </c>
      <c r="D2617" s="163" t="s">
        <v>6852</v>
      </c>
      <c r="E2617" s="164" t="n">
        <v>15000</v>
      </c>
      <c r="F2617" s="165" t="s">
        <v>6853</v>
      </c>
    </row>
    <row r="2618" customFormat="false" ht="15" hidden="false" customHeight="true" outlineLevel="0" collapsed="false">
      <c r="A2618" s="163" t="s">
        <v>3016</v>
      </c>
      <c r="B2618" s="163" t="s">
        <v>1743</v>
      </c>
      <c r="C2618" s="163" t="s">
        <v>6683</v>
      </c>
      <c r="D2618" s="163" t="s">
        <v>6684</v>
      </c>
      <c r="E2618" s="164" t="n">
        <v>30000</v>
      </c>
      <c r="F2618" s="165" t="s">
        <v>6757</v>
      </c>
    </row>
    <row r="2619" customFormat="false" ht="15" hidden="false" customHeight="true" outlineLevel="0" collapsed="false">
      <c r="A2619" s="163" t="s">
        <v>3016</v>
      </c>
      <c r="B2619" s="163" t="s">
        <v>1743</v>
      </c>
      <c r="C2619" s="163" t="s">
        <v>4420</v>
      </c>
      <c r="D2619" s="163" t="s">
        <v>4421</v>
      </c>
      <c r="E2619" s="164" t="n">
        <v>20000</v>
      </c>
      <c r="F2619" s="165" t="s">
        <v>6854</v>
      </c>
    </row>
    <row r="2620" customFormat="false" ht="15" hidden="false" customHeight="true" outlineLevel="0" collapsed="false">
      <c r="A2620" s="163" t="s">
        <v>3016</v>
      </c>
      <c r="B2620" s="163" t="s">
        <v>1743</v>
      </c>
      <c r="C2620" s="163" t="s">
        <v>6680</v>
      </c>
      <c r="D2620" s="163" t="s">
        <v>6681</v>
      </c>
      <c r="E2620" s="164" t="n">
        <v>20000</v>
      </c>
      <c r="F2620" s="165" t="s">
        <v>6757</v>
      </c>
    </row>
    <row r="2621" customFormat="false" ht="15" hidden="false" customHeight="true" outlineLevel="0" collapsed="false">
      <c r="A2621" s="163" t="s">
        <v>3016</v>
      </c>
      <c r="B2621" s="163" t="s">
        <v>1743</v>
      </c>
      <c r="C2621" s="163" t="s">
        <v>6692</v>
      </c>
      <c r="D2621" s="163" t="s">
        <v>6693</v>
      </c>
      <c r="E2621" s="164" t="n">
        <v>15000</v>
      </c>
      <c r="F2621" s="165" t="s">
        <v>6855</v>
      </c>
    </row>
    <row r="2622" customFormat="false" ht="15" hidden="false" customHeight="true" outlineLevel="0" collapsed="false">
      <c r="A2622" s="163" t="s">
        <v>3016</v>
      </c>
      <c r="B2622" s="163" t="s">
        <v>1743</v>
      </c>
      <c r="C2622" s="163" t="s">
        <v>6692</v>
      </c>
      <c r="D2622" s="163" t="s">
        <v>6693</v>
      </c>
      <c r="E2622" s="164" t="n">
        <v>15000</v>
      </c>
      <c r="F2622" s="165" t="s">
        <v>6856</v>
      </c>
    </row>
    <row r="2623" customFormat="false" ht="15" hidden="false" customHeight="true" outlineLevel="0" collapsed="false">
      <c r="A2623" s="163" t="s">
        <v>3016</v>
      </c>
      <c r="B2623" s="163" t="s">
        <v>1743</v>
      </c>
      <c r="C2623" s="163" t="s">
        <v>4005</v>
      </c>
      <c r="D2623" s="163" t="s">
        <v>4006</v>
      </c>
      <c r="E2623" s="164" t="n">
        <v>10000</v>
      </c>
      <c r="F2623" s="165" t="s">
        <v>6857</v>
      </c>
    </row>
    <row r="2624" customFormat="false" ht="15" hidden="false" customHeight="true" outlineLevel="0" collapsed="false">
      <c r="A2624" s="163" t="s">
        <v>3016</v>
      </c>
      <c r="B2624" s="163" t="s">
        <v>1743</v>
      </c>
      <c r="C2624" s="163" t="s">
        <v>3210</v>
      </c>
      <c r="D2624" s="163" t="s">
        <v>3211</v>
      </c>
      <c r="E2624" s="164" t="n">
        <v>10000</v>
      </c>
      <c r="F2624" s="165" t="s">
        <v>6757</v>
      </c>
    </row>
    <row r="2625" customFormat="false" ht="15" hidden="false" customHeight="true" outlineLevel="0" collapsed="false">
      <c r="A2625" s="163" t="s">
        <v>3016</v>
      </c>
      <c r="B2625" s="163" t="s">
        <v>1743</v>
      </c>
      <c r="C2625" s="163" t="s">
        <v>3210</v>
      </c>
      <c r="D2625" s="163" t="s">
        <v>3211</v>
      </c>
      <c r="E2625" s="164" t="n">
        <v>10000</v>
      </c>
      <c r="F2625" s="165" t="s">
        <v>6757</v>
      </c>
    </row>
    <row r="2626" customFormat="false" ht="15" hidden="false" customHeight="true" outlineLevel="0" collapsed="false">
      <c r="A2626" s="163" t="s">
        <v>3016</v>
      </c>
      <c r="B2626" s="163" t="s">
        <v>1743</v>
      </c>
      <c r="C2626" s="163" t="s">
        <v>6858</v>
      </c>
      <c r="D2626" s="163" t="s">
        <v>6859</v>
      </c>
      <c r="E2626" s="164" t="n">
        <v>10000</v>
      </c>
      <c r="F2626" s="165" t="s">
        <v>6860</v>
      </c>
    </row>
    <row r="2627" customFormat="false" ht="15" hidden="false" customHeight="true" outlineLevel="0" collapsed="false">
      <c r="A2627" s="163" t="s">
        <v>3016</v>
      </c>
      <c r="B2627" s="163" t="s">
        <v>1743</v>
      </c>
      <c r="C2627" s="163" t="s">
        <v>4628</v>
      </c>
      <c r="D2627" s="163" t="s">
        <v>4629</v>
      </c>
      <c r="E2627" s="164" t="n">
        <v>10000</v>
      </c>
      <c r="F2627" s="165" t="s">
        <v>6861</v>
      </c>
    </row>
    <row r="2628" customFormat="false" ht="15" hidden="false" customHeight="true" outlineLevel="0" collapsed="false">
      <c r="A2628" s="163" t="s">
        <v>3016</v>
      </c>
      <c r="B2628" s="163" t="s">
        <v>928</v>
      </c>
      <c r="C2628" s="163" t="s">
        <v>4808</v>
      </c>
      <c r="D2628" s="163" t="s">
        <v>4809</v>
      </c>
      <c r="E2628" s="164" t="n">
        <v>30000</v>
      </c>
      <c r="F2628" s="165" t="s">
        <v>6862</v>
      </c>
    </row>
    <row r="2629" customFormat="false" ht="15" hidden="false" customHeight="true" outlineLevel="0" collapsed="false">
      <c r="A2629" s="163" t="s">
        <v>3016</v>
      </c>
      <c r="B2629" s="163" t="s">
        <v>928</v>
      </c>
      <c r="C2629" s="163" t="s">
        <v>4853</v>
      </c>
      <c r="D2629" s="163" t="s">
        <v>4854</v>
      </c>
      <c r="E2629" s="164" t="n">
        <v>15000</v>
      </c>
      <c r="F2629" s="165" t="s">
        <v>6757</v>
      </c>
    </row>
    <row r="2630" customFormat="false" ht="15" hidden="false" customHeight="true" outlineLevel="0" collapsed="false">
      <c r="A2630" s="163" t="s">
        <v>3016</v>
      </c>
      <c r="B2630" s="163" t="s">
        <v>928</v>
      </c>
      <c r="C2630" s="163" t="s">
        <v>3700</v>
      </c>
      <c r="D2630" s="163" t="s">
        <v>3701</v>
      </c>
      <c r="E2630" s="164" t="n">
        <v>10000</v>
      </c>
      <c r="F2630" s="165" t="s">
        <v>6863</v>
      </c>
    </row>
    <row r="2631" customFormat="false" ht="15" hidden="false" customHeight="true" outlineLevel="0" collapsed="false">
      <c r="A2631" s="163" t="s">
        <v>3016</v>
      </c>
      <c r="B2631" s="163" t="s">
        <v>928</v>
      </c>
      <c r="C2631" s="163" t="s">
        <v>3859</v>
      </c>
      <c r="D2631" s="163" t="s">
        <v>3860</v>
      </c>
      <c r="E2631" s="164" t="n">
        <v>10000</v>
      </c>
      <c r="F2631" s="165" t="s">
        <v>6864</v>
      </c>
    </row>
    <row r="2632" customFormat="false" ht="15" hidden="false" customHeight="true" outlineLevel="0" collapsed="false">
      <c r="A2632" s="163" t="s">
        <v>3016</v>
      </c>
      <c r="B2632" s="163" t="s">
        <v>928</v>
      </c>
      <c r="C2632" s="163" t="s">
        <v>6680</v>
      </c>
      <c r="D2632" s="163" t="s">
        <v>6681</v>
      </c>
      <c r="E2632" s="164" t="n">
        <v>10000</v>
      </c>
      <c r="F2632" s="165" t="s">
        <v>6865</v>
      </c>
    </row>
    <row r="2633" customFormat="false" ht="15" hidden="false" customHeight="true" outlineLevel="0" collapsed="false">
      <c r="A2633" s="163" t="s">
        <v>3016</v>
      </c>
      <c r="B2633" s="163" t="s">
        <v>928</v>
      </c>
      <c r="C2633" s="163" t="s">
        <v>3145</v>
      </c>
      <c r="D2633" s="163" t="s">
        <v>3146</v>
      </c>
      <c r="E2633" s="164" t="n">
        <v>8500</v>
      </c>
      <c r="F2633" s="165" t="s">
        <v>6866</v>
      </c>
    </row>
    <row r="2634" customFormat="false" ht="15" hidden="false" customHeight="true" outlineLevel="0" collapsed="false">
      <c r="A2634" s="163" t="s">
        <v>3016</v>
      </c>
      <c r="B2634" s="163" t="s">
        <v>928</v>
      </c>
      <c r="C2634" s="163" t="s">
        <v>4808</v>
      </c>
      <c r="D2634" s="163" t="s">
        <v>4809</v>
      </c>
      <c r="E2634" s="164" t="n">
        <v>7500</v>
      </c>
      <c r="F2634" s="165" t="s">
        <v>6867</v>
      </c>
    </row>
    <row r="2635" customFormat="false" ht="15" hidden="false" customHeight="true" outlineLevel="0" collapsed="false">
      <c r="A2635" s="163" t="s">
        <v>3016</v>
      </c>
      <c r="B2635" s="163" t="s">
        <v>928</v>
      </c>
      <c r="C2635" s="163" t="s">
        <v>6868</v>
      </c>
      <c r="D2635" s="163" t="s">
        <v>6869</v>
      </c>
      <c r="E2635" s="164" t="n">
        <v>7500</v>
      </c>
      <c r="F2635" s="165" t="s">
        <v>6870</v>
      </c>
    </row>
    <row r="2636" customFormat="false" ht="15" hidden="false" customHeight="true" outlineLevel="0" collapsed="false">
      <c r="A2636" s="163" t="s">
        <v>3016</v>
      </c>
      <c r="B2636" s="163" t="s">
        <v>928</v>
      </c>
      <c r="C2636" s="163" t="s">
        <v>4073</v>
      </c>
      <c r="D2636" s="163" t="s">
        <v>4074</v>
      </c>
      <c r="E2636" s="164" t="n">
        <v>6500</v>
      </c>
      <c r="F2636" s="165" t="s">
        <v>6871</v>
      </c>
    </row>
    <row r="2637" customFormat="false" ht="15" hidden="false" customHeight="true" outlineLevel="0" collapsed="false">
      <c r="A2637" s="163" t="s">
        <v>3016</v>
      </c>
      <c r="B2637" s="163" t="s">
        <v>928</v>
      </c>
      <c r="C2637" s="163" t="s">
        <v>4808</v>
      </c>
      <c r="D2637" s="163" t="s">
        <v>4809</v>
      </c>
      <c r="E2637" s="164" t="n">
        <v>5000</v>
      </c>
      <c r="F2637" s="165" t="s">
        <v>6872</v>
      </c>
    </row>
    <row r="2638" customFormat="false" ht="15" hidden="false" customHeight="true" outlineLevel="0" collapsed="false">
      <c r="A2638" s="163" t="s">
        <v>3016</v>
      </c>
      <c r="B2638" s="163" t="s">
        <v>928</v>
      </c>
      <c r="C2638" s="163" t="s">
        <v>6779</v>
      </c>
      <c r="D2638" s="163" t="s">
        <v>6780</v>
      </c>
      <c r="E2638" s="164" t="n">
        <v>5000</v>
      </c>
      <c r="F2638" s="165" t="s">
        <v>6781</v>
      </c>
    </row>
    <row r="2639" customFormat="false" ht="15" hidden="false" customHeight="true" outlineLevel="0" collapsed="false">
      <c r="A2639" s="163" t="s">
        <v>3016</v>
      </c>
      <c r="B2639" s="163" t="s">
        <v>928</v>
      </c>
      <c r="C2639" s="163" t="s">
        <v>4784</v>
      </c>
      <c r="D2639" s="163" t="s">
        <v>4785</v>
      </c>
      <c r="E2639" s="164" t="n">
        <v>5000</v>
      </c>
      <c r="F2639" s="165" t="s">
        <v>6873</v>
      </c>
    </row>
    <row r="2640" customFormat="false" ht="15" hidden="false" customHeight="true" outlineLevel="0" collapsed="false">
      <c r="A2640" s="163" t="s">
        <v>3016</v>
      </c>
      <c r="B2640" s="163" t="s">
        <v>928</v>
      </c>
      <c r="C2640" s="163" t="s">
        <v>6874</v>
      </c>
      <c r="D2640" s="163" t="s">
        <v>6875</v>
      </c>
      <c r="E2640" s="164" t="n">
        <v>5000</v>
      </c>
      <c r="F2640" s="165" t="s">
        <v>6876</v>
      </c>
    </row>
    <row r="2641" customFormat="false" ht="15" hidden="false" customHeight="true" outlineLevel="0" collapsed="false">
      <c r="A2641" s="163" t="s">
        <v>3016</v>
      </c>
      <c r="B2641" s="163" t="s">
        <v>928</v>
      </c>
      <c r="C2641" s="163" t="s">
        <v>3202</v>
      </c>
      <c r="D2641" s="163" t="s">
        <v>3203</v>
      </c>
      <c r="E2641" s="164" t="n">
        <v>5000</v>
      </c>
      <c r="F2641" s="165" t="s">
        <v>6877</v>
      </c>
    </row>
    <row r="2642" customFormat="false" ht="15" hidden="false" customHeight="true" outlineLevel="0" collapsed="false">
      <c r="A2642" s="163" t="s">
        <v>3016</v>
      </c>
      <c r="B2642" s="163" t="s">
        <v>928</v>
      </c>
      <c r="C2642" s="163" t="s">
        <v>4191</v>
      </c>
      <c r="D2642" s="163" t="s">
        <v>4192</v>
      </c>
      <c r="E2642" s="164" t="n">
        <v>5000</v>
      </c>
      <c r="F2642" s="165" t="s">
        <v>6878</v>
      </c>
    </row>
    <row r="2643" customFormat="false" ht="15" hidden="false" customHeight="true" outlineLevel="0" collapsed="false">
      <c r="A2643" s="163" t="s">
        <v>3016</v>
      </c>
      <c r="B2643" s="163" t="s">
        <v>928</v>
      </c>
      <c r="C2643" s="163" t="s">
        <v>6879</v>
      </c>
      <c r="D2643" s="163" t="s">
        <v>6880</v>
      </c>
      <c r="E2643" s="164" t="n">
        <v>5000</v>
      </c>
      <c r="F2643" s="165" t="s">
        <v>6881</v>
      </c>
    </row>
    <row r="2644" customFormat="false" ht="15" hidden="false" customHeight="true" outlineLevel="0" collapsed="false">
      <c r="A2644" s="163" t="s">
        <v>3016</v>
      </c>
      <c r="B2644" s="163" t="s">
        <v>928</v>
      </c>
      <c r="C2644" s="163" t="s">
        <v>6882</v>
      </c>
      <c r="D2644" s="163" t="s">
        <v>6883</v>
      </c>
      <c r="E2644" s="164" t="n">
        <v>5000</v>
      </c>
      <c r="F2644" s="165" t="s">
        <v>3060</v>
      </c>
    </row>
    <row r="2645" customFormat="false" ht="15" hidden="false" customHeight="true" outlineLevel="0" collapsed="false">
      <c r="A2645" s="163" t="s">
        <v>3016</v>
      </c>
      <c r="B2645" s="163" t="s">
        <v>928</v>
      </c>
      <c r="C2645" s="163" t="s">
        <v>6884</v>
      </c>
      <c r="D2645" s="163" t="s">
        <v>6885</v>
      </c>
      <c r="E2645" s="164" t="n">
        <v>5000</v>
      </c>
      <c r="F2645" s="165" t="s">
        <v>3060</v>
      </c>
    </row>
    <row r="2646" customFormat="false" ht="15" hidden="false" customHeight="true" outlineLevel="0" collapsed="false">
      <c r="A2646" s="163" t="s">
        <v>3036</v>
      </c>
      <c r="B2646" s="163" t="s">
        <v>926</v>
      </c>
      <c r="C2646" s="163" t="s">
        <v>6886</v>
      </c>
      <c r="D2646" s="163" t="s">
        <v>6887</v>
      </c>
      <c r="E2646" s="164" t="n">
        <v>36000</v>
      </c>
      <c r="F2646" s="165" t="s">
        <v>3060</v>
      </c>
    </row>
    <row r="2647" customFormat="false" ht="15" hidden="false" customHeight="true" outlineLevel="0" collapsed="false">
      <c r="A2647" s="163" t="s">
        <v>3036</v>
      </c>
      <c r="B2647" s="163" t="s">
        <v>926</v>
      </c>
      <c r="C2647" s="163" t="s">
        <v>6888</v>
      </c>
      <c r="D2647" s="163" t="s">
        <v>6889</v>
      </c>
      <c r="E2647" s="164" t="n">
        <v>25000</v>
      </c>
      <c r="F2647" s="165" t="s">
        <v>3060</v>
      </c>
    </row>
    <row r="2648" customFormat="false" ht="15" hidden="false" customHeight="true" outlineLevel="0" collapsed="false">
      <c r="A2648" s="163" t="s">
        <v>3036</v>
      </c>
      <c r="B2648" s="163" t="s">
        <v>926</v>
      </c>
      <c r="C2648" s="163" t="s">
        <v>3061</v>
      </c>
      <c r="D2648" s="163" t="s">
        <v>3062</v>
      </c>
      <c r="E2648" s="164" t="n">
        <v>13000</v>
      </c>
      <c r="F2648" s="165" t="s">
        <v>6890</v>
      </c>
    </row>
    <row r="2649" customFormat="false" ht="15" hidden="false" customHeight="true" outlineLevel="0" collapsed="false">
      <c r="A2649" s="163" t="s">
        <v>3036</v>
      </c>
      <c r="B2649" s="163" t="s">
        <v>926</v>
      </c>
      <c r="C2649" s="163" t="s">
        <v>395</v>
      </c>
      <c r="D2649" s="163" t="s">
        <v>2196</v>
      </c>
      <c r="E2649" s="164" t="n">
        <v>12000</v>
      </c>
      <c r="F2649" s="165" t="s">
        <v>3060</v>
      </c>
    </row>
    <row r="2650" customFormat="false" ht="15" hidden="false" customHeight="true" outlineLevel="0" collapsed="false">
      <c r="A2650" s="163" t="s">
        <v>3036</v>
      </c>
      <c r="B2650" s="163" t="s">
        <v>926</v>
      </c>
      <c r="C2650" s="163" t="s">
        <v>3145</v>
      </c>
      <c r="D2650" s="163" t="s">
        <v>3146</v>
      </c>
      <c r="E2650" s="164" t="n">
        <v>9000</v>
      </c>
      <c r="F2650" s="165" t="s">
        <v>3060</v>
      </c>
    </row>
    <row r="2651" customFormat="false" ht="15" hidden="false" customHeight="true" outlineLevel="0" collapsed="false">
      <c r="A2651" s="163" t="s">
        <v>3036</v>
      </c>
      <c r="B2651" s="163" t="s">
        <v>926</v>
      </c>
      <c r="C2651" s="163" t="s">
        <v>893</v>
      </c>
      <c r="D2651" s="163" t="s">
        <v>1931</v>
      </c>
      <c r="E2651" s="164" t="n">
        <v>5000</v>
      </c>
      <c r="F2651" s="165" t="s">
        <v>6891</v>
      </c>
    </row>
    <row r="2652" customFormat="false" ht="15" hidden="false" customHeight="true" outlineLevel="0" collapsed="false">
      <c r="A2652" s="163" t="s">
        <v>3036</v>
      </c>
      <c r="B2652" s="163" t="s">
        <v>957</v>
      </c>
      <c r="C2652" s="163" t="s">
        <v>3967</v>
      </c>
      <c r="D2652" s="163" t="s">
        <v>3968</v>
      </c>
      <c r="E2652" s="164" t="n">
        <v>20000</v>
      </c>
      <c r="F2652" s="165" t="s">
        <v>6892</v>
      </c>
    </row>
    <row r="2653" customFormat="false" ht="15" hidden="false" customHeight="true" outlineLevel="0" collapsed="false">
      <c r="A2653" s="163" t="s">
        <v>3036</v>
      </c>
      <c r="B2653" s="163" t="s">
        <v>957</v>
      </c>
      <c r="C2653" s="163" t="s">
        <v>3967</v>
      </c>
      <c r="D2653" s="163" t="s">
        <v>3968</v>
      </c>
      <c r="E2653" s="164" t="n">
        <v>20000</v>
      </c>
      <c r="F2653" s="165" t="s">
        <v>6893</v>
      </c>
    </row>
    <row r="2654" customFormat="false" ht="15" hidden="false" customHeight="true" outlineLevel="0" collapsed="false">
      <c r="A2654" s="163" t="s">
        <v>3036</v>
      </c>
      <c r="B2654" s="163" t="s">
        <v>957</v>
      </c>
      <c r="C2654" s="163" t="s">
        <v>3762</v>
      </c>
      <c r="D2654" s="163" t="s">
        <v>3763</v>
      </c>
      <c r="E2654" s="164" t="n">
        <v>19000</v>
      </c>
      <c r="F2654" s="165" t="s">
        <v>6894</v>
      </c>
    </row>
    <row r="2655" customFormat="false" ht="15" hidden="false" customHeight="true" outlineLevel="0" collapsed="false">
      <c r="A2655" s="163" t="s">
        <v>3036</v>
      </c>
      <c r="B2655" s="163" t="s">
        <v>957</v>
      </c>
      <c r="C2655" s="163" t="s">
        <v>4843</v>
      </c>
      <c r="D2655" s="163" t="s">
        <v>4844</v>
      </c>
      <c r="E2655" s="164" t="n">
        <v>16500</v>
      </c>
      <c r="F2655" s="165" t="s">
        <v>6894</v>
      </c>
    </row>
    <row r="2656" customFormat="false" ht="15" hidden="false" customHeight="true" outlineLevel="0" collapsed="false">
      <c r="A2656" s="163" t="s">
        <v>3036</v>
      </c>
      <c r="B2656" s="163" t="s">
        <v>957</v>
      </c>
      <c r="C2656" s="163" t="s">
        <v>3853</v>
      </c>
      <c r="D2656" s="163" t="s">
        <v>3854</v>
      </c>
      <c r="E2656" s="164" t="n">
        <v>11000</v>
      </c>
      <c r="F2656" s="165" t="s">
        <v>6895</v>
      </c>
    </row>
    <row r="2657" customFormat="false" ht="15" hidden="false" customHeight="true" outlineLevel="0" collapsed="false">
      <c r="A2657" s="163" t="s">
        <v>3036</v>
      </c>
      <c r="B2657" s="163" t="s">
        <v>957</v>
      </c>
      <c r="C2657" s="163" t="s">
        <v>6307</v>
      </c>
      <c r="D2657" s="163" t="s">
        <v>6308</v>
      </c>
      <c r="E2657" s="164" t="n">
        <v>9000</v>
      </c>
      <c r="F2657" s="165" t="s">
        <v>6896</v>
      </c>
    </row>
    <row r="2658" customFormat="false" ht="15" hidden="false" customHeight="true" outlineLevel="0" collapsed="false">
      <c r="A2658" s="163" t="s">
        <v>3036</v>
      </c>
      <c r="B2658" s="163" t="s">
        <v>957</v>
      </c>
      <c r="C2658" s="163" t="s">
        <v>1135</v>
      </c>
      <c r="D2658" s="163" t="s">
        <v>2507</v>
      </c>
      <c r="E2658" s="164" t="n">
        <v>7500</v>
      </c>
      <c r="F2658" s="165" t="s">
        <v>6897</v>
      </c>
    </row>
    <row r="2659" customFormat="false" ht="15" hidden="false" customHeight="true" outlineLevel="0" collapsed="false">
      <c r="A2659" s="163" t="s">
        <v>3036</v>
      </c>
      <c r="B2659" s="163" t="s">
        <v>957</v>
      </c>
      <c r="C2659" s="163" t="s">
        <v>3212</v>
      </c>
      <c r="D2659" s="163" t="s">
        <v>3213</v>
      </c>
      <c r="E2659" s="164" t="n">
        <v>7000</v>
      </c>
      <c r="F2659" s="165" t="s">
        <v>3060</v>
      </c>
    </row>
    <row r="2660" customFormat="false" ht="15" hidden="false" customHeight="true" outlineLevel="0" collapsed="false">
      <c r="A2660" s="163" t="s">
        <v>3036</v>
      </c>
      <c r="B2660" s="163" t="s">
        <v>945</v>
      </c>
      <c r="C2660" s="163" t="s">
        <v>3334</v>
      </c>
      <c r="D2660" s="163" t="s">
        <v>3335</v>
      </c>
      <c r="E2660" s="164" t="n">
        <v>25000</v>
      </c>
      <c r="F2660" s="165" t="s">
        <v>6898</v>
      </c>
    </row>
    <row r="2661" customFormat="false" ht="15" hidden="false" customHeight="true" outlineLevel="0" collapsed="false">
      <c r="A2661" s="163" t="s">
        <v>3036</v>
      </c>
      <c r="B2661" s="163" t="s">
        <v>945</v>
      </c>
      <c r="C2661" s="163" t="s">
        <v>6899</v>
      </c>
      <c r="D2661" s="163" t="s">
        <v>6900</v>
      </c>
      <c r="E2661" s="164" t="n">
        <v>15000</v>
      </c>
      <c r="F2661" s="165" t="s">
        <v>6901</v>
      </c>
    </row>
    <row r="2662" customFormat="false" ht="15" hidden="false" customHeight="true" outlineLevel="0" collapsed="false">
      <c r="A2662" s="163" t="s">
        <v>3036</v>
      </c>
      <c r="B2662" s="163" t="s">
        <v>945</v>
      </c>
      <c r="C2662" s="163" t="s">
        <v>452</v>
      </c>
      <c r="D2662" s="163" t="s">
        <v>2102</v>
      </c>
      <c r="E2662" s="164" t="n">
        <v>10000</v>
      </c>
      <c r="F2662" s="165" t="s">
        <v>6902</v>
      </c>
    </row>
    <row r="2663" customFormat="false" ht="15" hidden="false" customHeight="true" outlineLevel="0" collapsed="false">
      <c r="A2663" s="163" t="s">
        <v>3036</v>
      </c>
      <c r="B2663" s="163" t="s">
        <v>3111</v>
      </c>
      <c r="C2663" s="163" t="s">
        <v>6899</v>
      </c>
      <c r="D2663" s="163" t="s">
        <v>6900</v>
      </c>
      <c r="E2663" s="164" t="n">
        <v>20000</v>
      </c>
      <c r="F2663" s="165" t="s">
        <v>6903</v>
      </c>
    </row>
    <row r="2664" customFormat="false" ht="15" hidden="false" customHeight="true" outlineLevel="0" collapsed="false">
      <c r="A2664" s="163" t="s">
        <v>3036</v>
      </c>
      <c r="B2664" s="163" t="s">
        <v>3111</v>
      </c>
      <c r="C2664" s="163" t="s">
        <v>6904</v>
      </c>
      <c r="D2664" s="163" t="s">
        <v>6905</v>
      </c>
      <c r="E2664" s="164" t="n">
        <v>15000</v>
      </c>
      <c r="F2664" s="165" t="s">
        <v>6906</v>
      </c>
    </row>
    <row r="2665" customFormat="false" ht="15" hidden="false" customHeight="true" outlineLevel="0" collapsed="false">
      <c r="A2665" s="163" t="s">
        <v>3036</v>
      </c>
      <c r="B2665" s="163" t="s">
        <v>3111</v>
      </c>
      <c r="C2665" s="163" t="s">
        <v>2695</v>
      </c>
      <c r="D2665" s="163" t="s">
        <v>2696</v>
      </c>
      <c r="E2665" s="164" t="n">
        <v>10000</v>
      </c>
      <c r="F2665" s="165" t="s">
        <v>6907</v>
      </c>
    </row>
    <row r="2666" customFormat="false" ht="15" hidden="false" customHeight="true" outlineLevel="0" collapsed="false">
      <c r="A2666" s="163" t="s">
        <v>3036</v>
      </c>
      <c r="B2666" s="163" t="s">
        <v>3111</v>
      </c>
      <c r="C2666" s="163" t="s">
        <v>6908</v>
      </c>
      <c r="D2666" s="163" t="s">
        <v>6909</v>
      </c>
      <c r="E2666" s="164" t="n">
        <v>10000</v>
      </c>
      <c r="F2666" s="165" t="s">
        <v>6910</v>
      </c>
    </row>
    <row r="2667" customFormat="false" ht="15" hidden="false" customHeight="true" outlineLevel="0" collapsed="false">
      <c r="A2667" s="163" t="s">
        <v>3036</v>
      </c>
      <c r="B2667" s="163" t="s">
        <v>3111</v>
      </c>
      <c r="C2667" s="163" t="s">
        <v>4437</v>
      </c>
      <c r="D2667" s="163" t="s">
        <v>4438</v>
      </c>
      <c r="E2667" s="164" t="n">
        <v>10000</v>
      </c>
      <c r="F2667" s="165" t="s">
        <v>6911</v>
      </c>
    </row>
    <row r="2668" customFormat="false" ht="15" hidden="false" customHeight="true" outlineLevel="0" collapsed="false">
      <c r="A2668" s="163" t="s">
        <v>3036</v>
      </c>
      <c r="B2668" s="163" t="s">
        <v>3111</v>
      </c>
      <c r="C2668" s="163" t="s">
        <v>6912</v>
      </c>
      <c r="D2668" s="163" t="s">
        <v>6913</v>
      </c>
      <c r="E2668" s="164" t="n">
        <v>10000</v>
      </c>
      <c r="F2668" s="165" t="s">
        <v>6914</v>
      </c>
    </row>
    <row r="2669" customFormat="false" ht="15" hidden="false" customHeight="true" outlineLevel="0" collapsed="false">
      <c r="A2669" s="163" t="s">
        <v>3036</v>
      </c>
      <c r="B2669" s="163" t="s">
        <v>3111</v>
      </c>
      <c r="C2669" s="163" t="s">
        <v>372</v>
      </c>
      <c r="D2669" s="163" t="s">
        <v>2692</v>
      </c>
      <c r="E2669" s="164" t="n">
        <v>10000</v>
      </c>
      <c r="F2669" s="165" t="s">
        <v>6915</v>
      </c>
    </row>
    <row r="2670" customFormat="false" ht="15" hidden="false" customHeight="true" outlineLevel="0" collapsed="false">
      <c r="A2670" s="163" t="s">
        <v>3036</v>
      </c>
      <c r="B2670" s="163" t="s">
        <v>3111</v>
      </c>
      <c r="C2670" s="163" t="s">
        <v>5266</v>
      </c>
      <c r="D2670" s="163" t="s">
        <v>5267</v>
      </c>
      <c r="E2670" s="164" t="n">
        <v>10000</v>
      </c>
      <c r="F2670" s="165" t="s">
        <v>3060</v>
      </c>
    </row>
    <row r="2671" customFormat="false" ht="15" hidden="false" customHeight="true" outlineLevel="0" collapsed="false">
      <c r="A2671" s="163" t="s">
        <v>3036</v>
      </c>
      <c r="B2671" s="163" t="s">
        <v>3111</v>
      </c>
      <c r="C2671" s="163" t="s">
        <v>1264</v>
      </c>
      <c r="D2671" s="163" t="s">
        <v>2227</v>
      </c>
      <c r="E2671" s="164" t="n">
        <v>5000</v>
      </c>
      <c r="F2671" s="165" t="s">
        <v>3060</v>
      </c>
    </row>
    <row r="2672" customFormat="false" ht="15" hidden="false" customHeight="true" outlineLevel="0" collapsed="false">
      <c r="A2672" s="163" t="s">
        <v>3036</v>
      </c>
      <c r="B2672" s="163" t="s">
        <v>1938</v>
      </c>
      <c r="C2672" s="163" t="s">
        <v>3377</v>
      </c>
      <c r="D2672" s="163" t="s">
        <v>3378</v>
      </c>
      <c r="E2672" s="164" t="n">
        <v>20000</v>
      </c>
      <c r="F2672" s="165" t="s">
        <v>6916</v>
      </c>
    </row>
    <row r="2673" customFormat="false" ht="15" hidden="false" customHeight="true" outlineLevel="0" collapsed="false">
      <c r="A2673" s="163" t="s">
        <v>3036</v>
      </c>
      <c r="B2673" s="163" t="s">
        <v>1938</v>
      </c>
      <c r="C2673" s="163" t="s">
        <v>6917</v>
      </c>
      <c r="D2673" s="163" t="s">
        <v>6918</v>
      </c>
      <c r="E2673" s="164" t="n">
        <v>20000</v>
      </c>
      <c r="F2673" s="165" t="s">
        <v>6919</v>
      </c>
    </row>
    <row r="2674" customFormat="false" ht="15" hidden="false" customHeight="true" outlineLevel="0" collapsed="false">
      <c r="A2674" s="163" t="s">
        <v>3036</v>
      </c>
      <c r="B2674" s="163" t="s">
        <v>1938</v>
      </c>
      <c r="C2674" s="163" t="s">
        <v>4087</v>
      </c>
      <c r="D2674" s="163" t="s">
        <v>4088</v>
      </c>
      <c r="E2674" s="164" t="n">
        <v>20000</v>
      </c>
      <c r="F2674" s="165" t="s">
        <v>6920</v>
      </c>
    </row>
    <row r="2675" customFormat="false" ht="15" hidden="false" customHeight="true" outlineLevel="0" collapsed="false">
      <c r="A2675" s="163" t="s">
        <v>3036</v>
      </c>
      <c r="B2675" s="163" t="s">
        <v>1938</v>
      </c>
      <c r="C2675" s="163" t="s">
        <v>4087</v>
      </c>
      <c r="D2675" s="163" t="s">
        <v>4088</v>
      </c>
      <c r="E2675" s="164" t="n">
        <v>20000</v>
      </c>
      <c r="F2675" s="165" t="s">
        <v>6921</v>
      </c>
    </row>
    <row r="2676" customFormat="false" ht="15" hidden="false" customHeight="true" outlineLevel="0" collapsed="false">
      <c r="A2676" s="163" t="s">
        <v>3036</v>
      </c>
      <c r="B2676" s="163" t="s">
        <v>1938</v>
      </c>
      <c r="C2676" s="163" t="s">
        <v>3808</v>
      </c>
      <c r="D2676" s="163" t="s">
        <v>3809</v>
      </c>
      <c r="E2676" s="164" t="n">
        <v>20000</v>
      </c>
      <c r="F2676" s="165" t="s">
        <v>6922</v>
      </c>
    </row>
    <row r="2677" customFormat="false" ht="15" hidden="false" customHeight="true" outlineLevel="0" collapsed="false">
      <c r="A2677" s="163" t="s">
        <v>3036</v>
      </c>
      <c r="B2677" s="163" t="s">
        <v>1938</v>
      </c>
      <c r="C2677" s="163" t="s">
        <v>3808</v>
      </c>
      <c r="D2677" s="163" t="s">
        <v>3809</v>
      </c>
      <c r="E2677" s="164" t="n">
        <v>20000</v>
      </c>
      <c r="F2677" s="165" t="s">
        <v>6923</v>
      </c>
    </row>
    <row r="2678" customFormat="false" ht="15" hidden="false" customHeight="true" outlineLevel="0" collapsed="false">
      <c r="A2678" s="163" t="s">
        <v>3036</v>
      </c>
      <c r="B2678" s="163" t="s">
        <v>1938</v>
      </c>
      <c r="C2678" s="163" t="s">
        <v>6924</v>
      </c>
      <c r="D2678" s="163" t="s">
        <v>6925</v>
      </c>
      <c r="E2678" s="164" t="n">
        <v>20000</v>
      </c>
      <c r="F2678" s="165" t="s">
        <v>6926</v>
      </c>
    </row>
    <row r="2679" customFormat="false" ht="15" hidden="false" customHeight="true" outlineLevel="0" collapsed="false">
      <c r="A2679" s="163" t="s">
        <v>3036</v>
      </c>
      <c r="B2679" s="163" t="s">
        <v>1938</v>
      </c>
      <c r="C2679" s="163" t="s">
        <v>332</v>
      </c>
      <c r="D2679" s="163" t="s">
        <v>2673</v>
      </c>
      <c r="E2679" s="164" t="n">
        <v>20000</v>
      </c>
      <c r="F2679" s="165" t="s">
        <v>6927</v>
      </c>
    </row>
    <row r="2680" customFormat="false" ht="15" hidden="false" customHeight="true" outlineLevel="0" collapsed="false">
      <c r="A2680" s="163" t="s">
        <v>3036</v>
      </c>
      <c r="B2680" s="163" t="s">
        <v>1938</v>
      </c>
      <c r="C2680" s="163" t="s">
        <v>332</v>
      </c>
      <c r="D2680" s="163" t="s">
        <v>2673</v>
      </c>
      <c r="E2680" s="164" t="n">
        <v>20000</v>
      </c>
      <c r="F2680" s="165" t="s">
        <v>6928</v>
      </c>
    </row>
    <row r="2681" customFormat="false" ht="15" hidden="false" customHeight="true" outlineLevel="0" collapsed="false">
      <c r="A2681" s="163" t="s">
        <v>3036</v>
      </c>
      <c r="B2681" s="163" t="s">
        <v>1938</v>
      </c>
      <c r="C2681" s="163" t="s">
        <v>332</v>
      </c>
      <c r="D2681" s="163" t="s">
        <v>2673</v>
      </c>
      <c r="E2681" s="164" t="n">
        <v>20000</v>
      </c>
      <c r="F2681" s="165" t="s">
        <v>6929</v>
      </c>
    </row>
    <row r="2682" customFormat="false" ht="15" hidden="false" customHeight="true" outlineLevel="0" collapsed="false">
      <c r="A2682" s="163" t="s">
        <v>3036</v>
      </c>
      <c r="B2682" s="163" t="s">
        <v>1938</v>
      </c>
      <c r="C2682" s="163" t="s">
        <v>431</v>
      </c>
      <c r="D2682" s="163" t="s">
        <v>2678</v>
      </c>
      <c r="E2682" s="164" t="n">
        <v>20000</v>
      </c>
      <c r="F2682" s="165" t="s">
        <v>6930</v>
      </c>
    </row>
    <row r="2683" customFormat="false" ht="15" hidden="false" customHeight="true" outlineLevel="0" collapsed="false">
      <c r="A2683" s="163" t="s">
        <v>3036</v>
      </c>
      <c r="B2683" s="163" t="s">
        <v>1938</v>
      </c>
      <c r="C2683" s="163" t="s">
        <v>3395</v>
      </c>
      <c r="D2683" s="163" t="s">
        <v>3396</v>
      </c>
      <c r="E2683" s="164" t="n">
        <v>20000</v>
      </c>
      <c r="F2683" s="165" t="s">
        <v>6931</v>
      </c>
    </row>
    <row r="2684" customFormat="false" ht="15" hidden="false" customHeight="true" outlineLevel="0" collapsed="false">
      <c r="A2684" s="163" t="s">
        <v>3036</v>
      </c>
      <c r="B2684" s="163" t="s">
        <v>1938</v>
      </c>
      <c r="C2684" s="163" t="s">
        <v>3395</v>
      </c>
      <c r="D2684" s="163" t="s">
        <v>3396</v>
      </c>
      <c r="E2684" s="164" t="n">
        <v>20000</v>
      </c>
      <c r="F2684" s="165" t="s">
        <v>6932</v>
      </c>
    </row>
    <row r="2685" customFormat="false" ht="15" hidden="false" customHeight="true" outlineLevel="0" collapsed="false">
      <c r="A2685" s="163" t="s">
        <v>3036</v>
      </c>
      <c r="B2685" s="163" t="s">
        <v>1938</v>
      </c>
      <c r="C2685" s="163" t="s">
        <v>3395</v>
      </c>
      <c r="D2685" s="163" t="s">
        <v>3396</v>
      </c>
      <c r="E2685" s="164" t="n">
        <v>20000</v>
      </c>
      <c r="F2685" s="165" t="s">
        <v>6933</v>
      </c>
    </row>
    <row r="2686" customFormat="false" ht="15" hidden="false" customHeight="true" outlineLevel="0" collapsed="false">
      <c r="A2686" s="163" t="s">
        <v>3036</v>
      </c>
      <c r="B2686" s="163" t="s">
        <v>1938</v>
      </c>
      <c r="C2686" s="163" t="s">
        <v>3395</v>
      </c>
      <c r="D2686" s="163" t="s">
        <v>3396</v>
      </c>
      <c r="E2686" s="164" t="n">
        <v>20000</v>
      </c>
      <c r="F2686" s="165" t="s">
        <v>6934</v>
      </c>
    </row>
    <row r="2687" customFormat="false" ht="15" hidden="false" customHeight="true" outlineLevel="0" collapsed="false">
      <c r="A2687" s="163" t="s">
        <v>3036</v>
      </c>
      <c r="B2687" s="163" t="s">
        <v>1938</v>
      </c>
      <c r="C2687" s="163" t="s">
        <v>6935</v>
      </c>
      <c r="D2687" s="163" t="s">
        <v>6936</v>
      </c>
      <c r="E2687" s="164" t="n">
        <v>20000</v>
      </c>
      <c r="F2687" s="165" t="s">
        <v>6937</v>
      </c>
    </row>
    <row r="2688" customFormat="false" ht="15" hidden="false" customHeight="true" outlineLevel="0" collapsed="false">
      <c r="A2688" s="163" t="s">
        <v>3036</v>
      </c>
      <c r="B2688" s="163" t="s">
        <v>1938</v>
      </c>
      <c r="C2688" s="163" t="s">
        <v>3877</v>
      </c>
      <c r="D2688" s="163" t="s">
        <v>3878</v>
      </c>
      <c r="E2688" s="164" t="n">
        <v>20000</v>
      </c>
      <c r="F2688" s="165" t="s">
        <v>6938</v>
      </c>
    </row>
    <row r="2689" customFormat="false" ht="15" hidden="false" customHeight="true" outlineLevel="0" collapsed="false">
      <c r="A2689" s="163" t="s">
        <v>3036</v>
      </c>
      <c r="B2689" s="163" t="s">
        <v>691</v>
      </c>
      <c r="C2689" s="163" t="s">
        <v>5188</v>
      </c>
      <c r="D2689" s="163" t="s">
        <v>5189</v>
      </c>
      <c r="E2689" s="164" t="n">
        <v>50000</v>
      </c>
      <c r="F2689" s="165" t="s">
        <v>3060</v>
      </c>
    </row>
    <row r="2690" customFormat="false" ht="15" hidden="false" customHeight="true" outlineLevel="0" collapsed="false">
      <c r="A2690" s="163" t="s">
        <v>3036</v>
      </c>
      <c r="B2690" s="163" t="s">
        <v>691</v>
      </c>
      <c r="C2690" s="163" t="s">
        <v>6939</v>
      </c>
      <c r="D2690" s="163" t="s">
        <v>6940</v>
      </c>
      <c r="E2690" s="164" t="n">
        <v>25000</v>
      </c>
      <c r="F2690" s="165" t="s">
        <v>3060</v>
      </c>
    </row>
    <row r="2691" customFormat="false" ht="15" hidden="false" customHeight="true" outlineLevel="0" collapsed="false">
      <c r="A2691" s="163" t="s">
        <v>3036</v>
      </c>
      <c r="B2691" s="163" t="s">
        <v>691</v>
      </c>
      <c r="C2691" s="163" t="s">
        <v>2695</v>
      </c>
      <c r="D2691" s="163" t="s">
        <v>2696</v>
      </c>
      <c r="E2691" s="164" t="n">
        <v>20000</v>
      </c>
      <c r="F2691" s="165" t="s">
        <v>3060</v>
      </c>
    </row>
    <row r="2692" customFormat="false" ht="15" hidden="false" customHeight="true" outlineLevel="0" collapsed="false">
      <c r="A2692" s="163" t="s">
        <v>3036</v>
      </c>
      <c r="B2692" s="163" t="s">
        <v>691</v>
      </c>
      <c r="C2692" s="163" t="s">
        <v>6941</v>
      </c>
      <c r="D2692" s="163" t="s">
        <v>6942</v>
      </c>
      <c r="E2692" s="164" t="n">
        <v>20000</v>
      </c>
      <c r="F2692" s="165" t="s">
        <v>3060</v>
      </c>
    </row>
    <row r="2693" customFormat="false" ht="15" hidden="false" customHeight="true" outlineLevel="0" collapsed="false">
      <c r="A2693" s="163" t="s">
        <v>3036</v>
      </c>
      <c r="B2693" s="163" t="s">
        <v>691</v>
      </c>
      <c r="C2693" s="163" t="s">
        <v>6935</v>
      </c>
      <c r="D2693" s="163" t="s">
        <v>6936</v>
      </c>
      <c r="E2693" s="164" t="n">
        <v>10000</v>
      </c>
      <c r="F2693" s="165" t="s">
        <v>3060</v>
      </c>
    </row>
    <row r="2694" customFormat="false" ht="15" hidden="false" customHeight="true" outlineLevel="0" collapsed="false">
      <c r="A2694" s="163" t="s">
        <v>3036</v>
      </c>
      <c r="B2694" s="163" t="s">
        <v>691</v>
      </c>
      <c r="C2694" s="163" t="s">
        <v>3309</v>
      </c>
      <c r="D2694" s="163" t="s">
        <v>3310</v>
      </c>
      <c r="E2694" s="164" t="n">
        <v>10000</v>
      </c>
      <c r="F2694" s="165" t="s">
        <v>3060</v>
      </c>
    </row>
    <row r="2695" customFormat="false" ht="15" hidden="false" customHeight="true" outlineLevel="0" collapsed="false">
      <c r="A2695" s="163" t="s">
        <v>3036</v>
      </c>
      <c r="B2695" s="163" t="s">
        <v>691</v>
      </c>
      <c r="C2695" s="163" t="s">
        <v>3956</v>
      </c>
      <c r="D2695" s="163" t="s">
        <v>3957</v>
      </c>
      <c r="E2695" s="164" t="n">
        <v>10000</v>
      </c>
      <c r="F2695" s="165" t="s">
        <v>3060</v>
      </c>
    </row>
    <row r="2696" customFormat="false" ht="15" hidden="false" customHeight="true" outlineLevel="0" collapsed="false">
      <c r="A2696" s="163" t="s">
        <v>3036</v>
      </c>
      <c r="B2696" s="163" t="s">
        <v>2027</v>
      </c>
      <c r="C2696" s="163" t="s">
        <v>6943</v>
      </c>
      <c r="D2696" s="163" t="s">
        <v>6944</v>
      </c>
      <c r="E2696" s="164" t="n">
        <v>50000</v>
      </c>
      <c r="F2696" s="165" t="s">
        <v>3060</v>
      </c>
    </row>
    <row r="2697" customFormat="false" ht="15" hidden="false" customHeight="true" outlineLevel="0" collapsed="false">
      <c r="A2697" s="163" t="s">
        <v>3036</v>
      </c>
      <c r="B2697" s="163" t="s">
        <v>2027</v>
      </c>
      <c r="C2697" s="163" t="s">
        <v>6203</v>
      </c>
      <c r="D2697" s="163" t="s">
        <v>6204</v>
      </c>
      <c r="E2697" s="164" t="n">
        <v>40000</v>
      </c>
      <c r="F2697" s="165" t="s">
        <v>3060</v>
      </c>
    </row>
    <row r="2698" customFormat="false" ht="15" hidden="false" customHeight="true" outlineLevel="0" collapsed="false">
      <c r="A2698" s="163" t="s">
        <v>3036</v>
      </c>
      <c r="B2698" s="163" t="s">
        <v>2037</v>
      </c>
      <c r="C2698" s="163" t="s">
        <v>3980</v>
      </c>
      <c r="D2698" s="163" t="s">
        <v>3981</v>
      </c>
      <c r="E2698" s="164" t="n">
        <v>38000</v>
      </c>
      <c r="F2698" s="165" t="s">
        <v>3060</v>
      </c>
    </row>
    <row r="2699" customFormat="false" ht="15" hidden="false" customHeight="true" outlineLevel="0" collapsed="false">
      <c r="A2699" s="163" t="s">
        <v>3036</v>
      </c>
      <c r="B2699" s="163" t="s">
        <v>2037</v>
      </c>
      <c r="C2699" s="163" t="s">
        <v>6945</v>
      </c>
      <c r="D2699" s="163" t="s">
        <v>6946</v>
      </c>
      <c r="E2699" s="164" t="n">
        <v>35000</v>
      </c>
      <c r="F2699" s="165" t="s">
        <v>3060</v>
      </c>
    </row>
    <row r="2700" customFormat="false" ht="15" hidden="false" customHeight="true" outlineLevel="0" collapsed="false">
      <c r="A2700" s="163" t="s">
        <v>3036</v>
      </c>
      <c r="B2700" s="163" t="s">
        <v>2037</v>
      </c>
      <c r="C2700" s="163" t="s">
        <v>6947</v>
      </c>
      <c r="D2700" s="163" t="s">
        <v>6948</v>
      </c>
      <c r="E2700" s="164" t="n">
        <v>20000</v>
      </c>
      <c r="F2700" s="165" t="s">
        <v>3060</v>
      </c>
    </row>
    <row r="2701" customFormat="false" ht="15" hidden="false" customHeight="true" outlineLevel="0" collapsed="false">
      <c r="A2701" s="163" t="s">
        <v>3036</v>
      </c>
      <c r="B2701" s="163" t="s">
        <v>2037</v>
      </c>
      <c r="C2701" s="163" t="s">
        <v>3872</v>
      </c>
      <c r="D2701" s="163" t="s">
        <v>3873</v>
      </c>
      <c r="E2701" s="164" t="n">
        <v>15000</v>
      </c>
      <c r="F2701" s="165" t="s">
        <v>3060</v>
      </c>
    </row>
    <row r="2702" customFormat="false" ht="15" hidden="false" customHeight="true" outlineLevel="0" collapsed="false">
      <c r="A2702" s="163" t="s">
        <v>3036</v>
      </c>
      <c r="B2702" s="163" t="s">
        <v>2037</v>
      </c>
      <c r="C2702" s="163" t="s">
        <v>3799</v>
      </c>
      <c r="D2702" s="163" t="s">
        <v>3800</v>
      </c>
      <c r="E2702" s="164" t="n">
        <v>15000</v>
      </c>
      <c r="F2702" s="165" t="s">
        <v>3060</v>
      </c>
    </row>
    <row r="2703" customFormat="false" ht="15" hidden="false" customHeight="true" outlineLevel="0" collapsed="false">
      <c r="A2703" s="163" t="s">
        <v>3036</v>
      </c>
      <c r="B2703" s="163" t="s">
        <v>2037</v>
      </c>
      <c r="C2703" s="163" t="s">
        <v>4452</v>
      </c>
      <c r="D2703" s="163" t="s">
        <v>4453</v>
      </c>
      <c r="E2703" s="164" t="n">
        <v>10000</v>
      </c>
      <c r="F2703" s="165" t="s">
        <v>3060</v>
      </c>
    </row>
    <row r="2704" customFormat="false" ht="15" hidden="false" customHeight="true" outlineLevel="0" collapsed="false">
      <c r="A2704" s="163" t="s">
        <v>3036</v>
      </c>
      <c r="B2704" s="163" t="s">
        <v>894</v>
      </c>
      <c r="C2704" s="163" t="s">
        <v>5017</v>
      </c>
      <c r="D2704" s="163" t="s">
        <v>5018</v>
      </c>
      <c r="E2704" s="164" t="n">
        <v>20000</v>
      </c>
      <c r="F2704" s="165" t="s">
        <v>3060</v>
      </c>
    </row>
    <row r="2705" customFormat="false" ht="15" hidden="false" customHeight="true" outlineLevel="0" collapsed="false">
      <c r="A2705" s="163" t="s">
        <v>3036</v>
      </c>
      <c r="B2705" s="163" t="s">
        <v>894</v>
      </c>
      <c r="C2705" s="163" t="s">
        <v>3923</v>
      </c>
      <c r="D2705" s="163" t="s">
        <v>3924</v>
      </c>
      <c r="E2705" s="164" t="n">
        <v>20000</v>
      </c>
      <c r="F2705" s="165" t="s">
        <v>6949</v>
      </c>
    </row>
    <row r="2706" customFormat="false" ht="15" hidden="false" customHeight="true" outlineLevel="0" collapsed="false">
      <c r="A2706" s="163" t="s">
        <v>3036</v>
      </c>
      <c r="B2706" s="163" t="s">
        <v>894</v>
      </c>
      <c r="C2706" s="163" t="s">
        <v>6943</v>
      </c>
      <c r="D2706" s="163" t="s">
        <v>6944</v>
      </c>
      <c r="E2706" s="164" t="n">
        <v>19000</v>
      </c>
      <c r="F2706" s="165" t="s">
        <v>6950</v>
      </c>
    </row>
    <row r="2707" customFormat="false" ht="15" hidden="false" customHeight="true" outlineLevel="0" collapsed="false">
      <c r="A2707" s="163" t="s">
        <v>3036</v>
      </c>
      <c r="B2707" s="163" t="s">
        <v>894</v>
      </c>
      <c r="C2707" s="163" t="s">
        <v>3752</v>
      </c>
      <c r="D2707" s="163" t="s">
        <v>3753</v>
      </c>
      <c r="E2707" s="164" t="n">
        <v>15000</v>
      </c>
      <c r="F2707" s="165" t="s">
        <v>6951</v>
      </c>
    </row>
    <row r="2708" customFormat="false" ht="15" hidden="false" customHeight="true" outlineLevel="0" collapsed="false">
      <c r="A2708" s="163" t="s">
        <v>3036</v>
      </c>
      <c r="B2708" s="163" t="s">
        <v>894</v>
      </c>
      <c r="C2708" s="163" t="s">
        <v>925</v>
      </c>
      <c r="D2708" s="163" t="s">
        <v>1931</v>
      </c>
      <c r="E2708" s="164" t="n">
        <v>12000</v>
      </c>
      <c r="F2708" s="165" t="s">
        <v>6952</v>
      </c>
    </row>
    <row r="2709" customFormat="false" ht="15" hidden="false" customHeight="true" outlineLevel="0" collapsed="false">
      <c r="A2709" s="163" t="s">
        <v>3036</v>
      </c>
      <c r="B2709" s="163" t="s">
        <v>894</v>
      </c>
      <c r="C2709" s="163" t="s">
        <v>925</v>
      </c>
      <c r="D2709" s="163" t="s">
        <v>1931</v>
      </c>
      <c r="E2709" s="164" t="n">
        <v>12000</v>
      </c>
      <c r="F2709" s="165" t="s">
        <v>6953</v>
      </c>
    </row>
    <row r="2710" customFormat="false" ht="15" hidden="false" customHeight="true" outlineLevel="0" collapsed="false">
      <c r="A2710" s="163" t="s">
        <v>3036</v>
      </c>
      <c r="B2710" s="163" t="s">
        <v>894</v>
      </c>
      <c r="C2710" s="163" t="s">
        <v>925</v>
      </c>
      <c r="D2710" s="163" t="s">
        <v>1931</v>
      </c>
      <c r="E2710" s="164" t="n">
        <v>12000</v>
      </c>
      <c r="F2710" s="165" t="s">
        <v>6954</v>
      </c>
    </row>
    <row r="2711" customFormat="false" ht="15" hidden="false" customHeight="true" outlineLevel="0" collapsed="false">
      <c r="A2711" s="163" t="s">
        <v>3036</v>
      </c>
      <c r="B2711" s="163" t="s">
        <v>894</v>
      </c>
      <c r="C2711" s="163" t="s">
        <v>6955</v>
      </c>
      <c r="D2711" s="163" t="s">
        <v>6956</v>
      </c>
      <c r="E2711" s="164" t="n">
        <v>12000</v>
      </c>
      <c r="F2711" s="165" t="s">
        <v>3060</v>
      </c>
    </row>
    <row r="2712" customFormat="false" ht="15" hidden="false" customHeight="true" outlineLevel="0" collapsed="false">
      <c r="A2712" s="163" t="s">
        <v>3036</v>
      </c>
      <c r="B2712" s="163" t="s">
        <v>894</v>
      </c>
      <c r="C2712" s="163" t="s">
        <v>6957</v>
      </c>
      <c r="D2712" s="163" t="s">
        <v>6958</v>
      </c>
      <c r="E2712" s="164" t="n">
        <v>10000</v>
      </c>
      <c r="F2712" s="165" t="s">
        <v>6911</v>
      </c>
    </row>
    <row r="2713" customFormat="false" ht="15" hidden="false" customHeight="true" outlineLevel="0" collapsed="false">
      <c r="A2713" s="163" t="s">
        <v>3036</v>
      </c>
      <c r="B2713" s="163" t="s">
        <v>894</v>
      </c>
      <c r="C2713" s="163" t="s">
        <v>3334</v>
      </c>
      <c r="D2713" s="163" t="s">
        <v>3335</v>
      </c>
      <c r="E2713" s="164" t="n">
        <v>10000</v>
      </c>
      <c r="F2713" s="165" t="s">
        <v>6959</v>
      </c>
    </row>
    <row r="2714" customFormat="false" ht="15" hidden="false" customHeight="true" outlineLevel="0" collapsed="false">
      <c r="A2714" s="163" t="s">
        <v>3036</v>
      </c>
      <c r="B2714" s="163" t="s">
        <v>894</v>
      </c>
      <c r="C2714" s="163" t="s">
        <v>6960</v>
      </c>
      <c r="D2714" s="163" t="s">
        <v>6961</v>
      </c>
      <c r="E2714" s="164" t="n">
        <v>10000</v>
      </c>
      <c r="F2714" s="165" t="s">
        <v>6962</v>
      </c>
    </row>
    <row r="2715" customFormat="false" ht="15" hidden="false" customHeight="true" outlineLevel="0" collapsed="false">
      <c r="A2715" s="163" t="s">
        <v>3036</v>
      </c>
      <c r="B2715" s="163" t="s">
        <v>894</v>
      </c>
      <c r="C2715" s="163" t="s">
        <v>4191</v>
      </c>
      <c r="D2715" s="163" t="s">
        <v>4192</v>
      </c>
      <c r="E2715" s="164" t="n">
        <v>10000</v>
      </c>
      <c r="F2715" s="165" t="s">
        <v>6963</v>
      </c>
    </row>
    <row r="2716" customFormat="false" ht="15" hidden="false" customHeight="true" outlineLevel="0" collapsed="false">
      <c r="A2716" s="163" t="s">
        <v>3036</v>
      </c>
      <c r="B2716" s="163" t="s">
        <v>894</v>
      </c>
      <c r="C2716" s="163" t="s">
        <v>6964</v>
      </c>
      <c r="D2716" s="163" t="s">
        <v>6965</v>
      </c>
      <c r="E2716" s="164" t="n">
        <v>10000</v>
      </c>
      <c r="F2716" s="165" t="s">
        <v>3060</v>
      </c>
    </row>
    <row r="2717" customFormat="false" ht="15" hidden="false" customHeight="true" outlineLevel="0" collapsed="false">
      <c r="A2717" s="163" t="s">
        <v>3036</v>
      </c>
      <c r="B2717" s="163" t="s">
        <v>894</v>
      </c>
      <c r="C2717" s="163" t="s">
        <v>1169</v>
      </c>
      <c r="D2717" s="163" t="s">
        <v>2801</v>
      </c>
      <c r="E2717" s="164" t="n">
        <v>10000</v>
      </c>
      <c r="F2717" s="165" t="s">
        <v>6966</v>
      </c>
    </row>
    <row r="2718" customFormat="false" ht="15" hidden="false" customHeight="true" outlineLevel="0" collapsed="false">
      <c r="A2718" s="163" t="s">
        <v>3036</v>
      </c>
      <c r="B2718" s="163" t="s">
        <v>894</v>
      </c>
      <c r="C2718" s="163" t="s">
        <v>6800</v>
      </c>
      <c r="D2718" s="163" t="s">
        <v>6801</v>
      </c>
      <c r="E2718" s="164" t="n">
        <v>10000</v>
      </c>
      <c r="F2718" s="165" t="s">
        <v>6911</v>
      </c>
    </row>
    <row r="2719" customFormat="false" ht="15" hidden="false" customHeight="true" outlineLevel="0" collapsed="false">
      <c r="A2719" s="163" t="s">
        <v>3036</v>
      </c>
      <c r="B2719" s="163" t="s">
        <v>894</v>
      </c>
      <c r="C2719" s="163" t="s">
        <v>6794</v>
      </c>
      <c r="D2719" s="163" t="s">
        <v>6795</v>
      </c>
      <c r="E2719" s="164" t="n">
        <v>10000</v>
      </c>
      <c r="F2719" s="165" t="s">
        <v>6967</v>
      </c>
    </row>
    <row r="2720" customFormat="false" ht="15" hidden="false" customHeight="true" outlineLevel="0" collapsed="false">
      <c r="A2720" s="163" t="s">
        <v>3036</v>
      </c>
      <c r="B2720" s="163" t="s">
        <v>894</v>
      </c>
      <c r="C2720" s="163" t="s">
        <v>3416</v>
      </c>
      <c r="D2720" s="163" t="s">
        <v>3417</v>
      </c>
      <c r="E2720" s="164" t="n">
        <v>10000</v>
      </c>
      <c r="F2720" s="165" t="s">
        <v>6911</v>
      </c>
    </row>
    <row r="2721" customFormat="false" ht="15" hidden="false" customHeight="true" outlineLevel="0" collapsed="false">
      <c r="A2721" s="163" t="s">
        <v>3036</v>
      </c>
      <c r="B2721" s="163" t="s">
        <v>894</v>
      </c>
      <c r="C2721" s="163" t="s">
        <v>6941</v>
      </c>
      <c r="D2721" s="163" t="s">
        <v>6942</v>
      </c>
      <c r="E2721" s="164" t="n">
        <v>9500</v>
      </c>
      <c r="F2721" s="165" t="s">
        <v>3060</v>
      </c>
    </row>
    <row r="2722" customFormat="false" ht="15" hidden="false" customHeight="true" outlineLevel="0" collapsed="false">
      <c r="A2722" s="163" t="s">
        <v>3036</v>
      </c>
      <c r="B2722" s="163" t="s">
        <v>894</v>
      </c>
      <c r="C2722" s="163" t="s">
        <v>6888</v>
      </c>
      <c r="D2722" s="163" t="s">
        <v>6889</v>
      </c>
      <c r="E2722" s="164" t="n">
        <v>9000</v>
      </c>
      <c r="F2722" s="165" t="s">
        <v>6911</v>
      </c>
    </row>
    <row r="2723" customFormat="false" ht="15" hidden="false" customHeight="true" outlineLevel="0" collapsed="false">
      <c r="A2723" s="163" t="s">
        <v>3036</v>
      </c>
      <c r="B2723" s="163" t="s">
        <v>894</v>
      </c>
      <c r="C2723" s="163" t="s">
        <v>6968</v>
      </c>
      <c r="D2723" s="163" t="s">
        <v>6969</v>
      </c>
      <c r="E2723" s="164" t="n">
        <v>8000</v>
      </c>
      <c r="F2723" s="165" t="s">
        <v>3060</v>
      </c>
    </row>
    <row r="2724" customFormat="false" ht="15" hidden="false" customHeight="true" outlineLevel="0" collapsed="false">
      <c r="A2724" s="163" t="s">
        <v>3036</v>
      </c>
      <c r="B2724" s="163" t="s">
        <v>894</v>
      </c>
      <c r="C2724" s="163" t="s">
        <v>6970</v>
      </c>
      <c r="D2724" s="163" t="s">
        <v>6971</v>
      </c>
      <c r="E2724" s="164" t="n">
        <v>7500</v>
      </c>
      <c r="F2724" s="165" t="s">
        <v>3060</v>
      </c>
    </row>
    <row r="2725" customFormat="false" ht="15" hidden="false" customHeight="true" outlineLevel="0" collapsed="false">
      <c r="A2725" s="163" t="s">
        <v>3036</v>
      </c>
      <c r="B2725" s="163" t="s">
        <v>894</v>
      </c>
      <c r="C2725" s="163" t="s">
        <v>3923</v>
      </c>
      <c r="D2725" s="163" t="s">
        <v>3924</v>
      </c>
      <c r="E2725" s="164" t="n">
        <v>6500</v>
      </c>
      <c r="F2725" s="165" t="s">
        <v>6972</v>
      </c>
    </row>
    <row r="2726" customFormat="false" ht="15" hidden="false" customHeight="true" outlineLevel="0" collapsed="false">
      <c r="A2726" s="163" t="s">
        <v>3036</v>
      </c>
      <c r="B2726" s="163" t="s">
        <v>894</v>
      </c>
      <c r="C2726" s="163" t="s">
        <v>6973</v>
      </c>
      <c r="D2726" s="163" t="s">
        <v>6974</v>
      </c>
      <c r="E2726" s="164" t="n">
        <v>5000</v>
      </c>
      <c r="F2726" s="165" t="s">
        <v>3060</v>
      </c>
    </row>
    <row r="2727" customFormat="false" ht="15" hidden="false" customHeight="true" outlineLevel="0" collapsed="false">
      <c r="A2727" s="163" t="s">
        <v>3036</v>
      </c>
      <c r="B2727" s="163" t="s">
        <v>894</v>
      </c>
      <c r="C2727" s="163" t="s">
        <v>3061</v>
      </c>
      <c r="D2727" s="163" t="s">
        <v>3062</v>
      </c>
      <c r="E2727" s="164" t="n">
        <v>5000</v>
      </c>
      <c r="F2727" s="165" t="s">
        <v>6975</v>
      </c>
    </row>
    <row r="2728" customFormat="false" ht="15" hidden="false" customHeight="true" outlineLevel="0" collapsed="false">
      <c r="A2728" s="163" t="s">
        <v>3036</v>
      </c>
      <c r="B2728" s="163" t="s">
        <v>894</v>
      </c>
      <c r="C2728" s="163" t="s">
        <v>6976</v>
      </c>
      <c r="D2728" s="163" t="s">
        <v>6977</v>
      </c>
      <c r="E2728" s="164" t="n">
        <v>5000</v>
      </c>
      <c r="F2728" s="165" t="s">
        <v>3060</v>
      </c>
    </row>
    <row r="2729" customFormat="false" ht="15" hidden="false" customHeight="true" outlineLevel="0" collapsed="false">
      <c r="A2729" s="163" t="s">
        <v>3036</v>
      </c>
      <c r="B2729" s="163" t="s">
        <v>894</v>
      </c>
      <c r="C2729" s="163" t="s">
        <v>3805</v>
      </c>
      <c r="D2729" s="163" t="s">
        <v>3806</v>
      </c>
      <c r="E2729" s="164" t="n">
        <v>5000</v>
      </c>
      <c r="F2729" s="165" t="s">
        <v>3060</v>
      </c>
    </row>
    <row r="2730" customFormat="false" ht="15" hidden="false" customHeight="true" outlineLevel="0" collapsed="false">
      <c r="A2730" s="163" t="s">
        <v>3036</v>
      </c>
      <c r="B2730" s="163" t="s">
        <v>894</v>
      </c>
      <c r="C2730" s="163" t="s">
        <v>6978</v>
      </c>
      <c r="D2730" s="163" t="s">
        <v>6979</v>
      </c>
      <c r="E2730" s="164" t="n">
        <v>5000</v>
      </c>
      <c r="F2730" s="165" t="s">
        <v>3060</v>
      </c>
    </row>
    <row r="2731" customFormat="false" ht="15" hidden="false" customHeight="true" outlineLevel="0" collapsed="false">
      <c r="A2731" s="163" t="s">
        <v>3036</v>
      </c>
      <c r="B2731" s="163" t="s">
        <v>894</v>
      </c>
      <c r="C2731" s="163" t="s">
        <v>4047</v>
      </c>
      <c r="D2731" s="163" t="s">
        <v>4048</v>
      </c>
      <c r="E2731" s="164" t="n">
        <v>5000</v>
      </c>
      <c r="F2731" s="165" t="s">
        <v>3060</v>
      </c>
    </row>
    <row r="2732" customFormat="false" ht="15" hidden="false" customHeight="true" outlineLevel="0" collapsed="false">
      <c r="A2732" s="163" t="s">
        <v>3036</v>
      </c>
      <c r="B2732" s="163" t="s">
        <v>894</v>
      </c>
      <c r="C2732" s="163" t="s">
        <v>4229</v>
      </c>
      <c r="D2732" s="163" t="s">
        <v>4230</v>
      </c>
      <c r="E2732" s="164" t="n">
        <v>5000</v>
      </c>
      <c r="F2732" s="165" t="s">
        <v>3060</v>
      </c>
    </row>
    <row r="2733" customFormat="false" ht="15" hidden="false" customHeight="true" outlineLevel="0" collapsed="false">
      <c r="A2733" s="163" t="s">
        <v>3036</v>
      </c>
      <c r="B2733" s="163" t="s">
        <v>894</v>
      </c>
      <c r="C2733" s="163" t="s">
        <v>6899</v>
      </c>
      <c r="D2733" s="163" t="s">
        <v>6900</v>
      </c>
      <c r="E2733" s="164" t="n">
        <v>5000</v>
      </c>
      <c r="F2733" s="165" t="s">
        <v>4765</v>
      </c>
    </row>
    <row r="2734" customFormat="false" ht="15" hidden="false" customHeight="true" outlineLevel="0" collapsed="false">
      <c r="A2734" s="163" t="s">
        <v>3036</v>
      </c>
      <c r="B2734" s="163" t="s">
        <v>894</v>
      </c>
      <c r="C2734" s="163" t="s">
        <v>1019</v>
      </c>
      <c r="D2734" s="163" t="s">
        <v>6980</v>
      </c>
      <c r="E2734" s="164" t="n">
        <v>5000</v>
      </c>
      <c r="F2734" s="165" t="s">
        <v>6981</v>
      </c>
    </row>
    <row r="2735" customFormat="false" ht="15" hidden="false" customHeight="true" outlineLevel="0" collapsed="false">
      <c r="A2735" s="163" t="s">
        <v>3036</v>
      </c>
      <c r="B2735" s="163" t="s">
        <v>894</v>
      </c>
      <c r="C2735" s="163" t="s">
        <v>6982</v>
      </c>
      <c r="D2735" s="163" t="s">
        <v>6983</v>
      </c>
      <c r="E2735" s="164" t="n">
        <v>5000</v>
      </c>
      <c r="F2735" s="165" t="s">
        <v>6911</v>
      </c>
    </row>
    <row r="2736" customFormat="false" ht="15" hidden="false" customHeight="true" outlineLevel="0" collapsed="false">
      <c r="A2736" s="163" t="s">
        <v>3036</v>
      </c>
      <c r="B2736" s="163" t="s">
        <v>894</v>
      </c>
      <c r="C2736" s="163" t="s">
        <v>6384</v>
      </c>
      <c r="D2736" s="163" t="s">
        <v>6385</v>
      </c>
      <c r="E2736" s="164" t="n">
        <v>5000</v>
      </c>
      <c r="F2736" s="165" t="s">
        <v>6984</v>
      </c>
    </row>
    <row r="2737" customFormat="false" ht="15" hidden="false" customHeight="true" outlineLevel="0" collapsed="false">
      <c r="A2737" s="163" t="s">
        <v>3036</v>
      </c>
      <c r="B2737" s="163" t="s">
        <v>894</v>
      </c>
      <c r="C2737" s="163" t="s">
        <v>6985</v>
      </c>
      <c r="D2737" s="163" t="s">
        <v>6986</v>
      </c>
      <c r="E2737" s="164" t="n">
        <v>5000</v>
      </c>
      <c r="F2737" s="165" t="s">
        <v>6987</v>
      </c>
    </row>
    <row r="2738" customFormat="false" ht="15" hidden="false" customHeight="true" outlineLevel="0" collapsed="false">
      <c r="A2738" s="163" t="s">
        <v>3036</v>
      </c>
      <c r="B2738" s="163" t="s">
        <v>894</v>
      </c>
      <c r="C2738" s="163" t="s">
        <v>1860</v>
      </c>
      <c r="D2738" s="163" t="s">
        <v>1861</v>
      </c>
      <c r="E2738" s="164" t="n">
        <v>5000</v>
      </c>
      <c r="F2738" s="165" t="s">
        <v>6988</v>
      </c>
    </row>
    <row r="2739" customFormat="false" ht="15" hidden="false" customHeight="true" outlineLevel="0" collapsed="false">
      <c r="A2739" s="163" t="s">
        <v>3036</v>
      </c>
      <c r="B2739" s="163" t="s">
        <v>894</v>
      </c>
      <c r="C2739" s="163" t="s">
        <v>6989</v>
      </c>
      <c r="D2739" s="163" t="s">
        <v>6990</v>
      </c>
      <c r="E2739" s="164" t="n">
        <v>5000</v>
      </c>
      <c r="F2739" s="165" t="s">
        <v>6911</v>
      </c>
    </row>
    <row r="2740" customFormat="false" ht="15" hidden="false" customHeight="true" outlineLevel="0" collapsed="false">
      <c r="A2740" s="163" t="s">
        <v>3036</v>
      </c>
      <c r="B2740" s="163" t="s">
        <v>894</v>
      </c>
      <c r="C2740" s="163" t="s">
        <v>5591</v>
      </c>
      <c r="D2740" s="163" t="s">
        <v>5592</v>
      </c>
      <c r="E2740" s="164" t="n">
        <v>5000</v>
      </c>
      <c r="F2740" s="165" t="s">
        <v>6991</v>
      </c>
    </row>
    <row r="2741" customFormat="false" ht="15" hidden="false" customHeight="true" outlineLevel="0" collapsed="false">
      <c r="A2741" s="163" t="s">
        <v>3036</v>
      </c>
      <c r="B2741" s="163" t="s">
        <v>894</v>
      </c>
      <c r="C2741" s="163" t="s">
        <v>4838</v>
      </c>
      <c r="D2741" s="163" t="s">
        <v>4839</v>
      </c>
      <c r="E2741" s="164" t="n">
        <v>5000</v>
      </c>
      <c r="F2741" s="165" t="s">
        <v>3060</v>
      </c>
    </row>
    <row r="2742" customFormat="false" ht="15" hidden="false" customHeight="true" outlineLevel="0" collapsed="false">
      <c r="A2742" s="163" t="s">
        <v>3036</v>
      </c>
      <c r="B2742" s="163" t="s">
        <v>894</v>
      </c>
      <c r="C2742" s="163" t="s">
        <v>6992</v>
      </c>
      <c r="D2742" s="163" t="s">
        <v>6993</v>
      </c>
      <c r="E2742" s="164" t="n">
        <v>5000</v>
      </c>
      <c r="F2742" s="165" t="s">
        <v>6994</v>
      </c>
    </row>
    <row r="2743" customFormat="false" ht="15" hidden="false" customHeight="true" outlineLevel="0" collapsed="false">
      <c r="A2743" s="163" t="s">
        <v>3036</v>
      </c>
      <c r="B2743" s="163" t="s">
        <v>894</v>
      </c>
      <c r="C2743" s="163" t="s">
        <v>6995</v>
      </c>
      <c r="D2743" s="163" t="s">
        <v>6996</v>
      </c>
      <c r="E2743" s="164" t="n">
        <v>5000</v>
      </c>
      <c r="F2743" s="165" t="s">
        <v>6997</v>
      </c>
    </row>
    <row r="2744" customFormat="false" ht="15" hidden="false" customHeight="true" outlineLevel="0" collapsed="false">
      <c r="A2744" s="163" t="s">
        <v>3036</v>
      </c>
      <c r="B2744" s="163" t="s">
        <v>894</v>
      </c>
      <c r="C2744" s="163" t="s">
        <v>6998</v>
      </c>
      <c r="D2744" s="163" t="s">
        <v>6999</v>
      </c>
      <c r="E2744" s="164" t="n">
        <v>5000</v>
      </c>
      <c r="F2744" s="165" t="s">
        <v>3060</v>
      </c>
    </row>
    <row r="2745" customFormat="false" ht="15" hidden="false" customHeight="true" outlineLevel="0" collapsed="false">
      <c r="A2745" s="163" t="s">
        <v>3036</v>
      </c>
      <c r="B2745" s="163" t="s">
        <v>894</v>
      </c>
      <c r="C2745" s="163" t="s">
        <v>7000</v>
      </c>
      <c r="D2745" s="163" t="s">
        <v>7001</v>
      </c>
      <c r="E2745" s="164" t="n">
        <v>5000</v>
      </c>
      <c r="F2745" s="165" t="s">
        <v>3060</v>
      </c>
    </row>
    <row r="2746" customFormat="false" ht="15" hidden="false" customHeight="true" outlineLevel="0" collapsed="false">
      <c r="A2746" s="163" t="s">
        <v>3036</v>
      </c>
      <c r="B2746" s="163" t="s">
        <v>894</v>
      </c>
      <c r="C2746" s="163" t="s">
        <v>6705</v>
      </c>
      <c r="D2746" s="163" t="s">
        <v>6706</v>
      </c>
      <c r="E2746" s="164" t="n">
        <v>5000</v>
      </c>
      <c r="F2746" s="165" t="s">
        <v>3060</v>
      </c>
    </row>
    <row r="2747" customFormat="false" ht="15" hidden="false" customHeight="true" outlineLevel="0" collapsed="false">
      <c r="A2747" s="163" t="s">
        <v>3036</v>
      </c>
      <c r="B2747" s="163" t="s">
        <v>894</v>
      </c>
      <c r="C2747" s="163" t="s">
        <v>4488</v>
      </c>
      <c r="D2747" s="163" t="s">
        <v>4489</v>
      </c>
      <c r="E2747" s="164" t="n">
        <v>5000</v>
      </c>
      <c r="F2747" s="165" t="s">
        <v>3060</v>
      </c>
    </row>
    <row r="2748" customFormat="false" ht="15" hidden="false" customHeight="true" outlineLevel="0" collapsed="false">
      <c r="A2748" s="163" t="s">
        <v>3036</v>
      </c>
      <c r="B2748" s="163" t="s">
        <v>894</v>
      </c>
      <c r="C2748" s="163" t="s">
        <v>7002</v>
      </c>
      <c r="D2748" s="163" t="s">
        <v>7003</v>
      </c>
      <c r="E2748" s="164" t="n">
        <v>5000</v>
      </c>
      <c r="F2748" s="165" t="s">
        <v>3060</v>
      </c>
    </row>
    <row r="2749" customFormat="false" ht="15" hidden="false" customHeight="true" outlineLevel="0" collapsed="false">
      <c r="A2749" s="163" t="s">
        <v>3036</v>
      </c>
      <c r="B2749" s="163" t="s">
        <v>894</v>
      </c>
      <c r="C2749" s="163" t="s">
        <v>7004</v>
      </c>
      <c r="D2749" s="163" t="s">
        <v>7005</v>
      </c>
      <c r="E2749" s="164" t="n">
        <v>5000</v>
      </c>
      <c r="F2749" s="165" t="s">
        <v>3060</v>
      </c>
    </row>
    <row r="2750" customFormat="false" ht="15" hidden="false" customHeight="true" outlineLevel="0" collapsed="false">
      <c r="A2750" s="163" t="s">
        <v>3036</v>
      </c>
      <c r="B2750" s="163" t="s">
        <v>894</v>
      </c>
      <c r="C2750" s="163" t="s">
        <v>4628</v>
      </c>
      <c r="D2750" s="163" t="s">
        <v>4629</v>
      </c>
      <c r="E2750" s="164" t="n">
        <v>5000</v>
      </c>
      <c r="F2750" s="165" t="s">
        <v>3060</v>
      </c>
    </row>
    <row r="2751" customFormat="false" ht="15" hidden="false" customHeight="true" outlineLevel="0" collapsed="false">
      <c r="A2751" s="163" t="s">
        <v>3036</v>
      </c>
      <c r="B2751" s="163" t="s">
        <v>894</v>
      </c>
      <c r="C2751" s="163" t="s">
        <v>5006</v>
      </c>
      <c r="D2751" s="163" t="s">
        <v>5007</v>
      </c>
      <c r="E2751" s="164" t="n">
        <v>5000</v>
      </c>
      <c r="F2751" s="165" t="s">
        <v>3060</v>
      </c>
    </row>
    <row r="2752" customFormat="false" ht="15" hidden="false" customHeight="true" outlineLevel="0" collapsed="false">
      <c r="A2752" s="163" t="s">
        <v>3036</v>
      </c>
      <c r="B2752" s="163" t="s">
        <v>894</v>
      </c>
      <c r="C2752" s="163" t="s">
        <v>6904</v>
      </c>
      <c r="D2752" s="163" t="s">
        <v>6905</v>
      </c>
      <c r="E2752" s="164" t="n">
        <v>5000</v>
      </c>
      <c r="F2752" s="165" t="s">
        <v>3060</v>
      </c>
    </row>
    <row r="2753" customFormat="false" ht="15" hidden="false" customHeight="true" outlineLevel="0" collapsed="false">
      <c r="A2753" s="163" t="s">
        <v>3036</v>
      </c>
      <c r="B2753" s="163" t="s">
        <v>894</v>
      </c>
      <c r="C2753" s="163" t="s">
        <v>6943</v>
      </c>
      <c r="D2753" s="163" t="s">
        <v>6944</v>
      </c>
      <c r="E2753" s="164" t="n">
        <v>4999</v>
      </c>
      <c r="F2753" s="165" t="s">
        <v>3060</v>
      </c>
    </row>
    <row r="2754" customFormat="false" ht="15" hidden="false" customHeight="true" outlineLevel="0" collapsed="false">
      <c r="A2754" s="163" t="s">
        <v>3036</v>
      </c>
      <c r="B2754" s="163" t="s">
        <v>894</v>
      </c>
      <c r="C2754" s="163" t="s">
        <v>7006</v>
      </c>
      <c r="D2754" s="163" t="s">
        <v>1931</v>
      </c>
      <c r="E2754" s="164" t="n">
        <v>2500</v>
      </c>
      <c r="F2754" s="165" t="s">
        <v>3060</v>
      </c>
    </row>
    <row r="2755" customFormat="false" ht="15" hidden="false" customHeight="true" outlineLevel="0" collapsed="false">
      <c r="A2755" s="163" t="s">
        <v>3036</v>
      </c>
      <c r="B2755" s="163" t="s">
        <v>894</v>
      </c>
      <c r="C2755" s="163" t="s">
        <v>7007</v>
      </c>
      <c r="D2755" s="163" t="s">
        <v>1931</v>
      </c>
      <c r="E2755" s="164" t="n">
        <v>2500</v>
      </c>
      <c r="F2755" s="165" t="s">
        <v>3060</v>
      </c>
    </row>
    <row r="2756" customFormat="false" ht="15" hidden="false" customHeight="true" outlineLevel="0" collapsed="false">
      <c r="A2756" s="163" t="s">
        <v>3036</v>
      </c>
      <c r="B2756" s="163" t="s">
        <v>894</v>
      </c>
      <c r="C2756" s="163" t="s">
        <v>7008</v>
      </c>
      <c r="D2756" s="163" t="s">
        <v>1931</v>
      </c>
      <c r="E2756" s="164" t="n">
        <v>2500</v>
      </c>
      <c r="F2756" s="165" t="s">
        <v>3060</v>
      </c>
    </row>
    <row r="2757" customFormat="false" ht="15" hidden="false" customHeight="true" outlineLevel="0" collapsed="false">
      <c r="A2757" s="163" t="s">
        <v>3036</v>
      </c>
      <c r="B2757" s="163" t="s">
        <v>882</v>
      </c>
      <c r="C2757" s="163" t="s">
        <v>2759</v>
      </c>
      <c r="D2757" s="163" t="s">
        <v>2760</v>
      </c>
      <c r="E2757" s="164" t="n">
        <v>140000</v>
      </c>
      <c r="F2757" s="165" t="s">
        <v>6911</v>
      </c>
    </row>
    <row r="2758" customFormat="false" ht="15" hidden="false" customHeight="true" outlineLevel="0" collapsed="false">
      <c r="A2758" s="163" t="s">
        <v>3036</v>
      </c>
      <c r="B2758" s="163" t="s">
        <v>882</v>
      </c>
      <c r="C2758" s="163" t="s">
        <v>640</v>
      </c>
      <c r="D2758" s="163" t="s">
        <v>1931</v>
      </c>
      <c r="E2758" s="164" t="n">
        <v>50000</v>
      </c>
      <c r="F2758" s="165" t="s">
        <v>6911</v>
      </c>
    </row>
    <row r="2759" customFormat="false" ht="15" hidden="false" customHeight="true" outlineLevel="0" collapsed="false">
      <c r="A2759" s="163" t="s">
        <v>3036</v>
      </c>
      <c r="B2759" s="163" t="s">
        <v>882</v>
      </c>
      <c r="C2759" s="163" t="s">
        <v>3063</v>
      </c>
      <c r="D2759" s="163" t="s">
        <v>3064</v>
      </c>
      <c r="E2759" s="164" t="n">
        <v>50000</v>
      </c>
      <c r="F2759" s="165" t="s">
        <v>7009</v>
      </c>
    </row>
    <row r="2760" customFormat="false" ht="15" hidden="false" customHeight="true" outlineLevel="0" collapsed="false">
      <c r="A2760" s="163" t="s">
        <v>3036</v>
      </c>
      <c r="B2760" s="163" t="s">
        <v>882</v>
      </c>
      <c r="C2760" s="163" t="s">
        <v>7010</v>
      </c>
      <c r="D2760" s="163" t="s">
        <v>7011</v>
      </c>
      <c r="E2760" s="164" t="n">
        <v>15000</v>
      </c>
      <c r="F2760" s="165" t="s">
        <v>3060</v>
      </c>
    </row>
    <row r="2761" customFormat="false" ht="15" hidden="false" customHeight="true" outlineLevel="0" collapsed="false">
      <c r="A2761" s="163" t="s">
        <v>3036</v>
      </c>
      <c r="B2761" s="163" t="s">
        <v>882</v>
      </c>
      <c r="C2761" s="163" t="s">
        <v>3063</v>
      </c>
      <c r="D2761" s="163" t="s">
        <v>3064</v>
      </c>
      <c r="E2761" s="164" t="n">
        <v>15000</v>
      </c>
      <c r="F2761" s="165" t="s">
        <v>7012</v>
      </c>
    </row>
    <row r="2762" customFormat="false" ht="15" hidden="false" customHeight="true" outlineLevel="0" collapsed="false">
      <c r="A2762" s="163" t="s">
        <v>3036</v>
      </c>
      <c r="B2762" s="163" t="s">
        <v>882</v>
      </c>
      <c r="C2762" s="163" t="s">
        <v>3709</v>
      </c>
      <c r="D2762" s="163" t="s">
        <v>3710</v>
      </c>
      <c r="E2762" s="164" t="n">
        <v>10000</v>
      </c>
      <c r="F2762" s="165" t="s">
        <v>6911</v>
      </c>
    </row>
    <row r="2763" customFormat="false" ht="15" hidden="false" customHeight="true" outlineLevel="0" collapsed="false">
      <c r="A2763" s="163" t="s">
        <v>3036</v>
      </c>
      <c r="B2763" s="163" t="s">
        <v>2328</v>
      </c>
      <c r="C2763" s="163" t="s">
        <v>6989</v>
      </c>
      <c r="D2763" s="163" t="s">
        <v>6990</v>
      </c>
      <c r="E2763" s="164" t="n">
        <v>25000</v>
      </c>
      <c r="F2763" s="165" t="s">
        <v>3060</v>
      </c>
    </row>
    <row r="2764" customFormat="false" ht="15" hidden="false" customHeight="true" outlineLevel="0" collapsed="false">
      <c r="A2764" s="163" t="s">
        <v>3036</v>
      </c>
      <c r="B2764" s="163" t="s">
        <v>2328</v>
      </c>
      <c r="C2764" s="163" t="s">
        <v>3949</v>
      </c>
      <c r="D2764" s="163" t="s">
        <v>3950</v>
      </c>
      <c r="E2764" s="164" t="n">
        <v>15000</v>
      </c>
      <c r="F2764" s="165" t="s">
        <v>3060</v>
      </c>
    </row>
    <row r="2765" customFormat="false" ht="15" hidden="false" customHeight="true" outlineLevel="0" collapsed="false">
      <c r="A2765" s="163" t="s">
        <v>3036</v>
      </c>
      <c r="B2765" s="163" t="s">
        <v>2328</v>
      </c>
      <c r="C2765" s="163" t="s">
        <v>6886</v>
      </c>
      <c r="D2765" s="163" t="s">
        <v>6887</v>
      </c>
      <c r="E2765" s="164" t="n">
        <v>10000</v>
      </c>
      <c r="F2765" s="165" t="s">
        <v>3060</v>
      </c>
    </row>
    <row r="2766" customFormat="false" ht="15" hidden="false" customHeight="true" outlineLevel="0" collapsed="false">
      <c r="A2766" s="163" t="s">
        <v>3036</v>
      </c>
      <c r="B2766" s="163" t="s">
        <v>2342</v>
      </c>
      <c r="C2766" s="163" t="s">
        <v>6886</v>
      </c>
      <c r="D2766" s="163" t="s">
        <v>6887</v>
      </c>
      <c r="E2766" s="164" t="n">
        <v>60000</v>
      </c>
      <c r="F2766" s="165" t="s">
        <v>3060</v>
      </c>
    </row>
    <row r="2767" customFormat="false" ht="15" hidden="false" customHeight="true" outlineLevel="0" collapsed="false">
      <c r="A2767" s="163" t="s">
        <v>3036</v>
      </c>
      <c r="B2767" s="163" t="s">
        <v>2342</v>
      </c>
      <c r="C2767" s="163" t="s">
        <v>6935</v>
      </c>
      <c r="D2767" s="163" t="s">
        <v>6936</v>
      </c>
      <c r="E2767" s="164" t="n">
        <v>30000</v>
      </c>
      <c r="F2767" s="165" t="s">
        <v>6911</v>
      </c>
    </row>
    <row r="2768" customFormat="false" ht="15" hidden="false" customHeight="true" outlineLevel="0" collapsed="false">
      <c r="A2768" s="163" t="s">
        <v>3036</v>
      </c>
      <c r="B2768" s="163" t="s">
        <v>1743</v>
      </c>
      <c r="C2768" s="163" t="s">
        <v>3762</v>
      </c>
      <c r="D2768" s="163" t="s">
        <v>3763</v>
      </c>
      <c r="E2768" s="164" t="n">
        <v>45000</v>
      </c>
      <c r="F2768" s="165" t="s">
        <v>3060</v>
      </c>
    </row>
    <row r="2769" customFormat="false" ht="15" hidden="false" customHeight="true" outlineLevel="0" collapsed="false">
      <c r="A2769" s="163" t="s">
        <v>3036</v>
      </c>
      <c r="B2769" s="163" t="s">
        <v>1743</v>
      </c>
      <c r="C2769" s="163" t="s">
        <v>4420</v>
      </c>
      <c r="D2769" s="163" t="s">
        <v>4421</v>
      </c>
      <c r="E2769" s="164" t="n">
        <v>40000</v>
      </c>
      <c r="F2769" s="165" t="s">
        <v>3060</v>
      </c>
    </row>
    <row r="2770" customFormat="false" ht="15" hidden="false" customHeight="true" outlineLevel="0" collapsed="false">
      <c r="A2770" s="163" t="s">
        <v>3036</v>
      </c>
      <c r="B2770" s="163" t="s">
        <v>1743</v>
      </c>
      <c r="C2770" s="163" t="s">
        <v>6307</v>
      </c>
      <c r="D2770" s="163" t="s">
        <v>6308</v>
      </c>
      <c r="E2770" s="164" t="n">
        <v>30000</v>
      </c>
      <c r="F2770" s="165" t="s">
        <v>3060</v>
      </c>
    </row>
    <row r="2771" customFormat="false" ht="15" hidden="false" customHeight="true" outlineLevel="0" collapsed="false">
      <c r="A2771" s="163" t="s">
        <v>3036</v>
      </c>
      <c r="B2771" s="163" t="s">
        <v>1743</v>
      </c>
      <c r="C2771" s="163" t="s">
        <v>6368</v>
      </c>
      <c r="D2771" s="163" t="s">
        <v>6369</v>
      </c>
      <c r="E2771" s="164" t="n">
        <v>25000</v>
      </c>
      <c r="F2771" s="165" t="s">
        <v>3060</v>
      </c>
    </row>
    <row r="2772" customFormat="false" ht="15" hidden="false" customHeight="true" outlineLevel="0" collapsed="false">
      <c r="A2772" s="163" t="s">
        <v>3036</v>
      </c>
      <c r="B2772" s="163" t="s">
        <v>1743</v>
      </c>
      <c r="C2772" s="163" t="s">
        <v>4843</v>
      </c>
      <c r="D2772" s="163" t="s">
        <v>4844</v>
      </c>
      <c r="E2772" s="164" t="n">
        <v>10000</v>
      </c>
      <c r="F2772" s="165" t="s">
        <v>3060</v>
      </c>
    </row>
    <row r="2773" customFormat="false" ht="15" hidden="false" customHeight="true" outlineLevel="0" collapsed="false">
      <c r="A2773" s="163" t="s">
        <v>3036</v>
      </c>
      <c r="B2773" s="163" t="s">
        <v>928</v>
      </c>
      <c r="C2773" s="163" t="s">
        <v>240</v>
      </c>
      <c r="D2773" s="163" t="s">
        <v>2418</v>
      </c>
      <c r="E2773" s="164" t="n">
        <v>15000</v>
      </c>
      <c r="F2773" s="165" t="s">
        <v>7013</v>
      </c>
    </row>
    <row r="2774" customFormat="false" ht="15" hidden="false" customHeight="true" outlineLevel="0" collapsed="false">
      <c r="A2774" s="163" t="s">
        <v>3036</v>
      </c>
      <c r="B2774" s="163" t="s">
        <v>928</v>
      </c>
      <c r="C2774" s="163" t="s">
        <v>7014</v>
      </c>
      <c r="D2774" s="163" t="s">
        <v>7015</v>
      </c>
      <c r="E2774" s="164" t="n">
        <v>14000</v>
      </c>
      <c r="F2774" s="165" t="s">
        <v>3060</v>
      </c>
    </row>
    <row r="2775" customFormat="false" ht="15" hidden="false" customHeight="true" outlineLevel="0" collapsed="false">
      <c r="A2775" s="163" t="s">
        <v>3036</v>
      </c>
      <c r="B2775" s="163" t="s">
        <v>928</v>
      </c>
      <c r="C2775" s="163" t="s">
        <v>7016</v>
      </c>
      <c r="D2775" s="163" t="s">
        <v>7017</v>
      </c>
      <c r="E2775" s="164" t="n">
        <v>10000</v>
      </c>
      <c r="F2775" s="165" t="s">
        <v>3060</v>
      </c>
    </row>
    <row r="2776" customFormat="false" ht="15" hidden="false" customHeight="true" outlineLevel="0" collapsed="false">
      <c r="A2776" s="163" t="s">
        <v>3036</v>
      </c>
      <c r="B2776" s="163" t="s">
        <v>928</v>
      </c>
      <c r="C2776" s="163" t="s">
        <v>3856</v>
      </c>
      <c r="D2776" s="163" t="s">
        <v>3857</v>
      </c>
      <c r="E2776" s="164" t="n">
        <v>10000</v>
      </c>
      <c r="F2776" s="165" t="s">
        <v>7018</v>
      </c>
    </row>
    <row r="2777" customFormat="false" ht="15" hidden="false" customHeight="true" outlineLevel="0" collapsed="false">
      <c r="A2777" s="163" t="s">
        <v>3036</v>
      </c>
      <c r="B2777" s="163" t="s">
        <v>928</v>
      </c>
      <c r="C2777" s="163" t="s">
        <v>1169</v>
      </c>
      <c r="D2777" s="163" t="s">
        <v>2801</v>
      </c>
      <c r="E2777" s="164" t="n">
        <v>9500</v>
      </c>
      <c r="F2777" s="165" t="s">
        <v>3060</v>
      </c>
    </row>
    <row r="2778" customFormat="false" ht="15" hidden="false" customHeight="true" outlineLevel="0" collapsed="false">
      <c r="A2778" s="163" t="s">
        <v>3036</v>
      </c>
      <c r="B2778" s="163" t="s">
        <v>928</v>
      </c>
      <c r="C2778" s="163" t="s">
        <v>6935</v>
      </c>
      <c r="D2778" s="163" t="s">
        <v>6936</v>
      </c>
      <c r="E2778" s="164" t="n">
        <v>8000</v>
      </c>
      <c r="F2778" s="165" t="s">
        <v>7019</v>
      </c>
    </row>
    <row r="2779" customFormat="false" ht="15" hidden="false" customHeight="true" outlineLevel="0" collapsed="false">
      <c r="A2779" s="163" t="s">
        <v>3036</v>
      </c>
      <c r="B2779" s="163" t="s">
        <v>928</v>
      </c>
      <c r="C2779" s="163" t="s">
        <v>7020</v>
      </c>
      <c r="D2779" s="163" t="s">
        <v>7021</v>
      </c>
      <c r="E2779" s="164" t="n">
        <v>7000</v>
      </c>
      <c r="F2779" s="165" t="s">
        <v>3060</v>
      </c>
    </row>
    <row r="2780" customFormat="false" ht="15" hidden="false" customHeight="true" outlineLevel="0" collapsed="false">
      <c r="A2780" s="163" t="s">
        <v>3036</v>
      </c>
      <c r="B2780" s="163" t="s">
        <v>928</v>
      </c>
      <c r="C2780" s="163" t="s">
        <v>7022</v>
      </c>
      <c r="D2780" s="163" t="s">
        <v>7023</v>
      </c>
      <c r="E2780" s="164" t="n">
        <v>6500</v>
      </c>
      <c r="F2780" s="165" t="s">
        <v>3060</v>
      </c>
    </row>
    <row r="2781" customFormat="false" ht="15" hidden="false" customHeight="true" outlineLevel="0" collapsed="false">
      <c r="A2781" s="163" t="s">
        <v>3036</v>
      </c>
      <c r="B2781" s="163" t="s">
        <v>928</v>
      </c>
      <c r="C2781" s="163" t="s">
        <v>3780</v>
      </c>
      <c r="D2781" s="163" t="s">
        <v>3781</v>
      </c>
      <c r="E2781" s="164" t="n">
        <v>5000</v>
      </c>
      <c r="F2781" s="165" t="s">
        <v>4654</v>
      </c>
    </row>
    <row r="2782" customFormat="false" ht="15" hidden="false" customHeight="true" outlineLevel="0" collapsed="false">
      <c r="A2782" s="163" t="s">
        <v>3036</v>
      </c>
      <c r="B2782" s="163" t="s">
        <v>928</v>
      </c>
      <c r="C2782" s="163" t="s">
        <v>6917</v>
      </c>
      <c r="D2782" s="163" t="s">
        <v>6918</v>
      </c>
      <c r="E2782" s="164" t="n">
        <v>5000</v>
      </c>
      <c r="F2782" s="165" t="s">
        <v>7024</v>
      </c>
    </row>
    <row r="2783" customFormat="false" ht="15" hidden="false" customHeight="true" outlineLevel="0" collapsed="false">
      <c r="A2783" s="163" t="s">
        <v>3036</v>
      </c>
      <c r="B2783" s="163" t="s">
        <v>928</v>
      </c>
      <c r="C2783" s="163" t="s">
        <v>7025</v>
      </c>
      <c r="D2783" s="163" t="s">
        <v>7026</v>
      </c>
      <c r="E2783" s="164" t="n">
        <v>5000</v>
      </c>
      <c r="F2783" s="165" t="s">
        <v>7027</v>
      </c>
    </row>
    <row r="2784" customFormat="false" ht="15" hidden="false" customHeight="true" outlineLevel="0" collapsed="false">
      <c r="A2784" s="163" t="s">
        <v>3036</v>
      </c>
      <c r="B2784" s="163" t="s">
        <v>928</v>
      </c>
      <c r="C2784" s="163" t="s">
        <v>3317</v>
      </c>
      <c r="D2784" s="163" t="s">
        <v>3318</v>
      </c>
      <c r="E2784" s="164" t="n">
        <v>5000</v>
      </c>
      <c r="F2784" s="165" t="s">
        <v>3060</v>
      </c>
    </row>
    <row r="2785" customFormat="false" ht="15" hidden="false" customHeight="true" outlineLevel="0" collapsed="false">
      <c r="A2785" s="163" t="s">
        <v>3036</v>
      </c>
      <c r="B2785" s="163" t="s">
        <v>928</v>
      </c>
      <c r="C2785" s="163" t="s">
        <v>3243</v>
      </c>
      <c r="D2785" s="163" t="s">
        <v>3244</v>
      </c>
      <c r="E2785" s="164" t="n">
        <v>5000</v>
      </c>
      <c r="F2785" s="165" t="s">
        <v>6911</v>
      </c>
    </row>
    <row r="2786" customFormat="false" ht="15" hidden="false" customHeight="true" outlineLevel="0" collapsed="false">
      <c r="A2786" s="163" t="s">
        <v>3036</v>
      </c>
      <c r="B2786" s="163" t="s">
        <v>928</v>
      </c>
      <c r="C2786" s="163" t="s">
        <v>7028</v>
      </c>
      <c r="D2786" s="163" t="s">
        <v>7029</v>
      </c>
      <c r="E2786" s="164" t="n">
        <v>5000</v>
      </c>
      <c r="F2786" s="165" t="s">
        <v>7030</v>
      </c>
    </row>
    <row r="2787" customFormat="false" ht="15" hidden="false" customHeight="true" outlineLevel="0" collapsed="false">
      <c r="A2787" s="163" t="s">
        <v>3036</v>
      </c>
      <c r="B2787" s="163" t="s">
        <v>928</v>
      </c>
      <c r="C2787" s="163" t="s">
        <v>1270</v>
      </c>
      <c r="D2787" s="163" t="s">
        <v>2431</v>
      </c>
      <c r="E2787" s="164" t="n">
        <v>5000</v>
      </c>
      <c r="F2787" s="165" t="s">
        <v>6911</v>
      </c>
    </row>
    <row r="2788" customFormat="false" ht="15" hidden="false" customHeight="true" outlineLevel="0" collapsed="false">
      <c r="A2788" s="163" t="s">
        <v>3036</v>
      </c>
      <c r="B2788" s="163" t="s">
        <v>928</v>
      </c>
      <c r="C2788" s="163" t="s">
        <v>3815</v>
      </c>
      <c r="D2788" s="163" t="s">
        <v>3816</v>
      </c>
      <c r="E2788" s="164" t="n">
        <v>5000</v>
      </c>
      <c r="F2788" s="165" t="s">
        <v>3060</v>
      </c>
    </row>
    <row r="2789" customFormat="false" ht="15" hidden="false" customHeight="true" outlineLevel="0" collapsed="false">
      <c r="A2789" s="163" t="s">
        <v>3036</v>
      </c>
      <c r="B2789" s="163" t="s">
        <v>928</v>
      </c>
      <c r="C2789" s="163" t="s">
        <v>6421</v>
      </c>
      <c r="D2789" s="163" t="s">
        <v>6422</v>
      </c>
      <c r="E2789" s="164" t="n">
        <v>5000</v>
      </c>
      <c r="F2789" s="165" t="s">
        <v>3060</v>
      </c>
    </row>
    <row r="2790" customFormat="false" ht="15" hidden="false" customHeight="true" outlineLevel="0" collapsed="false">
      <c r="A2790" s="163" t="s">
        <v>3036</v>
      </c>
      <c r="B2790" s="163" t="s">
        <v>928</v>
      </c>
      <c r="C2790" s="163" t="s">
        <v>4427</v>
      </c>
      <c r="D2790" s="163" t="s">
        <v>4428</v>
      </c>
      <c r="E2790" s="164" t="n">
        <v>5000</v>
      </c>
      <c r="F2790" s="165" t="s">
        <v>7031</v>
      </c>
    </row>
    <row r="2791" customFormat="false" ht="15" hidden="false" customHeight="true" outlineLevel="0" collapsed="false">
      <c r="A2791" s="163" t="s">
        <v>3036</v>
      </c>
      <c r="B2791" s="163" t="s">
        <v>928</v>
      </c>
      <c r="C2791" s="163" t="s">
        <v>5323</v>
      </c>
      <c r="D2791" s="163" t="s">
        <v>5324</v>
      </c>
      <c r="E2791" s="164" t="n">
        <v>5000</v>
      </c>
      <c r="F2791" s="165" t="s">
        <v>3060</v>
      </c>
    </row>
    <row r="2792" customFormat="false" ht="15" hidden="false" customHeight="true" outlineLevel="0" collapsed="false">
      <c r="A2792" s="163" t="s">
        <v>3036</v>
      </c>
      <c r="B2792" s="163" t="s">
        <v>928</v>
      </c>
      <c r="C2792" s="163" t="s">
        <v>1159</v>
      </c>
      <c r="D2792" s="163" t="s">
        <v>1936</v>
      </c>
      <c r="E2792" s="164" t="n">
        <v>5000</v>
      </c>
      <c r="F2792" s="165" t="s">
        <v>3060</v>
      </c>
    </row>
    <row r="2793" customFormat="false" ht="15" hidden="false" customHeight="true" outlineLevel="0" collapsed="false">
      <c r="A2793" s="163" t="s">
        <v>3036</v>
      </c>
      <c r="B2793" s="163" t="s">
        <v>928</v>
      </c>
      <c r="C2793" s="163" t="s">
        <v>7032</v>
      </c>
      <c r="D2793" s="163" t="s">
        <v>7033</v>
      </c>
      <c r="E2793" s="164" t="n">
        <v>5000</v>
      </c>
      <c r="F2793" s="165" t="s">
        <v>3060</v>
      </c>
    </row>
    <row r="2794" customFormat="false" ht="15" hidden="false" customHeight="true" outlineLevel="0" collapsed="false">
      <c r="A2794" s="163" t="s">
        <v>3036</v>
      </c>
      <c r="B2794" s="163" t="s">
        <v>928</v>
      </c>
      <c r="C2794" s="163" t="s">
        <v>2167</v>
      </c>
      <c r="D2794" s="163" t="s">
        <v>1931</v>
      </c>
      <c r="E2794" s="164" t="n">
        <v>5000</v>
      </c>
      <c r="F2794" s="165" t="s">
        <v>3060</v>
      </c>
    </row>
    <row r="2795" customFormat="false" ht="15" hidden="false" customHeight="true" outlineLevel="0" collapsed="false">
      <c r="A2795" s="163" t="s">
        <v>3009</v>
      </c>
      <c r="B2795" s="163" t="s">
        <v>926</v>
      </c>
      <c r="C2795" s="163" t="s">
        <v>3063</v>
      </c>
      <c r="D2795" s="163" t="s">
        <v>3064</v>
      </c>
      <c r="E2795" s="164" t="n">
        <v>30000</v>
      </c>
      <c r="F2795" s="165" t="s">
        <v>3060</v>
      </c>
    </row>
    <row r="2796" customFormat="false" ht="15" hidden="false" customHeight="true" outlineLevel="0" collapsed="false">
      <c r="A2796" s="163" t="s">
        <v>3009</v>
      </c>
      <c r="B2796" s="163" t="s">
        <v>926</v>
      </c>
      <c r="C2796" s="163" t="s">
        <v>395</v>
      </c>
      <c r="D2796" s="163" t="s">
        <v>2196</v>
      </c>
      <c r="E2796" s="164" t="n">
        <v>30000</v>
      </c>
      <c r="F2796" s="165" t="s">
        <v>3060</v>
      </c>
    </row>
    <row r="2797" customFormat="false" ht="15" hidden="false" customHeight="true" outlineLevel="0" collapsed="false">
      <c r="A2797" s="163" t="s">
        <v>3009</v>
      </c>
      <c r="B2797" s="163" t="s">
        <v>926</v>
      </c>
      <c r="C2797" s="163" t="s">
        <v>3709</v>
      </c>
      <c r="D2797" s="163" t="s">
        <v>3710</v>
      </c>
      <c r="E2797" s="164" t="n">
        <v>20000</v>
      </c>
      <c r="F2797" s="165" t="s">
        <v>3060</v>
      </c>
    </row>
    <row r="2798" customFormat="false" ht="15" hidden="false" customHeight="true" outlineLevel="0" collapsed="false">
      <c r="A2798" s="163" t="s">
        <v>3009</v>
      </c>
      <c r="B2798" s="163" t="s">
        <v>926</v>
      </c>
      <c r="C2798" s="163" t="s">
        <v>6705</v>
      </c>
      <c r="D2798" s="163" t="s">
        <v>6706</v>
      </c>
      <c r="E2798" s="164" t="n">
        <v>10000</v>
      </c>
      <c r="F2798" s="165" t="s">
        <v>3060</v>
      </c>
    </row>
    <row r="2799" customFormat="false" ht="15" hidden="false" customHeight="true" outlineLevel="0" collapsed="false">
      <c r="A2799" s="163" t="s">
        <v>3009</v>
      </c>
      <c r="B2799" s="163" t="s">
        <v>926</v>
      </c>
      <c r="C2799" s="163" t="s">
        <v>4002</v>
      </c>
      <c r="D2799" s="163" t="s">
        <v>4003</v>
      </c>
      <c r="E2799" s="164" t="n">
        <v>10000</v>
      </c>
      <c r="F2799" s="165" t="s">
        <v>3060</v>
      </c>
    </row>
    <row r="2800" customFormat="false" ht="15" hidden="false" customHeight="true" outlineLevel="0" collapsed="false">
      <c r="A2800" s="163" t="s">
        <v>3009</v>
      </c>
      <c r="B2800" s="163" t="s">
        <v>957</v>
      </c>
      <c r="C2800" s="163" t="s">
        <v>7034</v>
      </c>
      <c r="D2800" s="163" t="s">
        <v>7035</v>
      </c>
      <c r="E2800" s="164" t="n">
        <v>40000</v>
      </c>
      <c r="F2800" s="165" t="s">
        <v>7036</v>
      </c>
    </row>
    <row r="2801" customFormat="false" ht="15" hidden="false" customHeight="true" outlineLevel="0" collapsed="false">
      <c r="A2801" s="163" t="s">
        <v>3009</v>
      </c>
      <c r="B2801" s="163" t="s">
        <v>957</v>
      </c>
      <c r="C2801" s="163" t="s">
        <v>7034</v>
      </c>
      <c r="D2801" s="163" t="s">
        <v>7035</v>
      </c>
      <c r="E2801" s="164" t="n">
        <v>40000</v>
      </c>
      <c r="F2801" s="165" t="s">
        <v>7037</v>
      </c>
    </row>
    <row r="2802" customFormat="false" ht="15" hidden="false" customHeight="true" outlineLevel="0" collapsed="false">
      <c r="A2802" s="163" t="s">
        <v>3009</v>
      </c>
      <c r="B2802" s="163" t="s">
        <v>957</v>
      </c>
      <c r="C2802" s="163" t="s">
        <v>3278</v>
      </c>
      <c r="D2802" s="163" t="s">
        <v>3279</v>
      </c>
      <c r="E2802" s="164" t="n">
        <v>15000</v>
      </c>
      <c r="F2802" s="165" t="s">
        <v>7038</v>
      </c>
    </row>
    <row r="2803" customFormat="false" ht="15" hidden="false" customHeight="true" outlineLevel="0" collapsed="false">
      <c r="A2803" s="163" t="s">
        <v>3009</v>
      </c>
      <c r="B2803" s="163" t="s">
        <v>957</v>
      </c>
      <c r="C2803" s="163" t="s">
        <v>6557</v>
      </c>
      <c r="D2803" s="163" t="s">
        <v>6558</v>
      </c>
      <c r="E2803" s="164" t="n">
        <v>15000</v>
      </c>
      <c r="F2803" s="165" t="s">
        <v>7038</v>
      </c>
    </row>
    <row r="2804" customFormat="false" ht="15" hidden="false" customHeight="true" outlineLevel="0" collapsed="false">
      <c r="A2804" s="163" t="s">
        <v>3009</v>
      </c>
      <c r="B2804" s="163" t="s">
        <v>945</v>
      </c>
      <c r="C2804" s="163" t="s">
        <v>7039</v>
      </c>
      <c r="D2804" s="163" t="s">
        <v>7040</v>
      </c>
      <c r="E2804" s="164" t="n">
        <v>20000</v>
      </c>
      <c r="F2804" s="165" t="s">
        <v>7041</v>
      </c>
    </row>
    <row r="2805" customFormat="false" ht="15" hidden="false" customHeight="true" outlineLevel="0" collapsed="false">
      <c r="A2805" s="163" t="s">
        <v>3009</v>
      </c>
      <c r="B2805" s="163" t="s">
        <v>945</v>
      </c>
      <c r="C2805" s="163" t="s">
        <v>7042</v>
      </c>
      <c r="D2805" s="163" t="s">
        <v>7043</v>
      </c>
      <c r="E2805" s="164" t="n">
        <v>20000</v>
      </c>
      <c r="F2805" s="165" t="s">
        <v>3060</v>
      </c>
    </row>
    <row r="2806" customFormat="false" ht="15" hidden="false" customHeight="true" outlineLevel="0" collapsed="false">
      <c r="A2806" s="163" t="s">
        <v>3009</v>
      </c>
      <c r="B2806" s="163" t="s">
        <v>945</v>
      </c>
      <c r="C2806" s="163" t="s">
        <v>7044</v>
      </c>
      <c r="D2806" s="163" t="s">
        <v>7045</v>
      </c>
      <c r="E2806" s="164" t="n">
        <v>5000</v>
      </c>
      <c r="F2806" s="165" t="s">
        <v>7046</v>
      </c>
    </row>
    <row r="2807" customFormat="false" ht="15" hidden="false" customHeight="true" outlineLevel="0" collapsed="false">
      <c r="A2807" s="163" t="s">
        <v>3009</v>
      </c>
      <c r="B2807" s="163" t="s">
        <v>945</v>
      </c>
      <c r="C2807" s="163" t="s">
        <v>4714</v>
      </c>
      <c r="D2807" s="163" t="s">
        <v>4715</v>
      </c>
      <c r="E2807" s="164" t="n">
        <v>5000</v>
      </c>
      <c r="F2807" s="165" t="s">
        <v>7047</v>
      </c>
    </row>
    <row r="2808" customFormat="false" ht="15" hidden="false" customHeight="true" outlineLevel="0" collapsed="false">
      <c r="A2808" s="163" t="s">
        <v>3009</v>
      </c>
      <c r="B2808" s="163" t="s">
        <v>3111</v>
      </c>
      <c r="C2808" s="163" t="s">
        <v>4896</v>
      </c>
      <c r="D2808" s="163" t="s">
        <v>4897</v>
      </c>
      <c r="E2808" s="164" t="n">
        <v>40000</v>
      </c>
      <c r="F2808" s="165" t="s">
        <v>7048</v>
      </c>
    </row>
    <row r="2809" customFormat="false" ht="15" hidden="false" customHeight="true" outlineLevel="0" collapsed="false">
      <c r="A2809" s="163" t="s">
        <v>3009</v>
      </c>
      <c r="B2809" s="163" t="s">
        <v>3111</v>
      </c>
      <c r="C2809" s="163" t="s">
        <v>240</v>
      </c>
      <c r="D2809" s="163" t="s">
        <v>2418</v>
      </c>
      <c r="E2809" s="164" t="n">
        <v>10000</v>
      </c>
      <c r="F2809" s="165" t="s">
        <v>7049</v>
      </c>
    </row>
    <row r="2810" customFormat="false" ht="15" hidden="false" customHeight="true" outlineLevel="0" collapsed="false">
      <c r="A2810" s="163" t="s">
        <v>3009</v>
      </c>
      <c r="B2810" s="163" t="s">
        <v>3111</v>
      </c>
      <c r="C2810" s="163" t="s">
        <v>2879</v>
      </c>
      <c r="D2810" s="163" t="s">
        <v>1931</v>
      </c>
      <c r="E2810" s="164" t="n">
        <v>10000</v>
      </c>
      <c r="F2810" s="165" t="s">
        <v>7050</v>
      </c>
    </row>
    <row r="2811" customFormat="false" ht="15" hidden="false" customHeight="true" outlineLevel="0" collapsed="false">
      <c r="A2811" s="163" t="s">
        <v>3009</v>
      </c>
      <c r="B2811" s="163" t="s">
        <v>3111</v>
      </c>
      <c r="C2811" s="163" t="s">
        <v>2879</v>
      </c>
      <c r="D2811" s="163" t="s">
        <v>1931</v>
      </c>
      <c r="E2811" s="164" t="n">
        <v>10000</v>
      </c>
      <c r="F2811" s="165" t="s">
        <v>7051</v>
      </c>
    </row>
    <row r="2812" customFormat="false" ht="15" hidden="false" customHeight="true" outlineLevel="0" collapsed="false">
      <c r="A2812" s="163" t="s">
        <v>3009</v>
      </c>
      <c r="B2812" s="163" t="s">
        <v>3111</v>
      </c>
      <c r="C2812" s="163" t="s">
        <v>2879</v>
      </c>
      <c r="D2812" s="163" t="s">
        <v>1931</v>
      </c>
      <c r="E2812" s="164" t="n">
        <v>10000</v>
      </c>
      <c r="F2812" s="165" t="s">
        <v>7052</v>
      </c>
    </row>
    <row r="2813" customFormat="false" ht="15" hidden="false" customHeight="true" outlineLevel="0" collapsed="false">
      <c r="A2813" s="163" t="s">
        <v>3009</v>
      </c>
      <c r="B2813" s="163" t="s">
        <v>3111</v>
      </c>
      <c r="C2813" s="163" t="s">
        <v>2879</v>
      </c>
      <c r="D2813" s="163" t="s">
        <v>1931</v>
      </c>
      <c r="E2813" s="164" t="n">
        <v>10000</v>
      </c>
      <c r="F2813" s="165" t="s">
        <v>7053</v>
      </c>
    </row>
    <row r="2814" customFormat="false" ht="15" hidden="false" customHeight="true" outlineLevel="0" collapsed="false">
      <c r="A2814" s="163" t="s">
        <v>3009</v>
      </c>
      <c r="B2814" s="163" t="s">
        <v>3111</v>
      </c>
      <c r="C2814" s="163" t="s">
        <v>7054</v>
      </c>
      <c r="D2814" s="163" t="s">
        <v>7055</v>
      </c>
      <c r="E2814" s="164" t="n">
        <v>10000</v>
      </c>
      <c r="F2814" s="165" t="s">
        <v>7038</v>
      </c>
    </row>
    <row r="2815" customFormat="false" ht="15" hidden="false" customHeight="true" outlineLevel="0" collapsed="false">
      <c r="A2815" s="163" t="s">
        <v>3009</v>
      </c>
      <c r="B2815" s="163" t="s">
        <v>1938</v>
      </c>
      <c r="C2815" s="163" t="s">
        <v>3622</v>
      </c>
      <c r="D2815" s="163" t="s">
        <v>3623</v>
      </c>
      <c r="E2815" s="164" t="n">
        <v>60000</v>
      </c>
      <c r="F2815" s="165" t="s">
        <v>7056</v>
      </c>
    </row>
    <row r="2816" customFormat="false" ht="15" hidden="false" customHeight="true" outlineLevel="0" collapsed="false">
      <c r="A2816" s="163" t="s">
        <v>3009</v>
      </c>
      <c r="B2816" s="163" t="s">
        <v>1938</v>
      </c>
      <c r="C2816" s="163" t="s">
        <v>3602</v>
      </c>
      <c r="D2816" s="163" t="s">
        <v>3603</v>
      </c>
      <c r="E2816" s="164" t="n">
        <v>60000</v>
      </c>
      <c r="F2816" s="165" t="s">
        <v>7057</v>
      </c>
    </row>
    <row r="2817" customFormat="false" ht="15" hidden="false" customHeight="true" outlineLevel="0" collapsed="false">
      <c r="A2817" s="163" t="s">
        <v>3009</v>
      </c>
      <c r="B2817" s="163" t="s">
        <v>1938</v>
      </c>
      <c r="C2817" s="163" t="s">
        <v>260</v>
      </c>
      <c r="D2817" s="163" t="s">
        <v>2097</v>
      </c>
      <c r="E2817" s="164" t="n">
        <v>20000</v>
      </c>
      <c r="F2817" s="165" t="s">
        <v>7058</v>
      </c>
    </row>
    <row r="2818" customFormat="false" ht="15" hidden="false" customHeight="true" outlineLevel="0" collapsed="false">
      <c r="A2818" s="163" t="s">
        <v>3009</v>
      </c>
      <c r="B2818" s="163" t="s">
        <v>1938</v>
      </c>
      <c r="C2818" s="163" t="s">
        <v>7059</v>
      </c>
      <c r="D2818" s="163" t="s">
        <v>7060</v>
      </c>
      <c r="E2818" s="164" t="n">
        <v>20000</v>
      </c>
      <c r="F2818" s="165" t="s">
        <v>7061</v>
      </c>
    </row>
    <row r="2819" customFormat="false" ht="15" hidden="false" customHeight="true" outlineLevel="0" collapsed="false">
      <c r="A2819" s="163" t="s">
        <v>3009</v>
      </c>
      <c r="B2819" s="163" t="s">
        <v>1938</v>
      </c>
      <c r="C2819" s="163" t="s">
        <v>5323</v>
      </c>
      <c r="D2819" s="163" t="s">
        <v>5324</v>
      </c>
      <c r="E2819" s="164" t="n">
        <v>20000</v>
      </c>
      <c r="F2819" s="165" t="s">
        <v>7058</v>
      </c>
    </row>
    <row r="2820" customFormat="false" ht="15" hidden="false" customHeight="true" outlineLevel="0" collapsed="false">
      <c r="A2820" s="163" t="s">
        <v>3009</v>
      </c>
      <c r="B2820" s="163" t="s">
        <v>1938</v>
      </c>
      <c r="C2820" s="163" t="s">
        <v>4884</v>
      </c>
      <c r="D2820" s="163" t="s">
        <v>4885</v>
      </c>
      <c r="E2820" s="164" t="n">
        <v>20000</v>
      </c>
      <c r="F2820" s="165" t="s">
        <v>7062</v>
      </c>
    </row>
    <row r="2821" customFormat="false" ht="15" hidden="false" customHeight="true" outlineLevel="0" collapsed="false">
      <c r="A2821" s="163" t="s">
        <v>3009</v>
      </c>
      <c r="B2821" s="163" t="s">
        <v>1938</v>
      </c>
      <c r="C2821" s="163" t="s">
        <v>332</v>
      </c>
      <c r="D2821" s="163" t="s">
        <v>2673</v>
      </c>
      <c r="E2821" s="164" t="n">
        <v>20000</v>
      </c>
      <c r="F2821" s="165" t="s">
        <v>7063</v>
      </c>
    </row>
    <row r="2822" customFormat="false" ht="15" hidden="false" customHeight="true" outlineLevel="0" collapsed="false">
      <c r="A2822" s="163" t="s">
        <v>3009</v>
      </c>
      <c r="B2822" s="163" t="s">
        <v>1938</v>
      </c>
      <c r="C2822" s="163" t="s">
        <v>3135</v>
      </c>
      <c r="D2822" s="163" t="s">
        <v>3136</v>
      </c>
      <c r="E2822" s="164" t="n">
        <v>20000</v>
      </c>
      <c r="F2822" s="165" t="s">
        <v>7064</v>
      </c>
    </row>
    <row r="2823" customFormat="false" ht="15" hidden="false" customHeight="true" outlineLevel="0" collapsed="false">
      <c r="A2823" s="163" t="s">
        <v>3009</v>
      </c>
      <c r="B2823" s="163" t="s">
        <v>1938</v>
      </c>
      <c r="C2823" s="163" t="s">
        <v>4955</v>
      </c>
      <c r="D2823" s="163" t="s">
        <v>4956</v>
      </c>
      <c r="E2823" s="164" t="n">
        <v>20000</v>
      </c>
      <c r="F2823" s="165" t="s">
        <v>7065</v>
      </c>
    </row>
    <row r="2824" customFormat="false" ht="15" hidden="false" customHeight="true" outlineLevel="0" collapsed="false">
      <c r="A2824" s="163" t="s">
        <v>3009</v>
      </c>
      <c r="B2824" s="163" t="s">
        <v>1938</v>
      </c>
      <c r="C2824" s="163" t="s">
        <v>6078</v>
      </c>
      <c r="D2824" s="163" t="s">
        <v>6079</v>
      </c>
      <c r="E2824" s="164" t="n">
        <v>20000</v>
      </c>
      <c r="F2824" s="165" t="s">
        <v>7061</v>
      </c>
    </row>
    <row r="2825" customFormat="false" ht="15" hidden="false" customHeight="true" outlineLevel="0" collapsed="false">
      <c r="A2825" s="163" t="s">
        <v>3009</v>
      </c>
      <c r="B2825" s="163" t="s">
        <v>1938</v>
      </c>
      <c r="C2825" s="163" t="s">
        <v>5102</v>
      </c>
      <c r="D2825" s="163" t="s">
        <v>5103</v>
      </c>
      <c r="E2825" s="164" t="n">
        <v>20000</v>
      </c>
      <c r="F2825" s="165" t="s">
        <v>7066</v>
      </c>
    </row>
    <row r="2826" customFormat="false" ht="15" hidden="false" customHeight="true" outlineLevel="0" collapsed="false">
      <c r="A2826" s="163" t="s">
        <v>3009</v>
      </c>
      <c r="B2826" s="163" t="s">
        <v>1938</v>
      </c>
      <c r="C2826" s="163" t="s">
        <v>3425</v>
      </c>
      <c r="D2826" s="163" t="s">
        <v>3426</v>
      </c>
      <c r="E2826" s="164" t="n">
        <v>20000</v>
      </c>
      <c r="F2826" s="165" t="s">
        <v>7067</v>
      </c>
    </row>
    <row r="2827" customFormat="false" ht="15" hidden="false" customHeight="true" outlineLevel="0" collapsed="false">
      <c r="A2827" s="163" t="s">
        <v>3009</v>
      </c>
      <c r="B2827" s="163" t="s">
        <v>691</v>
      </c>
      <c r="C2827" s="163" t="s">
        <v>5208</v>
      </c>
      <c r="D2827" s="163" t="s">
        <v>5209</v>
      </c>
      <c r="E2827" s="164" t="n">
        <v>20000</v>
      </c>
      <c r="F2827" s="165" t="s">
        <v>3060</v>
      </c>
    </row>
    <row r="2828" customFormat="false" ht="15" hidden="false" customHeight="true" outlineLevel="0" collapsed="false">
      <c r="A2828" s="163" t="s">
        <v>3009</v>
      </c>
      <c r="B2828" s="163" t="s">
        <v>691</v>
      </c>
      <c r="C2828" s="163" t="s">
        <v>4953</v>
      </c>
      <c r="D2828" s="163" t="s">
        <v>4954</v>
      </c>
      <c r="E2828" s="164" t="n">
        <v>15000</v>
      </c>
      <c r="F2828" s="165" t="s">
        <v>3060</v>
      </c>
    </row>
    <row r="2829" customFormat="false" ht="15" hidden="false" customHeight="true" outlineLevel="0" collapsed="false">
      <c r="A2829" s="163" t="s">
        <v>3009</v>
      </c>
      <c r="B2829" s="163" t="s">
        <v>691</v>
      </c>
      <c r="C2829" s="163" t="s">
        <v>7068</v>
      </c>
      <c r="D2829" s="163" t="s">
        <v>7069</v>
      </c>
      <c r="E2829" s="164" t="n">
        <v>15000</v>
      </c>
      <c r="F2829" s="165" t="s">
        <v>3060</v>
      </c>
    </row>
    <row r="2830" customFormat="false" ht="15" hidden="false" customHeight="true" outlineLevel="0" collapsed="false">
      <c r="A2830" s="163" t="s">
        <v>3009</v>
      </c>
      <c r="B2830" s="163" t="s">
        <v>691</v>
      </c>
      <c r="C2830" s="163" t="s">
        <v>6624</v>
      </c>
      <c r="D2830" s="163" t="s">
        <v>6625</v>
      </c>
      <c r="E2830" s="164" t="n">
        <v>15000</v>
      </c>
      <c r="F2830" s="165" t="s">
        <v>3060</v>
      </c>
    </row>
    <row r="2831" customFormat="false" ht="15" hidden="false" customHeight="true" outlineLevel="0" collapsed="false">
      <c r="A2831" s="163" t="s">
        <v>3009</v>
      </c>
      <c r="B2831" s="163" t="s">
        <v>691</v>
      </c>
      <c r="C2831" s="163" t="s">
        <v>7070</v>
      </c>
      <c r="D2831" s="163" t="s">
        <v>7071</v>
      </c>
      <c r="E2831" s="164" t="n">
        <v>10000</v>
      </c>
      <c r="F2831" s="165" t="s">
        <v>3060</v>
      </c>
    </row>
    <row r="2832" customFormat="false" ht="15" hidden="false" customHeight="true" outlineLevel="0" collapsed="false">
      <c r="A2832" s="163" t="s">
        <v>3009</v>
      </c>
      <c r="B2832" s="163" t="s">
        <v>691</v>
      </c>
      <c r="C2832" s="163" t="s">
        <v>7072</v>
      </c>
      <c r="D2832" s="163" t="s">
        <v>7073</v>
      </c>
      <c r="E2832" s="164" t="n">
        <v>10000</v>
      </c>
      <c r="F2832" s="165" t="s">
        <v>3060</v>
      </c>
    </row>
    <row r="2833" customFormat="false" ht="15" hidden="false" customHeight="true" outlineLevel="0" collapsed="false">
      <c r="A2833" s="163" t="s">
        <v>3009</v>
      </c>
      <c r="B2833" s="163" t="s">
        <v>691</v>
      </c>
      <c r="C2833" s="163" t="s">
        <v>7074</v>
      </c>
      <c r="D2833" s="163" t="s">
        <v>7075</v>
      </c>
      <c r="E2833" s="164" t="n">
        <v>10000</v>
      </c>
      <c r="F2833" s="165" t="s">
        <v>3060</v>
      </c>
    </row>
    <row r="2834" customFormat="false" ht="15" hidden="false" customHeight="true" outlineLevel="0" collapsed="false">
      <c r="A2834" s="163" t="s">
        <v>3009</v>
      </c>
      <c r="B2834" s="163" t="s">
        <v>691</v>
      </c>
      <c r="C2834" s="163" t="s">
        <v>7054</v>
      </c>
      <c r="D2834" s="163" t="s">
        <v>7055</v>
      </c>
      <c r="E2834" s="164" t="n">
        <v>10000</v>
      </c>
      <c r="F2834" s="165" t="s">
        <v>3060</v>
      </c>
    </row>
    <row r="2835" customFormat="false" ht="15" hidden="false" customHeight="true" outlineLevel="0" collapsed="false">
      <c r="A2835" s="163" t="s">
        <v>3009</v>
      </c>
      <c r="B2835" s="163" t="s">
        <v>691</v>
      </c>
      <c r="C2835" s="163" t="s">
        <v>7076</v>
      </c>
      <c r="D2835" s="163" t="s">
        <v>7077</v>
      </c>
      <c r="E2835" s="164" t="n">
        <v>10000</v>
      </c>
      <c r="F2835" s="165" t="s">
        <v>3060</v>
      </c>
    </row>
    <row r="2836" customFormat="false" ht="15" hidden="false" customHeight="true" outlineLevel="0" collapsed="false">
      <c r="A2836" s="163" t="s">
        <v>3009</v>
      </c>
      <c r="B2836" s="163" t="s">
        <v>691</v>
      </c>
      <c r="C2836" s="163" t="s">
        <v>7078</v>
      </c>
      <c r="D2836" s="163" t="s">
        <v>7079</v>
      </c>
      <c r="E2836" s="164" t="n">
        <v>10000</v>
      </c>
      <c r="F2836" s="165" t="s">
        <v>3060</v>
      </c>
    </row>
    <row r="2837" customFormat="false" ht="15" hidden="false" customHeight="true" outlineLevel="0" collapsed="false">
      <c r="A2837" s="163" t="s">
        <v>3009</v>
      </c>
      <c r="B2837" s="163" t="s">
        <v>691</v>
      </c>
      <c r="C2837" s="163" t="s">
        <v>5042</v>
      </c>
      <c r="D2837" s="163" t="s">
        <v>5043</v>
      </c>
      <c r="E2837" s="164" t="n">
        <v>10000</v>
      </c>
      <c r="F2837" s="165" t="s">
        <v>3060</v>
      </c>
    </row>
    <row r="2838" customFormat="false" ht="15" hidden="false" customHeight="true" outlineLevel="0" collapsed="false">
      <c r="A2838" s="163" t="s">
        <v>3009</v>
      </c>
      <c r="B2838" s="163" t="s">
        <v>691</v>
      </c>
      <c r="C2838" s="163" t="s">
        <v>7080</v>
      </c>
      <c r="D2838" s="163" t="s">
        <v>7081</v>
      </c>
      <c r="E2838" s="164" t="n">
        <v>10000</v>
      </c>
      <c r="F2838" s="165" t="s">
        <v>3060</v>
      </c>
    </row>
    <row r="2839" customFormat="false" ht="15" hidden="false" customHeight="true" outlineLevel="0" collapsed="false">
      <c r="A2839" s="163" t="s">
        <v>3009</v>
      </c>
      <c r="B2839" s="163" t="s">
        <v>2027</v>
      </c>
      <c r="C2839" s="163" t="s">
        <v>328</v>
      </c>
      <c r="D2839" s="163" t="s">
        <v>2660</v>
      </c>
      <c r="E2839" s="164" t="n">
        <v>30000</v>
      </c>
      <c r="F2839" s="165" t="s">
        <v>3060</v>
      </c>
    </row>
    <row r="2840" customFormat="false" ht="15" hidden="false" customHeight="true" outlineLevel="0" collapsed="false">
      <c r="A2840" s="163" t="s">
        <v>3009</v>
      </c>
      <c r="B2840" s="163" t="s">
        <v>2027</v>
      </c>
      <c r="C2840" s="163" t="s">
        <v>4269</v>
      </c>
      <c r="D2840" s="163" t="s">
        <v>4270</v>
      </c>
      <c r="E2840" s="164" t="n">
        <v>20000</v>
      </c>
      <c r="F2840" s="165" t="s">
        <v>3060</v>
      </c>
    </row>
    <row r="2841" customFormat="false" ht="15" hidden="false" customHeight="true" outlineLevel="0" collapsed="false">
      <c r="A2841" s="163" t="s">
        <v>3009</v>
      </c>
      <c r="B2841" s="163" t="s">
        <v>2027</v>
      </c>
      <c r="C2841" s="163" t="s">
        <v>3135</v>
      </c>
      <c r="D2841" s="163" t="s">
        <v>3136</v>
      </c>
      <c r="E2841" s="164" t="n">
        <v>20000</v>
      </c>
      <c r="F2841" s="165" t="s">
        <v>3060</v>
      </c>
    </row>
    <row r="2842" customFormat="false" ht="15" hidden="false" customHeight="true" outlineLevel="0" collapsed="false">
      <c r="A2842" s="163" t="s">
        <v>3009</v>
      </c>
      <c r="B2842" s="163" t="s">
        <v>2027</v>
      </c>
      <c r="C2842" s="163" t="s">
        <v>3317</v>
      </c>
      <c r="D2842" s="163" t="s">
        <v>3318</v>
      </c>
      <c r="E2842" s="164" t="n">
        <v>20000</v>
      </c>
      <c r="F2842" s="165" t="s">
        <v>3060</v>
      </c>
    </row>
    <row r="2843" customFormat="false" ht="15" hidden="false" customHeight="true" outlineLevel="0" collapsed="false">
      <c r="A2843" s="163" t="s">
        <v>3009</v>
      </c>
      <c r="B2843" s="163" t="s">
        <v>2037</v>
      </c>
      <c r="C2843" s="163" t="s">
        <v>4926</v>
      </c>
      <c r="D2843" s="163" t="s">
        <v>4927</v>
      </c>
      <c r="E2843" s="164" t="n">
        <v>60000</v>
      </c>
      <c r="F2843" s="165" t="s">
        <v>3060</v>
      </c>
    </row>
    <row r="2844" customFormat="false" ht="15" hidden="false" customHeight="true" outlineLevel="0" collapsed="false">
      <c r="A2844" s="163" t="s">
        <v>3009</v>
      </c>
      <c r="B2844" s="163" t="s">
        <v>2037</v>
      </c>
      <c r="C2844" s="163" t="s">
        <v>4923</v>
      </c>
      <c r="D2844" s="163" t="s">
        <v>4924</v>
      </c>
      <c r="E2844" s="164" t="n">
        <v>60000</v>
      </c>
      <c r="F2844" s="165" t="s">
        <v>3060</v>
      </c>
    </row>
    <row r="2845" customFormat="false" ht="15" hidden="false" customHeight="true" outlineLevel="0" collapsed="false">
      <c r="A2845" s="163" t="s">
        <v>3009</v>
      </c>
      <c r="B2845" s="163" t="s">
        <v>2037</v>
      </c>
      <c r="C2845" s="163" t="s">
        <v>5208</v>
      </c>
      <c r="D2845" s="163" t="s">
        <v>5209</v>
      </c>
      <c r="E2845" s="164" t="n">
        <v>20000</v>
      </c>
      <c r="F2845" s="165" t="s">
        <v>3060</v>
      </c>
    </row>
    <row r="2846" customFormat="false" ht="15" hidden="false" customHeight="true" outlineLevel="0" collapsed="false">
      <c r="A2846" s="163" t="s">
        <v>3009</v>
      </c>
      <c r="B2846" s="163" t="s">
        <v>2037</v>
      </c>
      <c r="C2846" s="163" t="s">
        <v>7082</v>
      </c>
      <c r="D2846" s="163" t="s">
        <v>7083</v>
      </c>
      <c r="E2846" s="164" t="n">
        <v>20000</v>
      </c>
      <c r="F2846" s="165" t="s">
        <v>3060</v>
      </c>
    </row>
    <row r="2847" customFormat="false" ht="15" hidden="false" customHeight="true" outlineLevel="0" collapsed="false">
      <c r="A2847" s="163" t="s">
        <v>3009</v>
      </c>
      <c r="B2847" s="163" t="s">
        <v>2037</v>
      </c>
      <c r="C2847" s="163" t="s">
        <v>7084</v>
      </c>
      <c r="D2847" s="163" t="s">
        <v>7085</v>
      </c>
      <c r="E2847" s="164" t="n">
        <v>20000</v>
      </c>
      <c r="F2847" s="165" t="s">
        <v>3060</v>
      </c>
    </row>
    <row r="2848" customFormat="false" ht="15" hidden="false" customHeight="true" outlineLevel="0" collapsed="false">
      <c r="A2848" s="163" t="s">
        <v>3009</v>
      </c>
      <c r="B2848" s="163" t="s">
        <v>2037</v>
      </c>
      <c r="C2848" s="163" t="s">
        <v>4441</v>
      </c>
      <c r="D2848" s="163" t="s">
        <v>4442</v>
      </c>
      <c r="E2848" s="164" t="n">
        <v>10000</v>
      </c>
      <c r="F2848" s="165" t="s">
        <v>3060</v>
      </c>
    </row>
    <row r="2849" customFormat="false" ht="15" hidden="false" customHeight="true" outlineLevel="0" collapsed="false">
      <c r="A2849" s="163" t="s">
        <v>3009</v>
      </c>
      <c r="B2849" s="163" t="s">
        <v>2037</v>
      </c>
      <c r="C2849" s="163" t="s">
        <v>3771</v>
      </c>
      <c r="D2849" s="163" t="s">
        <v>3772</v>
      </c>
      <c r="E2849" s="164" t="n">
        <v>10000</v>
      </c>
      <c r="F2849" s="165" t="s">
        <v>3060</v>
      </c>
    </row>
    <row r="2850" customFormat="false" ht="15" hidden="false" customHeight="true" outlineLevel="0" collapsed="false">
      <c r="A2850" s="163" t="s">
        <v>3009</v>
      </c>
      <c r="B2850" s="163" t="s">
        <v>2037</v>
      </c>
      <c r="C2850" s="163" t="s">
        <v>5071</v>
      </c>
      <c r="D2850" s="163" t="s">
        <v>5072</v>
      </c>
      <c r="E2850" s="164" t="n">
        <v>10000</v>
      </c>
      <c r="F2850" s="165" t="s">
        <v>3060</v>
      </c>
    </row>
    <row r="2851" customFormat="false" ht="15" hidden="false" customHeight="true" outlineLevel="0" collapsed="false">
      <c r="A2851" s="163" t="s">
        <v>3009</v>
      </c>
      <c r="B2851" s="163" t="s">
        <v>2037</v>
      </c>
      <c r="C2851" s="163" t="s">
        <v>1017</v>
      </c>
      <c r="D2851" s="163" t="s">
        <v>2698</v>
      </c>
      <c r="E2851" s="164" t="n">
        <v>10000</v>
      </c>
      <c r="F2851" s="165" t="s">
        <v>3060</v>
      </c>
    </row>
    <row r="2852" customFormat="false" ht="15" hidden="false" customHeight="true" outlineLevel="0" collapsed="false">
      <c r="A2852" s="163" t="s">
        <v>3009</v>
      </c>
      <c r="B2852" s="163" t="s">
        <v>2037</v>
      </c>
      <c r="C2852" s="163" t="s">
        <v>7028</v>
      </c>
      <c r="D2852" s="163" t="s">
        <v>7029</v>
      </c>
      <c r="E2852" s="164" t="n">
        <v>5000</v>
      </c>
      <c r="F2852" s="165" t="s">
        <v>3060</v>
      </c>
    </row>
    <row r="2853" customFormat="false" ht="15" hidden="false" customHeight="true" outlineLevel="0" collapsed="false">
      <c r="A2853" s="163" t="s">
        <v>3009</v>
      </c>
      <c r="B2853" s="163" t="s">
        <v>894</v>
      </c>
      <c r="C2853" s="163" t="s">
        <v>452</v>
      </c>
      <c r="D2853" s="163" t="s">
        <v>2102</v>
      </c>
      <c r="E2853" s="164" t="n">
        <v>40000</v>
      </c>
      <c r="F2853" s="165" t="s">
        <v>7086</v>
      </c>
    </row>
    <row r="2854" customFormat="false" ht="15" hidden="false" customHeight="true" outlineLevel="0" collapsed="false">
      <c r="A2854" s="163" t="s">
        <v>3009</v>
      </c>
      <c r="B2854" s="163" t="s">
        <v>894</v>
      </c>
      <c r="C2854" s="163" t="s">
        <v>4893</v>
      </c>
      <c r="D2854" s="163" t="s">
        <v>4894</v>
      </c>
      <c r="E2854" s="164" t="n">
        <v>40000</v>
      </c>
      <c r="F2854" s="165" t="s">
        <v>7038</v>
      </c>
    </row>
    <row r="2855" customFormat="false" ht="15" hidden="false" customHeight="true" outlineLevel="0" collapsed="false">
      <c r="A2855" s="163" t="s">
        <v>3009</v>
      </c>
      <c r="B2855" s="163" t="s">
        <v>894</v>
      </c>
      <c r="C2855" s="163" t="s">
        <v>4166</v>
      </c>
      <c r="D2855" s="163" t="s">
        <v>4167</v>
      </c>
      <c r="E2855" s="164" t="n">
        <v>30000</v>
      </c>
      <c r="F2855" s="165" t="s">
        <v>7087</v>
      </c>
    </row>
    <row r="2856" customFormat="false" ht="15" hidden="false" customHeight="true" outlineLevel="0" collapsed="false">
      <c r="A2856" s="163" t="s">
        <v>3009</v>
      </c>
      <c r="B2856" s="163" t="s">
        <v>894</v>
      </c>
      <c r="C2856" s="163" t="s">
        <v>7088</v>
      </c>
      <c r="D2856" s="163" t="s">
        <v>7089</v>
      </c>
      <c r="E2856" s="164" t="n">
        <v>25000</v>
      </c>
      <c r="F2856" s="165" t="s">
        <v>3060</v>
      </c>
    </row>
    <row r="2857" customFormat="false" ht="15" hidden="false" customHeight="true" outlineLevel="0" collapsed="false">
      <c r="A2857" s="163" t="s">
        <v>3009</v>
      </c>
      <c r="B2857" s="163" t="s">
        <v>894</v>
      </c>
      <c r="C2857" s="163" t="s">
        <v>7034</v>
      </c>
      <c r="D2857" s="163" t="s">
        <v>7035</v>
      </c>
      <c r="E2857" s="164" t="n">
        <v>25000</v>
      </c>
      <c r="F2857" s="165" t="s">
        <v>7090</v>
      </c>
    </row>
    <row r="2858" customFormat="false" ht="15" hidden="false" customHeight="true" outlineLevel="0" collapsed="false">
      <c r="A2858" s="163" t="s">
        <v>3009</v>
      </c>
      <c r="B2858" s="163" t="s">
        <v>894</v>
      </c>
      <c r="C2858" s="163" t="s">
        <v>5214</v>
      </c>
      <c r="D2858" s="163" t="s">
        <v>5215</v>
      </c>
      <c r="E2858" s="164" t="n">
        <v>20000</v>
      </c>
      <c r="F2858" s="165" t="s">
        <v>7091</v>
      </c>
    </row>
    <row r="2859" customFormat="false" ht="15" hidden="false" customHeight="true" outlineLevel="0" collapsed="false">
      <c r="A2859" s="163" t="s">
        <v>3009</v>
      </c>
      <c r="B2859" s="163" t="s">
        <v>894</v>
      </c>
      <c r="C2859" s="163" t="s">
        <v>372</v>
      </c>
      <c r="D2859" s="163" t="s">
        <v>2692</v>
      </c>
      <c r="E2859" s="164" t="n">
        <v>20000</v>
      </c>
      <c r="F2859" s="165" t="s">
        <v>7038</v>
      </c>
    </row>
    <row r="2860" customFormat="false" ht="15" hidden="false" customHeight="true" outlineLevel="0" collapsed="false">
      <c r="A2860" s="163" t="s">
        <v>3009</v>
      </c>
      <c r="B2860" s="163" t="s">
        <v>894</v>
      </c>
      <c r="C2860" s="163" t="s">
        <v>4902</v>
      </c>
      <c r="D2860" s="163" t="s">
        <v>4903</v>
      </c>
      <c r="E2860" s="164" t="n">
        <v>15000</v>
      </c>
      <c r="F2860" s="165" t="s">
        <v>3060</v>
      </c>
    </row>
    <row r="2861" customFormat="false" ht="15" hidden="false" customHeight="true" outlineLevel="0" collapsed="false">
      <c r="A2861" s="163" t="s">
        <v>3009</v>
      </c>
      <c r="B2861" s="163" t="s">
        <v>894</v>
      </c>
      <c r="C2861" s="163" t="s">
        <v>925</v>
      </c>
      <c r="D2861" s="163" t="s">
        <v>1931</v>
      </c>
      <c r="E2861" s="164" t="n">
        <v>15000</v>
      </c>
      <c r="F2861" s="165" t="s">
        <v>7092</v>
      </c>
    </row>
    <row r="2862" customFormat="false" ht="15" hidden="false" customHeight="true" outlineLevel="0" collapsed="false">
      <c r="A2862" s="163" t="s">
        <v>3009</v>
      </c>
      <c r="B2862" s="163" t="s">
        <v>894</v>
      </c>
      <c r="C2862" s="163" t="s">
        <v>7093</v>
      </c>
      <c r="D2862" s="163" t="s">
        <v>7094</v>
      </c>
      <c r="E2862" s="164" t="n">
        <v>10000</v>
      </c>
      <c r="F2862" s="165" t="s">
        <v>7095</v>
      </c>
    </row>
    <row r="2863" customFormat="false" ht="15" hidden="false" customHeight="true" outlineLevel="0" collapsed="false">
      <c r="A2863" s="163" t="s">
        <v>3009</v>
      </c>
      <c r="B2863" s="163" t="s">
        <v>894</v>
      </c>
      <c r="C2863" s="163" t="s">
        <v>4705</v>
      </c>
      <c r="D2863" s="163" t="s">
        <v>4706</v>
      </c>
      <c r="E2863" s="164" t="n">
        <v>10000</v>
      </c>
      <c r="F2863" s="165" t="s">
        <v>7096</v>
      </c>
    </row>
    <row r="2864" customFormat="false" ht="15" hidden="false" customHeight="true" outlineLevel="0" collapsed="false">
      <c r="A2864" s="163" t="s">
        <v>3009</v>
      </c>
      <c r="B2864" s="163" t="s">
        <v>894</v>
      </c>
      <c r="C2864" s="163" t="s">
        <v>4986</v>
      </c>
      <c r="D2864" s="163" t="s">
        <v>4987</v>
      </c>
      <c r="E2864" s="164" t="n">
        <v>10000</v>
      </c>
      <c r="F2864" s="165" t="s">
        <v>7097</v>
      </c>
    </row>
    <row r="2865" customFormat="false" ht="15" hidden="false" customHeight="true" outlineLevel="0" collapsed="false">
      <c r="A2865" s="163" t="s">
        <v>3009</v>
      </c>
      <c r="B2865" s="163" t="s">
        <v>894</v>
      </c>
      <c r="C2865" s="163" t="s">
        <v>925</v>
      </c>
      <c r="D2865" s="163" t="s">
        <v>1931</v>
      </c>
      <c r="E2865" s="164" t="n">
        <v>10000</v>
      </c>
      <c r="F2865" s="165" t="s">
        <v>7098</v>
      </c>
    </row>
    <row r="2866" customFormat="false" ht="15" hidden="false" customHeight="true" outlineLevel="0" collapsed="false">
      <c r="A2866" s="163" t="s">
        <v>3009</v>
      </c>
      <c r="B2866" s="163" t="s">
        <v>894</v>
      </c>
      <c r="C2866" s="163" t="s">
        <v>5048</v>
      </c>
      <c r="D2866" s="163" t="s">
        <v>5049</v>
      </c>
      <c r="E2866" s="164" t="n">
        <v>10000</v>
      </c>
      <c r="F2866" s="165" t="s">
        <v>3060</v>
      </c>
    </row>
    <row r="2867" customFormat="false" ht="15" hidden="false" customHeight="true" outlineLevel="0" collapsed="false">
      <c r="A2867" s="163" t="s">
        <v>3009</v>
      </c>
      <c r="B2867" s="163" t="s">
        <v>894</v>
      </c>
      <c r="C2867" s="163" t="s">
        <v>5031</v>
      </c>
      <c r="D2867" s="163" t="s">
        <v>5032</v>
      </c>
      <c r="E2867" s="164" t="n">
        <v>10000</v>
      </c>
      <c r="F2867" s="165" t="s">
        <v>7099</v>
      </c>
    </row>
    <row r="2868" customFormat="false" ht="15" hidden="false" customHeight="true" outlineLevel="0" collapsed="false">
      <c r="A2868" s="163" t="s">
        <v>3009</v>
      </c>
      <c r="B2868" s="163" t="s">
        <v>894</v>
      </c>
      <c r="C2868" s="163" t="s">
        <v>7100</v>
      </c>
      <c r="D2868" s="163" t="s">
        <v>7101</v>
      </c>
      <c r="E2868" s="164" t="n">
        <v>5000</v>
      </c>
      <c r="F2868" s="165" t="s">
        <v>7102</v>
      </c>
    </row>
    <row r="2869" customFormat="false" ht="15" hidden="false" customHeight="true" outlineLevel="0" collapsed="false">
      <c r="A2869" s="163" t="s">
        <v>3009</v>
      </c>
      <c r="B2869" s="163" t="s">
        <v>894</v>
      </c>
      <c r="C2869" s="163" t="s">
        <v>7103</v>
      </c>
      <c r="D2869" s="163" t="s">
        <v>7104</v>
      </c>
      <c r="E2869" s="164" t="n">
        <v>5000</v>
      </c>
      <c r="F2869" s="165" t="s">
        <v>7105</v>
      </c>
    </row>
    <row r="2870" customFormat="false" ht="15" hidden="false" customHeight="true" outlineLevel="0" collapsed="false">
      <c r="A2870" s="163" t="s">
        <v>3009</v>
      </c>
      <c r="B2870" s="163" t="s">
        <v>894</v>
      </c>
      <c r="C2870" s="163" t="s">
        <v>7106</v>
      </c>
      <c r="D2870" s="163" t="s">
        <v>7107</v>
      </c>
      <c r="E2870" s="164" t="n">
        <v>5000</v>
      </c>
      <c r="F2870" s="165" t="s">
        <v>7108</v>
      </c>
    </row>
    <row r="2871" customFormat="false" ht="15" hidden="false" customHeight="true" outlineLevel="0" collapsed="false">
      <c r="A2871" s="163" t="s">
        <v>3009</v>
      </c>
      <c r="B2871" s="163" t="s">
        <v>894</v>
      </c>
      <c r="C2871" s="163" t="s">
        <v>7109</v>
      </c>
      <c r="D2871" s="163" t="s">
        <v>7110</v>
      </c>
      <c r="E2871" s="164" t="n">
        <v>5000</v>
      </c>
      <c r="F2871" s="165" t="s">
        <v>7111</v>
      </c>
    </row>
    <row r="2872" customFormat="false" ht="15" hidden="false" customHeight="true" outlineLevel="0" collapsed="false">
      <c r="A2872" s="163" t="s">
        <v>3009</v>
      </c>
      <c r="B2872" s="163" t="s">
        <v>894</v>
      </c>
      <c r="C2872" s="163" t="s">
        <v>5266</v>
      </c>
      <c r="D2872" s="163" t="s">
        <v>5267</v>
      </c>
      <c r="E2872" s="164" t="n">
        <v>5000</v>
      </c>
      <c r="F2872" s="165" t="s">
        <v>7112</v>
      </c>
    </row>
    <row r="2873" customFormat="false" ht="15" hidden="false" customHeight="true" outlineLevel="0" collapsed="false">
      <c r="A2873" s="163" t="s">
        <v>3009</v>
      </c>
      <c r="B2873" s="163" t="s">
        <v>894</v>
      </c>
      <c r="C2873" s="163" t="s">
        <v>4669</v>
      </c>
      <c r="D2873" s="163" t="s">
        <v>4670</v>
      </c>
      <c r="E2873" s="164" t="n">
        <v>5000</v>
      </c>
      <c r="F2873" s="165" t="s">
        <v>7113</v>
      </c>
    </row>
    <row r="2874" customFormat="false" ht="15" hidden="false" customHeight="true" outlineLevel="0" collapsed="false">
      <c r="A2874" s="163" t="s">
        <v>3009</v>
      </c>
      <c r="B2874" s="163" t="s">
        <v>894</v>
      </c>
      <c r="C2874" s="163" t="s">
        <v>4995</v>
      </c>
      <c r="D2874" s="163" t="s">
        <v>4996</v>
      </c>
      <c r="E2874" s="164" t="n">
        <v>5000</v>
      </c>
      <c r="F2874" s="165" t="s">
        <v>7114</v>
      </c>
    </row>
    <row r="2875" customFormat="false" ht="15" hidden="false" customHeight="true" outlineLevel="0" collapsed="false">
      <c r="A2875" s="163" t="s">
        <v>3009</v>
      </c>
      <c r="B2875" s="163" t="s">
        <v>894</v>
      </c>
      <c r="C2875" s="163" t="s">
        <v>3309</v>
      </c>
      <c r="D2875" s="163" t="s">
        <v>3310</v>
      </c>
      <c r="E2875" s="164" t="n">
        <v>5000</v>
      </c>
      <c r="F2875" s="165" t="s">
        <v>7038</v>
      </c>
    </row>
    <row r="2876" customFormat="false" ht="15" hidden="false" customHeight="true" outlineLevel="0" collapsed="false">
      <c r="A2876" s="163" t="s">
        <v>3009</v>
      </c>
      <c r="B2876" s="163" t="s">
        <v>894</v>
      </c>
      <c r="C2876" s="163" t="s">
        <v>7115</v>
      </c>
      <c r="D2876" s="163" t="s">
        <v>7116</v>
      </c>
      <c r="E2876" s="164" t="n">
        <v>5000</v>
      </c>
      <c r="F2876" s="165" t="s">
        <v>7117</v>
      </c>
    </row>
    <row r="2877" customFormat="false" ht="15" hidden="false" customHeight="true" outlineLevel="0" collapsed="false">
      <c r="A2877" s="163" t="s">
        <v>3009</v>
      </c>
      <c r="B2877" s="163" t="s">
        <v>894</v>
      </c>
      <c r="C2877" s="163" t="s">
        <v>3116</v>
      </c>
      <c r="D2877" s="163" t="s">
        <v>3117</v>
      </c>
      <c r="E2877" s="164" t="n">
        <v>5000</v>
      </c>
      <c r="F2877" s="165" t="s">
        <v>7118</v>
      </c>
    </row>
    <row r="2878" customFormat="false" ht="15" hidden="false" customHeight="true" outlineLevel="0" collapsed="false">
      <c r="A2878" s="163" t="s">
        <v>3009</v>
      </c>
      <c r="B2878" s="163" t="s">
        <v>894</v>
      </c>
      <c r="C2878" s="163" t="s">
        <v>4998</v>
      </c>
      <c r="D2878" s="163" t="s">
        <v>4999</v>
      </c>
      <c r="E2878" s="164" t="n">
        <v>5000</v>
      </c>
      <c r="F2878" s="165" t="s">
        <v>7119</v>
      </c>
    </row>
    <row r="2879" customFormat="false" ht="15" hidden="false" customHeight="true" outlineLevel="0" collapsed="false">
      <c r="A2879" s="163" t="s">
        <v>3009</v>
      </c>
      <c r="B2879" s="163" t="s">
        <v>894</v>
      </c>
      <c r="C2879" s="163" t="s">
        <v>7120</v>
      </c>
      <c r="D2879" s="163" t="s">
        <v>7121</v>
      </c>
      <c r="E2879" s="164" t="n">
        <v>5000</v>
      </c>
      <c r="F2879" s="165" t="s">
        <v>7122</v>
      </c>
    </row>
    <row r="2880" customFormat="false" ht="15" hidden="false" customHeight="true" outlineLevel="0" collapsed="false">
      <c r="A2880" s="163" t="s">
        <v>3009</v>
      </c>
      <c r="B2880" s="163" t="s">
        <v>894</v>
      </c>
      <c r="C2880" s="163" t="s">
        <v>7068</v>
      </c>
      <c r="D2880" s="163" t="s">
        <v>7069</v>
      </c>
      <c r="E2880" s="164" t="n">
        <v>5000</v>
      </c>
      <c r="F2880" s="165" t="s">
        <v>7123</v>
      </c>
    </row>
    <row r="2881" customFormat="false" ht="15" hidden="false" customHeight="true" outlineLevel="0" collapsed="false">
      <c r="A2881" s="163" t="s">
        <v>3009</v>
      </c>
      <c r="B2881" s="163" t="s">
        <v>894</v>
      </c>
      <c r="C2881" s="163" t="s">
        <v>7124</v>
      </c>
      <c r="D2881" s="163" t="s">
        <v>1931</v>
      </c>
      <c r="E2881" s="164" t="n">
        <v>5000</v>
      </c>
      <c r="F2881" s="165" t="s">
        <v>3060</v>
      </c>
    </row>
    <row r="2882" customFormat="false" ht="15" hidden="false" customHeight="true" outlineLevel="0" collapsed="false">
      <c r="A2882" s="163" t="s">
        <v>3009</v>
      </c>
      <c r="B2882" s="163" t="s">
        <v>894</v>
      </c>
      <c r="C2882" s="163" t="s">
        <v>7125</v>
      </c>
      <c r="D2882" s="163" t="s">
        <v>1931</v>
      </c>
      <c r="E2882" s="164" t="n">
        <v>5000</v>
      </c>
      <c r="F2882" s="165" t="s">
        <v>3060</v>
      </c>
    </row>
    <row r="2883" customFormat="false" ht="15" hidden="false" customHeight="true" outlineLevel="0" collapsed="false">
      <c r="A2883" s="163" t="s">
        <v>3009</v>
      </c>
      <c r="B2883" s="163" t="s">
        <v>894</v>
      </c>
      <c r="C2883" s="163" t="s">
        <v>1860</v>
      </c>
      <c r="D2883" s="163" t="s">
        <v>1861</v>
      </c>
      <c r="E2883" s="164" t="n">
        <v>5000</v>
      </c>
      <c r="F2883" s="165" t="s">
        <v>7126</v>
      </c>
    </row>
    <row r="2884" customFormat="false" ht="15" hidden="false" customHeight="true" outlineLevel="0" collapsed="false">
      <c r="A2884" s="163" t="s">
        <v>3009</v>
      </c>
      <c r="B2884" s="163" t="s">
        <v>894</v>
      </c>
      <c r="C2884" s="163" t="s">
        <v>7127</v>
      </c>
      <c r="D2884" s="163" t="s">
        <v>7128</v>
      </c>
      <c r="E2884" s="164" t="n">
        <v>5000</v>
      </c>
      <c r="F2884" s="165" t="s">
        <v>7129</v>
      </c>
    </row>
    <row r="2885" customFormat="false" ht="15" hidden="false" customHeight="true" outlineLevel="0" collapsed="false">
      <c r="A2885" s="163" t="s">
        <v>3009</v>
      </c>
      <c r="B2885" s="163" t="s">
        <v>894</v>
      </c>
      <c r="C2885" s="163" t="s">
        <v>1135</v>
      </c>
      <c r="D2885" s="163" t="s">
        <v>2507</v>
      </c>
      <c r="E2885" s="164" t="n">
        <v>5000</v>
      </c>
      <c r="F2885" s="165" t="s">
        <v>7130</v>
      </c>
    </row>
    <row r="2886" customFormat="false" ht="15" hidden="false" customHeight="true" outlineLevel="0" collapsed="false">
      <c r="A2886" s="163" t="s">
        <v>3009</v>
      </c>
      <c r="B2886" s="163" t="s">
        <v>894</v>
      </c>
      <c r="C2886" s="163" t="s">
        <v>7131</v>
      </c>
      <c r="D2886" s="163" t="s">
        <v>7132</v>
      </c>
      <c r="E2886" s="164" t="n">
        <v>5000</v>
      </c>
      <c r="F2886" s="165" t="s">
        <v>7038</v>
      </c>
    </row>
    <row r="2887" customFormat="false" ht="15" hidden="false" customHeight="true" outlineLevel="0" collapsed="false">
      <c r="A2887" s="163" t="s">
        <v>3009</v>
      </c>
      <c r="B2887" s="163" t="s">
        <v>894</v>
      </c>
      <c r="C2887" s="163" t="s">
        <v>3625</v>
      </c>
      <c r="D2887" s="163" t="s">
        <v>3626</v>
      </c>
      <c r="E2887" s="164" t="n">
        <v>5000</v>
      </c>
      <c r="F2887" s="165" t="s">
        <v>7038</v>
      </c>
    </row>
    <row r="2888" customFormat="false" ht="15" hidden="false" customHeight="true" outlineLevel="0" collapsed="false">
      <c r="A2888" s="163" t="s">
        <v>3009</v>
      </c>
      <c r="B2888" s="163" t="s">
        <v>894</v>
      </c>
      <c r="C2888" s="163" t="s">
        <v>7133</v>
      </c>
      <c r="D2888" s="163" t="s">
        <v>7134</v>
      </c>
      <c r="E2888" s="164" t="n">
        <v>5000</v>
      </c>
      <c r="F2888" s="165" t="s">
        <v>7038</v>
      </c>
    </row>
    <row r="2889" customFormat="false" ht="15" hidden="false" customHeight="true" outlineLevel="0" collapsed="false">
      <c r="A2889" s="163" t="s">
        <v>3009</v>
      </c>
      <c r="B2889" s="163" t="s">
        <v>894</v>
      </c>
      <c r="C2889" s="163" t="s">
        <v>7135</v>
      </c>
      <c r="D2889" s="163" t="s">
        <v>7136</v>
      </c>
      <c r="E2889" s="164" t="n">
        <v>5000</v>
      </c>
      <c r="F2889" s="165" t="s">
        <v>7038</v>
      </c>
    </row>
    <row r="2890" customFormat="false" ht="15" hidden="false" customHeight="true" outlineLevel="0" collapsed="false">
      <c r="A2890" s="163" t="s">
        <v>3009</v>
      </c>
      <c r="B2890" s="163" t="s">
        <v>882</v>
      </c>
      <c r="C2890" s="163" t="s">
        <v>640</v>
      </c>
      <c r="D2890" s="163" t="s">
        <v>1931</v>
      </c>
      <c r="E2890" s="164" t="n">
        <v>100000</v>
      </c>
      <c r="F2890" s="165" t="s">
        <v>3060</v>
      </c>
    </row>
    <row r="2891" customFormat="false" ht="15" hidden="false" customHeight="true" outlineLevel="0" collapsed="false">
      <c r="A2891" s="163" t="s">
        <v>3009</v>
      </c>
      <c r="B2891" s="163" t="s">
        <v>882</v>
      </c>
      <c r="C2891" s="163" t="s">
        <v>2759</v>
      </c>
      <c r="D2891" s="163" t="s">
        <v>2760</v>
      </c>
      <c r="E2891" s="164" t="n">
        <v>100000</v>
      </c>
      <c r="F2891" s="165" t="s">
        <v>3060</v>
      </c>
    </row>
    <row r="2892" customFormat="false" ht="15" hidden="false" customHeight="true" outlineLevel="0" collapsed="false">
      <c r="A2892" s="163" t="s">
        <v>3009</v>
      </c>
      <c r="B2892" s="163" t="s">
        <v>882</v>
      </c>
      <c r="C2892" s="163" t="s">
        <v>3112</v>
      </c>
      <c r="D2892" s="163" t="s">
        <v>3113</v>
      </c>
      <c r="E2892" s="164" t="n">
        <v>50000</v>
      </c>
      <c r="F2892" s="165" t="s">
        <v>3060</v>
      </c>
    </row>
    <row r="2893" customFormat="false" ht="15" hidden="false" customHeight="true" outlineLevel="0" collapsed="false">
      <c r="A2893" s="163" t="s">
        <v>3009</v>
      </c>
      <c r="B2893" s="163" t="s">
        <v>882</v>
      </c>
      <c r="C2893" s="163" t="s">
        <v>395</v>
      </c>
      <c r="D2893" s="163" t="s">
        <v>2196</v>
      </c>
      <c r="E2893" s="164" t="n">
        <v>30000</v>
      </c>
      <c r="F2893" s="165" t="s">
        <v>3060</v>
      </c>
    </row>
    <row r="2894" customFormat="false" ht="15" hidden="false" customHeight="true" outlineLevel="0" collapsed="false">
      <c r="A2894" s="163" t="s">
        <v>3009</v>
      </c>
      <c r="B2894" s="163" t="s">
        <v>2328</v>
      </c>
      <c r="C2894" s="163" t="s">
        <v>3635</v>
      </c>
      <c r="D2894" s="163" t="s">
        <v>3636</v>
      </c>
      <c r="E2894" s="164" t="n">
        <v>20000</v>
      </c>
      <c r="F2894" s="165" t="s">
        <v>7038</v>
      </c>
    </row>
    <row r="2895" customFormat="false" ht="15" hidden="false" customHeight="true" outlineLevel="0" collapsed="false">
      <c r="A2895" s="163" t="s">
        <v>3009</v>
      </c>
      <c r="B2895" s="163" t="s">
        <v>2328</v>
      </c>
      <c r="C2895" s="163" t="s">
        <v>3706</v>
      </c>
      <c r="D2895" s="163" t="s">
        <v>3707</v>
      </c>
      <c r="E2895" s="164" t="n">
        <v>15000</v>
      </c>
      <c r="F2895" s="165" t="s">
        <v>7137</v>
      </c>
    </row>
    <row r="2896" customFormat="false" ht="15" hidden="false" customHeight="true" outlineLevel="0" collapsed="false">
      <c r="A2896" s="163" t="s">
        <v>3009</v>
      </c>
      <c r="B2896" s="163" t="s">
        <v>2328</v>
      </c>
      <c r="C2896" s="163" t="s">
        <v>4982</v>
      </c>
      <c r="D2896" s="163" t="s">
        <v>4983</v>
      </c>
      <c r="E2896" s="164" t="n">
        <v>15000</v>
      </c>
      <c r="F2896" s="165" t="s">
        <v>7138</v>
      </c>
    </row>
    <row r="2897" customFormat="false" ht="15" hidden="false" customHeight="true" outlineLevel="0" collapsed="false">
      <c r="A2897" s="163" t="s">
        <v>3009</v>
      </c>
      <c r="B2897" s="163" t="s">
        <v>2342</v>
      </c>
      <c r="C2897" s="163" t="s">
        <v>197</v>
      </c>
      <c r="D2897" s="163" t="s">
        <v>1931</v>
      </c>
      <c r="E2897" s="164" t="n">
        <v>60000</v>
      </c>
      <c r="F2897" s="165" t="s">
        <v>3060</v>
      </c>
    </row>
    <row r="2898" customFormat="false" ht="15" hidden="false" customHeight="true" outlineLevel="0" collapsed="false">
      <c r="A2898" s="163" t="s">
        <v>3009</v>
      </c>
      <c r="B2898" s="163" t="s">
        <v>2342</v>
      </c>
      <c r="C2898" s="163" t="s">
        <v>197</v>
      </c>
      <c r="D2898" s="163" t="s">
        <v>1931</v>
      </c>
      <c r="E2898" s="164" t="n">
        <v>15000</v>
      </c>
      <c r="F2898" s="165" t="s">
        <v>3060</v>
      </c>
    </row>
    <row r="2899" customFormat="false" ht="15" hidden="false" customHeight="true" outlineLevel="0" collapsed="false">
      <c r="A2899" s="163" t="s">
        <v>3009</v>
      </c>
      <c r="B2899" s="163" t="s">
        <v>2342</v>
      </c>
      <c r="C2899" s="163" t="s">
        <v>197</v>
      </c>
      <c r="D2899" s="163" t="s">
        <v>1931</v>
      </c>
      <c r="E2899" s="164" t="n">
        <v>10000</v>
      </c>
      <c r="F2899" s="165" t="s">
        <v>3060</v>
      </c>
    </row>
    <row r="2900" customFormat="false" ht="15" hidden="false" customHeight="true" outlineLevel="0" collapsed="false">
      <c r="A2900" s="163" t="s">
        <v>3009</v>
      </c>
      <c r="B2900" s="163" t="s">
        <v>2342</v>
      </c>
      <c r="C2900" s="163" t="s">
        <v>197</v>
      </c>
      <c r="D2900" s="163" t="s">
        <v>1931</v>
      </c>
      <c r="E2900" s="164" t="n">
        <v>5000</v>
      </c>
      <c r="F2900" s="165" t="s">
        <v>3060</v>
      </c>
    </row>
    <row r="2901" customFormat="false" ht="15" hidden="false" customHeight="true" outlineLevel="0" collapsed="false">
      <c r="A2901" s="163" t="s">
        <v>3009</v>
      </c>
      <c r="B2901" s="163" t="s">
        <v>2766</v>
      </c>
      <c r="C2901" s="163" t="s">
        <v>3560</v>
      </c>
      <c r="D2901" s="163" t="s">
        <v>3561</v>
      </c>
      <c r="E2901" s="164" t="n">
        <v>45000</v>
      </c>
      <c r="F2901" s="165" t="s">
        <v>3060</v>
      </c>
    </row>
    <row r="2902" customFormat="false" ht="15" hidden="false" customHeight="true" outlineLevel="0" collapsed="false">
      <c r="A2902" s="163" t="s">
        <v>3009</v>
      </c>
      <c r="B2902" s="163" t="s">
        <v>2766</v>
      </c>
      <c r="C2902" s="163" t="s">
        <v>4890</v>
      </c>
      <c r="D2902" s="163" t="s">
        <v>4891</v>
      </c>
      <c r="E2902" s="164" t="n">
        <v>30000</v>
      </c>
      <c r="F2902" s="165" t="s">
        <v>3060</v>
      </c>
    </row>
    <row r="2903" customFormat="false" ht="15" hidden="false" customHeight="true" outlineLevel="0" collapsed="false">
      <c r="A2903" s="163" t="s">
        <v>3009</v>
      </c>
      <c r="B2903" s="163" t="s">
        <v>1743</v>
      </c>
      <c r="C2903" s="163" t="s">
        <v>4900</v>
      </c>
      <c r="D2903" s="163" t="s">
        <v>4901</v>
      </c>
      <c r="E2903" s="164" t="n">
        <v>30000</v>
      </c>
      <c r="F2903" s="165" t="s">
        <v>3060</v>
      </c>
    </row>
    <row r="2904" customFormat="false" ht="15" hidden="false" customHeight="true" outlineLevel="0" collapsed="false">
      <c r="A2904" s="163" t="s">
        <v>3009</v>
      </c>
      <c r="B2904" s="163" t="s">
        <v>1743</v>
      </c>
      <c r="C2904" s="163" t="s">
        <v>4900</v>
      </c>
      <c r="D2904" s="163" t="s">
        <v>4901</v>
      </c>
      <c r="E2904" s="164" t="n">
        <v>30000</v>
      </c>
      <c r="F2904" s="165" t="s">
        <v>3060</v>
      </c>
    </row>
    <row r="2905" customFormat="false" ht="15" hidden="false" customHeight="true" outlineLevel="0" collapsed="false">
      <c r="A2905" s="163" t="s">
        <v>3009</v>
      </c>
      <c r="B2905" s="163" t="s">
        <v>1743</v>
      </c>
      <c r="C2905" s="163" t="s">
        <v>7139</v>
      </c>
      <c r="D2905" s="163" t="s">
        <v>7140</v>
      </c>
      <c r="E2905" s="164" t="n">
        <v>30000</v>
      </c>
      <c r="F2905" s="165" t="s">
        <v>3060</v>
      </c>
    </row>
    <row r="2906" customFormat="false" ht="15" hidden="false" customHeight="true" outlineLevel="0" collapsed="false">
      <c r="A2906" s="163" t="s">
        <v>3009</v>
      </c>
      <c r="B2906" s="163" t="s">
        <v>1743</v>
      </c>
      <c r="C2906" s="163" t="s">
        <v>7141</v>
      </c>
      <c r="D2906" s="163" t="s">
        <v>7142</v>
      </c>
      <c r="E2906" s="164" t="n">
        <v>30000</v>
      </c>
      <c r="F2906" s="165" t="s">
        <v>3060</v>
      </c>
    </row>
    <row r="2907" customFormat="false" ht="15" hidden="false" customHeight="true" outlineLevel="0" collapsed="false">
      <c r="A2907" s="163" t="s">
        <v>3009</v>
      </c>
      <c r="B2907" s="163" t="s">
        <v>1743</v>
      </c>
      <c r="C2907" s="163" t="s">
        <v>4898</v>
      </c>
      <c r="D2907" s="163" t="s">
        <v>4899</v>
      </c>
      <c r="E2907" s="164" t="n">
        <v>30000</v>
      </c>
      <c r="F2907" s="165" t="s">
        <v>3060</v>
      </c>
    </row>
    <row r="2908" customFormat="false" ht="15" hidden="false" customHeight="true" outlineLevel="0" collapsed="false">
      <c r="A2908" s="163" t="s">
        <v>3009</v>
      </c>
      <c r="B2908" s="163" t="s">
        <v>928</v>
      </c>
      <c r="C2908" s="163" t="s">
        <v>7143</v>
      </c>
      <c r="D2908" s="163" t="s">
        <v>7144</v>
      </c>
      <c r="E2908" s="164" t="n">
        <v>25000</v>
      </c>
      <c r="F2908" s="165" t="s">
        <v>7145</v>
      </c>
    </row>
    <row r="2909" customFormat="false" ht="15" hidden="false" customHeight="true" outlineLevel="0" collapsed="false">
      <c r="A2909" s="163" t="s">
        <v>3009</v>
      </c>
      <c r="B2909" s="163" t="s">
        <v>928</v>
      </c>
      <c r="C2909" s="163" t="s">
        <v>549</v>
      </c>
      <c r="D2909" s="163" t="s">
        <v>2441</v>
      </c>
      <c r="E2909" s="164" t="n">
        <v>20000</v>
      </c>
      <c r="F2909" s="165" t="s">
        <v>7146</v>
      </c>
    </row>
    <row r="2910" customFormat="false" ht="15" hidden="false" customHeight="true" outlineLevel="0" collapsed="false">
      <c r="A2910" s="163" t="s">
        <v>3009</v>
      </c>
      <c r="B2910" s="163" t="s">
        <v>928</v>
      </c>
      <c r="C2910" s="163" t="s">
        <v>5116</v>
      </c>
      <c r="D2910" s="163" t="s">
        <v>5117</v>
      </c>
      <c r="E2910" s="164" t="n">
        <v>10000</v>
      </c>
      <c r="F2910" s="165" t="s">
        <v>7147</v>
      </c>
    </row>
    <row r="2911" customFormat="false" ht="15" hidden="false" customHeight="true" outlineLevel="0" collapsed="false">
      <c r="A2911" s="163" t="s">
        <v>3009</v>
      </c>
      <c r="B2911" s="163" t="s">
        <v>928</v>
      </c>
      <c r="C2911" s="163" t="s">
        <v>5090</v>
      </c>
      <c r="D2911" s="163" t="s">
        <v>5091</v>
      </c>
      <c r="E2911" s="164" t="n">
        <v>10000</v>
      </c>
      <c r="F2911" s="165" t="s">
        <v>3060</v>
      </c>
    </row>
    <row r="2912" customFormat="false" ht="15" hidden="false" customHeight="true" outlineLevel="0" collapsed="false">
      <c r="A2912" s="163" t="s">
        <v>3009</v>
      </c>
      <c r="B2912" s="163" t="s">
        <v>928</v>
      </c>
      <c r="C2912" s="163" t="s">
        <v>1159</v>
      </c>
      <c r="D2912" s="163" t="s">
        <v>1936</v>
      </c>
      <c r="E2912" s="164" t="n">
        <v>10000</v>
      </c>
      <c r="F2912" s="165" t="s">
        <v>7148</v>
      </c>
    </row>
    <row r="2913" customFormat="false" ht="15" hidden="false" customHeight="true" outlineLevel="0" collapsed="false">
      <c r="A2913" s="163" t="s">
        <v>3009</v>
      </c>
      <c r="B2913" s="163" t="s">
        <v>928</v>
      </c>
      <c r="C2913" s="163" t="s">
        <v>4081</v>
      </c>
      <c r="D2913" s="163" t="s">
        <v>4082</v>
      </c>
      <c r="E2913" s="164" t="n">
        <v>10000</v>
      </c>
      <c r="F2913" s="165" t="s">
        <v>7149</v>
      </c>
    </row>
    <row r="2914" customFormat="false" ht="15" hidden="false" customHeight="true" outlineLevel="0" collapsed="false">
      <c r="A2914" s="163" t="s">
        <v>3009</v>
      </c>
      <c r="B2914" s="163" t="s">
        <v>928</v>
      </c>
      <c r="C2914" s="163" t="s">
        <v>7150</v>
      </c>
      <c r="D2914" s="163" t="s">
        <v>7151</v>
      </c>
      <c r="E2914" s="164" t="n">
        <v>5000</v>
      </c>
      <c r="F2914" s="165" t="s">
        <v>7152</v>
      </c>
    </row>
    <row r="2915" customFormat="false" ht="15" hidden="false" customHeight="true" outlineLevel="0" collapsed="false">
      <c r="A2915" s="163" t="s">
        <v>3009</v>
      </c>
      <c r="B2915" s="163" t="s">
        <v>928</v>
      </c>
      <c r="C2915" s="163" t="s">
        <v>7153</v>
      </c>
      <c r="D2915" s="163" t="s">
        <v>7154</v>
      </c>
      <c r="E2915" s="164" t="n">
        <v>5000</v>
      </c>
      <c r="F2915" s="165" t="s">
        <v>7038</v>
      </c>
    </row>
    <row r="2916" customFormat="false" ht="15" hidden="false" customHeight="true" outlineLevel="0" collapsed="false">
      <c r="A2916" s="163" t="s">
        <v>3009</v>
      </c>
      <c r="B2916" s="163" t="s">
        <v>928</v>
      </c>
      <c r="C2916" s="163" t="s">
        <v>962</v>
      </c>
      <c r="D2916" s="163" t="s">
        <v>7155</v>
      </c>
      <c r="E2916" s="164" t="n">
        <v>5000</v>
      </c>
      <c r="F2916" s="165" t="s">
        <v>7156</v>
      </c>
    </row>
    <row r="2917" customFormat="false" ht="15" hidden="false" customHeight="true" outlineLevel="0" collapsed="false">
      <c r="A2917" s="163" t="s">
        <v>3009</v>
      </c>
      <c r="B2917" s="163" t="s">
        <v>928</v>
      </c>
      <c r="C2917" s="163" t="s">
        <v>3176</v>
      </c>
      <c r="D2917" s="163" t="s">
        <v>3177</v>
      </c>
      <c r="E2917" s="164" t="n">
        <v>5000</v>
      </c>
      <c r="F2917" s="165" t="s">
        <v>7157</v>
      </c>
    </row>
    <row r="2918" customFormat="false" ht="15" hidden="false" customHeight="true" outlineLevel="0" collapsed="false">
      <c r="A2918" s="163" t="s">
        <v>3009</v>
      </c>
      <c r="B2918" s="163" t="s">
        <v>928</v>
      </c>
      <c r="C2918" s="163" t="s">
        <v>7158</v>
      </c>
      <c r="D2918" s="163" t="s">
        <v>7159</v>
      </c>
      <c r="E2918" s="164" t="n">
        <v>5000</v>
      </c>
      <c r="F2918" s="165" t="s">
        <v>7160</v>
      </c>
    </row>
    <row r="2919" customFormat="false" ht="15" hidden="false" customHeight="true" outlineLevel="0" collapsed="false">
      <c r="A2919" s="163" t="s">
        <v>3009</v>
      </c>
      <c r="B2919" s="163" t="s">
        <v>928</v>
      </c>
      <c r="C2919" s="163" t="s">
        <v>7161</v>
      </c>
      <c r="D2919" s="163" t="s">
        <v>7162</v>
      </c>
      <c r="E2919" s="164" t="n">
        <v>5000</v>
      </c>
      <c r="F2919" s="165" t="s">
        <v>7163</v>
      </c>
    </row>
    <row r="2920" customFormat="false" ht="15" hidden="false" customHeight="true" outlineLevel="0" collapsed="false">
      <c r="A2920" s="163" t="s">
        <v>3009</v>
      </c>
      <c r="B2920" s="163" t="s">
        <v>928</v>
      </c>
      <c r="C2920" s="163" t="s">
        <v>5098</v>
      </c>
      <c r="D2920" s="163" t="s">
        <v>5099</v>
      </c>
      <c r="E2920" s="164" t="n">
        <v>5000</v>
      </c>
      <c r="F2920" s="165" t="s">
        <v>7164</v>
      </c>
    </row>
    <row r="2921" customFormat="false" ht="15" hidden="false" customHeight="true" outlineLevel="0" collapsed="false">
      <c r="A2921" s="163" t="s">
        <v>3009</v>
      </c>
      <c r="B2921" s="163" t="s">
        <v>928</v>
      </c>
      <c r="C2921" s="163" t="s">
        <v>5011</v>
      </c>
      <c r="D2921" s="163" t="s">
        <v>5012</v>
      </c>
      <c r="E2921" s="164" t="n">
        <v>5000</v>
      </c>
      <c r="F2921" s="165" t="s">
        <v>7165</v>
      </c>
    </row>
    <row r="2922" customFormat="false" ht="15" hidden="false" customHeight="true" outlineLevel="0" collapsed="false">
      <c r="A2922" s="163" t="s">
        <v>3009</v>
      </c>
      <c r="B2922" s="163" t="s">
        <v>928</v>
      </c>
      <c r="C2922" s="163" t="s">
        <v>2953</v>
      </c>
      <c r="D2922" s="163" t="s">
        <v>2954</v>
      </c>
      <c r="E2922" s="164" t="n">
        <v>5000</v>
      </c>
      <c r="F2922" s="165" t="s">
        <v>7166</v>
      </c>
    </row>
    <row r="2923" customFormat="false" ht="15" hidden="false" customHeight="true" outlineLevel="0" collapsed="false">
      <c r="A2923" s="163" t="s">
        <v>3009</v>
      </c>
      <c r="B2923" s="163" t="s">
        <v>928</v>
      </c>
      <c r="C2923" s="163" t="s">
        <v>3425</v>
      </c>
      <c r="D2923" s="163" t="s">
        <v>3426</v>
      </c>
      <c r="E2923" s="164" t="n">
        <v>5000</v>
      </c>
      <c r="F2923" s="165" t="s">
        <v>7167</v>
      </c>
    </row>
    <row r="2924" customFormat="false" ht="15" hidden="false" customHeight="true" outlineLevel="0" collapsed="false">
      <c r="A2924" s="163" t="s">
        <v>3009</v>
      </c>
      <c r="B2924" s="163" t="s">
        <v>928</v>
      </c>
      <c r="C2924" s="163" t="s">
        <v>7168</v>
      </c>
      <c r="D2924" s="163" t="s">
        <v>7169</v>
      </c>
      <c r="E2924" s="164" t="n">
        <v>5000</v>
      </c>
      <c r="F2924" s="165" t="s">
        <v>7038</v>
      </c>
    </row>
    <row r="2925" customFormat="false" ht="15" hidden="false" customHeight="true" outlineLevel="0" collapsed="false">
      <c r="A2925" s="163" t="s">
        <v>3009</v>
      </c>
      <c r="B2925" s="163" t="s">
        <v>928</v>
      </c>
      <c r="C2925" s="163" t="s">
        <v>4912</v>
      </c>
      <c r="D2925" s="163" t="s">
        <v>4913</v>
      </c>
      <c r="E2925" s="164" t="n">
        <v>5000</v>
      </c>
      <c r="F2925" s="165" t="s">
        <v>7038</v>
      </c>
    </row>
    <row r="2926" customFormat="false" ht="15" hidden="false" customHeight="true" outlineLevel="0" collapsed="false">
      <c r="A2926" s="163" t="s">
        <v>3009</v>
      </c>
      <c r="B2926" s="163" t="s">
        <v>928</v>
      </c>
      <c r="C2926" s="163" t="s">
        <v>4797</v>
      </c>
      <c r="D2926" s="163" t="s">
        <v>4798</v>
      </c>
      <c r="E2926" s="164" t="n">
        <v>5000</v>
      </c>
      <c r="F2926" s="165" t="s">
        <v>7170</v>
      </c>
    </row>
    <row r="2927" customFormat="false" ht="15" hidden="false" customHeight="true" outlineLevel="0" collapsed="false">
      <c r="A2927" s="163" t="s">
        <v>595</v>
      </c>
      <c r="B2927" s="163" t="s">
        <v>926</v>
      </c>
      <c r="C2927" s="163" t="s">
        <v>230</v>
      </c>
      <c r="D2927" s="163" t="s">
        <v>2077</v>
      </c>
      <c r="E2927" s="164" t="n">
        <v>25000</v>
      </c>
      <c r="F2927" s="165" t="s">
        <v>7171</v>
      </c>
    </row>
    <row r="2928" customFormat="false" ht="15" hidden="false" customHeight="true" outlineLevel="0" collapsed="false">
      <c r="A2928" s="163" t="s">
        <v>595</v>
      </c>
      <c r="B2928" s="163" t="s">
        <v>926</v>
      </c>
      <c r="C2928" s="163" t="s">
        <v>273</v>
      </c>
      <c r="D2928" s="163" t="s">
        <v>1891</v>
      </c>
      <c r="E2928" s="164" t="n">
        <v>20000</v>
      </c>
      <c r="F2928" s="165" t="s">
        <v>2627</v>
      </c>
    </row>
    <row r="2929" customFormat="false" ht="15" hidden="false" customHeight="true" outlineLevel="0" collapsed="false">
      <c r="A2929" s="163" t="s">
        <v>595</v>
      </c>
      <c r="B2929" s="163" t="s">
        <v>926</v>
      </c>
      <c r="C2929" s="163" t="s">
        <v>400</v>
      </c>
      <c r="D2929" s="163" t="s">
        <v>2628</v>
      </c>
      <c r="E2929" s="164" t="n">
        <v>15000</v>
      </c>
      <c r="F2929" s="165" t="s">
        <v>2629</v>
      </c>
    </row>
    <row r="2930" customFormat="false" ht="15" hidden="false" customHeight="true" outlineLevel="0" collapsed="false">
      <c r="A2930" s="163" t="s">
        <v>595</v>
      </c>
      <c r="B2930" s="163" t="s">
        <v>926</v>
      </c>
      <c r="C2930" s="163" t="s">
        <v>424</v>
      </c>
      <c r="D2930" s="163" t="s">
        <v>2630</v>
      </c>
      <c r="E2930" s="164" t="n">
        <v>10000</v>
      </c>
      <c r="F2930" s="165" t="s">
        <v>2631</v>
      </c>
    </row>
    <row r="2931" customFormat="false" ht="15" hidden="false" customHeight="true" outlineLevel="0" collapsed="false">
      <c r="A2931" s="163" t="s">
        <v>595</v>
      </c>
      <c r="B2931" s="163" t="s">
        <v>926</v>
      </c>
      <c r="C2931" s="163" t="s">
        <v>2632</v>
      </c>
      <c r="D2931" s="163" t="s">
        <v>2633</v>
      </c>
      <c r="E2931" s="164" t="n">
        <v>10000</v>
      </c>
      <c r="F2931" s="165" t="s">
        <v>7172</v>
      </c>
    </row>
    <row r="2932" customFormat="false" ht="15" hidden="false" customHeight="true" outlineLevel="0" collapsed="false">
      <c r="A2932" s="163" t="s">
        <v>595</v>
      </c>
      <c r="B2932" s="163" t="s">
        <v>926</v>
      </c>
      <c r="C2932" s="163" t="s">
        <v>657</v>
      </c>
      <c r="D2932" s="163" t="s">
        <v>1849</v>
      </c>
      <c r="E2932" s="164" t="n">
        <v>10000</v>
      </c>
      <c r="F2932" s="165" t="s">
        <v>2635</v>
      </c>
    </row>
    <row r="2933" customFormat="false" ht="15" hidden="false" customHeight="true" outlineLevel="0" collapsed="false">
      <c r="A2933" s="163" t="s">
        <v>595</v>
      </c>
      <c r="B2933" s="163" t="s">
        <v>926</v>
      </c>
      <c r="C2933" s="163" t="s">
        <v>395</v>
      </c>
      <c r="D2933" s="163" t="s">
        <v>2196</v>
      </c>
      <c r="E2933" s="164" t="n">
        <v>10000</v>
      </c>
      <c r="F2933" s="165" t="s">
        <v>7173</v>
      </c>
    </row>
    <row r="2934" customFormat="false" ht="15" hidden="false" customHeight="true" outlineLevel="0" collapsed="false">
      <c r="A2934" s="163" t="s">
        <v>595</v>
      </c>
      <c r="B2934" s="163" t="s">
        <v>957</v>
      </c>
      <c r="C2934" s="163" t="s">
        <v>215</v>
      </c>
      <c r="D2934" s="163" t="s">
        <v>1856</v>
      </c>
      <c r="E2934" s="164" t="n">
        <v>15000</v>
      </c>
      <c r="F2934" s="165" t="s">
        <v>2638</v>
      </c>
    </row>
    <row r="2935" customFormat="false" ht="15" hidden="false" customHeight="true" outlineLevel="0" collapsed="false">
      <c r="A2935" s="163" t="s">
        <v>595</v>
      </c>
      <c r="B2935" s="163" t="s">
        <v>957</v>
      </c>
      <c r="C2935" s="163" t="s">
        <v>215</v>
      </c>
      <c r="D2935" s="163" t="s">
        <v>1856</v>
      </c>
      <c r="E2935" s="164" t="n">
        <v>15000</v>
      </c>
      <c r="F2935" s="165" t="s">
        <v>2639</v>
      </c>
    </row>
    <row r="2936" customFormat="false" ht="15" hidden="false" customHeight="true" outlineLevel="0" collapsed="false">
      <c r="A2936" s="163" t="s">
        <v>595</v>
      </c>
      <c r="B2936" s="163" t="s">
        <v>957</v>
      </c>
      <c r="C2936" s="163" t="s">
        <v>657</v>
      </c>
      <c r="D2936" s="163" t="s">
        <v>1849</v>
      </c>
      <c r="E2936" s="164" t="n">
        <v>15000</v>
      </c>
      <c r="F2936" s="165" t="s">
        <v>2640</v>
      </c>
    </row>
    <row r="2937" customFormat="false" ht="15" hidden="false" customHeight="true" outlineLevel="0" collapsed="false">
      <c r="A2937" s="163" t="s">
        <v>595</v>
      </c>
      <c r="B2937" s="163" t="s">
        <v>957</v>
      </c>
      <c r="C2937" s="163" t="s">
        <v>1095</v>
      </c>
      <c r="D2937" s="163" t="s">
        <v>1840</v>
      </c>
      <c r="E2937" s="164" t="n">
        <v>15000</v>
      </c>
      <c r="F2937" s="165" t="s">
        <v>2641</v>
      </c>
    </row>
    <row r="2938" customFormat="false" ht="15" hidden="false" customHeight="true" outlineLevel="0" collapsed="false">
      <c r="A2938" s="163" t="s">
        <v>595</v>
      </c>
      <c r="B2938" s="163" t="s">
        <v>957</v>
      </c>
      <c r="C2938" s="163" t="s">
        <v>235</v>
      </c>
      <c r="D2938" s="163" t="s">
        <v>1852</v>
      </c>
      <c r="E2938" s="164" t="n">
        <v>15000</v>
      </c>
      <c r="F2938" s="165" t="s">
        <v>2642</v>
      </c>
    </row>
    <row r="2939" customFormat="false" ht="15" hidden="false" customHeight="true" outlineLevel="0" collapsed="false">
      <c r="A2939" s="163" t="s">
        <v>595</v>
      </c>
      <c r="B2939" s="163" t="s">
        <v>957</v>
      </c>
      <c r="C2939" s="163" t="s">
        <v>235</v>
      </c>
      <c r="D2939" s="163" t="s">
        <v>1852</v>
      </c>
      <c r="E2939" s="164" t="n">
        <v>15000</v>
      </c>
      <c r="F2939" s="165" t="s">
        <v>2643</v>
      </c>
    </row>
    <row r="2940" customFormat="false" ht="15" hidden="false" customHeight="true" outlineLevel="0" collapsed="false">
      <c r="A2940" s="163" t="s">
        <v>595</v>
      </c>
      <c r="B2940" s="163" t="s">
        <v>957</v>
      </c>
      <c r="C2940" s="163" t="s">
        <v>321</v>
      </c>
      <c r="D2940" s="163" t="s">
        <v>1868</v>
      </c>
      <c r="E2940" s="164" t="n">
        <v>10000</v>
      </c>
      <c r="F2940" s="165" t="s">
        <v>2644</v>
      </c>
    </row>
    <row r="2941" customFormat="false" ht="15" hidden="false" customHeight="true" outlineLevel="0" collapsed="false">
      <c r="A2941" s="163" t="s">
        <v>595</v>
      </c>
      <c r="B2941" s="163" t="s">
        <v>957</v>
      </c>
      <c r="C2941" s="163" t="s">
        <v>309</v>
      </c>
      <c r="D2941" s="163" t="s">
        <v>1865</v>
      </c>
      <c r="E2941" s="164" t="n">
        <v>10000</v>
      </c>
      <c r="F2941" s="165" t="s">
        <v>2645</v>
      </c>
    </row>
    <row r="2942" customFormat="false" ht="15" hidden="false" customHeight="true" outlineLevel="0" collapsed="false">
      <c r="A2942" s="163" t="s">
        <v>595</v>
      </c>
      <c r="B2942" s="163" t="s">
        <v>945</v>
      </c>
      <c r="C2942" s="163" t="s">
        <v>225</v>
      </c>
      <c r="D2942" s="163" t="s">
        <v>1887</v>
      </c>
      <c r="E2942" s="164" t="n">
        <v>30000</v>
      </c>
      <c r="F2942" s="165" t="s">
        <v>2647</v>
      </c>
    </row>
    <row r="2943" customFormat="false" ht="15" hidden="false" customHeight="true" outlineLevel="0" collapsed="false">
      <c r="A2943" s="163" t="s">
        <v>595</v>
      </c>
      <c r="B2943" s="163" t="s">
        <v>945</v>
      </c>
      <c r="C2943" s="163" t="s">
        <v>273</v>
      </c>
      <c r="D2943" s="163" t="s">
        <v>1891</v>
      </c>
      <c r="E2943" s="164" t="n">
        <v>10000</v>
      </c>
      <c r="F2943" s="165" t="s">
        <v>3060</v>
      </c>
    </row>
    <row r="2944" customFormat="false" ht="15" hidden="false" customHeight="true" outlineLevel="0" collapsed="false">
      <c r="A2944" s="163" t="s">
        <v>595</v>
      </c>
      <c r="B2944" s="163" t="s">
        <v>945</v>
      </c>
      <c r="C2944" s="163" t="s">
        <v>1228</v>
      </c>
      <c r="D2944" s="163" t="s">
        <v>1904</v>
      </c>
      <c r="E2944" s="164" t="n">
        <v>5000</v>
      </c>
      <c r="F2944" s="165" t="s">
        <v>2649</v>
      </c>
    </row>
    <row r="2945" customFormat="false" ht="15" hidden="false" customHeight="true" outlineLevel="0" collapsed="false">
      <c r="A2945" s="163" t="s">
        <v>595</v>
      </c>
      <c r="B2945" s="163" t="s">
        <v>945</v>
      </c>
      <c r="C2945" s="163" t="s">
        <v>489</v>
      </c>
      <c r="D2945" s="163" t="s">
        <v>1902</v>
      </c>
      <c r="E2945" s="164" t="n">
        <v>5000</v>
      </c>
      <c r="F2945" s="165" t="s">
        <v>3060</v>
      </c>
    </row>
    <row r="2946" customFormat="false" ht="15" hidden="false" customHeight="true" outlineLevel="0" collapsed="false">
      <c r="A2946" s="163" t="s">
        <v>595</v>
      </c>
      <c r="B2946" s="163" t="s">
        <v>3111</v>
      </c>
      <c r="C2946" s="163" t="s">
        <v>168</v>
      </c>
      <c r="D2946" s="163" t="s">
        <v>1907</v>
      </c>
      <c r="E2946" s="164" t="n">
        <v>80000</v>
      </c>
      <c r="F2946" s="165" t="s">
        <v>2627</v>
      </c>
    </row>
    <row r="2947" customFormat="false" ht="15" hidden="false" customHeight="true" outlineLevel="0" collapsed="false">
      <c r="A2947" s="163" t="s">
        <v>595</v>
      </c>
      <c r="B2947" s="163" t="s">
        <v>3111</v>
      </c>
      <c r="C2947" s="163" t="s">
        <v>225</v>
      </c>
      <c r="D2947" s="163" t="s">
        <v>1887</v>
      </c>
      <c r="E2947" s="164" t="n">
        <v>7500</v>
      </c>
      <c r="F2947" s="165" t="s">
        <v>3060</v>
      </c>
    </row>
    <row r="2948" customFormat="false" ht="15" hidden="false" customHeight="true" outlineLevel="0" collapsed="false">
      <c r="A2948" s="163" t="s">
        <v>595</v>
      </c>
      <c r="B2948" s="163" t="s">
        <v>3111</v>
      </c>
      <c r="C2948" s="163" t="s">
        <v>225</v>
      </c>
      <c r="D2948" s="163" t="s">
        <v>1887</v>
      </c>
      <c r="E2948" s="164" t="n">
        <v>7500</v>
      </c>
      <c r="F2948" s="165" t="s">
        <v>3060</v>
      </c>
    </row>
    <row r="2949" customFormat="false" ht="15" hidden="false" customHeight="true" outlineLevel="0" collapsed="false">
      <c r="A2949" s="163" t="s">
        <v>595</v>
      </c>
      <c r="B2949" s="163" t="s">
        <v>3111</v>
      </c>
      <c r="C2949" s="163" t="s">
        <v>933</v>
      </c>
      <c r="D2949" s="163" t="s">
        <v>1925</v>
      </c>
      <c r="E2949" s="164" t="n">
        <v>5000</v>
      </c>
      <c r="F2949" s="165" t="s">
        <v>2651</v>
      </c>
    </row>
    <row r="2950" customFormat="false" ht="15" hidden="false" customHeight="true" outlineLevel="0" collapsed="false">
      <c r="A2950" s="163" t="s">
        <v>595</v>
      </c>
      <c r="B2950" s="163" t="s">
        <v>1938</v>
      </c>
      <c r="C2950" s="163" t="s">
        <v>296</v>
      </c>
      <c r="D2950" s="163" t="s">
        <v>2127</v>
      </c>
      <c r="E2950" s="164" t="n">
        <v>20000</v>
      </c>
      <c r="F2950" s="165" t="s">
        <v>2653</v>
      </c>
    </row>
    <row r="2951" customFormat="false" ht="15" hidden="false" customHeight="true" outlineLevel="0" collapsed="false">
      <c r="A2951" s="163" t="s">
        <v>595</v>
      </c>
      <c r="B2951" s="163" t="s">
        <v>1938</v>
      </c>
      <c r="C2951" s="163" t="s">
        <v>902</v>
      </c>
      <c r="D2951" s="163" t="s">
        <v>2215</v>
      </c>
      <c r="E2951" s="164" t="n">
        <v>20000</v>
      </c>
      <c r="F2951" s="165" t="s">
        <v>2654</v>
      </c>
    </row>
    <row r="2952" customFormat="false" ht="15" hidden="false" customHeight="true" outlineLevel="0" collapsed="false">
      <c r="A2952" s="163" t="s">
        <v>595</v>
      </c>
      <c r="B2952" s="163" t="s">
        <v>1938</v>
      </c>
      <c r="C2952" s="163" t="s">
        <v>285</v>
      </c>
      <c r="D2952" s="163" t="s">
        <v>2408</v>
      </c>
      <c r="E2952" s="164" t="n">
        <v>20000</v>
      </c>
      <c r="F2952" s="165" t="s">
        <v>2655</v>
      </c>
    </row>
    <row r="2953" customFormat="false" ht="15" hidden="false" customHeight="true" outlineLevel="0" collapsed="false">
      <c r="A2953" s="163" t="s">
        <v>595</v>
      </c>
      <c r="B2953" s="163" t="s">
        <v>1938</v>
      </c>
      <c r="C2953" s="163" t="s">
        <v>293</v>
      </c>
      <c r="D2953" s="163" t="s">
        <v>2438</v>
      </c>
      <c r="E2953" s="164" t="n">
        <v>20000</v>
      </c>
      <c r="F2953" s="165" t="s">
        <v>2656</v>
      </c>
    </row>
    <row r="2954" customFormat="false" ht="15" hidden="false" customHeight="true" outlineLevel="0" collapsed="false">
      <c r="A2954" s="163" t="s">
        <v>595</v>
      </c>
      <c r="B2954" s="163" t="s">
        <v>1938</v>
      </c>
      <c r="C2954" s="163" t="s">
        <v>290</v>
      </c>
      <c r="D2954" s="163" t="s">
        <v>1909</v>
      </c>
      <c r="E2954" s="164" t="n">
        <v>20000</v>
      </c>
      <c r="F2954" s="165" t="s">
        <v>2657</v>
      </c>
    </row>
    <row r="2955" customFormat="false" ht="15" hidden="false" customHeight="true" outlineLevel="0" collapsed="false">
      <c r="A2955" s="163" t="s">
        <v>595</v>
      </c>
      <c r="B2955" s="163" t="s">
        <v>1938</v>
      </c>
      <c r="C2955" s="163" t="s">
        <v>340</v>
      </c>
      <c r="D2955" s="163" t="s">
        <v>2658</v>
      </c>
      <c r="E2955" s="164" t="n">
        <v>20000</v>
      </c>
      <c r="F2955" s="165" t="s">
        <v>2659</v>
      </c>
    </row>
    <row r="2956" customFormat="false" ht="15" hidden="false" customHeight="true" outlineLevel="0" collapsed="false">
      <c r="A2956" s="163" t="s">
        <v>595</v>
      </c>
      <c r="B2956" s="163" t="s">
        <v>1938</v>
      </c>
      <c r="C2956" s="163" t="s">
        <v>328</v>
      </c>
      <c r="D2956" s="163" t="s">
        <v>2660</v>
      </c>
      <c r="E2956" s="164" t="n">
        <v>20000</v>
      </c>
      <c r="F2956" s="165" t="s">
        <v>7174</v>
      </c>
    </row>
    <row r="2957" customFormat="false" ht="15" hidden="false" customHeight="true" outlineLevel="0" collapsed="false">
      <c r="A2957" s="163" t="s">
        <v>595</v>
      </c>
      <c r="B2957" s="163" t="s">
        <v>1938</v>
      </c>
      <c r="C2957" s="163" t="s">
        <v>281</v>
      </c>
      <c r="D2957" s="163" t="s">
        <v>1922</v>
      </c>
      <c r="E2957" s="164" t="n">
        <v>20000</v>
      </c>
      <c r="F2957" s="165" t="s">
        <v>2662</v>
      </c>
    </row>
    <row r="2958" customFormat="false" ht="15" hidden="false" customHeight="true" outlineLevel="0" collapsed="false">
      <c r="A2958" s="163" t="s">
        <v>595</v>
      </c>
      <c r="B2958" s="163" t="s">
        <v>1938</v>
      </c>
      <c r="C2958" s="163" t="s">
        <v>2632</v>
      </c>
      <c r="D2958" s="163" t="s">
        <v>2633</v>
      </c>
      <c r="E2958" s="164" t="n">
        <v>20000</v>
      </c>
      <c r="F2958" s="165" t="s">
        <v>2663</v>
      </c>
    </row>
    <row r="2959" customFormat="false" ht="15" hidden="false" customHeight="true" outlineLevel="0" collapsed="false">
      <c r="A2959" s="163" t="s">
        <v>595</v>
      </c>
      <c r="B2959" s="163" t="s">
        <v>1938</v>
      </c>
      <c r="C2959" s="163" t="s">
        <v>350</v>
      </c>
      <c r="D2959" s="163" t="s">
        <v>1913</v>
      </c>
      <c r="E2959" s="164" t="n">
        <v>20000</v>
      </c>
      <c r="F2959" s="165" t="s">
        <v>2664</v>
      </c>
    </row>
    <row r="2960" customFormat="false" ht="15" hidden="false" customHeight="true" outlineLevel="0" collapsed="false">
      <c r="A2960" s="163" t="s">
        <v>595</v>
      </c>
      <c r="B2960" s="163" t="s">
        <v>1938</v>
      </c>
      <c r="C2960" s="163" t="s">
        <v>343</v>
      </c>
      <c r="D2960" s="163" t="s">
        <v>1894</v>
      </c>
      <c r="E2960" s="164" t="n">
        <v>20000</v>
      </c>
      <c r="F2960" s="165" t="s">
        <v>7175</v>
      </c>
    </row>
    <row r="2961" customFormat="false" ht="15" hidden="false" customHeight="true" outlineLevel="0" collapsed="false">
      <c r="A2961" s="163" t="s">
        <v>595</v>
      </c>
      <c r="B2961" s="163" t="s">
        <v>1938</v>
      </c>
      <c r="C2961" s="163" t="s">
        <v>902</v>
      </c>
      <c r="D2961" s="163" t="s">
        <v>2215</v>
      </c>
      <c r="E2961" s="164" t="n">
        <v>20000</v>
      </c>
      <c r="F2961" s="165" t="s">
        <v>2666</v>
      </c>
    </row>
    <row r="2962" customFormat="false" ht="15" hidden="false" customHeight="true" outlineLevel="0" collapsed="false">
      <c r="A2962" s="163" t="s">
        <v>595</v>
      </c>
      <c r="B2962" s="163" t="s">
        <v>1938</v>
      </c>
      <c r="C2962" s="163" t="s">
        <v>353</v>
      </c>
      <c r="D2962" s="163" t="s">
        <v>2667</v>
      </c>
      <c r="E2962" s="164" t="n">
        <v>20000</v>
      </c>
      <c r="F2962" s="165" t="s">
        <v>2668</v>
      </c>
    </row>
    <row r="2963" customFormat="false" ht="15" hidden="false" customHeight="true" outlineLevel="0" collapsed="false">
      <c r="A2963" s="163" t="s">
        <v>595</v>
      </c>
      <c r="B2963" s="163" t="s">
        <v>1938</v>
      </c>
      <c r="C2963" s="163" t="s">
        <v>260</v>
      </c>
      <c r="D2963" s="163" t="s">
        <v>2097</v>
      </c>
      <c r="E2963" s="164" t="n">
        <v>20000</v>
      </c>
      <c r="F2963" s="165" t="s">
        <v>7176</v>
      </c>
    </row>
    <row r="2964" customFormat="false" ht="15" hidden="false" customHeight="true" outlineLevel="0" collapsed="false">
      <c r="A2964" s="163" t="s">
        <v>595</v>
      </c>
      <c r="B2964" s="163" t="s">
        <v>1938</v>
      </c>
      <c r="C2964" s="163" t="s">
        <v>346</v>
      </c>
      <c r="D2964" s="163" t="s">
        <v>2670</v>
      </c>
      <c r="E2964" s="164" t="n">
        <v>20000</v>
      </c>
      <c r="F2964" s="165" t="s">
        <v>2653</v>
      </c>
    </row>
    <row r="2965" customFormat="false" ht="15" hidden="false" customHeight="true" outlineLevel="0" collapsed="false">
      <c r="A2965" s="163" t="s">
        <v>595</v>
      </c>
      <c r="B2965" s="163" t="s">
        <v>1938</v>
      </c>
      <c r="C2965" s="163" t="s">
        <v>336</v>
      </c>
      <c r="D2965" s="163" t="s">
        <v>2671</v>
      </c>
      <c r="E2965" s="164" t="n">
        <v>20000</v>
      </c>
      <c r="F2965" s="165" t="s">
        <v>2672</v>
      </c>
    </row>
    <row r="2966" customFormat="false" ht="15" hidden="false" customHeight="true" outlineLevel="0" collapsed="false">
      <c r="A2966" s="163" t="s">
        <v>595</v>
      </c>
      <c r="B2966" s="163" t="s">
        <v>1938</v>
      </c>
      <c r="C2966" s="163" t="s">
        <v>332</v>
      </c>
      <c r="D2966" s="163" t="s">
        <v>2673</v>
      </c>
      <c r="E2966" s="164" t="n">
        <v>20000</v>
      </c>
      <c r="F2966" s="165" t="s">
        <v>2674</v>
      </c>
    </row>
    <row r="2967" customFormat="false" ht="15" hidden="false" customHeight="true" outlineLevel="0" collapsed="false">
      <c r="A2967" s="163" t="s">
        <v>595</v>
      </c>
      <c r="B2967" s="163" t="s">
        <v>691</v>
      </c>
      <c r="C2967" s="163" t="s">
        <v>300</v>
      </c>
      <c r="D2967" s="163" t="s">
        <v>2502</v>
      </c>
      <c r="E2967" s="164" t="n">
        <v>30000</v>
      </c>
      <c r="F2967" s="165" t="s">
        <v>2627</v>
      </c>
    </row>
    <row r="2968" customFormat="false" ht="15" hidden="false" customHeight="true" outlineLevel="0" collapsed="false">
      <c r="A2968" s="163" t="s">
        <v>595</v>
      </c>
      <c r="B2968" s="163" t="s">
        <v>691</v>
      </c>
      <c r="C2968" s="163" t="s">
        <v>2632</v>
      </c>
      <c r="D2968" s="163" t="s">
        <v>2633</v>
      </c>
      <c r="E2968" s="164" t="n">
        <v>20000</v>
      </c>
      <c r="F2968" s="165" t="s">
        <v>2676</v>
      </c>
    </row>
    <row r="2969" customFormat="false" ht="15" hidden="false" customHeight="true" outlineLevel="0" collapsed="false">
      <c r="A2969" s="163" t="s">
        <v>595</v>
      </c>
      <c r="B2969" s="163" t="s">
        <v>691</v>
      </c>
      <c r="C2969" s="163" t="s">
        <v>1127</v>
      </c>
      <c r="D2969" s="163" t="s">
        <v>2155</v>
      </c>
      <c r="E2969" s="164" t="n">
        <v>15000</v>
      </c>
      <c r="F2969" s="165" t="s">
        <v>3060</v>
      </c>
    </row>
    <row r="2970" customFormat="false" ht="15" hidden="false" customHeight="true" outlineLevel="0" collapsed="false">
      <c r="A2970" s="163" t="s">
        <v>595</v>
      </c>
      <c r="B2970" s="163" t="s">
        <v>691</v>
      </c>
      <c r="C2970" s="163" t="s">
        <v>435</v>
      </c>
      <c r="D2970" s="163" t="s">
        <v>1874</v>
      </c>
      <c r="E2970" s="164" t="n">
        <v>10000</v>
      </c>
      <c r="F2970" s="165" t="s">
        <v>2677</v>
      </c>
    </row>
    <row r="2971" customFormat="false" ht="15" hidden="false" customHeight="true" outlineLevel="0" collapsed="false">
      <c r="A2971" s="163" t="s">
        <v>595</v>
      </c>
      <c r="B2971" s="163" t="s">
        <v>691</v>
      </c>
      <c r="C2971" s="163" t="s">
        <v>260</v>
      </c>
      <c r="D2971" s="163" t="s">
        <v>2097</v>
      </c>
      <c r="E2971" s="164" t="n">
        <v>10000</v>
      </c>
      <c r="F2971" s="165" t="s">
        <v>3060</v>
      </c>
    </row>
    <row r="2972" customFormat="false" ht="15" hidden="false" customHeight="true" outlineLevel="0" collapsed="false">
      <c r="A2972" s="163" t="s">
        <v>595</v>
      </c>
      <c r="B2972" s="163" t="s">
        <v>691</v>
      </c>
      <c r="C2972" s="163" t="s">
        <v>293</v>
      </c>
      <c r="D2972" s="163" t="s">
        <v>2438</v>
      </c>
      <c r="E2972" s="164" t="n">
        <v>10000</v>
      </c>
      <c r="F2972" s="165" t="s">
        <v>3060</v>
      </c>
    </row>
    <row r="2973" customFormat="false" ht="15" hidden="false" customHeight="true" outlineLevel="0" collapsed="false">
      <c r="A2973" s="163" t="s">
        <v>595</v>
      </c>
      <c r="B2973" s="163" t="s">
        <v>691</v>
      </c>
      <c r="C2973" s="163" t="s">
        <v>281</v>
      </c>
      <c r="D2973" s="163" t="s">
        <v>1922</v>
      </c>
      <c r="E2973" s="164" t="n">
        <v>10000</v>
      </c>
      <c r="F2973" s="165" t="s">
        <v>2627</v>
      </c>
    </row>
    <row r="2974" customFormat="false" ht="15" hidden="false" customHeight="true" outlineLevel="0" collapsed="false">
      <c r="A2974" s="163" t="s">
        <v>595</v>
      </c>
      <c r="B2974" s="163" t="s">
        <v>691</v>
      </c>
      <c r="C2974" s="163" t="s">
        <v>431</v>
      </c>
      <c r="D2974" s="163" t="s">
        <v>2678</v>
      </c>
      <c r="E2974" s="164" t="n">
        <v>10000</v>
      </c>
      <c r="F2974" s="165" t="s">
        <v>2679</v>
      </c>
    </row>
    <row r="2975" customFormat="false" ht="15" hidden="false" customHeight="true" outlineLevel="0" collapsed="false">
      <c r="A2975" s="163" t="s">
        <v>595</v>
      </c>
      <c r="B2975" s="163" t="s">
        <v>691</v>
      </c>
      <c r="C2975" s="163" t="s">
        <v>427</v>
      </c>
      <c r="D2975" s="163" t="s">
        <v>2173</v>
      </c>
      <c r="E2975" s="164" t="n">
        <v>10000</v>
      </c>
      <c r="F2975" s="165" t="s">
        <v>2680</v>
      </c>
    </row>
    <row r="2976" customFormat="false" ht="15" hidden="false" customHeight="true" outlineLevel="0" collapsed="false">
      <c r="A2976" s="163" t="s">
        <v>595</v>
      </c>
      <c r="B2976" s="163" t="s">
        <v>691</v>
      </c>
      <c r="C2976" s="163" t="s">
        <v>657</v>
      </c>
      <c r="D2976" s="163" t="s">
        <v>1849</v>
      </c>
      <c r="E2976" s="164" t="n">
        <v>10000</v>
      </c>
      <c r="F2976" s="165" t="s">
        <v>3060</v>
      </c>
    </row>
    <row r="2977" customFormat="false" ht="15" hidden="false" customHeight="true" outlineLevel="0" collapsed="false">
      <c r="A2977" s="163" t="s">
        <v>595</v>
      </c>
      <c r="B2977" s="163" t="s">
        <v>691</v>
      </c>
      <c r="C2977" s="163" t="s">
        <v>290</v>
      </c>
      <c r="D2977" s="163" t="s">
        <v>1909</v>
      </c>
      <c r="E2977" s="164" t="n">
        <v>10000</v>
      </c>
      <c r="F2977" s="165" t="s">
        <v>2681</v>
      </c>
    </row>
    <row r="2978" customFormat="false" ht="15" hidden="false" customHeight="true" outlineLevel="0" collapsed="false">
      <c r="A2978" s="163" t="s">
        <v>595</v>
      </c>
      <c r="B2978" s="163" t="s">
        <v>2027</v>
      </c>
      <c r="C2978" s="163" t="s">
        <v>2029</v>
      </c>
      <c r="D2978" s="163" t="s">
        <v>2683</v>
      </c>
      <c r="E2978" s="164" t="n">
        <v>30000</v>
      </c>
      <c r="F2978" s="165" t="s">
        <v>2684</v>
      </c>
    </row>
    <row r="2979" customFormat="false" ht="15" hidden="false" customHeight="true" outlineLevel="0" collapsed="false">
      <c r="A2979" s="163" t="s">
        <v>595</v>
      </c>
      <c r="B2979" s="163" t="s">
        <v>2027</v>
      </c>
      <c r="C2979" s="163" t="s">
        <v>360</v>
      </c>
      <c r="D2979" s="163" t="s">
        <v>2685</v>
      </c>
      <c r="E2979" s="164" t="n">
        <v>20000</v>
      </c>
      <c r="F2979" s="165" t="s">
        <v>7177</v>
      </c>
    </row>
    <row r="2980" customFormat="false" ht="15" hidden="false" customHeight="true" outlineLevel="0" collapsed="false">
      <c r="A2980" s="163" t="s">
        <v>595</v>
      </c>
      <c r="B2980" s="163" t="s">
        <v>2027</v>
      </c>
      <c r="C2980" s="163" t="s">
        <v>364</v>
      </c>
      <c r="D2980" s="163" t="s">
        <v>2687</v>
      </c>
      <c r="E2980" s="164" t="n">
        <v>20000</v>
      </c>
      <c r="F2980" s="165" t="s">
        <v>2663</v>
      </c>
    </row>
    <row r="2981" customFormat="false" ht="15" hidden="false" customHeight="true" outlineLevel="0" collapsed="false">
      <c r="A2981" s="163" t="s">
        <v>595</v>
      </c>
      <c r="B2981" s="163" t="s">
        <v>2027</v>
      </c>
      <c r="C2981" s="163" t="s">
        <v>718</v>
      </c>
      <c r="D2981" s="163" t="s">
        <v>2230</v>
      </c>
      <c r="E2981" s="164" t="n">
        <v>20000</v>
      </c>
      <c r="F2981" s="165" t="s">
        <v>2688</v>
      </c>
    </row>
    <row r="2982" customFormat="false" ht="15" hidden="false" customHeight="true" outlineLevel="0" collapsed="false">
      <c r="A2982" s="163" t="s">
        <v>595</v>
      </c>
      <c r="B2982" s="163" t="s">
        <v>2037</v>
      </c>
      <c r="C2982" s="163" t="s">
        <v>240</v>
      </c>
      <c r="D2982" s="163" t="s">
        <v>2418</v>
      </c>
      <c r="E2982" s="164" t="n">
        <v>50000</v>
      </c>
      <c r="F2982" s="165" t="s">
        <v>2627</v>
      </c>
    </row>
    <row r="2983" customFormat="false" ht="15" hidden="false" customHeight="true" outlineLevel="0" collapsed="false">
      <c r="A2983" s="163" t="s">
        <v>595</v>
      </c>
      <c r="B2983" s="163" t="s">
        <v>2037</v>
      </c>
      <c r="C2983" s="163" t="s">
        <v>313</v>
      </c>
      <c r="D2983" s="163" t="s">
        <v>2690</v>
      </c>
      <c r="E2983" s="164" t="n">
        <v>25000</v>
      </c>
      <c r="F2983" s="165" t="s">
        <v>2627</v>
      </c>
    </row>
    <row r="2984" customFormat="false" ht="15" hidden="false" customHeight="true" outlineLevel="0" collapsed="false">
      <c r="A2984" s="163" t="s">
        <v>595</v>
      </c>
      <c r="B2984" s="163" t="s">
        <v>2037</v>
      </c>
      <c r="C2984" s="163" t="s">
        <v>145</v>
      </c>
      <c r="D2984" s="163" t="s">
        <v>2691</v>
      </c>
      <c r="E2984" s="164" t="n">
        <v>20000</v>
      </c>
      <c r="F2984" s="165" t="s">
        <v>2627</v>
      </c>
    </row>
    <row r="2985" customFormat="false" ht="15" hidden="false" customHeight="true" outlineLevel="0" collapsed="false">
      <c r="A2985" s="163" t="s">
        <v>595</v>
      </c>
      <c r="B2985" s="163" t="s">
        <v>2037</v>
      </c>
      <c r="C2985" s="163" t="s">
        <v>1860</v>
      </c>
      <c r="D2985" s="163" t="s">
        <v>1861</v>
      </c>
      <c r="E2985" s="164" t="n">
        <v>20000</v>
      </c>
      <c r="F2985" s="165" t="s">
        <v>2627</v>
      </c>
    </row>
    <row r="2986" customFormat="false" ht="15" hidden="false" customHeight="true" outlineLevel="0" collapsed="false">
      <c r="A2986" s="163" t="s">
        <v>595</v>
      </c>
      <c r="B2986" s="163" t="s">
        <v>2037</v>
      </c>
      <c r="C2986" s="163" t="s">
        <v>372</v>
      </c>
      <c r="D2986" s="163" t="s">
        <v>2692</v>
      </c>
      <c r="E2986" s="164" t="n">
        <v>20000</v>
      </c>
      <c r="F2986" s="165" t="s">
        <v>2627</v>
      </c>
    </row>
    <row r="2987" customFormat="false" ht="15" hidden="false" customHeight="true" outlineLevel="0" collapsed="false">
      <c r="A2987" s="163" t="s">
        <v>595</v>
      </c>
      <c r="B2987" s="163" t="s">
        <v>2037</v>
      </c>
      <c r="C2987" s="163" t="s">
        <v>317</v>
      </c>
      <c r="D2987" s="163" t="s">
        <v>2479</v>
      </c>
      <c r="E2987" s="164" t="n">
        <v>15000</v>
      </c>
      <c r="F2987" s="165" t="s">
        <v>3060</v>
      </c>
    </row>
    <row r="2988" customFormat="false" ht="15" hidden="false" customHeight="true" outlineLevel="0" collapsed="false">
      <c r="A2988" s="163" t="s">
        <v>595</v>
      </c>
      <c r="B2988" s="163" t="s">
        <v>2037</v>
      </c>
      <c r="C2988" s="163" t="s">
        <v>215</v>
      </c>
      <c r="D2988" s="163" t="s">
        <v>1856</v>
      </c>
      <c r="E2988" s="164" t="n">
        <v>10000</v>
      </c>
      <c r="F2988" s="165" t="s">
        <v>2627</v>
      </c>
    </row>
    <row r="2989" customFormat="false" ht="15" hidden="false" customHeight="true" outlineLevel="0" collapsed="false">
      <c r="A2989" s="163" t="s">
        <v>595</v>
      </c>
      <c r="B2989" s="163" t="s">
        <v>2037</v>
      </c>
      <c r="C2989" s="163" t="s">
        <v>142</v>
      </c>
      <c r="D2989" s="163" t="s">
        <v>2122</v>
      </c>
      <c r="E2989" s="164" t="n">
        <v>10000</v>
      </c>
      <c r="F2989" s="165" t="s">
        <v>2627</v>
      </c>
    </row>
    <row r="2990" customFormat="false" ht="15" hidden="false" customHeight="true" outlineLevel="0" collapsed="false">
      <c r="A2990" s="163" t="s">
        <v>595</v>
      </c>
      <c r="B2990" s="163" t="s">
        <v>2037</v>
      </c>
      <c r="C2990" s="163" t="s">
        <v>317</v>
      </c>
      <c r="D2990" s="163" t="s">
        <v>2479</v>
      </c>
      <c r="E2990" s="164" t="n">
        <v>10000</v>
      </c>
      <c r="F2990" s="165" t="s">
        <v>2627</v>
      </c>
    </row>
    <row r="2991" customFormat="false" ht="15" hidden="false" customHeight="true" outlineLevel="0" collapsed="false">
      <c r="A2991" s="163" t="s">
        <v>595</v>
      </c>
      <c r="B2991" s="163" t="s">
        <v>2037</v>
      </c>
      <c r="C2991" s="163" t="s">
        <v>1202</v>
      </c>
      <c r="D2991" s="163" t="s">
        <v>2693</v>
      </c>
      <c r="E2991" s="164" t="n">
        <v>10000</v>
      </c>
      <c r="F2991" s="165" t="s">
        <v>2694</v>
      </c>
    </row>
    <row r="2992" customFormat="false" ht="15" hidden="false" customHeight="true" outlineLevel="0" collapsed="false">
      <c r="A2992" s="163" t="s">
        <v>595</v>
      </c>
      <c r="B2992" s="163" t="s">
        <v>2037</v>
      </c>
      <c r="C2992" s="163" t="s">
        <v>2695</v>
      </c>
      <c r="D2992" s="163" t="s">
        <v>2696</v>
      </c>
      <c r="E2992" s="164" t="n">
        <v>5000</v>
      </c>
      <c r="F2992" s="165" t="s">
        <v>2627</v>
      </c>
    </row>
    <row r="2993" customFormat="false" ht="15" hidden="false" customHeight="true" outlineLevel="0" collapsed="false">
      <c r="A2993" s="163" t="s">
        <v>595</v>
      </c>
      <c r="B2993" s="163" t="s">
        <v>894</v>
      </c>
      <c r="C2993" s="163" t="s">
        <v>617</v>
      </c>
      <c r="D2993" s="163" t="s">
        <v>2064</v>
      </c>
      <c r="E2993" s="164" t="n">
        <v>30000</v>
      </c>
      <c r="F2993" s="165" t="s">
        <v>3060</v>
      </c>
    </row>
    <row r="2994" customFormat="false" ht="15" hidden="false" customHeight="true" outlineLevel="0" collapsed="false">
      <c r="A2994" s="163" t="s">
        <v>595</v>
      </c>
      <c r="B2994" s="163" t="s">
        <v>894</v>
      </c>
      <c r="C2994" s="163" t="s">
        <v>1084</v>
      </c>
      <c r="D2994" s="163" t="s">
        <v>2062</v>
      </c>
      <c r="E2994" s="164" t="n">
        <v>25000</v>
      </c>
      <c r="F2994" s="165" t="s">
        <v>2627</v>
      </c>
    </row>
    <row r="2995" customFormat="false" ht="15" hidden="false" customHeight="true" outlineLevel="0" collapsed="false">
      <c r="A2995" s="163" t="s">
        <v>595</v>
      </c>
      <c r="B2995" s="163" t="s">
        <v>894</v>
      </c>
      <c r="C2995" s="163" t="s">
        <v>1017</v>
      </c>
      <c r="D2995" s="163" t="s">
        <v>2698</v>
      </c>
      <c r="E2995" s="164" t="n">
        <v>24000</v>
      </c>
      <c r="F2995" s="165" t="s">
        <v>3060</v>
      </c>
    </row>
    <row r="2996" customFormat="false" ht="15" hidden="false" customHeight="true" outlineLevel="0" collapsed="false">
      <c r="A2996" s="163" t="s">
        <v>595</v>
      </c>
      <c r="B2996" s="163" t="s">
        <v>894</v>
      </c>
      <c r="C2996" s="163" t="s">
        <v>384</v>
      </c>
      <c r="D2996" s="163" t="s">
        <v>2071</v>
      </c>
      <c r="E2996" s="164" t="n">
        <v>20000</v>
      </c>
      <c r="F2996" s="165" t="s">
        <v>2655</v>
      </c>
    </row>
    <row r="2997" customFormat="false" ht="15" hidden="false" customHeight="true" outlineLevel="0" collapsed="false">
      <c r="A2997" s="163" t="s">
        <v>595</v>
      </c>
      <c r="B2997" s="163" t="s">
        <v>894</v>
      </c>
      <c r="C2997" s="163" t="s">
        <v>388</v>
      </c>
      <c r="D2997" s="163" t="s">
        <v>1889</v>
      </c>
      <c r="E2997" s="164" t="n">
        <v>20000</v>
      </c>
      <c r="F2997" s="165" t="s">
        <v>2699</v>
      </c>
    </row>
    <row r="2998" customFormat="false" ht="15" hidden="false" customHeight="true" outlineLevel="0" collapsed="false">
      <c r="A2998" s="163" t="s">
        <v>595</v>
      </c>
      <c r="B2998" s="163" t="s">
        <v>894</v>
      </c>
      <c r="C2998" s="163" t="s">
        <v>230</v>
      </c>
      <c r="D2998" s="163" t="s">
        <v>2077</v>
      </c>
      <c r="E2998" s="164" t="n">
        <v>16000</v>
      </c>
      <c r="F2998" s="165" t="s">
        <v>2700</v>
      </c>
    </row>
    <row r="2999" customFormat="false" ht="15" hidden="false" customHeight="true" outlineLevel="0" collapsed="false">
      <c r="A2999" s="163" t="s">
        <v>595</v>
      </c>
      <c r="B2999" s="163" t="s">
        <v>894</v>
      </c>
      <c r="C2999" s="163" t="s">
        <v>225</v>
      </c>
      <c r="D2999" s="163" t="s">
        <v>1887</v>
      </c>
      <c r="E2999" s="164" t="n">
        <v>15000</v>
      </c>
      <c r="F2999" s="165" t="s">
        <v>2627</v>
      </c>
    </row>
    <row r="3000" customFormat="false" ht="15" hidden="false" customHeight="true" outlineLevel="0" collapsed="false">
      <c r="A3000" s="163" t="s">
        <v>595</v>
      </c>
      <c r="B3000" s="163" t="s">
        <v>894</v>
      </c>
      <c r="C3000" s="163" t="s">
        <v>408</v>
      </c>
      <c r="D3000" s="163" t="s">
        <v>2082</v>
      </c>
      <c r="E3000" s="164" t="n">
        <v>15000</v>
      </c>
      <c r="F3000" s="165" t="s">
        <v>2627</v>
      </c>
    </row>
    <row r="3001" customFormat="false" ht="15" hidden="false" customHeight="true" outlineLevel="0" collapsed="false">
      <c r="A3001" s="163" t="s">
        <v>595</v>
      </c>
      <c r="B3001" s="163" t="s">
        <v>894</v>
      </c>
      <c r="C3001" s="163" t="s">
        <v>462</v>
      </c>
      <c r="D3001" s="163" t="s">
        <v>2116</v>
      </c>
      <c r="E3001" s="164" t="n">
        <v>15000</v>
      </c>
      <c r="F3001" s="165" t="s">
        <v>2627</v>
      </c>
    </row>
    <row r="3002" customFormat="false" ht="15" hidden="false" customHeight="true" outlineLevel="0" collapsed="false">
      <c r="A3002" s="163" t="s">
        <v>595</v>
      </c>
      <c r="B3002" s="163" t="s">
        <v>894</v>
      </c>
      <c r="C3002" s="163" t="s">
        <v>745</v>
      </c>
      <c r="D3002" s="163" t="s">
        <v>2701</v>
      </c>
      <c r="E3002" s="164" t="n">
        <v>15000</v>
      </c>
      <c r="F3002" s="165" t="s">
        <v>2627</v>
      </c>
    </row>
    <row r="3003" customFormat="false" ht="15" hidden="false" customHeight="true" outlineLevel="0" collapsed="false">
      <c r="A3003" s="163" t="s">
        <v>595</v>
      </c>
      <c r="B3003" s="163" t="s">
        <v>894</v>
      </c>
      <c r="C3003" s="163" t="s">
        <v>260</v>
      </c>
      <c r="D3003" s="163" t="s">
        <v>2097</v>
      </c>
      <c r="E3003" s="164" t="n">
        <v>10000</v>
      </c>
      <c r="F3003" s="165" t="s">
        <v>2680</v>
      </c>
    </row>
    <row r="3004" customFormat="false" ht="15" hidden="false" customHeight="true" outlineLevel="0" collapsed="false">
      <c r="A3004" s="163" t="s">
        <v>595</v>
      </c>
      <c r="B3004" s="163" t="s">
        <v>894</v>
      </c>
      <c r="C3004" s="163" t="s">
        <v>448</v>
      </c>
      <c r="D3004" s="163" t="s">
        <v>2100</v>
      </c>
      <c r="E3004" s="164" t="n">
        <v>10000</v>
      </c>
      <c r="F3004" s="165" t="s">
        <v>2702</v>
      </c>
    </row>
    <row r="3005" customFormat="false" ht="15" hidden="false" customHeight="true" outlineLevel="0" collapsed="false">
      <c r="A3005" s="163" t="s">
        <v>595</v>
      </c>
      <c r="B3005" s="163" t="s">
        <v>894</v>
      </c>
      <c r="C3005" s="163" t="s">
        <v>380</v>
      </c>
      <c r="D3005" s="163" t="s">
        <v>1899</v>
      </c>
      <c r="E3005" s="164" t="n">
        <v>10000</v>
      </c>
      <c r="F3005" s="165" t="s">
        <v>2627</v>
      </c>
    </row>
    <row r="3006" customFormat="false" ht="15" hidden="false" customHeight="true" outlineLevel="0" collapsed="false">
      <c r="A3006" s="163" t="s">
        <v>595</v>
      </c>
      <c r="B3006" s="163" t="s">
        <v>894</v>
      </c>
      <c r="C3006" s="163" t="s">
        <v>456</v>
      </c>
      <c r="D3006" s="163" t="s">
        <v>2112</v>
      </c>
      <c r="E3006" s="164" t="n">
        <v>10000</v>
      </c>
      <c r="F3006" s="165" t="s">
        <v>3060</v>
      </c>
    </row>
    <row r="3007" customFormat="false" ht="15" hidden="false" customHeight="true" outlineLevel="0" collapsed="false">
      <c r="A3007" s="163" t="s">
        <v>595</v>
      </c>
      <c r="B3007" s="163" t="s">
        <v>894</v>
      </c>
      <c r="C3007" s="163" t="s">
        <v>326</v>
      </c>
      <c r="D3007" s="163" t="s">
        <v>1912</v>
      </c>
      <c r="E3007" s="164" t="n">
        <v>10000</v>
      </c>
      <c r="F3007" s="165" t="s">
        <v>2703</v>
      </c>
    </row>
    <row r="3008" customFormat="false" ht="15" hidden="false" customHeight="true" outlineLevel="0" collapsed="false">
      <c r="A3008" s="163" t="s">
        <v>595</v>
      </c>
      <c r="B3008" s="163" t="s">
        <v>894</v>
      </c>
      <c r="C3008" s="163" t="s">
        <v>296</v>
      </c>
      <c r="D3008" s="163" t="s">
        <v>2127</v>
      </c>
      <c r="E3008" s="164" t="n">
        <v>10000</v>
      </c>
      <c r="F3008" s="165" t="s">
        <v>2704</v>
      </c>
    </row>
    <row r="3009" customFormat="false" ht="15" hidden="false" customHeight="true" outlineLevel="0" collapsed="false">
      <c r="A3009" s="163" t="s">
        <v>595</v>
      </c>
      <c r="B3009" s="163" t="s">
        <v>894</v>
      </c>
      <c r="C3009" s="163" t="s">
        <v>452</v>
      </c>
      <c r="D3009" s="163" t="s">
        <v>2102</v>
      </c>
      <c r="E3009" s="164" t="n">
        <v>10000</v>
      </c>
      <c r="F3009" s="165" t="s">
        <v>7178</v>
      </c>
    </row>
    <row r="3010" customFormat="false" ht="15" hidden="false" customHeight="true" outlineLevel="0" collapsed="false">
      <c r="A3010" s="163" t="s">
        <v>595</v>
      </c>
      <c r="B3010" s="163" t="s">
        <v>894</v>
      </c>
      <c r="C3010" s="163" t="s">
        <v>415</v>
      </c>
      <c r="D3010" s="163" t="s">
        <v>2423</v>
      </c>
      <c r="E3010" s="164" t="n">
        <v>10000</v>
      </c>
      <c r="F3010" s="165" t="s">
        <v>2706</v>
      </c>
    </row>
    <row r="3011" customFormat="false" ht="15" hidden="false" customHeight="true" outlineLevel="0" collapsed="false">
      <c r="A3011" s="163" t="s">
        <v>595</v>
      </c>
      <c r="B3011" s="163" t="s">
        <v>894</v>
      </c>
      <c r="C3011" s="163" t="s">
        <v>503</v>
      </c>
      <c r="D3011" s="163" t="s">
        <v>2149</v>
      </c>
      <c r="E3011" s="164" t="n">
        <v>5000</v>
      </c>
      <c r="F3011" s="165" t="s">
        <v>2707</v>
      </c>
    </row>
    <row r="3012" customFormat="false" ht="15" hidden="false" customHeight="true" outlineLevel="0" collapsed="false">
      <c r="A3012" s="163" t="s">
        <v>595</v>
      </c>
      <c r="B3012" s="163" t="s">
        <v>894</v>
      </c>
      <c r="C3012" s="163" t="s">
        <v>1127</v>
      </c>
      <c r="D3012" s="163" t="s">
        <v>2155</v>
      </c>
      <c r="E3012" s="164" t="n">
        <v>5000</v>
      </c>
      <c r="F3012" s="165" t="s">
        <v>2708</v>
      </c>
    </row>
    <row r="3013" customFormat="false" ht="15" hidden="false" customHeight="true" outlineLevel="0" collapsed="false">
      <c r="A3013" s="163" t="s">
        <v>595</v>
      </c>
      <c r="B3013" s="163" t="s">
        <v>894</v>
      </c>
      <c r="C3013" s="163" t="s">
        <v>893</v>
      </c>
      <c r="D3013" s="163" t="s">
        <v>1931</v>
      </c>
      <c r="E3013" s="164" t="n">
        <v>5000</v>
      </c>
      <c r="F3013" s="165" t="s">
        <v>7179</v>
      </c>
    </row>
    <row r="3014" customFormat="false" ht="15" hidden="false" customHeight="true" outlineLevel="0" collapsed="false">
      <c r="A3014" s="163" t="s">
        <v>595</v>
      </c>
      <c r="B3014" s="163" t="s">
        <v>894</v>
      </c>
      <c r="C3014" s="163" t="s">
        <v>893</v>
      </c>
      <c r="D3014" s="163" t="s">
        <v>1931</v>
      </c>
      <c r="E3014" s="164" t="n">
        <v>5000</v>
      </c>
      <c r="F3014" s="165" t="s">
        <v>2653</v>
      </c>
    </row>
    <row r="3015" customFormat="false" ht="15" hidden="false" customHeight="true" outlineLevel="0" collapsed="false">
      <c r="A3015" s="163" t="s">
        <v>595</v>
      </c>
      <c r="B3015" s="163" t="s">
        <v>894</v>
      </c>
      <c r="C3015" s="163" t="s">
        <v>893</v>
      </c>
      <c r="D3015" s="163" t="s">
        <v>1931</v>
      </c>
      <c r="E3015" s="164" t="n">
        <v>5000</v>
      </c>
      <c r="F3015" s="165" t="s">
        <v>7180</v>
      </c>
    </row>
    <row r="3016" customFormat="false" ht="15" hidden="false" customHeight="true" outlineLevel="0" collapsed="false">
      <c r="A3016" s="163" t="s">
        <v>595</v>
      </c>
      <c r="B3016" s="163" t="s">
        <v>894</v>
      </c>
      <c r="C3016" s="163" t="s">
        <v>893</v>
      </c>
      <c r="D3016" s="163" t="s">
        <v>1931</v>
      </c>
      <c r="E3016" s="164" t="n">
        <v>5000</v>
      </c>
      <c r="F3016" s="165" t="s">
        <v>7181</v>
      </c>
    </row>
    <row r="3017" customFormat="false" ht="15" hidden="false" customHeight="true" outlineLevel="0" collapsed="false">
      <c r="A3017" s="163" t="s">
        <v>595</v>
      </c>
      <c r="B3017" s="163" t="s">
        <v>894</v>
      </c>
      <c r="C3017" s="163" t="s">
        <v>771</v>
      </c>
      <c r="D3017" s="163" t="s">
        <v>2171</v>
      </c>
      <c r="E3017" s="164" t="n">
        <v>5000</v>
      </c>
      <c r="F3017" s="165" t="s">
        <v>2627</v>
      </c>
    </row>
    <row r="3018" customFormat="false" ht="15" hidden="false" customHeight="true" outlineLevel="0" collapsed="false">
      <c r="A3018" s="163" t="s">
        <v>595</v>
      </c>
      <c r="B3018" s="163" t="s">
        <v>894</v>
      </c>
      <c r="C3018" s="163" t="s">
        <v>515</v>
      </c>
      <c r="D3018" s="163" t="s">
        <v>2110</v>
      </c>
      <c r="E3018" s="164" t="n">
        <v>5000</v>
      </c>
      <c r="F3018" s="165" t="s">
        <v>3060</v>
      </c>
    </row>
    <row r="3019" customFormat="false" ht="15" hidden="false" customHeight="true" outlineLevel="0" collapsed="false">
      <c r="A3019" s="163" t="s">
        <v>595</v>
      </c>
      <c r="B3019" s="163" t="s">
        <v>894</v>
      </c>
      <c r="C3019" s="163" t="s">
        <v>523</v>
      </c>
      <c r="D3019" s="163" t="s">
        <v>2204</v>
      </c>
      <c r="E3019" s="164" t="n">
        <v>5000</v>
      </c>
      <c r="F3019" s="165" t="s">
        <v>2627</v>
      </c>
    </row>
    <row r="3020" customFormat="false" ht="15" hidden="false" customHeight="true" outlineLevel="0" collapsed="false">
      <c r="A3020" s="163" t="s">
        <v>595</v>
      </c>
      <c r="B3020" s="163" t="s">
        <v>894</v>
      </c>
      <c r="C3020" s="163" t="s">
        <v>528</v>
      </c>
      <c r="D3020" s="163" t="s">
        <v>2133</v>
      </c>
      <c r="E3020" s="164" t="n">
        <v>5000</v>
      </c>
      <c r="F3020" s="165" t="s">
        <v>3060</v>
      </c>
    </row>
    <row r="3021" customFormat="false" ht="15" hidden="false" customHeight="true" outlineLevel="0" collapsed="false">
      <c r="A3021" s="163" t="s">
        <v>595</v>
      </c>
      <c r="B3021" s="163" t="s">
        <v>894</v>
      </c>
      <c r="C3021" s="163" t="s">
        <v>531</v>
      </c>
      <c r="D3021" s="163" t="s">
        <v>2226</v>
      </c>
      <c r="E3021" s="164" t="n">
        <v>5000</v>
      </c>
      <c r="F3021" s="165" t="s">
        <v>7182</v>
      </c>
    </row>
    <row r="3022" customFormat="false" ht="15" hidden="false" customHeight="true" outlineLevel="0" collapsed="false">
      <c r="A3022" s="163" t="s">
        <v>595</v>
      </c>
      <c r="B3022" s="163" t="s">
        <v>894</v>
      </c>
      <c r="C3022" s="163" t="s">
        <v>718</v>
      </c>
      <c r="D3022" s="163" t="s">
        <v>2230</v>
      </c>
      <c r="E3022" s="164" t="n">
        <v>5000</v>
      </c>
      <c r="F3022" s="165" t="s">
        <v>2713</v>
      </c>
    </row>
    <row r="3023" customFormat="false" ht="15" hidden="false" customHeight="true" outlineLevel="0" collapsed="false">
      <c r="A3023" s="163" t="s">
        <v>595</v>
      </c>
      <c r="B3023" s="163" t="s">
        <v>894</v>
      </c>
      <c r="C3023" s="163" t="s">
        <v>518</v>
      </c>
      <c r="D3023" s="163" t="s">
        <v>2200</v>
      </c>
      <c r="E3023" s="164" t="n">
        <v>5000</v>
      </c>
      <c r="F3023" s="165" t="s">
        <v>3060</v>
      </c>
    </row>
    <row r="3024" customFormat="false" ht="15" hidden="false" customHeight="true" outlineLevel="0" collapsed="false">
      <c r="A3024" s="163" t="s">
        <v>595</v>
      </c>
      <c r="B3024" s="163" t="s">
        <v>894</v>
      </c>
      <c r="C3024" s="163" t="s">
        <v>535</v>
      </c>
      <c r="D3024" s="163" t="s">
        <v>2232</v>
      </c>
      <c r="E3024" s="164" t="n">
        <v>5000</v>
      </c>
      <c r="F3024" s="165" t="s">
        <v>3060</v>
      </c>
    </row>
    <row r="3025" customFormat="false" ht="15" hidden="false" customHeight="true" outlineLevel="0" collapsed="false">
      <c r="A3025" s="163" t="s">
        <v>595</v>
      </c>
      <c r="B3025" s="163" t="s">
        <v>894</v>
      </c>
      <c r="C3025" s="163" t="s">
        <v>309</v>
      </c>
      <c r="D3025" s="163" t="s">
        <v>1865</v>
      </c>
      <c r="E3025" s="164" t="n">
        <v>5000</v>
      </c>
      <c r="F3025" s="165" t="s">
        <v>2714</v>
      </c>
    </row>
    <row r="3026" customFormat="false" ht="15" hidden="false" customHeight="true" outlineLevel="0" collapsed="false">
      <c r="A3026" s="163" t="s">
        <v>595</v>
      </c>
      <c r="B3026" s="163" t="s">
        <v>894</v>
      </c>
      <c r="C3026" s="163" t="s">
        <v>404</v>
      </c>
      <c r="D3026" s="163" t="s">
        <v>2108</v>
      </c>
      <c r="E3026" s="164" t="n">
        <v>5000</v>
      </c>
      <c r="F3026" s="165" t="s">
        <v>2714</v>
      </c>
    </row>
    <row r="3027" customFormat="false" ht="15" hidden="false" customHeight="true" outlineLevel="0" collapsed="false">
      <c r="A3027" s="163" t="s">
        <v>595</v>
      </c>
      <c r="B3027" s="163" t="s">
        <v>894</v>
      </c>
      <c r="C3027" s="163" t="s">
        <v>925</v>
      </c>
      <c r="D3027" s="163" t="s">
        <v>1931</v>
      </c>
      <c r="E3027" s="164" t="n">
        <v>2000</v>
      </c>
      <c r="F3027" s="165" t="s">
        <v>2715</v>
      </c>
    </row>
    <row r="3028" customFormat="false" ht="15" hidden="false" customHeight="true" outlineLevel="0" collapsed="false">
      <c r="A3028" s="163" t="s">
        <v>595</v>
      </c>
      <c r="B3028" s="163" t="s">
        <v>894</v>
      </c>
      <c r="C3028" s="163" t="s">
        <v>925</v>
      </c>
      <c r="D3028" s="163" t="s">
        <v>1931</v>
      </c>
      <c r="E3028" s="164" t="n">
        <v>2000</v>
      </c>
      <c r="F3028" s="165" t="s">
        <v>2716</v>
      </c>
    </row>
    <row r="3029" customFormat="false" ht="15" hidden="false" customHeight="true" outlineLevel="0" collapsed="false">
      <c r="A3029" s="163" t="s">
        <v>595</v>
      </c>
      <c r="B3029" s="163" t="s">
        <v>894</v>
      </c>
      <c r="C3029" s="163" t="s">
        <v>925</v>
      </c>
      <c r="D3029" s="163" t="s">
        <v>1931</v>
      </c>
      <c r="E3029" s="164" t="n">
        <v>2000</v>
      </c>
      <c r="F3029" s="165" t="s">
        <v>2717</v>
      </c>
    </row>
    <row r="3030" customFormat="false" ht="15" hidden="false" customHeight="true" outlineLevel="0" collapsed="false">
      <c r="A3030" s="163" t="s">
        <v>595</v>
      </c>
      <c r="B3030" s="163" t="s">
        <v>894</v>
      </c>
      <c r="C3030" s="163" t="s">
        <v>925</v>
      </c>
      <c r="D3030" s="163" t="s">
        <v>1931</v>
      </c>
      <c r="E3030" s="164" t="n">
        <v>2000</v>
      </c>
      <c r="F3030" s="165" t="s">
        <v>2718</v>
      </c>
    </row>
    <row r="3031" customFormat="false" ht="15" hidden="false" customHeight="true" outlineLevel="0" collapsed="false">
      <c r="A3031" s="163" t="s">
        <v>595</v>
      </c>
      <c r="B3031" s="163" t="s">
        <v>894</v>
      </c>
      <c r="C3031" s="163" t="s">
        <v>925</v>
      </c>
      <c r="D3031" s="163" t="s">
        <v>1931</v>
      </c>
      <c r="E3031" s="164" t="n">
        <v>2000</v>
      </c>
      <c r="F3031" s="165" t="s">
        <v>2719</v>
      </c>
    </row>
    <row r="3032" customFormat="false" ht="15" hidden="false" customHeight="true" outlineLevel="0" collapsed="false">
      <c r="A3032" s="163" t="s">
        <v>595</v>
      </c>
      <c r="B3032" s="163" t="s">
        <v>894</v>
      </c>
      <c r="C3032" s="163" t="s">
        <v>925</v>
      </c>
      <c r="D3032" s="163" t="s">
        <v>1931</v>
      </c>
      <c r="E3032" s="164" t="n">
        <v>2000</v>
      </c>
      <c r="F3032" s="165" t="s">
        <v>2720</v>
      </c>
    </row>
    <row r="3033" customFormat="false" ht="15" hidden="false" customHeight="true" outlineLevel="0" collapsed="false">
      <c r="A3033" s="163" t="s">
        <v>595</v>
      </c>
      <c r="B3033" s="163" t="s">
        <v>894</v>
      </c>
      <c r="C3033" s="163" t="s">
        <v>925</v>
      </c>
      <c r="D3033" s="163" t="s">
        <v>1931</v>
      </c>
      <c r="E3033" s="164" t="n">
        <v>2000</v>
      </c>
      <c r="F3033" s="165" t="s">
        <v>2721</v>
      </c>
    </row>
    <row r="3034" customFormat="false" ht="15" hidden="false" customHeight="true" outlineLevel="0" collapsed="false">
      <c r="A3034" s="163" t="s">
        <v>595</v>
      </c>
      <c r="B3034" s="163" t="s">
        <v>894</v>
      </c>
      <c r="C3034" s="163" t="s">
        <v>925</v>
      </c>
      <c r="D3034" s="163" t="s">
        <v>1931</v>
      </c>
      <c r="E3034" s="164" t="n">
        <v>2000</v>
      </c>
      <c r="F3034" s="165" t="s">
        <v>2722</v>
      </c>
    </row>
    <row r="3035" customFormat="false" ht="15" hidden="false" customHeight="true" outlineLevel="0" collapsed="false">
      <c r="A3035" s="163" t="s">
        <v>595</v>
      </c>
      <c r="B3035" s="163" t="s">
        <v>894</v>
      </c>
      <c r="C3035" s="163" t="s">
        <v>893</v>
      </c>
      <c r="D3035" s="163" t="s">
        <v>1931</v>
      </c>
      <c r="E3035" s="164" t="n">
        <v>1000</v>
      </c>
      <c r="F3035" s="165" t="s">
        <v>2723</v>
      </c>
    </row>
    <row r="3036" customFormat="false" ht="15" hidden="false" customHeight="true" outlineLevel="0" collapsed="false">
      <c r="A3036" s="163" t="s">
        <v>595</v>
      </c>
      <c r="B3036" s="163" t="s">
        <v>894</v>
      </c>
      <c r="C3036" s="163" t="s">
        <v>893</v>
      </c>
      <c r="D3036" s="163" t="s">
        <v>1931</v>
      </c>
      <c r="E3036" s="164" t="n">
        <v>1000</v>
      </c>
      <c r="F3036" s="165" t="s">
        <v>2655</v>
      </c>
    </row>
    <row r="3037" customFormat="false" ht="15" hidden="false" customHeight="true" outlineLevel="0" collapsed="false">
      <c r="A3037" s="163" t="s">
        <v>595</v>
      </c>
      <c r="B3037" s="163" t="s">
        <v>894</v>
      </c>
      <c r="C3037" s="163" t="s">
        <v>893</v>
      </c>
      <c r="D3037" s="163" t="s">
        <v>1931</v>
      </c>
      <c r="E3037" s="164" t="n">
        <v>1000</v>
      </c>
      <c r="F3037" s="165" t="s">
        <v>2724</v>
      </c>
    </row>
    <row r="3038" customFormat="false" ht="15" hidden="false" customHeight="true" outlineLevel="0" collapsed="false">
      <c r="A3038" s="163" t="s">
        <v>595</v>
      </c>
      <c r="B3038" s="163" t="s">
        <v>894</v>
      </c>
      <c r="C3038" s="163" t="s">
        <v>893</v>
      </c>
      <c r="D3038" s="163" t="s">
        <v>1931</v>
      </c>
      <c r="E3038" s="164" t="n">
        <v>1000</v>
      </c>
      <c r="F3038" s="165" t="s">
        <v>2725</v>
      </c>
    </row>
    <row r="3039" customFormat="false" ht="15" hidden="false" customHeight="true" outlineLevel="0" collapsed="false">
      <c r="A3039" s="163" t="s">
        <v>595</v>
      </c>
      <c r="B3039" s="163" t="s">
        <v>894</v>
      </c>
      <c r="C3039" s="163" t="s">
        <v>893</v>
      </c>
      <c r="D3039" s="163" t="s">
        <v>1931</v>
      </c>
      <c r="E3039" s="164" t="n">
        <v>1000</v>
      </c>
      <c r="F3039" s="165" t="s">
        <v>2726</v>
      </c>
    </row>
    <row r="3040" customFormat="false" ht="15" hidden="false" customHeight="true" outlineLevel="0" collapsed="false">
      <c r="A3040" s="163" t="s">
        <v>595</v>
      </c>
      <c r="B3040" s="163" t="s">
        <v>894</v>
      </c>
      <c r="C3040" s="163" t="s">
        <v>893</v>
      </c>
      <c r="D3040" s="163" t="s">
        <v>1931</v>
      </c>
      <c r="E3040" s="164" t="n">
        <v>1000</v>
      </c>
      <c r="F3040" s="165" t="s">
        <v>2727</v>
      </c>
    </row>
    <row r="3041" customFormat="false" ht="15" hidden="false" customHeight="true" outlineLevel="0" collapsed="false">
      <c r="A3041" s="163" t="s">
        <v>595</v>
      </c>
      <c r="B3041" s="163" t="s">
        <v>894</v>
      </c>
      <c r="C3041" s="163" t="s">
        <v>893</v>
      </c>
      <c r="D3041" s="163" t="s">
        <v>1931</v>
      </c>
      <c r="E3041" s="164" t="n">
        <v>1000</v>
      </c>
      <c r="F3041" s="165" t="s">
        <v>2728</v>
      </c>
    </row>
    <row r="3042" customFormat="false" ht="15" hidden="false" customHeight="true" outlineLevel="0" collapsed="false">
      <c r="A3042" s="163" t="s">
        <v>595</v>
      </c>
      <c r="B3042" s="163" t="s">
        <v>894</v>
      </c>
      <c r="C3042" s="163" t="s">
        <v>893</v>
      </c>
      <c r="D3042" s="163" t="s">
        <v>1931</v>
      </c>
      <c r="E3042" s="164" t="n">
        <v>1000</v>
      </c>
      <c r="F3042" s="165" t="s">
        <v>2653</v>
      </c>
    </row>
    <row r="3043" customFormat="false" ht="15" hidden="false" customHeight="true" outlineLevel="0" collapsed="false">
      <c r="A3043" s="163" t="s">
        <v>595</v>
      </c>
      <c r="B3043" s="163" t="s">
        <v>894</v>
      </c>
      <c r="C3043" s="163" t="s">
        <v>893</v>
      </c>
      <c r="D3043" s="163" t="s">
        <v>1931</v>
      </c>
      <c r="E3043" s="164" t="n">
        <v>1000</v>
      </c>
      <c r="F3043" s="165" t="s">
        <v>2729</v>
      </c>
    </row>
    <row r="3044" customFormat="false" ht="15" hidden="false" customHeight="true" outlineLevel="0" collapsed="false">
      <c r="A3044" s="163" t="s">
        <v>595</v>
      </c>
      <c r="B3044" s="163" t="s">
        <v>894</v>
      </c>
      <c r="C3044" s="163" t="s">
        <v>893</v>
      </c>
      <c r="D3044" s="163" t="s">
        <v>1931</v>
      </c>
      <c r="E3044" s="164" t="n">
        <v>1000</v>
      </c>
      <c r="F3044" s="165" t="s">
        <v>2730</v>
      </c>
    </row>
    <row r="3045" customFormat="false" ht="15" hidden="false" customHeight="true" outlineLevel="0" collapsed="false">
      <c r="A3045" s="163" t="s">
        <v>595</v>
      </c>
      <c r="B3045" s="163" t="s">
        <v>894</v>
      </c>
      <c r="C3045" s="163" t="s">
        <v>893</v>
      </c>
      <c r="D3045" s="163" t="s">
        <v>1931</v>
      </c>
      <c r="E3045" s="164" t="n">
        <v>1000</v>
      </c>
      <c r="F3045" s="165" t="s">
        <v>2731</v>
      </c>
    </row>
    <row r="3046" customFormat="false" ht="15" hidden="false" customHeight="true" outlineLevel="0" collapsed="false">
      <c r="A3046" s="163" t="s">
        <v>595</v>
      </c>
      <c r="B3046" s="163" t="s">
        <v>894</v>
      </c>
      <c r="C3046" s="163" t="s">
        <v>893</v>
      </c>
      <c r="D3046" s="163" t="s">
        <v>1931</v>
      </c>
      <c r="E3046" s="164" t="n">
        <v>1000</v>
      </c>
      <c r="F3046" s="165" t="s">
        <v>2732</v>
      </c>
    </row>
    <row r="3047" customFormat="false" ht="15" hidden="false" customHeight="true" outlineLevel="0" collapsed="false">
      <c r="A3047" s="163" t="s">
        <v>595</v>
      </c>
      <c r="B3047" s="163" t="s">
        <v>894</v>
      </c>
      <c r="C3047" s="163" t="s">
        <v>893</v>
      </c>
      <c r="D3047" s="163" t="s">
        <v>1931</v>
      </c>
      <c r="E3047" s="164" t="n">
        <v>1000</v>
      </c>
      <c r="F3047" s="165" t="s">
        <v>2733</v>
      </c>
    </row>
    <row r="3048" customFormat="false" ht="15" hidden="false" customHeight="true" outlineLevel="0" collapsed="false">
      <c r="A3048" s="163" t="s">
        <v>595</v>
      </c>
      <c r="B3048" s="163" t="s">
        <v>894</v>
      </c>
      <c r="C3048" s="163" t="s">
        <v>893</v>
      </c>
      <c r="D3048" s="163" t="s">
        <v>1931</v>
      </c>
      <c r="E3048" s="164" t="n">
        <v>1000</v>
      </c>
      <c r="F3048" s="165" t="s">
        <v>2734</v>
      </c>
    </row>
    <row r="3049" customFormat="false" ht="15" hidden="false" customHeight="true" outlineLevel="0" collapsed="false">
      <c r="A3049" s="163" t="s">
        <v>595</v>
      </c>
      <c r="B3049" s="163" t="s">
        <v>894</v>
      </c>
      <c r="C3049" s="163" t="s">
        <v>893</v>
      </c>
      <c r="D3049" s="163" t="s">
        <v>1931</v>
      </c>
      <c r="E3049" s="164" t="n">
        <v>1000</v>
      </c>
      <c r="F3049" s="165" t="s">
        <v>2735</v>
      </c>
    </row>
    <row r="3050" customFormat="false" ht="15" hidden="false" customHeight="true" outlineLevel="0" collapsed="false">
      <c r="A3050" s="163" t="s">
        <v>595</v>
      </c>
      <c r="B3050" s="163" t="s">
        <v>894</v>
      </c>
      <c r="C3050" s="163" t="s">
        <v>893</v>
      </c>
      <c r="D3050" s="163" t="s">
        <v>1931</v>
      </c>
      <c r="E3050" s="164" t="n">
        <v>1000</v>
      </c>
      <c r="F3050" s="165" t="s">
        <v>2736</v>
      </c>
    </row>
    <row r="3051" customFormat="false" ht="15" hidden="false" customHeight="true" outlineLevel="0" collapsed="false">
      <c r="A3051" s="163" t="s">
        <v>595</v>
      </c>
      <c r="B3051" s="163" t="s">
        <v>894</v>
      </c>
      <c r="C3051" s="163" t="s">
        <v>893</v>
      </c>
      <c r="D3051" s="163" t="s">
        <v>1931</v>
      </c>
      <c r="E3051" s="164" t="n">
        <v>1000</v>
      </c>
      <c r="F3051" s="165" t="s">
        <v>2737</v>
      </c>
    </row>
    <row r="3052" customFormat="false" ht="15" hidden="false" customHeight="true" outlineLevel="0" collapsed="false">
      <c r="A3052" s="163" t="s">
        <v>595</v>
      </c>
      <c r="B3052" s="163" t="s">
        <v>894</v>
      </c>
      <c r="C3052" s="163" t="s">
        <v>893</v>
      </c>
      <c r="D3052" s="163" t="s">
        <v>1931</v>
      </c>
      <c r="E3052" s="164" t="n">
        <v>1000</v>
      </c>
      <c r="F3052" s="165" t="s">
        <v>2738</v>
      </c>
    </row>
    <row r="3053" customFormat="false" ht="15" hidden="false" customHeight="true" outlineLevel="0" collapsed="false">
      <c r="A3053" s="163" t="s">
        <v>595</v>
      </c>
      <c r="B3053" s="163" t="s">
        <v>894</v>
      </c>
      <c r="C3053" s="163" t="s">
        <v>893</v>
      </c>
      <c r="D3053" s="163" t="s">
        <v>1931</v>
      </c>
      <c r="E3053" s="164" t="n">
        <v>1000</v>
      </c>
      <c r="F3053" s="165" t="s">
        <v>2739</v>
      </c>
    </row>
    <row r="3054" customFormat="false" ht="15" hidden="false" customHeight="true" outlineLevel="0" collapsed="false">
      <c r="A3054" s="163" t="s">
        <v>595</v>
      </c>
      <c r="B3054" s="163" t="s">
        <v>894</v>
      </c>
      <c r="C3054" s="163" t="s">
        <v>893</v>
      </c>
      <c r="D3054" s="163" t="s">
        <v>1931</v>
      </c>
      <c r="E3054" s="164" t="n">
        <v>1000</v>
      </c>
      <c r="F3054" s="165" t="s">
        <v>2740</v>
      </c>
    </row>
    <row r="3055" customFormat="false" ht="15" hidden="false" customHeight="true" outlineLevel="0" collapsed="false">
      <c r="A3055" s="163" t="s">
        <v>595</v>
      </c>
      <c r="B3055" s="163" t="s">
        <v>894</v>
      </c>
      <c r="C3055" s="163" t="s">
        <v>893</v>
      </c>
      <c r="D3055" s="163" t="s">
        <v>1931</v>
      </c>
      <c r="E3055" s="164" t="n">
        <v>1000</v>
      </c>
      <c r="F3055" s="165" t="s">
        <v>2741</v>
      </c>
    </row>
    <row r="3056" customFormat="false" ht="15" hidden="false" customHeight="true" outlineLevel="0" collapsed="false">
      <c r="A3056" s="163" t="s">
        <v>595</v>
      </c>
      <c r="B3056" s="163" t="s">
        <v>894</v>
      </c>
      <c r="C3056" s="163" t="s">
        <v>893</v>
      </c>
      <c r="D3056" s="163" t="s">
        <v>1931</v>
      </c>
      <c r="E3056" s="164" t="n">
        <v>1000</v>
      </c>
      <c r="F3056" s="165" t="s">
        <v>2742</v>
      </c>
    </row>
    <row r="3057" customFormat="false" ht="15" hidden="false" customHeight="true" outlineLevel="0" collapsed="false">
      <c r="A3057" s="163" t="s">
        <v>595</v>
      </c>
      <c r="B3057" s="163" t="s">
        <v>894</v>
      </c>
      <c r="C3057" s="163" t="s">
        <v>893</v>
      </c>
      <c r="D3057" s="163" t="s">
        <v>1931</v>
      </c>
      <c r="E3057" s="164" t="n">
        <v>1000</v>
      </c>
      <c r="F3057" s="165" t="s">
        <v>2743</v>
      </c>
    </row>
    <row r="3058" customFormat="false" ht="15" hidden="false" customHeight="true" outlineLevel="0" collapsed="false">
      <c r="A3058" s="163" t="s">
        <v>595</v>
      </c>
      <c r="B3058" s="163" t="s">
        <v>894</v>
      </c>
      <c r="C3058" s="163" t="s">
        <v>893</v>
      </c>
      <c r="D3058" s="163" t="s">
        <v>1931</v>
      </c>
      <c r="E3058" s="164" t="n">
        <v>1000</v>
      </c>
      <c r="F3058" s="165" t="s">
        <v>2744</v>
      </c>
    </row>
    <row r="3059" customFormat="false" ht="15" hidden="false" customHeight="true" outlineLevel="0" collapsed="false">
      <c r="A3059" s="163" t="s">
        <v>595</v>
      </c>
      <c r="B3059" s="163" t="s">
        <v>894</v>
      </c>
      <c r="C3059" s="163" t="s">
        <v>893</v>
      </c>
      <c r="D3059" s="163" t="s">
        <v>1931</v>
      </c>
      <c r="E3059" s="164" t="n">
        <v>1000</v>
      </c>
      <c r="F3059" s="165" t="s">
        <v>2745</v>
      </c>
    </row>
    <row r="3060" customFormat="false" ht="15" hidden="false" customHeight="true" outlineLevel="0" collapsed="false">
      <c r="A3060" s="163" t="s">
        <v>595</v>
      </c>
      <c r="B3060" s="163" t="s">
        <v>894</v>
      </c>
      <c r="C3060" s="163" t="s">
        <v>893</v>
      </c>
      <c r="D3060" s="163" t="s">
        <v>1931</v>
      </c>
      <c r="E3060" s="164" t="n">
        <v>1000</v>
      </c>
      <c r="F3060" s="165" t="s">
        <v>2746</v>
      </c>
    </row>
    <row r="3061" customFormat="false" ht="15" hidden="false" customHeight="true" outlineLevel="0" collapsed="false">
      <c r="A3061" s="163" t="s">
        <v>595</v>
      </c>
      <c r="B3061" s="163" t="s">
        <v>894</v>
      </c>
      <c r="C3061" s="163" t="s">
        <v>893</v>
      </c>
      <c r="D3061" s="163" t="s">
        <v>1931</v>
      </c>
      <c r="E3061" s="164" t="n">
        <v>1000</v>
      </c>
      <c r="F3061" s="165" t="s">
        <v>2747</v>
      </c>
    </row>
    <row r="3062" customFormat="false" ht="15" hidden="false" customHeight="true" outlineLevel="0" collapsed="false">
      <c r="A3062" s="163" t="s">
        <v>595</v>
      </c>
      <c r="B3062" s="163" t="s">
        <v>894</v>
      </c>
      <c r="C3062" s="163" t="s">
        <v>893</v>
      </c>
      <c r="D3062" s="163" t="s">
        <v>1931</v>
      </c>
      <c r="E3062" s="164" t="n">
        <v>1000</v>
      </c>
      <c r="F3062" s="165" t="s">
        <v>2748</v>
      </c>
    </row>
    <row r="3063" customFormat="false" ht="15" hidden="false" customHeight="true" outlineLevel="0" collapsed="false">
      <c r="A3063" s="163" t="s">
        <v>595</v>
      </c>
      <c r="B3063" s="163" t="s">
        <v>894</v>
      </c>
      <c r="C3063" s="163" t="s">
        <v>893</v>
      </c>
      <c r="D3063" s="163" t="s">
        <v>1931</v>
      </c>
      <c r="E3063" s="164" t="n">
        <v>1000</v>
      </c>
      <c r="F3063" s="165" t="s">
        <v>2656</v>
      </c>
    </row>
    <row r="3064" customFormat="false" ht="15" hidden="false" customHeight="true" outlineLevel="0" collapsed="false">
      <c r="A3064" s="163" t="s">
        <v>595</v>
      </c>
      <c r="B3064" s="163" t="s">
        <v>882</v>
      </c>
      <c r="C3064" s="163" t="s">
        <v>640</v>
      </c>
      <c r="D3064" s="163" t="s">
        <v>1931</v>
      </c>
      <c r="E3064" s="164" t="n">
        <v>180000</v>
      </c>
      <c r="F3064" s="165" t="s">
        <v>2750</v>
      </c>
    </row>
    <row r="3065" customFormat="false" ht="15" hidden="false" customHeight="true" outlineLevel="0" collapsed="false">
      <c r="A3065" s="163" t="s">
        <v>595</v>
      </c>
      <c r="B3065" s="163" t="s">
        <v>882</v>
      </c>
      <c r="C3065" s="163" t="s">
        <v>617</v>
      </c>
      <c r="D3065" s="163" t="s">
        <v>2064</v>
      </c>
      <c r="E3065" s="164" t="n">
        <v>50000</v>
      </c>
      <c r="F3065" s="165" t="s">
        <v>3060</v>
      </c>
    </row>
    <row r="3066" customFormat="false" ht="15" hidden="false" customHeight="true" outlineLevel="0" collapsed="false">
      <c r="A3066" s="163" t="s">
        <v>595</v>
      </c>
      <c r="B3066" s="163" t="s">
        <v>882</v>
      </c>
      <c r="C3066" s="163" t="s">
        <v>617</v>
      </c>
      <c r="D3066" s="163" t="s">
        <v>2064</v>
      </c>
      <c r="E3066" s="164" t="n">
        <v>30000</v>
      </c>
      <c r="F3066" s="165" t="s">
        <v>3060</v>
      </c>
    </row>
    <row r="3067" customFormat="false" ht="15" hidden="false" customHeight="true" outlineLevel="0" collapsed="false">
      <c r="A3067" s="163" t="s">
        <v>595</v>
      </c>
      <c r="B3067" s="163" t="s">
        <v>882</v>
      </c>
      <c r="C3067" s="163" t="s">
        <v>466</v>
      </c>
      <c r="D3067" s="163" t="s">
        <v>2751</v>
      </c>
      <c r="E3067" s="164" t="n">
        <v>10000</v>
      </c>
      <c r="F3067" s="165" t="s">
        <v>2627</v>
      </c>
    </row>
    <row r="3068" customFormat="false" ht="15" hidden="false" customHeight="true" outlineLevel="0" collapsed="false">
      <c r="A3068" s="163" t="s">
        <v>595</v>
      </c>
      <c r="B3068" s="163" t="s">
        <v>882</v>
      </c>
      <c r="C3068" s="163" t="s">
        <v>470</v>
      </c>
      <c r="D3068" s="163" t="s">
        <v>2752</v>
      </c>
      <c r="E3068" s="164" t="n">
        <v>10000</v>
      </c>
      <c r="F3068" s="165" t="s">
        <v>3060</v>
      </c>
    </row>
    <row r="3069" customFormat="false" ht="15" hidden="false" customHeight="true" outlineLevel="0" collapsed="false">
      <c r="A3069" s="163" t="s">
        <v>595</v>
      </c>
      <c r="B3069" s="163" t="s">
        <v>2328</v>
      </c>
      <c r="C3069" s="163" t="s">
        <v>1084</v>
      </c>
      <c r="D3069" s="163" t="s">
        <v>2062</v>
      </c>
      <c r="E3069" s="164" t="n">
        <v>15000</v>
      </c>
      <c r="F3069" s="165" t="s">
        <v>2754</v>
      </c>
    </row>
    <row r="3070" customFormat="false" ht="15" hidden="false" customHeight="true" outlineLevel="0" collapsed="false">
      <c r="A3070" s="163" t="s">
        <v>595</v>
      </c>
      <c r="B3070" s="163" t="s">
        <v>2328</v>
      </c>
      <c r="C3070" s="163" t="s">
        <v>1084</v>
      </c>
      <c r="D3070" s="163" t="s">
        <v>2062</v>
      </c>
      <c r="E3070" s="164" t="n">
        <v>15000</v>
      </c>
      <c r="F3070" s="165" t="s">
        <v>2755</v>
      </c>
    </row>
    <row r="3071" customFormat="false" ht="15" hidden="false" customHeight="true" outlineLevel="0" collapsed="false">
      <c r="A3071" s="163" t="s">
        <v>595</v>
      </c>
      <c r="B3071" s="163" t="s">
        <v>2328</v>
      </c>
      <c r="C3071" s="163" t="s">
        <v>718</v>
      </c>
      <c r="D3071" s="163" t="s">
        <v>2230</v>
      </c>
      <c r="E3071" s="164" t="n">
        <v>10000</v>
      </c>
      <c r="F3071" s="165" t="s">
        <v>2756</v>
      </c>
    </row>
    <row r="3072" customFormat="false" ht="15" hidden="false" customHeight="true" outlineLevel="0" collapsed="false">
      <c r="A3072" s="163" t="s">
        <v>595</v>
      </c>
      <c r="B3072" s="163" t="s">
        <v>2328</v>
      </c>
      <c r="C3072" s="163" t="s">
        <v>617</v>
      </c>
      <c r="D3072" s="163" t="s">
        <v>2064</v>
      </c>
      <c r="E3072" s="164" t="n">
        <v>10000</v>
      </c>
      <c r="F3072" s="165" t="s">
        <v>2757</v>
      </c>
    </row>
    <row r="3073" customFormat="false" ht="15" hidden="false" customHeight="true" outlineLevel="0" collapsed="false">
      <c r="A3073" s="163" t="s">
        <v>595</v>
      </c>
      <c r="B3073" s="163" t="s">
        <v>2342</v>
      </c>
      <c r="C3073" s="163" t="s">
        <v>2759</v>
      </c>
      <c r="D3073" s="163" t="s">
        <v>2760</v>
      </c>
      <c r="E3073" s="164" t="n">
        <v>30000</v>
      </c>
      <c r="F3073" s="165" t="s">
        <v>2761</v>
      </c>
    </row>
    <row r="3074" customFormat="false" ht="15" hidden="false" customHeight="true" outlineLevel="0" collapsed="false">
      <c r="A3074" s="163" t="s">
        <v>595</v>
      </c>
      <c r="B3074" s="163" t="s">
        <v>2342</v>
      </c>
      <c r="C3074" s="163" t="s">
        <v>230</v>
      </c>
      <c r="D3074" s="163" t="s">
        <v>2077</v>
      </c>
      <c r="E3074" s="164" t="n">
        <v>20000</v>
      </c>
      <c r="F3074" s="165" t="s">
        <v>2762</v>
      </c>
    </row>
    <row r="3075" customFormat="false" ht="15" hidden="false" customHeight="true" outlineLevel="0" collapsed="false">
      <c r="A3075" s="163" t="s">
        <v>595</v>
      </c>
      <c r="B3075" s="163" t="s">
        <v>2342</v>
      </c>
      <c r="C3075" s="163" t="s">
        <v>2759</v>
      </c>
      <c r="D3075" s="163" t="s">
        <v>2760</v>
      </c>
      <c r="E3075" s="164" t="n">
        <v>20000</v>
      </c>
      <c r="F3075" s="165" t="s">
        <v>2763</v>
      </c>
    </row>
    <row r="3076" customFormat="false" ht="15" hidden="false" customHeight="true" outlineLevel="0" collapsed="false">
      <c r="A3076" s="163" t="s">
        <v>595</v>
      </c>
      <c r="B3076" s="163" t="s">
        <v>2342</v>
      </c>
      <c r="C3076" s="163" t="s">
        <v>197</v>
      </c>
      <c r="D3076" s="163" t="s">
        <v>1931</v>
      </c>
      <c r="E3076" s="164" t="n">
        <v>10000</v>
      </c>
      <c r="F3076" s="165" t="s">
        <v>2627</v>
      </c>
    </row>
    <row r="3077" customFormat="false" ht="15" hidden="false" customHeight="true" outlineLevel="0" collapsed="false">
      <c r="A3077" s="163" t="s">
        <v>595</v>
      </c>
      <c r="B3077" s="163" t="s">
        <v>2342</v>
      </c>
      <c r="C3077" s="163" t="s">
        <v>473</v>
      </c>
      <c r="D3077" s="163" t="s">
        <v>2764</v>
      </c>
      <c r="E3077" s="164" t="n">
        <v>10000</v>
      </c>
      <c r="F3077" s="165" t="s">
        <v>2765</v>
      </c>
    </row>
    <row r="3078" customFormat="false" ht="15" hidden="false" customHeight="true" outlineLevel="0" collapsed="false">
      <c r="A3078" s="163" t="s">
        <v>595</v>
      </c>
      <c r="B3078" s="163" t="s">
        <v>2766</v>
      </c>
      <c r="C3078" s="163" t="s">
        <v>290</v>
      </c>
      <c r="D3078" s="163" t="s">
        <v>1909</v>
      </c>
      <c r="E3078" s="164" t="n">
        <v>15000</v>
      </c>
      <c r="F3078" s="165" t="s">
        <v>2767</v>
      </c>
    </row>
    <row r="3079" customFormat="false" ht="15" hidden="false" customHeight="true" outlineLevel="0" collapsed="false">
      <c r="A3079" s="163" t="s">
        <v>595</v>
      </c>
      <c r="B3079" s="163" t="s">
        <v>2766</v>
      </c>
      <c r="C3079" s="163" t="s">
        <v>2632</v>
      </c>
      <c r="D3079" s="163" t="s">
        <v>2633</v>
      </c>
      <c r="E3079" s="164" t="n">
        <v>15000</v>
      </c>
      <c r="F3079" s="165" t="s">
        <v>2768</v>
      </c>
    </row>
    <row r="3080" customFormat="false" ht="15" hidden="false" customHeight="true" outlineLevel="0" collapsed="false">
      <c r="A3080" s="163" t="s">
        <v>595</v>
      </c>
      <c r="B3080" s="163" t="s">
        <v>2766</v>
      </c>
      <c r="C3080" s="163" t="s">
        <v>350</v>
      </c>
      <c r="D3080" s="163" t="s">
        <v>1913</v>
      </c>
      <c r="E3080" s="164" t="n">
        <v>15000</v>
      </c>
      <c r="F3080" s="165" t="s">
        <v>2769</v>
      </c>
    </row>
    <row r="3081" customFormat="false" ht="15" hidden="false" customHeight="true" outlineLevel="0" collapsed="false">
      <c r="A3081" s="163" t="s">
        <v>595</v>
      </c>
      <c r="B3081" s="163" t="s">
        <v>1743</v>
      </c>
      <c r="C3081" s="163" t="s">
        <v>215</v>
      </c>
      <c r="D3081" s="163" t="s">
        <v>1856</v>
      </c>
      <c r="E3081" s="164" t="n">
        <v>25000</v>
      </c>
      <c r="F3081" s="165" t="s">
        <v>2639</v>
      </c>
    </row>
    <row r="3082" customFormat="false" ht="15" hidden="false" customHeight="true" outlineLevel="0" collapsed="false">
      <c r="A3082" s="163" t="s">
        <v>595</v>
      </c>
      <c r="B3082" s="163" t="s">
        <v>1743</v>
      </c>
      <c r="C3082" s="163" t="s">
        <v>151</v>
      </c>
      <c r="D3082" s="163" t="s">
        <v>2771</v>
      </c>
      <c r="E3082" s="164" t="n">
        <v>20000</v>
      </c>
      <c r="F3082" s="165" t="s">
        <v>2627</v>
      </c>
    </row>
    <row r="3083" customFormat="false" ht="15" hidden="false" customHeight="true" outlineLevel="0" collapsed="false">
      <c r="A3083" s="163" t="s">
        <v>595</v>
      </c>
      <c r="B3083" s="163" t="s">
        <v>1743</v>
      </c>
      <c r="C3083" s="163" t="s">
        <v>215</v>
      </c>
      <c r="D3083" s="163" t="s">
        <v>1856</v>
      </c>
      <c r="E3083" s="164" t="n">
        <v>15000</v>
      </c>
      <c r="F3083" s="165" t="s">
        <v>2638</v>
      </c>
    </row>
    <row r="3084" customFormat="false" ht="15" hidden="false" customHeight="true" outlineLevel="0" collapsed="false">
      <c r="A3084" s="163" t="s">
        <v>595</v>
      </c>
      <c r="B3084" s="163" t="s">
        <v>1743</v>
      </c>
      <c r="C3084" s="163" t="s">
        <v>657</v>
      </c>
      <c r="D3084" s="163" t="s">
        <v>1849</v>
      </c>
      <c r="E3084" s="164" t="n">
        <v>15000</v>
      </c>
      <c r="F3084" s="165" t="s">
        <v>2640</v>
      </c>
    </row>
    <row r="3085" customFormat="false" ht="15" hidden="false" customHeight="true" outlineLevel="0" collapsed="false">
      <c r="A3085" s="163" t="s">
        <v>595</v>
      </c>
      <c r="B3085" s="163" t="s">
        <v>1743</v>
      </c>
      <c r="C3085" s="163" t="s">
        <v>235</v>
      </c>
      <c r="D3085" s="163" t="s">
        <v>1852</v>
      </c>
      <c r="E3085" s="164" t="n">
        <v>15000</v>
      </c>
      <c r="F3085" s="165" t="s">
        <v>2642</v>
      </c>
    </row>
    <row r="3086" customFormat="false" ht="15" hidden="false" customHeight="true" outlineLevel="0" collapsed="false">
      <c r="A3086" s="163" t="s">
        <v>595</v>
      </c>
      <c r="B3086" s="163" t="s">
        <v>1743</v>
      </c>
      <c r="C3086" s="163" t="s">
        <v>235</v>
      </c>
      <c r="D3086" s="163" t="s">
        <v>1852</v>
      </c>
      <c r="E3086" s="164" t="n">
        <v>15000</v>
      </c>
      <c r="F3086" s="165" t="s">
        <v>2772</v>
      </c>
    </row>
    <row r="3087" customFormat="false" ht="15" hidden="false" customHeight="true" outlineLevel="0" collapsed="false">
      <c r="A3087" s="163" t="s">
        <v>595</v>
      </c>
      <c r="B3087" s="163" t="s">
        <v>1743</v>
      </c>
      <c r="C3087" s="163" t="s">
        <v>1095</v>
      </c>
      <c r="D3087" s="163" t="s">
        <v>1840</v>
      </c>
      <c r="E3087" s="164" t="n">
        <v>15000</v>
      </c>
      <c r="F3087" s="165" t="s">
        <v>2641</v>
      </c>
    </row>
    <row r="3088" customFormat="false" ht="15" hidden="false" customHeight="true" outlineLevel="0" collapsed="false">
      <c r="A3088" s="163" t="s">
        <v>595</v>
      </c>
      <c r="B3088" s="163" t="s">
        <v>1743</v>
      </c>
      <c r="C3088" s="163" t="s">
        <v>309</v>
      </c>
      <c r="D3088" s="163" t="s">
        <v>1865</v>
      </c>
      <c r="E3088" s="164" t="n">
        <v>10000</v>
      </c>
      <c r="F3088" s="165" t="s">
        <v>2773</v>
      </c>
    </row>
    <row r="3089" customFormat="false" ht="15" hidden="false" customHeight="true" outlineLevel="0" collapsed="false">
      <c r="A3089" s="163" t="s">
        <v>595</v>
      </c>
      <c r="B3089" s="163" t="s">
        <v>1743</v>
      </c>
      <c r="C3089" s="163" t="s">
        <v>477</v>
      </c>
      <c r="D3089" s="163" t="s">
        <v>1872</v>
      </c>
      <c r="E3089" s="164" t="n">
        <v>10000</v>
      </c>
      <c r="F3089" s="165" t="s">
        <v>2627</v>
      </c>
    </row>
    <row r="3090" customFormat="false" ht="15" hidden="false" customHeight="true" outlineLevel="0" collapsed="false">
      <c r="A3090" s="163" t="s">
        <v>595</v>
      </c>
      <c r="B3090" s="163" t="s">
        <v>1743</v>
      </c>
      <c r="C3090" s="163" t="s">
        <v>321</v>
      </c>
      <c r="D3090" s="163" t="s">
        <v>1868</v>
      </c>
      <c r="E3090" s="164" t="n">
        <v>10000</v>
      </c>
      <c r="F3090" s="165" t="s">
        <v>2644</v>
      </c>
    </row>
    <row r="3091" customFormat="false" ht="15" hidden="false" customHeight="true" outlineLevel="0" collapsed="false">
      <c r="A3091" s="163" t="s">
        <v>595</v>
      </c>
      <c r="B3091" s="163" t="s">
        <v>928</v>
      </c>
      <c r="C3091" s="163" t="s">
        <v>225</v>
      </c>
      <c r="D3091" s="163" t="s">
        <v>1887</v>
      </c>
      <c r="E3091" s="164" t="n">
        <v>20000</v>
      </c>
      <c r="F3091" s="165" t="s">
        <v>2775</v>
      </c>
    </row>
    <row r="3092" customFormat="false" ht="15" hidden="false" customHeight="true" outlineLevel="0" collapsed="false">
      <c r="A3092" s="163" t="s">
        <v>595</v>
      </c>
      <c r="B3092" s="163" t="s">
        <v>928</v>
      </c>
      <c r="C3092" s="163" t="s">
        <v>927</v>
      </c>
      <c r="D3092" s="163" t="s">
        <v>2402</v>
      </c>
      <c r="E3092" s="164" t="n">
        <v>15000</v>
      </c>
      <c r="F3092" s="165" t="s">
        <v>2627</v>
      </c>
    </row>
    <row r="3093" customFormat="false" ht="15" hidden="false" customHeight="true" outlineLevel="0" collapsed="false">
      <c r="A3093" s="163" t="s">
        <v>595</v>
      </c>
      <c r="B3093" s="163" t="s">
        <v>928</v>
      </c>
      <c r="C3093" s="163" t="s">
        <v>592</v>
      </c>
      <c r="D3093" s="163" t="s">
        <v>2513</v>
      </c>
      <c r="E3093" s="164" t="n">
        <v>15000</v>
      </c>
      <c r="F3093" s="165" t="s">
        <v>2627</v>
      </c>
    </row>
    <row r="3094" customFormat="false" ht="15" hidden="false" customHeight="true" outlineLevel="0" collapsed="false">
      <c r="A3094" s="163" t="s">
        <v>595</v>
      </c>
      <c r="B3094" s="163" t="s">
        <v>928</v>
      </c>
      <c r="C3094" s="163" t="s">
        <v>285</v>
      </c>
      <c r="D3094" s="163" t="s">
        <v>2408</v>
      </c>
      <c r="E3094" s="164" t="n">
        <v>10000</v>
      </c>
      <c r="F3094" s="165" t="s">
        <v>2776</v>
      </c>
    </row>
    <row r="3095" customFormat="false" ht="15" hidden="false" customHeight="true" outlineLevel="0" collapsed="false">
      <c r="A3095" s="163" t="s">
        <v>595</v>
      </c>
      <c r="B3095" s="163" t="s">
        <v>928</v>
      </c>
      <c r="C3095" s="163" t="s">
        <v>481</v>
      </c>
      <c r="D3095" s="163" t="s">
        <v>2411</v>
      </c>
      <c r="E3095" s="164" t="n">
        <v>10000</v>
      </c>
      <c r="F3095" s="165" t="s">
        <v>7183</v>
      </c>
    </row>
    <row r="3096" customFormat="false" ht="15" hidden="false" customHeight="true" outlineLevel="0" collapsed="false">
      <c r="A3096" s="163" t="s">
        <v>595</v>
      </c>
      <c r="B3096" s="163" t="s">
        <v>928</v>
      </c>
      <c r="C3096" s="163" t="s">
        <v>240</v>
      </c>
      <c r="D3096" s="163" t="s">
        <v>2418</v>
      </c>
      <c r="E3096" s="164" t="n">
        <v>10000</v>
      </c>
      <c r="F3096" s="165" t="s">
        <v>2778</v>
      </c>
    </row>
    <row r="3097" customFormat="false" ht="15" hidden="false" customHeight="true" outlineLevel="0" collapsed="false">
      <c r="A3097" s="163" t="s">
        <v>595</v>
      </c>
      <c r="B3097" s="163" t="s">
        <v>928</v>
      </c>
      <c r="C3097" s="163" t="s">
        <v>2779</v>
      </c>
      <c r="D3097" s="163" t="s">
        <v>2434</v>
      </c>
      <c r="E3097" s="164" t="n">
        <v>10000</v>
      </c>
      <c r="F3097" s="165" t="s">
        <v>3060</v>
      </c>
    </row>
    <row r="3098" customFormat="false" ht="15" hidden="false" customHeight="true" outlineLevel="0" collapsed="false">
      <c r="A3098" s="163" t="s">
        <v>595</v>
      </c>
      <c r="B3098" s="163" t="s">
        <v>928</v>
      </c>
      <c r="C3098" s="163" t="s">
        <v>444</v>
      </c>
      <c r="D3098" s="163" t="s">
        <v>2095</v>
      </c>
      <c r="E3098" s="164" t="n">
        <v>10000</v>
      </c>
      <c r="F3098" s="165" t="s">
        <v>2627</v>
      </c>
    </row>
    <row r="3099" customFormat="false" ht="15" hidden="false" customHeight="true" outlineLevel="0" collapsed="false">
      <c r="A3099" s="163" t="s">
        <v>595</v>
      </c>
      <c r="B3099" s="163" t="s">
        <v>928</v>
      </c>
      <c r="C3099" s="163" t="s">
        <v>2780</v>
      </c>
      <c r="D3099" s="163" t="s">
        <v>2429</v>
      </c>
      <c r="E3099" s="164" t="n">
        <v>5000</v>
      </c>
      <c r="F3099" s="165" t="s">
        <v>2781</v>
      </c>
    </row>
    <row r="3100" customFormat="false" ht="15" hidden="false" customHeight="true" outlineLevel="0" collapsed="false">
      <c r="A3100" s="163" t="s">
        <v>595</v>
      </c>
      <c r="B3100" s="163" t="s">
        <v>928</v>
      </c>
      <c r="C3100" s="163" t="s">
        <v>404</v>
      </c>
      <c r="D3100" s="163" t="s">
        <v>2108</v>
      </c>
      <c r="E3100" s="164" t="n">
        <v>5000</v>
      </c>
      <c r="F3100" s="165" t="s">
        <v>2782</v>
      </c>
    </row>
    <row r="3101" customFormat="false" ht="15" hidden="false" customHeight="true" outlineLevel="0" collapsed="false">
      <c r="A3101" s="163" t="s">
        <v>595</v>
      </c>
      <c r="B3101" s="163" t="s">
        <v>928</v>
      </c>
      <c r="C3101" s="163" t="s">
        <v>549</v>
      </c>
      <c r="D3101" s="163" t="s">
        <v>2441</v>
      </c>
      <c r="E3101" s="164" t="n">
        <v>5000</v>
      </c>
      <c r="F3101" s="165" t="s">
        <v>7184</v>
      </c>
    </row>
    <row r="3102" customFormat="false" ht="15" hidden="false" customHeight="true" outlineLevel="0" collapsed="false">
      <c r="A3102" s="163" t="s">
        <v>595</v>
      </c>
      <c r="B3102" s="163" t="s">
        <v>928</v>
      </c>
      <c r="C3102" s="163" t="s">
        <v>415</v>
      </c>
      <c r="D3102" s="163" t="s">
        <v>2423</v>
      </c>
      <c r="E3102" s="164" t="n">
        <v>5000</v>
      </c>
      <c r="F3102" s="165" t="s">
        <v>2784</v>
      </c>
    </row>
    <row r="3103" customFormat="false" ht="15" hidden="false" customHeight="true" outlineLevel="0" collapsed="false">
      <c r="A3103" s="163" t="s">
        <v>595</v>
      </c>
      <c r="B3103" s="163" t="s">
        <v>928</v>
      </c>
      <c r="C3103" s="163" t="s">
        <v>552</v>
      </c>
      <c r="D3103" s="163" t="s">
        <v>2445</v>
      </c>
      <c r="E3103" s="164" t="n">
        <v>5000</v>
      </c>
      <c r="F3103" s="165" t="s">
        <v>2785</v>
      </c>
    </row>
    <row r="3104" customFormat="false" ht="15" hidden="false" customHeight="true" outlineLevel="0" collapsed="false">
      <c r="A3104" s="163" t="s">
        <v>595</v>
      </c>
      <c r="B3104" s="163" t="s">
        <v>928</v>
      </c>
      <c r="C3104" s="163" t="s">
        <v>560</v>
      </c>
      <c r="D3104" s="163" t="s">
        <v>2450</v>
      </c>
      <c r="E3104" s="164" t="n">
        <v>5000</v>
      </c>
      <c r="F3104" s="165" t="s">
        <v>2786</v>
      </c>
    </row>
    <row r="3105" customFormat="false" ht="15" hidden="false" customHeight="true" outlineLevel="0" collapsed="false">
      <c r="A3105" s="163" t="s">
        <v>595</v>
      </c>
      <c r="B3105" s="163" t="s">
        <v>928</v>
      </c>
      <c r="C3105" s="163" t="s">
        <v>563</v>
      </c>
      <c r="D3105" s="163" t="s">
        <v>2454</v>
      </c>
      <c r="E3105" s="164" t="n">
        <v>5000</v>
      </c>
      <c r="F3105" s="165" t="s">
        <v>2787</v>
      </c>
    </row>
    <row r="3106" customFormat="false" ht="15" hidden="false" customHeight="true" outlineLevel="0" collapsed="false">
      <c r="A3106" s="163" t="s">
        <v>595</v>
      </c>
      <c r="B3106" s="163" t="s">
        <v>928</v>
      </c>
      <c r="C3106" s="163" t="s">
        <v>1159</v>
      </c>
      <c r="D3106" s="163" t="s">
        <v>1936</v>
      </c>
      <c r="E3106" s="164" t="n">
        <v>5000</v>
      </c>
      <c r="F3106" s="165" t="s">
        <v>2788</v>
      </c>
    </row>
    <row r="3107" customFormat="false" ht="15" hidden="false" customHeight="true" outlineLevel="0" collapsed="false">
      <c r="A3107" s="163" t="s">
        <v>595</v>
      </c>
      <c r="B3107" s="163" t="s">
        <v>928</v>
      </c>
      <c r="C3107" s="163" t="s">
        <v>1273</v>
      </c>
      <c r="D3107" s="163" t="s">
        <v>2447</v>
      </c>
      <c r="E3107" s="164" t="n">
        <v>5000</v>
      </c>
      <c r="F3107" s="165" t="s">
        <v>2789</v>
      </c>
    </row>
    <row r="3108" customFormat="false" ht="15" hidden="false" customHeight="true" outlineLevel="0" collapsed="false">
      <c r="A3108" s="163" t="s">
        <v>595</v>
      </c>
      <c r="B3108" s="163" t="s">
        <v>928</v>
      </c>
      <c r="C3108" s="163" t="s">
        <v>485</v>
      </c>
      <c r="D3108" s="163" t="s">
        <v>2176</v>
      </c>
      <c r="E3108" s="164" t="n">
        <v>5000</v>
      </c>
      <c r="F3108" s="165" t="s">
        <v>3060</v>
      </c>
    </row>
    <row r="3109" customFormat="false" ht="15" hidden="false" customHeight="true" outlineLevel="0" collapsed="false">
      <c r="A3109" s="163" t="s">
        <v>3026</v>
      </c>
      <c r="B3109" s="163" t="s">
        <v>926</v>
      </c>
      <c r="C3109" s="163" t="s">
        <v>7185</v>
      </c>
      <c r="D3109" s="163" t="s">
        <v>7186</v>
      </c>
      <c r="E3109" s="164" t="n">
        <v>20000</v>
      </c>
      <c r="F3109" s="165" t="s">
        <v>7187</v>
      </c>
    </row>
    <row r="3110" customFormat="false" ht="15" hidden="false" customHeight="true" outlineLevel="0" collapsed="false">
      <c r="A3110" s="163" t="s">
        <v>3026</v>
      </c>
      <c r="B3110" s="163" t="s">
        <v>926</v>
      </c>
      <c r="C3110" s="163" t="s">
        <v>3061</v>
      </c>
      <c r="D3110" s="163" t="s">
        <v>3062</v>
      </c>
      <c r="E3110" s="164" t="n">
        <v>15000</v>
      </c>
      <c r="F3110" s="165" t="s">
        <v>7188</v>
      </c>
    </row>
    <row r="3111" customFormat="false" ht="15" hidden="false" customHeight="true" outlineLevel="0" collapsed="false">
      <c r="A3111" s="163" t="s">
        <v>3026</v>
      </c>
      <c r="B3111" s="163" t="s">
        <v>926</v>
      </c>
      <c r="C3111" s="163" t="s">
        <v>3063</v>
      </c>
      <c r="D3111" s="163" t="s">
        <v>3064</v>
      </c>
      <c r="E3111" s="164" t="n">
        <v>15000</v>
      </c>
      <c r="F3111" s="165" t="s">
        <v>7189</v>
      </c>
    </row>
    <row r="3112" customFormat="false" ht="15" hidden="false" customHeight="true" outlineLevel="0" collapsed="false">
      <c r="A3112" s="163" t="s">
        <v>3026</v>
      </c>
      <c r="B3112" s="163" t="s">
        <v>926</v>
      </c>
      <c r="C3112" s="163" t="s">
        <v>7190</v>
      </c>
      <c r="D3112" s="163" t="s">
        <v>7191</v>
      </c>
      <c r="E3112" s="164" t="n">
        <v>10000</v>
      </c>
      <c r="F3112" s="165" t="s">
        <v>7192</v>
      </c>
    </row>
    <row r="3113" customFormat="false" ht="15" hidden="false" customHeight="true" outlineLevel="0" collapsed="false">
      <c r="A3113" s="163" t="s">
        <v>3026</v>
      </c>
      <c r="B3113" s="163" t="s">
        <v>926</v>
      </c>
      <c r="C3113" s="163" t="s">
        <v>3334</v>
      </c>
      <c r="D3113" s="163" t="s">
        <v>3335</v>
      </c>
      <c r="E3113" s="164" t="n">
        <v>10000</v>
      </c>
      <c r="F3113" s="165" t="s">
        <v>7193</v>
      </c>
    </row>
    <row r="3114" customFormat="false" ht="15" hidden="false" customHeight="true" outlineLevel="0" collapsed="false">
      <c r="A3114" s="163" t="s">
        <v>3026</v>
      </c>
      <c r="B3114" s="163" t="s">
        <v>926</v>
      </c>
      <c r="C3114" s="163" t="s">
        <v>7194</v>
      </c>
      <c r="D3114" s="163" t="s">
        <v>7195</v>
      </c>
      <c r="E3114" s="164" t="n">
        <v>10000</v>
      </c>
      <c r="F3114" s="165" t="s">
        <v>7196</v>
      </c>
    </row>
    <row r="3115" customFormat="false" ht="15" hidden="false" customHeight="true" outlineLevel="0" collapsed="false">
      <c r="A3115" s="163" t="s">
        <v>3026</v>
      </c>
      <c r="B3115" s="163" t="s">
        <v>926</v>
      </c>
      <c r="C3115" s="163" t="s">
        <v>3145</v>
      </c>
      <c r="D3115" s="163" t="s">
        <v>3146</v>
      </c>
      <c r="E3115" s="164" t="n">
        <v>10000</v>
      </c>
      <c r="F3115" s="165" t="s">
        <v>7197</v>
      </c>
    </row>
    <row r="3116" customFormat="false" ht="15" hidden="false" customHeight="true" outlineLevel="0" collapsed="false">
      <c r="A3116" s="163" t="s">
        <v>3026</v>
      </c>
      <c r="B3116" s="163" t="s">
        <v>926</v>
      </c>
      <c r="C3116" s="163" t="s">
        <v>3749</v>
      </c>
      <c r="D3116" s="163" t="s">
        <v>3750</v>
      </c>
      <c r="E3116" s="164" t="n">
        <v>10000</v>
      </c>
      <c r="F3116" s="165" t="s">
        <v>7198</v>
      </c>
    </row>
    <row r="3117" customFormat="false" ht="15" hidden="false" customHeight="true" outlineLevel="0" collapsed="false">
      <c r="A3117" s="163" t="s">
        <v>3026</v>
      </c>
      <c r="B3117" s="163" t="s">
        <v>957</v>
      </c>
      <c r="C3117" s="163" t="s">
        <v>7199</v>
      </c>
      <c r="D3117" s="163" t="s">
        <v>7200</v>
      </c>
      <c r="E3117" s="164" t="n">
        <v>35000</v>
      </c>
      <c r="F3117" s="165" t="s">
        <v>7201</v>
      </c>
    </row>
    <row r="3118" customFormat="false" ht="15" hidden="false" customHeight="true" outlineLevel="0" collapsed="false">
      <c r="A3118" s="163" t="s">
        <v>3026</v>
      </c>
      <c r="B3118" s="163" t="s">
        <v>957</v>
      </c>
      <c r="C3118" s="163" t="s">
        <v>4017</v>
      </c>
      <c r="D3118" s="163" t="s">
        <v>4018</v>
      </c>
      <c r="E3118" s="164" t="n">
        <v>20000</v>
      </c>
      <c r="F3118" s="165" t="s">
        <v>7202</v>
      </c>
    </row>
    <row r="3119" customFormat="false" ht="15" hidden="false" customHeight="true" outlineLevel="0" collapsed="false">
      <c r="A3119" s="163" t="s">
        <v>3026</v>
      </c>
      <c r="B3119" s="163" t="s">
        <v>957</v>
      </c>
      <c r="C3119" s="163" t="s">
        <v>7203</v>
      </c>
      <c r="D3119" s="163" t="s">
        <v>7204</v>
      </c>
      <c r="E3119" s="164" t="n">
        <v>10000</v>
      </c>
      <c r="F3119" s="165" t="s">
        <v>7205</v>
      </c>
    </row>
    <row r="3120" customFormat="false" ht="15" hidden="false" customHeight="true" outlineLevel="0" collapsed="false">
      <c r="A3120" s="163" t="s">
        <v>3026</v>
      </c>
      <c r="B3120" s="163" t="s">
        <v>957</v>
      </c>
      <c r="C3120" s="163" t="s">
        <v>6782</v>
      </c>
      <c r="D3120" s="163" t="s">
        <v>6783</v>
      </c>
      <c r="E3120" s="164" t="n">
        <v>10000</v>
      </c>
      <c r="F3120" s="165" t="s">
        <v>7206</v>
      </c>
    </row>
    <row r="3121" customFormat="false" ht="15" hidden="false" customHeight="true" outlineLevel="0" collapsed="false">
      <c r="A3121" s="163" t="s">
        <v>3026</v>
      </c>
      <c r="B3121" s="163" t="s">
        <v>957</v>
      </c>
      <c r="C3121" s="163" t="s">
        <v>7207</v>
      </c>
      <c r="D3121" s="163" t="s">
        <v>7208</v>
      </c>
      <c r="E3121" s="164" t="n">
        <v>10000</v>
      </c>
      <c r="F3121" s="165" t="s">
        <v>7209</v>
      </c>
    </row>
    <row r="3122" customFormat="false" ht="15" hidden="false" customHeight="true" outlineLevel="0" collapsed="false">
      <c r="A3122" s="163" t="s">
        <v>3026</v>
      </c>
      <c r="B3122" s="163" t="s">
        <v>957</v>
      </c>
      <c r="C3122" s="163" t="s">
        <v>7210</v>
      </c>
      <c r="D3122" s="163" t="s">
        <v>7211</v>
      </c>
      <c r="E3122" s="164" t="n">
        <v>10000</v>
      </c>
      <c r="F3122" s="165" t="s">
        <v>7212</v>
      </c>
    </row>
    <row r="3123" customFormat="false" ht="15" hidden="false" customHeight="true" outlineLevel="0" collapsed="false">
      <c r="A3123" s="163" t="s">
        <v>3026</v>
      </c>
      <c r="B3123" s="163" t="s">
        <v>957</v>
      </c>
      <c r="C3123" s="163" t="s">
        <v>3762</v>
      </c>
      <c r="D3123" s="163" t="s">
        <v>3763</v>
      </c>
      <c r="E3123" s="164" t="n">
        <v>10000</v>
      </c>
      <c r="F3123" s="165" t="s">
        <v>7213</v>
      </c>
    </row>
    <row r="3124" customFormat="false" ht="15" hidden="false" customHeight="true" outlineLevel="0" collapsed="false">
      <c r="A3124" s="163" t="s">
        <v>3026</v>
      </c>
      <c r="B3124" s="163" t="s">
        <v>957</v>
      </c>
      <c r="C3124" s="163" t="s">
        <v>7214</v>
      </c>
      <c r="D3124" s="163" t="s">
        <v>7215</v>
      </c>
      <c r="E3124" s="164" t="n">
        <v>5000</v>
      </c>
      <c r="F3124" s="165" t="s">
        <v>7216</v>
      </c>
    </row>
    <row r="3125" customFormat="false" ht="15" hidden="false" customHeight="true" outlineLevel="0" collapsed="false">
      <c r="A3125" s="163" t="s">
        <v>3026</v>
      </c>
      <c r="B3125" s="163" t="s">
        <v>945</v>
      </c>
      <c r="C3125" s="163" t="s">
        <v>456</v>
      </c>
      <c r="D3125" s="163" t="s">
        <v>2112</v>
      </c>
      <c r="E3125" s="164" t="n">
        <v>15000</v>
      </c>
      <c r="F3125" s="165" t="s">
        <v>7217</v>
      </c>
    </row>
    <row r="3126" customFormat="false" ht="15" hidden="false" customHeight="true" outlineLevel="0" collapsed="false">
      <c r="A3126" s="163" t="s">
        <v>3026</v>
      </c>
      <c r="B3126" s="163" t="s">
        <v>945</v>
      </c>
      <c r="C3126" s="163" t="s">
        <v>4774</v>
      </c>
      <c r="D3126" s="163" t="s">
        <v>4775</v>
      </c>
      <c r="E3126" s="164" t="n">
        <v>10000</v>
      </c>
      <c r="F3126" s="165" t="s">
        <v>7218</v>
      </c>
    </row>
    <row r="3127" customFormat="false" ht="15" hidden="false" customHeight="true" outlineLevel="0" collapsed="false">
      <c r="A3127" s="163" t="s">
        <v>3026</v>
      </c>
      <c r="B3127" s="163" t="s">
        <v>945</v>
      </c>
      <c r="C3127" s="163" t="s">
        <v>7219</v>
      </c>
      <c r="D3127" s="163" t="s">
        <v>7220</v>
      </c>
      <c r="E3127" s="164" t="n">
        <v>10000</v>
      </c>
      <c r="F3127" s="165" t="s">
        <v>7221</v>
      </c>
    </row>
    <row r="3128" customFormat="false" ht="15" hidden="false" customHeight="true" outlineLevel="0" collapsed="false">
      <c r="A3128" s="163" t="s">
        <v>3026</v>
      </c>
      <c r="B3128" s="163" t="s">
        <v>945</v>
      </c>
      <c r="C3128" s="163" t="s">
        <v>3357</v>
      </c>
      <c r="D3128" s="163" t="s">
        <v>3358</v>
      </c>
      <c r="E3128" s="164" t="n">
        <v>5000</v>
      </c>
      <c r="F3128" s="165" t="s">
        <v>7222</v>
      </c>
    </row>
    <row r="3129" customFormat="false" ht="15" hidden="false" customHeight="true" outlineLevel="0" collapsed="false">
      <c r="A3129" s="163" t="s">
        <v>3026</v>
      </c>
      <c r="B3129" s="163" t="s">
        <v>945</v>
      </c>
      <c r="C3129" s="163" t="s">
        <v>4043</v>
      </c>
      <c r="D3129" s="163" t="s">
        <v>4044</v>
      </c>
      <c r="E3129" s="164" t="n">
        <v>5000</v>
      </c>
      <c r="F3129" s="165" t="s">
        <v>7223</v>
      </c>
    </row>
    <row r="3130" customFormat="false" ht="15" hidden="false" customHeight="true" outlineLevel="0" collapsed="false">
      <c r="A3130" s="163" t="s">
        <v>3026</v>
      </c>
      <c r="B3130" s="163" t="s">
        <v>945</v>
      </c>
      <c r="C3130" s="163" t="s">
        <v>921</v>
      </c>
      <c r="D3130" s="163" t="s">
        <v>7224</v>
      </c>
      <c r="E3130" s="164" t="n">
        <v>5000</v>
      </c>
      <c r="F3130" s="165" t="s">
        <v>7225</v>
      </c>
    </row>
    <row r="3131" customFormat="false" ht="15" hidden="false" customHeight="true" outlineLevel="0" collapsed="false">
      <c r="A3131" s="163" t="s">
        <v>3026</v>
      </c>
      <c r="B3131" s="163" t="s">
        <v>3111</v>
      </c>
      <c r="C3131" s="163" t="s">
        <v>7226</v>
      </c>
      <c r="D3131" s="163" t="s">
        <v>7227</v>
      </c>
      <c r="E3131" s="164" t="n">
        <v>30000</v>
      </c>
      <c r="F3131" s="165" t="s">
        <v>7228</v>
      </c>
    </row>
    <row r="3132" customFormat="false" ht="15" hidden="false" customHeight="true" outlineLevel="0" collapsed="false">
      <c r="A3132" s="163" t="s">
        <v>3026</v>
      </c>
      <c r="B3132" s="163" t="s">
        <v>3111</v>
      </c>
      <c r="C3132" s="163" t="s">
        <v>452</v>
      </c>
      <c r="D3132" s="163" t="s">
        <v>1931</v>
      </c>
      <c r="E3132" s="164" t="n">
        <v>25000</v>
      </c>
      <c r="F3132" s="165" t="s">
        <v>5134</v>
      </c>
    </row>
    <row r="3133" customFormat="false" ht="15" hidden="false" customHeight="true" outlineLevel="0" collapsed="false">
      <c r="A3133" s="163" t="s">
        <v>3026</v>
      </c>
      <c r="B3133" s="163" t="s">
        <v>3111</v>
      </c>
      <c r="C3133" s="163" t="s">
        <v>7229</v>
      </c>
      <c r="D3133" s="163" t="s">
        <v>7230</v>
      </c>
      <c r="E3133" s="164" t="n">
        <v>25000</v>
      </c>
      <c r="F3133" s="165" t="s">
        <v>7231</v>
      </c>
    </row>
    <row r="3134" customFormat="false" ht="15" hidden="false" customHeight="true" outlineLevel="0" collapsed="false">
      <c r="A3134" s="163" t="s">
        <v>3026</v>
      </c>
      <c r="B3134" s="163" t="s">
        <v>3111</v>
      </c>
      <c r="C3134" s="163" t="s">
        <v>4087</v>
      </c>
      <c r="D3134" s="163" t="s">
        <v>4088</v>
      </c>
      <c r="E3134" s="164" t="n">
        <v>10000</v>
      </c>
      <c r="F3134" s="165" t="s">
        <v>7232</v>
      </c>
    </row>
    <row r="3135" customFormat="false" ht="15" hidden="false" customHeight="true" outlineLevel="0" collapsed="false">
      <c r="A3135" s="163" t="s">
        <v>3026</v>
      </c>
      <c r="B3135" s="163" t="s">
        <v>3111</v>
      </c>
      <c r="C3135" s="163" t="s">
        <v>7233</v>
      </c>
      <c r="D3135" s="163" t="s">
        <v>7234</v>
      </c>
      <c r="E3135" s="164" t="n">
        <v>10000</v>
      </c>
      <c r="F3135" s="165" t="s">
        <v>7235</v>
      </c>
    </row>
    <row r="3136" customFormat="false" ht="15" hidden="false" customHeight="true" outlineLevel="0" collapsed="false">
      <c r="A3136" s="163" t="s">
        <v>3026</v>
      </c>
      <c r="B3136" s="163" t="s">
        <v>1938</v>
      </c>
      <c r="C3136" s="163" t="s">
        <v>7236</v>
      </c>
      <c r="D3136" s="163" t="s">
        <v>7237</v>
      </c>
      <c r="E3136" s="164" t="n">
        <v>20000</v>
      </c>
      <c r="F3136" s="165" t="s">
        <v>7238</v>
      </c>
    </row>
    <row r="3137" customFormat="false" ht="15" hidden="false" customHeight="true" outlineLevel="0" collapsed="false">
      <c r="A3137" s="163" t="s">
        <v>3026</v>
      </c>
      <c r="B3137" s="163" t="s">
        <v>1938</v>
      </c>
      <c r="C3137" s="163" t="s">
        <v>7239</v>
      </c>
      <c r="D3137" s="163" t="s">
        <v>7240</v>
      </c>
      <c r="E3137" s="164" t="n">
        <v>20000</v>
      </c>
      <c r="F3137" s="165" t="s">
        <v>7241</v>
      </c>
    </row>
    <row r="3138" customFormat="false" ht="15" hidden="false" customHeight="true" outlineLevel="0" collapsed="false">
      <c r="A3138" s="163" t="s">
        <v>3026</v>
      </c>
      <c r="B3138" s="163" t="s">
        <v>1938</v>
      </c>
      <c r="C3138" s="163" t="s">
        <v>4823</v>
      </c>
      <c r="D3138" s="163" t="s">
        <v>4824</v>
      </c>
      <c r="E3138" s="164" t="n">
        <v>20000</v>
      </c>
      <c r="F3138" s="165" t="s">
        <v>7242</v>
      </c>
    </row>
    <row r="3139" customFormat="false" ht="15" hidden="false" customHeight="true" outlineLevel="0" collapsed="false">
      <c r="A3139" s="163" t="s">
        <v>3026</v>
      </c>
      <c r="B3139" s="163" t="s">
        <v>1938</v>
      </c>
      <c r="C3139" s="163" t="s">
        <v>4823</v>
      </c>
      <c r="D3139" s="163" t="s">
        <v>4824</v>
      </c>
      <c r="E3139" s="164" t="n">
        <v>20000</v>
      </c>
      <c r="F3139" s="165" t="s">
        <v>7243</v>
      </c>
    </row>
    <row r="3140" customFormat="false" ht="15" hidden="false" customHeight="true" outlineLevel="0" collapsed="false">
      <c r="A3140" s="163" t="s">
        <v>3026</v>
      </c>
      <c r="B3140" s="163" t="s">
        <v>1938</v>
      </c>
      <c r="C3140" s="163" t="s">
        <v>6718</v>
      </c>
      <c r="D3140" s="163" t="s">
        <v>6719</v>
      </c>
      <c r="E3140" s="164" t="n">
        <v>20000</v>
      </c>
      <c r="F3140" s="165" t="s">
        <v>7244</v>
      </c>
    </row>
    <row r="3141" customFormat="false" ht="15" hidden="false" customHeight="true" outlineLevel="0" collapsed="false">
      <c r="A3141" s="163" t="s">
        <v>3026</v>
      </c>
      <c r="B3141" s="163" t="s">
        <v>1938</v>
      </c>
      <c r="C3141" s="163" t="s">
        <v>3815</v>
      </c>
      <c r="D3141" s="163" t="s">
        <v>3816</v>
      </c>
      <c r="E3141" s="164" t="n">
        <v>20000</v>
      </c>
      <c r="F3141" s="165" t="s">
        <v>7245</v>
      </c>
    </row>
    <row r="3142" customFormat="false" ht="15" hidden="false" customHeight="true" outlineLevel="0" collapsed="false">
      <c r="A3142" s="163" t="s">
        <v>3026</v>
      </c>
      <c r="B3142" s="163" t="s">
        <v>1938</v>
      </c>
      <c r="C3142" s="163" t="s">
        <v>7246</v>
      </c>
      <c r="D3142" s="163" t="s">
        <v>7247</v>
      </c>
      <c r="E3142" s="164" t="n">
        <v>20000</v>
      </c>
      <c r="F3142" s="165" t="s">
        <v>7248</v>
      </c>
    </row>
    <row r="3143" customFormat="false" ht="15" hidden="false" customHeight="true" outlineLevel="0" collapsed="false">
      <c r="A3143" s="163" t="s">
        <v>3026</v>
      </c>
      <c r="B3143" s="163" t="s">
        <v>1938</v>
      </c>
      <c r="C3143" s="163" t="s">
        <v>7249</v>
      </c>
      <c r="D3143" s="163" t="s">
        <v>7250</v>
      </c>
      <c r="E3143" s="164" t="n">
        <v>20000</v>
      </c>
      <c r="F3143" s="165" t="s">
        <v>7251</v>
      </c>
    </row>
    <row r="3144" customFormat="false" ht="15" hidden="false" customHeight="true" outlineLevel="0" collapsed="false">
      <c r="A3144" s="163" t="s">
        <v>3026</v>
      </c>
      <c r="B3144" s="163" t="s">
        <v>1938</v>
      </c>
      <c r="C3144" s="163" t="s">
        <v>7252</v>
      </c>
      <c r="D3144" s="163" t="s">
        <v>7253</v>
      </c>
      <c r="E3144" s="164" t="n">
        <v>20000</v>
      </c>
      <c r="F3144" s="165" t="s">
        <v>7254</v>
      </c>
    </row>
    <row r="3145" customFormat="false" ht="15" hidden="false" customHeight="true" outlineLevel="0" collapsed="false">
      <c r="A3145" s="163" t="s">
        <v>3026</v>
      </c>
      <c r="B3145" s="163" t="s">
        <v>1938</v>
      </c>
      <c r="C3145" s="163" t="s">
        <v>332</v>
      </c>
      <c r="D3145" s="163" t="s">
        <v>2673</v>
      </c>
      <c r="E3145" s="164" t="n">
        <v>20000</v>
      </c>
      <c r="F3145" s="165" t="s">
        <v>7255</v>
      </c>
    </row>
    <row r="3146" customFormat="false" ht="15" hidden="false" customHeight="true" outlineLevel="0" collapsed="false">
      <c r="A3146" s="163" t="s">
        <v>3026</v>
      </c>
      <c r="B3146" s="163" t="s">
        <v>1938</v>
      </c>
      <c r="C3146" s="163" t="s">
        <v>7256</v>
      </c>
      <c r="D3146" s="163" t="s">
        <v>7257</v>
      </c>
      <c r="E3146" s="164" t="n">
        <v>20000</v>
      </c>
      <c r="F3146" s="165" t="s">
        <v>7258</v>
      </c>
    </row>
    <row r="3147" customFormat="false" ht="15" hidden="false" customHeight="true" outlineLevel="0" collapsed="false">
      <c r="A3147" s="163" t="s">
        <v>3026</v>
      </c>
      <c r="B3147" s="163" t="s">
        <v>1938</v>
      </c>
      <c r="C3147" s="163" t="s">
        <v>7259</v>
      </c>
      <c r="D3147" s="163" t="s">
        <v>7260</v>
      </c>
      <c r="E3147" s="164" t="n">
        <v>20000</v>
      </c>
      <c r="F3147" s="165" t="s">
        <v>7261</v>
      </c>
    </row>
    <row r="3148" customFormat="false" ht="15" hidden="false" customHeight="true" outlineLevel="0" collapsed="false">
      <c r="A3148" s="163" t="s">
        <v>3026</v>
      </c>
      <c r="B3148" s="163" t="s">
        <v>1938</v>
      </c>
      <c r="C3148" s="163" t="s">
        <v>336</v>
      </c>
      <c r="D3148" s="163" t="s">
        <v>2671</v>
      </c>
      <c r="E3148" s="164" t="n">
        <v>20000</v>
      </c>
      <c r="F3148" s="165" t="s">
        <v>7262</v>
      </c>
    </row>
    <row r="3149" customFormat="false" ht="15" hidden="false" customHeight="true" outlineLevel="0" collapsed="false">
      <c r="A3149" s="163" t="s">
        <v>3026</v>
      </c>
      <c r="B3149" s="163" t="s">
        <v>1938</v>
      </c>
      <c r="C3149" s="163" t="s">
        <v>3392</v>
      </c>
      <c r="D3149" s="163" t="s">
        <v>3393</v>
      </c>
      <c r="E3149" s="164" t="n">
        <v>20000</v>
      </c>
      <c r="F3149" s="165" t="s">
        <v>7263</v>
      </c>
    </row>
    <row r="3150" customFormat="false" ht="15" hidden="false" customHeight="true" outlineLevel="0" collapsed="false">
      <c r="A3150" s="163" t="s">
        <v>3026</v>
      </c>
      <c r="B3150" s="163" t="s">
        <v>1938</v>
      </c>
      <c r="C3150" s="163" t="s">
        <v>7264</v>
      </c>
      <c r="D3150" s="163" t="s">
        <v>7265</v>
      </c>
      <c r="E3150" s="164" t="n">
        <v>20000</v>
      </c>
      <c r="F3150" s="165" t="s">
        <v>7266</v>
      </c>
    </row>
    <row r="3151" customFormat="false" ht="15" hidden="false" customHeight="true" outlineLevel="0" collapsed="false">
      <c r="A3151" s="163" t="s">
        <v>3026</v>
      </c>
      <c r="B3151" s="163" t="s">
        <v>1938</v>
      </c>
      <c r="C3151" s="163" t="s">
        <v>7267</v>
      </c>
      <c r="D3151" s="163" t="s">
        <v>7268</v>
      </c>
      <c r="E3151" s="164" t="n">
        <v>20000</v>
      </c>
      <c r="F3151" s="165" t="s">
        <v>7269</v>
      </c>
    </row>
    <row r="3152" customFormat="false" ht="15" hidden="false" customHeight="true" outlineLevel="0" collapsed="false">
      <c r="A3152" s="163" t="s">
        <v>3026</v>
      </c>
      <c r="B3152" s="163" t="s">
        <v>1938</v>
      </c>
      <c r="C3152" s="163" t="s">
        <v>4081</v>
      </c>
      <c r="D3152" s="163" t="s">
        <v>4082</v>
      </c>
      <c r="E3152" s="164" t="n">
        <v>20000</v>
      </c>
      <c r="F3152" s="165" t="s">
        <v>7244</v>
      </c>
    </row>
    <row r="3153" customFormat="false" ht="15" hidden="false" customHeight="true" outlineLevel="0" collapsed="false">
      <c r="A3153" s="163" t="s">
        <v>3026</v>
      </c>
      <c r="B3153" s="163" t="s">
        <v>691</v>
      </c>
      <c r="C3153" s="163" t="s">
        <v>7252</v>
      </c>
      <c r="D3153" s="163" t="s">
        <v>7253</v>
      </c>
      <c r="E3153" s="164" t="n">
        <v>35000</v>
      </c>
      <c r="F3153" s="165" t="s">
        <v>7270</v>
      </c>
    </row>
    <row r="3154" customFormat="false" ht="15" hidden="false" customHeight="true" outlineLevel="0" collapsed="false">
      <c r="A3154" s="163" t="s">
        <v>3026</v>
      </c>
      <c r="B3154" s="163" t="s">
        <v>691</v>
      </c>
      <c r="C3154" s="163" t="s">
        <v>7271</v>
      </c>
      <c r="D3154" s="163" t="s">
        <v>7272</v>
      </c>
      <c r="E3154" s="164" t="n">
        <v>25000</v>
      </c>
      <c r="F3154" s="165" t="s">
        <v>7273</v>
      </c>
    </row>
    <row r="3155" customFormat="false" ht="15" hidden="false" customHeight="true" outlineLevel="0" collapsed="false">
      <c r="A3155" s="163" t="s">
        <v>3026</v>
      </c>
      <c r="B3155" s="163" t="s">
        <v>691</v>
      </c>
      <c r="C3155" s="163" t="s">
        <v>5837</v>
      </c>
      <c r="D3155" s="163" t="s">
        <v>5838</v>
      </c>
      <c r="E3155" s="164" t="n">
        <v>20000</v>
      </c>
      <c r="F3155" s="165" t="s">
        <v>7274</v>
      </c>
    </row>
    <row r="3156" customFormat="false" ht="15" hidden="false" customHeight="true" outlineLevel="0" collapsed="false">
      <c r="A3156" s="163" t="s">
        <v>3026</v>
      </c>
      <c r="B3156" s="163" t="s">
        <v>691</v>
      </c>
      <c r="C3156" s="163" t="s">
        <v>473</v>
      </c>
      <c r="D3156" s="163" t="s">
        <v>2764</v>
      </c>
      <c r="E3156" s="164" t="n">
        <v>20000</v>
      </c>
      <c r="F3156" s="165" t="s">
        <v>7275</v>
      </c>
    </row>
    <row r="3157" customFormat="false" ht="15" hidden="false" customHeight="true" outlineLevel="0" collapsed="false">
      <c r="A3157" s="163" t="s">
        <v>3026</v>
      </c>
      <c r="B3157" s="163" t="s">
        <v>691</v>
      </c>
      <c r="C3157" s="163" t="s">
        <v>7276</v>
      </c>
      <c r="D3157" s="163" t="s">
        <v>7277</v>
      </c>
      <c r="E3157" s="164" t="n">
        <v>15000</v>
      </c>
      <c r="F3157" s="165" t="s">
        <v>7278</v>
      </c>
    </row>
    <row r="3158" customFormat="false" ht="15" hidden="false" customHeight="true" outlineLevel="0" collapsed="false">
      <c r="A3158" s="163" t="s">
        <v>3026</v>
      </c>
      <c r="B3158" s="163" t="s">
        <v>691</v>
      </c>
      <c r="C3158" s="163" t="s">
        <v>7246</v>
      </c>
      <c r="D3158" s="163" t="s">
        <v>7247</v>
      </c>
      <c r="E3158" s="164" t="n">
        <v>10000</v>
      </c>
      <c r="F3158" s="165" t="s">
        <v>7279</v>
      </c>
    </row>
    <row r="3159" customFormat="false" ht="15" hidden="false" customHeight="true" outlineLevel="0" collapsed="false">
      <c r="A3159" s="163" t="s">
        <v>3026</v>
      </c>
      <c r="B3159" s="163" t="s">
        <v>691</v>
      </c>
      <c r="C3159" s="163" t="s">
        <v>3400</v>
      </c>
      <c r="D3159" s="163" t="s">
        <v>3401</v>
      </c>
      <c r="E3159" s="164" t="n">
        <v>10000</v>
      </c>
      <c r="F3159" s="165" t="s">
        <v>7280</v>
      </c>
    </row>
    <row r="3160" customFormat="false" ht="15" hidden="false" customHeight="true" outlineLevel="0" collapsed="false">
      <c r="A3160" s="163" t="s">
        <v>3026</v>
      </c>
      <c r="B3160" s="163" t="s">
        <v>691</v>
      </c>
      <c r="C3160" s="163" t="s">
        <v>4097</v>
      </c>
      <c r="D3160" s="163" t="s">
        <v>4098</v>
      </c>
      <c r="E3160" s="164" t="n">
        <v>10000</v>
      </c>
      <c r="F3160" s="165" t="s">
        <v>7281</v>
      </c>
    </row>
    <row r="3161" customFormat="false" ht="15" hidden="false" customHeight="true" outlineLevel="0" collapsed="false">
      <c r="A3161" s="163" t="s">
        <v>3026</v>
      </c>
      <c r="B3161" s="163" t="s">
        <v>2027</v>
      </c>
      <c r="C3161" s="163" t="s">
        <v>4112</v>
      </c>
      <c r="D3161" s="163" t="s">
        <v>4113</v>
      </c>
      <c r="E3161" s="164" t="n">
        <v>30000</v>
      </c>
      <c r="F3161" s="165" t="s">
        <v>7282</v>
      </c>
    </row>
    <row r="3162" customFormat="false" ht="15" hidden="false" customHeight="true" outlineLevel="0" collapsed="false">
      <c r="A3162" s="163" t="s">
        <v>3026</v>
      </c>
      <c r="B3162" s="163" t="s">
        <v>2027</v>
      </c>
      <c r="C3162" s="163" t="s">
        <v>4087</v>
      </c>
      <c r="D3162" s="163" t="s">
        <v>4088</v>
      </c>
      <c r="E3162" s="164" t="n">
        <v>20000</v>
      </c>
      <c r="F3162" s="165" t="s">
        <v>7283</v>
      </c>
    </row>
    <row r="3163" customFormat="false" ht="15" hidden="false" customHeight="true" outlineLevel="0" collapsed="false">
      <c r="A3163" s="163" t="s">
        <v>3026</v>
      </c>
      <c r="B3163" s="163" t="s">
        <v>2027</v>
      </c>
      <c r="C3163" s="163" t="s">
        <v>240</v>
      </c>
      <c r="D3163" s="163" t="s">
        <v>2418</v>
      </c>
      <c r="E3163" s="164" t="n">
        <v>20000</v>
      </c>
      <c r="F3163" s="165" t="s">
        <v>7284</v>
      </c>
    </row>
    <row r="3164" customFormat="false" ht="15" hidden="false" customHeight="true" outlineLevel="0" collapsed="false">
      <c r="A3164" s="163" t="s">
        <v>3026</v>
      </c>
      <c r="B3164" s="163" t="s">
        <v>2027</v>
      </c>
      <c r="C3164" s="163" t="s">
        <v>360</v>
      </c>
      <c r="D3164" s="163" t="s">
        <v>2685</v>
      </c>
      <c r="E3164" s="164" t="n">
        <v>10000</v>
      </c>
      <c r="F3164" s="165" t="s">
        <v>7285</v>
      </c>
    </row>
    <row r="3165" customFormat="false" ht="15" hidden="false" customHeight="true" outlineLevel="0" collapsed="false">
      <c r="A3165" s="163" t="s">
        <v>3026</v>
      </c>
      <c r="B3165" s="163" t="s">
        <v>2027</v>
      </c>
      <c r="C3165" s="163" t="s">
        <v>4420</v>
      </c>
      <c r="D3165" s="163" t="s">
        <v>4421</v>
      </c>
      <c r="E3165" s="164" t="n">
        <v>10000</v>
      </c>
      <c r="F3165" s="165" t="s">
        <v>7286</v>
      </c>
    </row>
    <row r="3166" customFormat="false" ht="15" hidden="false" customHeight="true" outlineLevel="0" collapsed="false">
      <c r="A3166" s="163" t="s">
        <v>3026</v>
      </c>
      <c r="B3166" s="163" t="s">
        <v>2037</v>
      </c>
      <c r="C3166" s="163" t="s">
        <v>7287</v>
      </c>
      <c r="D3166" s="163" t="s">
        <v>7288</v>
      </c>
      <c r="E3166" s="164" t="n">
        <v>50000</v>
      </c>
      <c r="F3166" s="165" t="s">
        <v>7289</v>
      </c>
    </row>
    <row r="3167" customFormat="false" ht="15" hidden="false" customHeight="true" outlineLevel="0" collapsed="false">
      <c r="A3167" s="163" t="s">
        <v>3026</v>
      </c>
      <c r="B3167" s="163" t="s">
        <v>2037</v>
      </c>
      <c r="C3167" s="163" t="s">
        <v>7290</v>
      </c>
      <c r="D3167" s="163" t="s">
        <v>7291</v>
      </c>
      <c r="E3167" s="164" t="n">
        <v>40000</v>
      </c>
      <c r="F3167" s="165" t="s">
        <v>7292</v>
      </c>
    </row>
    <row r="3168" customFormat="false" ht="15" hidden="false" customHeight="true" outlineLevel="0" collapsed="false">
      <c r="A3168" s="163" t="s">
        <v>3026</v>
      </c>
      <c r="B3168" s="163" t="s">
        <v>2037</v>
      </c>
      <c r="C3168" s="163" t="s">
        <v>7028</v>
      </c>
      <c r="D3168" s="163" t="s">
        <v>7029</v>
      </c>
      <c r="E3168" s="164" t="n">
        <v>25000</v>
      </c>
      <c r="F3168" s="165" t="s">
        <v>7293</v>
      </c>
    </row>
    <row r="3169" customFormat="false" ht="15" hidden="false" customHeight="true" outlineLevel="0" collapsed="false">
      <c r="A3169" s="163" t="s">
        <v>3026</v>
      </c>
      <c r="B3169" s="163" t="s">
        <v>2037</v>
      </c>
      <c r="C3169" s="163" t="s">
        <v>372</v>
      </c>
      <c r="D3169" s="163" t="s">
        <v>2692</v>
      </c>
      <c r="E3169" s="164" t="n">
        <v>20000</v>
      </c>
      <c r="F3169" s="165" t="s">
        <v>7294</v>
      </c>
    </row>
    <row r="3170" customFormat="false" ht="15" hidden="false" customHeight="true" outlineLevel="0" collapsed="false">
      <c r="A3170" s="163" t="s">
        <v>3026</v>
      </c>
      <c r="B3170" s="163" t="s">
        <v>2037</v>
      </c>
      <c r="C3170" s="163" t="s">
        <v>2695</v>
      </c>
      <c r="D3170" s="163" t="s">
        <v>2696</v>
      </c>
      <c r="E3170" s="164" t="n">
        <v>10000</v>
      </c>
      <c r="F3170" s="165" t="s">
        <v>7295</v>
      </c>
    </row>
    <row r="3171" customFormat="false" ht="15" hidden="false" customHeight="true" outlineLevel="0" collapsed="false">
      <c r="A3171" s="163" t="s">
        <v>3026</v>
      </c>
      <c r="B3171" s="163" t="s">
        <v>2037</v>
      </c>
      <c r="C3171" s="163" t="s">
        <v>5290</v>
      </c>
      <c r="D3171" s="163" t="s">
        <v>5291</v>
      </c>
      <c r="E3171" s="164" t="n">
        <v>10000</v>
      </c>
      <c r="F3171" s="165" t="s">
        <v>7296</v>
      </c>
    </row>
    <row r="3172" customFormat="false" ht="15" hidden="false" customHeight="true" outlineLevel="0" collapsed="false">
      <c r="A3172" s="163" t="s">
        <v>3026</v>
      </c>
      <c r="B3172" s="163" t="s">
        <v>2037</v>
      </c>
      <c r="C3172" s="163" t="s">
        <v>4437</v>
      </c>
      <c r="D3172" s="163" t="s">
        <v>4438</v>
      </c>
      <c r="E3172" s="164" t="n">
        <v>10000</v>
      </c>
      <c r="F3172" s="165" t="s">
        <v>7297</v>
      </c>
    </row>
    <row r="3173" customFormat="false" ht="15" hidden="false" customHeight="true" outlineLevel="0" collapsed="false">
      <c r="A3173" s="163" t="s">
        <v>3026</v>
      </c>
      <c r="B3173" s="163" t="s">
        <v>2037</v>
      </c>
      <c r="C3173" s="163" t="s">
        <v>1017</v>
      </c>
      <c r="D3173" s="163" t="s">
        <v>2698</v>
      </c>
      <c r="E3173" s="164" t="n">
        <v>10000</v>
      </c>
      <c r="F3173" s="165" t="s">
        <v>7298</v>
      </c>
    </row>
    <row r="3174" customFormat="false" ht="15" hidden="false" customHeight="true" outlineLevel="0" collapsed="false">
      <c r="A3174" s="163" t="s">
        <v>3026</v>
      </c>
      <c r="B3174" s="163" t="s">
        <v>2037</v>
      </c>
      <c r="C3174" s="163" t="s">
        <v>7299</v>
      </c>
      <c r="D3174" s="163" t="s">
        <v>7300</v>
      </c>
      <c r="E3174" s="164" t="n">
        <v>10000</v>
      </c>
      <c r="F3174" s="165" t="s">
        <v>7301</v>
      </c>
    </row>
    <row r="3175" customFormat="false" ht="15" hidden="false" customHeight="true" outlineLevel="0" collapsed="false">
      <c r="A3175" s="163" t="s">
        <v>3026</v>
      </c>
      <c r="B3175" s="163" t="s">
        <v>2037</v>
      </c>
      <c r="C3175" s="163" t="s">
        <v>4874</v>
      </c>
      <c r="D3175" s="163" t="s">
        <v>4875</v>
      </c>
      <c r="E3175" s="164" t="n">
        <v>10000</v>
      </c>
      <c r="F3175" s="165" t="s">
        <v>7302</v>
      </c>
    </row>
    <row r="3176" customFormat="false" ht="15" hidden="false" customHeight="true" outlineLevel="0" collapsed="false">
      <c r="A3176" s="163" t="s">
        <v>3026</v>
      </c>
      <c r="B3176" s="163" t="s">
        <v>894</v>
      </c>
      <c r="C3176" s="163" t="s">
        <v>4815</v>
      </c>
      <c r="D3176" s="163" t="s">
        <v>4816</v>
      </c>
      <c r="E3176" s="164" t="n">
        <v>20000</v>
      </c>
      <c r="F3176" s="165" t="s">
        <v>7303</v>
      </c>
    </row>
    <row r="3177" customFormat="false" ht="15" hidden="false" customHeight="true" outlineLevel="0" collapsed="false">
      <c r="A3177" s="163" t="s">
        <v>3026</v>
      </c>
      <c r="B3177" s="163" t="s">
        <v>894</v>
      </c>
      <c r="C3177" s="163" t="s">
        <v>260</v>
      </c>
      <c r="D3177" s="163" t="s">
        <v>2097</v>
      </c>
      <c r="E3177" s="164" t="n">
        <v>15000</v>
      </c>
      <c r="F3177" s="165" t="s">
        <v>7304</v>
      </c>
    </row>
    <row r="3178" customFormat="false" ht="15" hidden="false" customHeight="true" outlineLevel="0" collapsed="false">
      <c r="A3178" s="163" t="s">
        <v>3026</v>
      </c>
      <c r="B3178" s="163" t="s">
        <v>894</v>
      </c>
      <c r="C3178" s="163" t="s">
        <v>4784</v>
      </c>
      <c r="D3178" s="163" t="s">
        <v>4785</v>
      </c>
      <c r="E3178" s="164" t="n">
        <v>15000</v>
      </c>
      <c r="F3178" s="165" t="s">
        <v>7305</v>
      </c>
    </row>
    <row r="3179" customFormat="false" ht="15" hidden="false" customHeight="true" outlineLevel="0" collapsed="false">
      <c r="A3179" s="163" t="s">
        <v>3026</v>
      </c>
      <c r="B3179" s="163" t="s">
        <v>894</v>
      </c>
      <c r="C3179" s="163" t="s">
        <v>7194</v>
      </c>
      <c r="D3179" s="163" t="s">
        <v>7195</v>
      </c>
      <c r="E3179" s="164" t="n">
        <v>15000</v>
      </c>
      <c r="F3179" s="165" t="s">
        <v>7306</v>
      </c>
    </row>
    <row r="3180" customFormat="false" ht="15" hidden="false" customHeight="true" outlineLevel="0" collapsed="false">
      <c r="A3180" s="163" t="s">
        <v>3026</v>
      </c>
      <c r="B3180" s="163" t="s">
        <v>894</v>
      </c>
      <c r="C3180" s="163" t="s">
        <v>7307</v>
      </c>
      <c r="D3180" s="163" t="s">
        <v>7308</v>
      </c>
      <c r="E3180" s="164" t="n">
        <v>15000</v>
      </c>
      <c r="F3180" s="165" t="s">
        <v>7309</v>
      </c>
    </row>
    <row r="3181" customFormat="false" ht="15" hidden="false" customHeight="true" outlineLevel="0" collapsed="false">
      <c r="A3181" s="163" t="s">
        <v>3026</v>
      </c>
      <c r="B3181" s="163" t="s">
        <v>894</v>
      </c>
      <c r="C3181" s="163" t="s">
        <v>6957</v>
      </c>
      <c r="D3181" s="163" t="s">
        <v>6958</v>
      </c>
      <c r="E3181" s="164" t="n">
        <v>10000</v>
      </c>
      <c r="F3181" s="165" t="s">
        <v>7310</v>
      </c>
    </row>
    <row r="3182" customFormat="false" ht="15" hidden="false" customHeight="true" outlineLevel="0" collapsed="false">
      <c r="A3182" s="163" t="s">
        <v>3026</v>
      </c>
      <c r="B3182" s="163" t="s">
        <v>894</v>
      </c>
      <c r="C3182" s="163" t="s">
        <v>3317</v>
      </c>
      <c r="D3182" s="163" t="s">
        <v>3318</v>
      </c>
      <c r="E3182" s="164" t="n">
        <v>10000</v>
      </c>
      <c r="F3182" s="165" t="s">
        <v>7311</v>
      </c>
    </row>
    <row r="3183" customFormat="false" ht="15" hidden="false" customHeight="true" outlineLevel="0" collapsed="false">
      <c r="A3183" s="163" t="s">
        <v>3026</v>
      </c>
      <c r="B3183" s="163" t="s">
        <v>894</v>
      </c>
      <c r="C3183" s="163" t="s">
        <v>7312</v>
      </c>
      <c r="D3183" s="163" t="s">
        <v>7313</v>
      </c>
      <c r="E3183" s="164" t="n">
        <v>10000</v>
      </c>
      <c r="F3183" s="165" t="s">
        <v>7314</v>
      </c>
    </row>
    <row r="3184" customFormat="false" ht="15" hidden="false" customHeight="true" outlineLevel="0" collapsed="false">
      <c r="A3184" s="163" t="s">
        <v>3026</v>
      </c>
      <c r="B3184" s="163" t="s">
        <v>894</v>
      </c>
      <c r="C3184" s="163" t="s">
        <v>4995</v>
      </c>
      <c r="D3184" s="163" t="s">
        <v>4996</v>
      </c>
      <c r="E3184" s="164" t="n">
        <v>10000</v>
      </c>
      <c r="F3184" s="165" t="s">
        <v>7315</v>
      </c>
    </row>
    <row r="3185" customFormat="false" ht="15" hidden="false" customHeight="true" outlineLevel="0" collapsed="false">
      <c r="A3185" s="163" t="s">
        <v>3026</v>
      </c>
      <c r="B3185" s="163" t="s">
        <v>894</v>
      </c>
      <c r="C3185" s="163" t="s">
        <v>7316</v>
      </c>
      <c r="D3185" s="163" t="s">
        <v>7317</v>
      </c>
      <c r="E3185" s="164" t="n">
        <v>10000</v>
      </c>
      <c r="F3185" s="165" t="s">
        <v>7318</v>
      </c>
    </row>
    <row r="3186" customFormat="false" ht="15" hidden="false" customHeight="true" outlineLevel="0" collapsed="false">
      <c r="A3186" s="163" t="s">
        <v>3026</v>
      </c>
      <c r="B3186" s="163" t="s">
        <v>894</v>
      </c>
      <c r="C3186" s="163" t="s">
        <v>7319</v>
      </c>
      <c r="D3186" s="163" t="s">
        <v>7320</v>
      </c>
      <c r="E3186" s="164" t="n">
        <v>10000</v>
      </c>
      <c r="F3186" s="165" t="s">
        <v>7321</v>
      </c>
    </row>
    <row r="3187" customFormat="false" ht="15" hidden="false" customHeight="true" outlineLevel="0" collapsed="false">
      <c r="A3187" s="163" t="s">
        <v>3026</v>
      </c>
      <c r="B3187" s="163" t="s">
        <v>894</v>
      </c>
      <c r="C3187" s="163" t="s">
        <v>7322</v>
      </c>
      <c r="D3187" s="163" t="s">
        <v>7323</v>
      </c>
      <c r="E3187" s="164" t="n">
        <v>10000</v>
      </c>
      <c r="F3187" s="165" t="s">
        <v>7324</v>
      </c>
    </row>
    <row r="3188" customFormat="false" ht="15" hidden="false" customHeight="true" outlineLevel="0" collapsed="false">
      <c r="A3188" s="163" t="s">
        <v>3026</v>
      </c>
      <c r="B3188" s="163" t="s">
        <v>894</v>
      </c>
      <c r="C3188" s="163" t="s">
        <v>925</v>
      </c>
      <c r="D3188" s="163" t="s">
        <v>1931</v>
      </c>
      <c r="E3188" s="164" t="n">
        <v>10000</v>
      </c>
      <c r="F3188" s="165" t="s">
        <v>7325</v>
      </c>
    </row>
    <row r="3189" customFormat="false" ht="15" hidden="false" customHeight="true" outlineLevel="0" collapsed="false">
      <c r="A3189" s="163" t="s">
        <v>3026</v>
      </c>
      <c r="B3189" s="163" t="s">
        <v>894</v>
      </c>
      <c r="C3189" s="163" t="s">
        <v>925</v>
      </c>
      <c r="D3189" s="163" t="s">
        <v>1931</v>
      </c>
      <c r="E3189" s="164" t="n">
        <v>10000</v>
      </c>
      <c r="F3189" s="165" t="s">
        <v>7326</v>
      </c>
    </row>
    <row r="3190" customFormat="false" ht="15" hidden="false" customHeight="true" outlineLevel="0" collapsed="false">
      <c r="A3190" s="163" t="s">
        <v>3026</v>
      </c>
      <c r="B3190" s="163" t="s">
        <v>894</v>
      </c>
      <c r="C3190" s="163" t="s">
        <v>925</v>
      </c>
      <c r="D3190" s="163" t="s">
        <v>1931</v>
      </c>
      <c r="E3190" s="164" t="n">
        <v>10000</v>
      </c>
      <c r="F3190" s="165" t="s">
        <v>7327</v>
      </c>
    </row>
    <row r="3191" customFormat="false" ht="15" hidden="false" customHeight="true" outlineLevel="0" collapsed="false">
      <c r="A3191" s="163" t="s">
        <v>3026</v>
      </c>
      <c r="B3191" s="163" t="s">
        <v>894</v>
      </c>
      <c r="C3191" s="163" t="s">
        <v>7328</v>
      </c>
      <c r="D3191" s="163" t="s">
        <v>7329</v>
      </c>
      <c r="E3191" s="164" t="n">
        <v>10000</v>
      </c>
      <c r="F3191" s="165" t="s">
        <v>7330</v>
      </c>
    </row>
    <row r="3192" customFormat="false" ht="15" hidden="false" customHeight="true" outlineLevel="0" collapsed="false">
      <c r="A3192" s="163" t="s">
        <v>3026</v>
      </c>
      <c r="B3192" s="163" t="s">
        <v>894</v>
      </c>
      <c r="C3192" s="163" t="s">
        <v>6048</v>
      </c>
      <c r="D3192" s="163" t="s">
        <v>6049</v>
      </c>
      <c r="E3192" s="164" t="n">
        <v>10000</v>
      </c>
      <c r="F3192" s="165" t="s">
        <v>7331</v>
      </c>
    </row>
    <row r="3193" customFormat="false" ht="15" hidden="false" customHeight="true" outlineLevel="0" collapsed="false">
      <c r="A3193" s="163" t="s">
        <v>3026</v>
      </c>
      <c r="B3193" s="163" t="s">
        <v>894</v>
      </c>
      <c r="C3193" s="163" t="s">
        <v>4103</v>
      </c>
      <c r="D3193" s="163" t="s">
        <v>4104</v>
      </c>
      <c r="E3193" s="164" t="n">
        <v>10000</v>
      </c>
      <c r="F3193" s="165" t="s">
        <v>7332</v>
      </c>
    </row>
    <row r="3194" customFormat="false" ht="15" hidden="false" customHeight="true" outlineLevel="0" collapsed="false">
      <c r="A3194" s="163" t="s">
        <v>3026</v>
      </c>
      <c r="B3194" s="163" t="s">
        <v>894</v>
      </c>
      <c r="C3194" s="163" t="s">
        <v>7333</v>
      </c>
      <c r="D3194" s="163" t="s">
        <v>7334</v>
      </c>
      <c r="E3194" s="164" t="n">
        <v>9000</v>
      </c>
      <c r="F3194" s="165" t="s">
        <v>7335</v>
      </c>
    </row>
    <row r="3195" customFormat="false" ht="15" hidden="false" customHeight="true" outlineLevel="0" collapsed="false">
      <c r="A3195" s="163" t="s">
        <v>3026</v>
      </c>
      <c r="B3195" s="163" t="s">
        <v>894</v>
      </c>
      <c r="C3195" s="163" t="s">
        <v>5266</v>
      </c>
      <c r="D3195" s="163" t="s">
        <v>5267</v>
      </c>
      <c r="E3195" s="164" t="n">
        <v>9000</v>
      </c>
      <c r="F3195" s="165" t="s">
        <v>7336</v>
      </c>
    </row>
    <row r="3196" customFormat="false" ht="15" hidden="false" customHeight="true" outlineLevel="0" collapsed="false">
      <c r="A3196" s="163" t="s">
        <v>3026</v>
      </c>
      <c r="B3196" s="163" t="s">
        <v>894</v>
      </c>
      <c r="C3196" s="163" t="s">
        <v>5071</v>
      </c>
      <c r="D3196" s="163" t="s">
        <v>5072</v>
      </c>
      <c r="E3196" s="164" t="n">
        <v>8000</v>
      </c>
      <c r="F3196" s="165" t="s">
        <v>7337</v>
      </c>
    </row>
    <row r="3197" customFormat="false" ht="15" hidden="false" customHeight="true" outlineLevel="0" collapsed="false">
      <c r="A3197" s="163" t="s">
        <v>3026</v>
      </c>
      <c r="B3197" s="163" t="s">
        <v>894</v>
      </c>
      <c r="C3197" s="163" t="s">
        <v>974</v>
      </c>
      <c r="D3197" s="163" t="s">
        <v>1931</v>
      </c>
      <c r="E3197" s="164" t="n">
        <v>7000</v>
      </c>
      <c r="F3197" s="165" t="s">
        <v>7338</v>
      </c>
    </row>
    <row r="3198" customFormat="false" ht="15" hidden="false" customHeight="true" outlineLevel="0" collapsed="false">
      <c r="A3198" s="163" t="s">
        <v>3026</v>
      </c>
      <c r="B3198" s="163" t="s">
        <v>894</v>
      </c>
      <c r="C3198" s="163" t="s">
        <v>4635</v>
      </c>
      <c r="D3198" s="163" t="s">
        <v>4636</v>
      </c>
      <c r="E3198" s="164" t="n">
        <v>7000</v>
      </c>
      <c r="F3198" s="165" t="s">
        <v>7339</v>
      </c>
    </row>
    <row r="3199" customFormat="false" ht="15" hidden="false" customHeight="true" outlineLevel="0" collapsed="false">
      <c r="A3199" s="163" t="s">
        <v>3026</v>
      </c>
      <c r="B3199" s="163" t="s">
        <v>894</v>
      </c>
      <c r="C3199" s="163" t="s">
        <v>7340</v>
      </c>
      <c r="D3199" s="163" t="s">
        <v>7341</v>
      </c>
      <c r="E3199" s="164" t="n">
        <v>5000</v>
      </c>
      <c r="F3199" s="165" t="s">
        <v>7342</v>
      </c>
    </row>
    <row r="3200" customFormat="false" ht="15" hidden="false" customHeight="true" outlineLevel="0" collapsed="false">
      <c r="A3200" s="163" t="s">
        <v>3026</v>
      </c>
      <c r="B3200" s="163" t="s">
        <v>894</v>
      </c>
      <c r="C3200" s="163" t="s">
        <v>7343</v>
      </c>
      <c r="D3200" s="163" t="s">
        <v>7344</v>
      </c>
      <c r="E3200" s="164" t="n">
        <v>5000</v>
      </c>
      <c r="F3200" s="165" t="s">
        <v>7345</v>
      </c>
    </row>
    <row r="3201" customFormat="false" ht="15" hidden="false" customHeight="true" outlineLevel="0" collapsed="false">
      <c r="A3201" s="163" t="s">
        <v>3026</v>
      </c>
      <c r="B3201" s="163" t="s">
        <v>894</v>
      </c>
      <c r="C3201" s="163" t="s">
        <v>4084</v>
      </c>
      <c r="D3201" s="163" t="s">
        <v>4085</v>
      </c>
      <c r="E3201" s="164" t="n">
        <v>5000</v>
      </c>
      <c r="F3201" s="165" t="s">
        <v>7346</v>
      </c>
    </row>
    <row r="3202" customFormat="false" ht="15" hidden="false" customHeight="true" outlineLevel="0" collapsed="false">
      <c r="A3202" s="163" t="s">
        <v>3026</v>
      </c>
      <c r="B3202" s="163" t="s">
        <v>894</v>
      </c>
      <c r="C3202" s="163" t="s">
        <v>7347</v>
      </c>
      <c r="D3202" s="163" t="s">
        <v>1931</v>
      </c>
      <c r="E3202" s="164" t="n">
        <v>5000</v>
      </c>
      <c r="F3202" s="165" t="s">
        <v>7348</v>
      </c>
    </row>
    <row r="3203" customFormat="false" ht="15" hidden="false" customHeight="true" outlineLevel="0" collapsed="false">
      <c r="A3203" s="163" t="s">
        <v>3026</v>
      </c>
      <c r="B3203" s="163" t="s">
        <v>894</v>
      </c>
      <c r="C3203" s="163" t="s">
        <v>7349</v>
      </c>
      <c r="D3203" s="163" t="s">
        <v>1931</v>
      </c>
      <c r="E3203" s="164" t="n">
        <v>5000</v>
      </c>
      <c r="F3203" s="165" t="s">
        <v>7348</v>
      </c>
    </row>
    <row r="3204" customFormat="false" ht="15" hidden="false" customHeight="true" outlineLevel="0" collapsed="false">
      <c r="A3204" s="163" t="s">
        <v>3026</v>
      </c>
      <c r="B3204" s="163" t="s">
        <v>894</v>
      </c>
      <c r="C3204" s="163" t="s">
        <v>7350</v>
      </c>
      <c r="D3204" s="163" t="s">
        <v>1931</v>
      </c>
      <c r="E3204" s="164" t="n">
        <v>5000</v>
      </c>
      <c r="F3204" s="165" t="s">
        <v>7348</v>
      </c>
    </row>
    <row r="3205" customFormat="false" ht="15" hidden="false" customHeight="true" outlineLevel="0" collapsed="false">
      <c r="A3205" s="163" t="s">
        <v>3026</v>
      </c>
      <c r="B3205" s="163" t="s">
        <v>894</v>
      </c>
      <c r="C3205" s="163" t="s">
        <v>5008</v>
      </c>
      <c r="D3205" s="163" t="s">
        <v>5009</v>
      </c>
      <c r="E3205" s="164" t="n">
        <v>5000</v>
      </c>
      <c r="F3205" s="165" t="s">
        <v>7351</v>
      </c>
    </row>
    <row r="3206" customFormat="false" ht="15" hidden="false" customHeight="true" outlineLevel="0" collapsed="false">
      <c r="A3206" s="163" t="s">
        <v>3026</v>
      </c>
      <c r="B3206" s="163" t="s">
        <v>894</v>
      </c>
      <c r="C3206" s="163" t="s">
        <v>7352</v>
      </c>
      <c r="D3206" s="163" t="s">
        <v>7353</v>
      </c>
      <c r="E3206" s="164" t="n">
        <v>5000</v>
      </c>
      <c r="F3206" s="165" t="s">
        <v>7354</v>
      </c>
    </row>
    <row r="3207" customFormat="false" ht="15" hidden="false" customHeight="true" outlineLevel="0" collapsed="false">
      <c r="A3207" s="163" t="s">
        <v>3026</v>
      </c>
      <c r="B3207" s="163" t="s">
        <v>894</v>
      </c>
      <c r="C3207" s="163" t="s">
        <v>4623</v>
      </c>
      <c r="D3207" s="163" t="s">
        <v>4624</v>
      </c>
      <c r="E3207" s="164" t="n">
        <v>5000</v>
      </c>
      <c r="F3207" s="165" t="s">
        <v>7355</v>
      </c>
    </row>
    <row r="3208" customFormat="false" ht="15" hidden="false" customHeight="true" outlineLevel="0" collapsed="false">
      <c r="A3208" s="163" t="s">
        <v>3026</v>
      </c>
      <c r="B3208" s="163" t="s">
        <v>894</v>
      </c>
      <c r="C3208" s="163" t="s">
        <v>6899</v>
      </c>
      <c r="D3208" s="163" t="s">
        <v>6900</v>
      </c>
      <c r="E3208" s="164" t="n">
        <v>5000</v>
      </c>
      <c r="F3208" s="165" t="s">
        <v>7356</v>
      </c>
    </row>
    <row r="3209" customFormat="false" ht="15" hidden="false" customHeight="true" outlineLevel="0" collapsed="false">
      <c r="A3209" s="163" t="s">
        <v>3026</v>
      </c>
      <c r="B3209" s="163" t="s">
        <v>894</v>
      </c>
      <c r="C3209" s="163" t="s">
        <v>5380</v>
      </c>
      <c r="D3209" s="163" t="s">
        <v>5381</v>
      </c>
      <c r="E3209" s="164" t="n">
        <v>5000</v>
      </c>
      <c r="F3209" s="165" t="s">
        <v>7357</v>
      </c>
    </row>
    <row r="3210" customFormat="false" ht="15" hidden="false" customHeight="true" outlineLevel="0" collapsed="false">
      <c r="A3210" s="163" t="s">
        <v>3026</v>
      </c>
      <c r="B3210" s="163" t="s">
        <v>894</v>
      </c>
      <c r="C3210" s="163" t="s">
        <v>7358</v>
      </c>
      <c r="D3210" s="163" t="s">
        <v>7359</v>
      </c>
      <c r="E3210" s="164" t="n">
        <v>5000</v>
      </c>
      <c r="F3210" s="165" t="s">
        <v>7360</v>
      </c>
    </row>
    <row r="3211" customFormat="false" ht="15" hidden="false" customHeight="true" outlineLevel="0" collapsed="false">
      <c r="A3211" s="163" t="s">
        <v>3026</v>
      </c>
      <c r="B3211" s="163" t="s">
        <v>894</v>
      </c>
      <c r="C3211" s="163" t="s">
        <v>6438</v>
      </c>
      <c r="D3211" s="163" t="s">
        <v>6439</v>
      </c>
      <c r="E3211" s="164" t="n">
        <v>5000</v>
      </c>
      <c r="F3211" s="165" t="s">
        <v>7361</v>
      </c>
    </row>
    <row r="3212" customFormat="false" ht="15" hidden="false" customHeight="true" outlineLevel="0" collapsed="false">
      <c r="A3212" s="163" t="s">
        <v>3026</v>
      </c>
      <c r="B3212" s="163" t="s">
        <v>894</v>
      </c>
      <c r="C3212" s="163" t="s">
        <v>7362</v>
      </c>
      <c r="D3212" s="163" t="s">
        <v>7363</v>
      </c>
      <c r="E3212" s="164" t="n">
        <v>5000</v>
      </c>
      <c r="F3212" s="165" t="s">
        <v>7364</v>
      </c>
    </row>
    <row r="3213" customFormat="false" ht="15" hidden="false" customHeight="true" outlineLevel="0" collapsed="false">
      <c r="A3213" s="163" t="s">
        <v>3026</v>
      </c>
      <c r="B3213" s="163" t="s">
        <v>894</v>
      </c>
      <c r="C3213" s="163" t="s">
        <v>7365</v>
      </c>
      <c r="D3213" s="163" t="s">
        <v>7366</v>
      </c>
      <c r="E3213" s="164" t="n">
        <v>5000</v>
      </c>
      <c r="F3213" s="165" t="s">
        <v>7367</v>
      </c>
    </row>
    <row r="3214" customFormat="false" ht="15" hidden="false" customHeight="true" outlineLevel="0" collapsed="false">
      <c r="A3214" s="163" t="s">
        <v>3026</v>
      </c>
      <c r="B3214" s="163" t="s">
        <v>894</v>
      </c>
      <c r="C3214" s="163" t="s">
        <v>925</v>
      </c>
      <c r="D3214" s="163" t="s">
        <v>1931</v>
      </c>
      <c r="E3214" s="164" t="n">
        <v>5000</v>
      </c>
      <c r="F3214" s="165" t="s">
        <v>7368</v>
      </c>
    </row>
    <row r="3215" customFormat="false" ht="15" hidden="false" customHeight="true" outlineLevel="0" collapsed="false">
      <c r="A3215" s="163" t="s">
        <v>3026</v>
      </c>
      <c r="B3215" s="163" t="s">
        <v>894</v>
      </c>
      <c r="C3215" s="163" t="s">
        <v>4202</v>
      </c>
      <c r="D3215" s="163" t="s">
        <v>4203</v>
      </c>
      <c r="E3215" s="164" t="n">
        <v>5000</v>
      </c>
      <c r="F3215" s="165" t="s">
        <v>7369</v>
      </c>
    </row>
    <row r="3216" customFormat="false" ht="15" hidden="false" customHeight="true" outlineLevel="0" collapsed="false">
      <c r="A3216" s="163" t="s">
        <v>3026</v>
      </c>
      <c r="B3216" s="163" t="s">
        <v>894</v>
      </c>
      <c r="C3216" s="163" t="s">
        <v>7370</v>
      </c>
      <c r="D3216" s="163" t="s">
        <v>7371</v>
      </c>
      <c r="E3216" s="164" t="n">
        <v>5000</v>
      </c>
      <c r="F3216" s="165" t="s">
        <v>7372</v>
      </c>
    </row>
    <row r="3217" customFormat="false" ht="15" hidden="false" customHeight="true" outlineLevel="0" collapsed="false">
      <c r="A3217" s="163" t="s">
        <v>3026</v>
      </c>
      <c r="B3217" s="163" t="s">
        <v>894</v>
      </c>
      <c r="C3217" s="163" t="s">
        <v>7373</v>
      </c>
      <c r="D3217" s="163" t="s">
        <v>7374</v>
      </c>
      <c r="E3217" s="164" t="n">
        <v>5000</v>
      </c>
      <c r="F3217" s="165" t="s">
        <v>7375</v>
      </c>
    </row>
    <row r="3218" customFormat="false" ht="15" hidden="false" customHeight="true" outlineLevel="0" collapsed="false">
      <c r="A3218" s="163" t="s">
        <v>3026</v>
      </c>
      <c r="B3218" s="163" t="s">
        <v>894</v>
      </c>
      <c r="C3218" s="163" t="s">
        <v>7376</v>
      </c>
      <c r="D3218" s="163" t="s">
        <v>7377</v>
      </c>
      <c r="E3218" s="164" t="n">
        <v>5000</v>
      </c>
      <c r="F3218" s="165" t="s">
        <v>7378</v>
      </c>
    </row>
    <row r="3219" customFormat="false" ht="15" hidden="false" customHeight="true" outlineLevel="0" collapsed="false">
      <c r="A3219" s="163" t="s">
        <v>3026</v>
      </c>
      <c r="B3219" s="163" t="s">
        <v>894</v>
      </c>
      <c r="C3219" s="163" t="s">
        <v>4097</v>
      </c>
      <c r="D3219" s="163" t="s">
        <v>4098</v>
      </c>
      <c r="E3219" s="164" t="n">
        <v>5000</v>
      </c>
      <c r="F3219" s="165" t="s">
        <v>7379</v>
      </c>
    </row>
    <row r="3220" customFormat="false" ht="15" hidden="false" customHeight="true" outlineLevel="0" collapsed="false">
      <c r="A3220" s="163" t="s">
        <v>3026</v>
      </c>
      <c r="B3220" s="163" t="s">
        <v>894</v>
      </c>
      <c r="C3220" s="163" t="s">
        <v>7267</v>
      </c>
      <c r="D3220" s="163" t="s">
        <v>7268</v>
      </c>
      <c r="E3220" s="164" t="n">
        <v>5000</v>
      </c>
      <c r="F3220" s="165" t="s">
        <v>7380</v>
      </c>
    </row>
    <row r="3221" customFormat="false" ht="15" hidden="false" customHeight="true" outlineLevel="0" collapsed="false">
      <c r="A3221" s="163" t="s">
        <v>3026</v>
      </c>
      <c r="B3221" s="163" t="s">
        <v>894</v>
      </c>
      <c r="C3221" s="163" t="s">
        <v>7381</v>
      </c>
      <c r="D3221" s="163" t="s">
        <v>7382</v>
      </c>
      <c r="E3221" s="164" t="n">
        <v>5000</v>
      </c>
      <c r="F3221" s="165" t="s">
        <v>7383</v>
      </c>
    </row>
    <row r="3222" customFormat="false" ht="15" hidden="false" customHeight="true" outlineLevel="0" collapsed="false">
      <c r="A3222" s="163" t="s">
        <v>3026</v>
      </c>
      <c r="B3222" s="163" t="s">
        <v>894</v>
      </c>
      <c r="C3222" s="163" t="s">
        <v>6378</v>
      </c>
      <c r="D3222" s="163" t="s">
        <v>6379</v>
      </c>
      <c r="E3222" s="164" t="n">
        <v>5000</v>
      </c>
      <c r="F3222" s="165" t="s">
        <v>7384</v>
      </c>
    </row>
    <row r="3223" customFormat="false" ht="15" hidden="false" customHeight="true" outlineLevel="0" collapsed="false">
      <c r="A3223" s="163" t="s">
        <v>3026</v>
      </c>
      <c r="B3223" s="163" t="s">
        <v>894</v>
      </c>
      <c r="C3223" s="163" t="s">
        <v>6241</v>
      </c>
      <c r="D3223" s="163" t="s">
        <v>6242</v>
      </c>
      <c r="E3223" s="164" t="n">
        <v>5000</v>
      </c>
      <c r="F3223" s="165" t="s">
        <v>7385</v>
      </c>
    </row>
    <row r="3224" customFormat="false" ht="15" hidden="false" customHeight="true" outlineLevel="0" collapsed="false">
      <c r="A3224" s="163" t="s">
        <v>3026</v>
      </c>
      <c r="B3224" s="163" t="s">
        <v>894</v>
      </c>
      <c r="C3224" s="163" t="s">
        <v>7386</v>
      </c>
      <c r="D3224" s="163" t="s">
        <v>7387</v>
      </c>
      <c r="E3224" s="164" t="n">
        <v>5000</v>
      </c>
      <c r="F3224" s="165" t="s">
        <v>7388</v>
      </c>
    </row>
    <row r="3225" customFormat="false" ht="15" hidden="false" customHeight="true" outlineLevel="0" collapsed="false">
      <c r="A3225" s="163" t="s">
        <v>3026</v>
      </c>
      <c r="B3225" s="163" t="s">
        <v>894</v>
      </c>
      <c r="C3225" s="163" t="s">
        <v>4829</v>
      </c>
      <c r="D3225" s="163" t="s">
        <v>4830</v>
      </c>
      <c r="E3225" s="164" t="n">
        <v>5000</v>
      </c>
      <c r="F3225" s="165" t="s">
        <v>7389</v>
      </c>
    </row>
    <row r="3226" customFormat="false" ht="15" hidden="false" customHeight="true" outlineLevel="0" collapsed="false">
      <c r="A3226" s="163" t="s">
        <v>3026</v>
      </c>
      <c r="B3226" s="163" t="s">
        <v>894</v>
      </c>
      <c r="C3226" s="163" t="s">
        <v>6813</v>
      </c>
      <c r="D3226" s="163" t="s">
        <v>6814</v>
      </c>
      <c r="E3226" s="164" t="n">
        <v>5000</v>
      </c>
      <c r="F3226" s="165" t="s">
        <v>7390</v>
      </c>
    </row>
    <row r="3227" customFormat="false" ht="15" hidden="false" customHeight="true" outlineLevel="0" collapsed="false">
      <c r="A3227" s="163" t="s">
        <v>3026</v>
      </c>
      <c r="B3227" s="163" t="s">
        <v>894</v>
      </c>
      <c r="C3227" s="163" t="s">
        <v>1860</v>
      </c>
      <c r="D3227" s="163" t="s">
        <v>1861</v>
      </c>
      <c r="E3227" s="164" t="n">
        <v>5000</v>
      </c>
      <c r="F3227" s="165" t="s">
        <v>7391</v>
      </c>
    </row>
    <row r="3228" customFormat="false" ht="15" hidden="false" customHeight="true" outlineLevel="0" collapsed="false">
      <c r="A3228" s="163" t="s">
        <v>3026</v>
      </c>
      <c r="B3228" s="163" t="s">
        <v>894</v>
      </c>
      <c r="C3228" s="163" t="s">
        <v>4774</v>
      </c>
      <c r="D3228" s="163" t="s">
        <v>4775</v>
      </c>
      <c r="E3228" s="164" t="n">
        <v>5000</v>
      </c>
      <c r="F3228" s="165" t="s">
        <v>7392</v>
      </c>
    </row>
    <row r="3229" customFormat="false" ht="15" hidden="false" customHeight="true" outlineLevel="0" collapsed="false">
      <c r="A3229" s="163" t="s">
        <v>3026</v>
      </c>
      <c r="B3229" s="163" t="s">
        <v>882</v>
      </c>
      <c r="C3229" s="163" t="s">
        <v>2759</v>
      </c>
      <c r="D3229" s="163" t="s">
        <v>2760</v>
      </c>
      <c r="E3229" s="164" t="n">
        <v>165000</v>
      </c>
      <c r="F3229" s="165" t="s">
        <v>7393</v>
      </c>
    </row>
    <row r="3230" customFormat="false" ht="15" hidden="false" customHeight="true" outlineLevel="0" collapsed="false">
      <c r="A3230" s="163" t="s">
        <v>3026</v>
      </c>
      <c r="B3230" s="163" t="s">
        <v>882</v>
      </c>
      <c r="C3230" s="163" t="s">
        <v>7394</v>
      </c>
      <c r="D3230" s="163" t="s">
        <v>7395</v>
      </c>
      <c r="E3230" s="164" t="n">
        <v>45000</v>
      </c>
      <c r="F3230" s="165" t="s">
        <v>7396</v>
      </c>
    </row>
    <row r="3231" customFormat="false" ht="15" hidden="false" customHeight="true" outlineLevel="0" collapsed="false">
      <c r="A3231" s="163" t="s">
        <v>3026</v>
      </c>
      <c r="B3231" s="163" t="s">
        <v>882</v>
      </c>
      <c r="C3231" s="163" t="s">
        <v>7397</v>
      </c>
      <c r="D3231" s="163" t="s">
        <v>7398</v>
      </c>
      <c r="E3231" s="164" t="n">
        <v>40000</v>
      </c>
      <c r="F3231" s="165" t="s">
        <v>7399</v>
      </c>
    </row>
    <row r="3232" customFormat="false" ht="15" hidden="false" customHeight="true" outlineLevel="0" collapsed="false">
      <c r="A3232" s="163" t="s">
        <v>3026</v>
      </c>
      <c r="B3232" s="163" t="s">
        <v>882</v>
      </c>
      <c r="C3232" s="163" t="s">
        <v>7400</v>
      </c>
      <c r="D3232" s="163" t="s">
        <v>7401</v>
      </c>
      <c r="E3232" s="164" t="n">
        <v>30000</v>
      </c>
      <c r="F3232" s="165" t="s">
        <v>7402</v>
      </c>
    </row>
    <row r="3233" customFormat="false" ht="15" hidden="false" customHeight="true" outlineLevel="0" collapsed="false">
      <c r="A3233" s="163" t="s">
        <v>3026</v>
      </c>
      <c r="B3233" s="163" t="s">
        <v>2328</v>
      </c>
      <c r="C3233" s="163" t="s">
        <v>7394</v>
      </c>
      <c r="D3233" s="163" t="s">
        <v>7395</v>
      </c>
      <c r="E3233" s="164" t="n">
        <v>30000</v>
      </c>
      <c r="F3233" s="165" t="s">
        <v>7403</v>
      </c>
    </row>
    <row r="3234" customFormat="false" ht="15" hidden="false" customHeight="true" outlineLevel="0" collapsed="false">
      <c r="A3234" s="163" t="s">
        <v>3026</v>
      </c>
      <c r="B3234" s="163" t="s">
        <v>2328</v>
      </c>
      <c r="C3234" s="163" t="s">
        <v>7397</v>
      </c>
      <c r="D3234" s="163" t="s">
        <v>7398</v>
      </c>
      <c r="E3234" s="164" t="n">
        <v>10000</v>
      </c>
      <c r="F3234" s="165" t="s">
        <v>7404</v>
      </c>
    </row>
    <row r="3235" customFormat="false" ht="15" hidden="false" customHeight="true" outlineLevel="0" collapsed="false">
      <c r="A3235" s="163" t="s">
        <v>3026</v>
      </c>
      <c r="B3235" s="163" t="s">
        <v>2328</v>
      </c>
      <c r="C3235" s="163" t="s">
        <v>1233</v>
      </c>
      <c r="D3235" s="163" t="s">
        <v>2151</v>
      </c>
      <c r="E3235" s="164" t="n">
        <v>10000</v>
      </c>
      <c r="F3235" s="165" t="s">
        <v>7405</v>
      </c>
    </row>
    <row r="3236" customFormat="false" ht="15" hidden="false" customHeight="true" outlineLevel="0" collapsed="false">
      <c r="A3236" s="163" t="s">
        <v>3026</v>
      </c>
      <c r="B3236" s="163" t="s">
        <v>2342</v>
      </c>
      <c r="C3236" s="163" t="s">
        <v>7185</v>
      </c>
      <c r="D3236" s="163" t="s">
        <v>7186</v>
      </c>
      <c r="E3236" s="164" t="n">
        <v>40000</v>
      </c>
      <c r="F3236" s="165" t="s">
        <v>7406</v>
      </c>
    </row>
    <row r="3237" customFormat="false" ht="15" hidden="false" customHeight="true" outlineLevel="0" collapsed="false">
      <c r="A3237" s="163" t="s">
        <v>3026</v>
      </c>
      <c r="B3237" s="163" t="s">
        <v>2342</v>
      </c>
      <c r="C3237" s="163" t="s">
        <v>6705</v>
      </c>
      <c r="D3237" s="163" t="s">
        <v>6706</v>
      </c>
      <c r="E3237" s="164" t="n">
        <v>10000</v>
      </c>
      <c r="F3237" s="165" t="s">
        <v>7407</v>
      </c>
    </row>
    <row r="3238" customFormat="false" ht="15" hidden="false" customHeight="true" outlineLevel="0" collapsed="false">
      <c r="A3238" s="163" t="s">
        <v>3026</v>
      </c>
      <c r="B3238" s="163" t="s">
        <v>2342</v>
      </c>
      <c r="C3238" s="163" t="s">
        <v>3063</v>
      </c>
      <c r="D3238" s="163" t="s">
        <v>3064</v>
      </c>
      <c r="E3238" s="164" t="n">
        <v>10000</v>
      </c>
      <c r="F3238" s="165" t="s">
        <v>7189</v>
      </c>
    </row>
    <row r="3239" customFormat="false" ht="15" hidden="false" customHeight="true" outlineLevel="0" collapsed="false">
      <c r="A3239" s="163" t="s">
        <v>3026</v>
      </c>
      <c r="B3239" s="163" t="s">
        <v>2342</v>
      </c>
      <c r="C3239" s="163" t="s">
        <v>6888</v>
      </c>
      <c r="D3239" s="163" t="s">
        <v>6889</v>
      </c>
      <c r="E3239" s="164" t="n">
        <v>10000</v>
      </c>
      <c r="F3239" s="165" t="s">
        <v>7408</v>
      </c>
    </row>
    <row r="3240" customFormat="false" ht="15" hidden="false" customHeight="true" outlineLevel="0" collapsed="false">
      <c r="A3240" s="163" t="s">
        <v>3026</v>
      </c>
      <c r="B3240" s="163" t="s">
        <v>2342</v>
      </c>
      <c r="C3240" s="163" t="s">
        <v>197</v>
      </c>
      <c r="D3240" s="163" t="s">
        <v>1931</v>
      </c>
      <c r="E3240" s="164" t="n">
        <v>10000</v>
      </c>
      <c r="F3240" s="165" t="s">
        <v>7409</v>
      </c>
    </row>
    <row r="3241" customFormat="false" ht="15" hidden="false" customHeight="true" outlineLevel="0" collapsed="false">
      <c r="A3241" s="163" t="s">
        <v>3026</v>
      </c>
      <c r="B3241" s="163" t="s">
        <v>2342</v>
      </c>
      <c r="C3241" s="163" t="s">
        <v>3956</v>
      </c>
      <c r="D3241" s="163" t="s">
        <v>3957</v>
      </c>
      <c r="E3241" s="164" t="n">
        <v>10000</v>
      </c>
      <c r="F3241" s="165" t="s">
        <v>7410</v>
      </c>
    </row>
    <row r="3242" customFormat="false" ht="15" hidden="false" customHeight="true" outlineLevel="0" collapsed="false">
      <c r="A3242" s="163" t="s">
        <v>3026</v>
      </c>
      <c r="B3242" s="163" t="s">
        <v>1743</v>
      </c>
      <c r="C3242" s="163" t="s">
        <v>3762</v>
      </c>
      <c r="D3242" s="163" t="s">
        <v>3763</v>
      </c>
      <c r="E3242" s="164" t="n">
        <v>30000</v>
      </c>
      <c r="F3242" s="165" t="s">
        <v>3972</v>
      </c>
    </row>
    <row r="3243" customFormat="false" ht="15" hidden="false" customHeight="true" outlineLevel="0" collapsed="false">
      <c r="A3243" s="163" t="s">
        <v>3026</v>
      </c>
      <c r="B3243" s="163" t="s">
        <v>1743</v>
      </c>
      <c r="C3243" s="163" t="s">
        <v>4017</v>
      </c>
      <c r="D3243" s="163" t="s">
        <v>4018</v>
      </c>
      <c r="E3243" s="164" t="n">
        <v>20000</v>
      </c>
      <c r="F3243" s="165" t="s">
        <v>7411</v>
      </c>
    </row>
    <row r="3244" customFormat="false" ht="15" hidden="false" customHeight="true" outlineLevel="0" collapsed="false">
      <c r="A3244" s="163" t="s">
        <v>3026</v>
      </c>
      <c r="B3244" s="163" t="s">
        <v>1743</v>
      </c>
      <c r="C3244" s="163" t="s">
        <v>3766</v>
      </c>
      <c r="D3244" s="163" t="s">
        <v>3767</v>
      </c>
      <c r="E3244" s="164" t="n">
        <v>10000</v>
      </c>
      <c r="F3244" s="165" t="s">
        <v>7412</v>
      </c>
    </row>
    <row r="3245" customFormat="false" ht="15" hidden="false" customHeight="true" outlineLevel="0" collapsed="false">
      <c r="A3245" s="163" t="s">
        <v>3026</v>
      </c>
      <c r="B3245" s="163" t="s">
        <v>1743</v>
      </c>
      <c r="C3245" s="163" t="s">
        <v>7413</v>
      </c>
      <c r="D3245" s="163" t="s">
        <v>7414</v>
      </c>
      <c r="E3245" s="164" t="n">
        <v>10000</v>
      </c>
      <c r="F3245" s="165" t="s">
        <v>7415</v>
      </c>
    </row>
    <row r="3246" customFormat="false" ht="15" hidden="false" customHeight="true" outlineLevel="0" collapsed="false">
      <c r="A3246" s="163" t="s">
        <v>3026</v>
      </c>
      <c r="B3246" s="163" t="s">
        <v>1743</v>
      </c>
      <c r="C3246" s="163" t="s">
        <v>3212</v>
      </c>
      <c r="D3246" s="163" t="s">
        <v>3213</v>
      </c>
      <c r="E3246" s="164" t="n">
        <v>10000</v>
      </c>
      <c r="F3246" s="165" t="s">
        <v>7416</v>
      </c>
    </row>
    <row r="3247" customFormat="false" ht="15" hidden="false" customHeight="true" outlineLevel="0" collapsed="false">
      <c r="A3247" s="163" t="s">
        <v>3026</v>
      </c>
      <c r="B3247" s="163" t="s">
        <v>1743</v>
      </c>
      <c r="C3247" s="163" t="s">
        <v>4774</v>
      </c>
      <c r="D3247" s="163" t="s">
        <v>4775</v>
      </c>
      <c r="E3247" s="164" t="n">
        <v>10000</v>
      </c>
      <c r="F3247" s="165" t="s">
        <v>7417</v>
      </c>
    </row>
    <row r="3248" customFormat="false" ht="15" hidden="false" customHeight="true" outlineLevel="0" collapsed="false">
      <c r="A3248" s="163" t="s">
        <v>3026</v>
      </c>
      <c r="B3248" s="163" t="s">
        <v>1743</v>
      </c>
      <c r="C3248" s="163" t="s">
        <v>4322</v>
      </c>
      <c r="D3248" s="163" t="s">
        <v>4323</v>
      </c>
      <c r="E3248" s="164" t="n">
        <v>10000</v>
      </c>
      <c r="F3248" s="165" t="s">
        <v>7418</v>
      </c>
    </row>
    <row r="3249" customFormat="false" ht="15" hidden="false" customHeight="true" outlineLevel="0" collapsed="false">
      <c r="A3249" s="163" t="s">
        <v>3026</v>
      </c>
      <c r="B3249" s="163" t="s">
        <v>1743</v>
      </c>
      <c r="C3249" s="163" t="s">
        <v>4628</v>
      </c>
      <c r="D3249" s="163" t="s">
        <v>4629</v>
      </c>
      <c r="E3249" s="164" t="n">
        <v>10000</v>
      </c>
      <c r="F3249" s="165" t="s">
        <v>7419</v>
      </c>
    </row>
    <row r="3250" customFormat="false" ht="15" hidden="false" customHeight="true" outlineLevel="0" collapsed="false">
      <c r="A3250" s="163" t="s">
        <v>3026</v>
      </c>
      <c r="B3250" s="163" t="s">
        <v>1743</v>
      </c>
      <c r="C3250" s="163" t="s">
        <v>7420</v>
      </c>
      <c r="D3250" s="163" t="s">
        <v>7421</v>
      </c>
      <c r="E3250" s="164" t="n">
        <v>10000</v>
      </c>
      <c r="F3250" s="165" t="s">
        <v>7422</v>
      </c>
    </row>
    <row r="3251" customFormat="false" ht="15" hidden="false" customHeight="true" outlineLevel="0" collapsed="false">
      <c r="A3251" s="163" t="s">
        <v>3026</v>
      </c>
      <c r="B3251" s="163" t="s">
        <v>1743</v>
      </c>
      <c r="C3251" s="163" t="s">
        <v>1860</v>
      </c>
      <c r="D3251" s="163" t="s">
        <v>1861</v>
      </c>
      <c r="E3251" s="164" t="n">
        <v>10000</v>
      </c>
      <c r="F3251" s="165" t="s">
        <v>7423</v>
      </c>
    </row>
    <row r="3252" customFormat="false" ht="15" hidden="false" customHeight="true" outlineLevel="0" collapsed="false">
      <c r="A3252" s="163" t="s">
        <v>3026</v>
      </c>
      <c r="B3252" s="163" t="s">
        <v>1743</v>
      </c>
      <c r="C3252" s="163" t="s">
        <v>3771</v>
      </c>
      <c r="D3252" s="163" t="s">
        <v>3772</v>
      </c>
      <c r="E3252" s="164" t="n">
        <v>10000</v>
      </c>
      <c r="F3252" s="165" t="s">
        <v>7424</v>
      </c>
    </row>
    <row r="3253" customFormat="false" ht="15" hidden="false" customHeight="true" outlineLevel="0" collapsed="false">
      <c r="A3253" s="163" t="s">
        <v>3026</v>
      </c>
      <c r="B3253" s="163" t="s">
        <v>1743</v>
      </c>
      <c r="C3253" s="163" t="s">
        <v>4639</v>
      </c>
      <c r="D3253" s="163" t="s">
        <v>4640</v>
      </c>
      <c r="E3253" s="164" t="n">
        <v>10000</v>
      </c>
      <c r="F3253" s="165" t="s">
        <v>7425</v>
      </c>
    </row>
    <row r="3254" customFormat="false" ht="15" hidden="false" customHeight="true" outlineLevel="0" collapsed="false">
      <c r="A3254" s="163" t="s">
        <v>3026</v>
      </c>
      <c r="B3254" s="163" t="s">
        <v>928</v>
      </c>
      <c r="C3254" s="163" t="s">
        <v>7229</v>
      </c>
      <c r="D3254" s="163" t="s">
        <v>7230</v>
      </c>
      <c r="E3254" s="164" t="n">
        <v>25000</v>
      </c>
      <c r="F3254" s="165" t="s">
        <v>7231</v>
      </c>
    </row>
    <row r="3255" customFormat="false" ht="15" hidden="false" customHeight="true" outlineLevel="0" collapsed="false">
      <c r="A3255" s="163" t="s">
        <v>3026</v>
      </c>
      <c r="B3255" s="163" t="s">
        <v>928</v>
      </c>
      <c r="C3255" s="163" t="s">
        <v>7426</v>
      </c>
      <c r="D3255" s="163" t="s">
        <v>7427</v>
      </c>
      <c r="E3255" s="164" t="n">
        <v>20000</v>
      </c>
      <c r="F3255" s="165" t="s">
        <v>7428</v>
      </c>
    </row>
    <row r="3256" customFormat="false" ht="15" hidden="false" customHeight="true" outlineLevel="0" collapsed="false">
      <c r="A3256" s="163" t="s">
        <v>3026</v>
      </c>
      <c r="B3256" s="163" t="s">
        <v>928</v>
      </c>
      <c r="C3256" s="163" t="s">
        <v>3895</v>
      </c>
      <c r="D3256" s="163" t="s">
        <v>3896</v>
      </c>
      <c r="E3256" s="164" t="n">
        <v>10000</v>
      </c>
      <c r="F3256" s="165" t="s">
        <v>7429</v>
      </c>
    </row>
    <row r="3257" customFormat="false" ht="15" hidden="false" customHeight="true" outlineLevel="0" collapsed="false">
      <c r="A3257" s="163" t="s">
        <v>3026</v>
      </c>
      <c r="B3257" s="163" t="s">
        <v>928</v>
      </c>
      <c r="C3257" s="163" t="s">
        <v>7430</v>
      </c>
      <c r="D3257" s="163" t="s">
        <v>7431</v>
      </c>
      <c r="E3257" s="164" t="n">
        <v>10000</v>
      </c>
      <c r="F3257" s="165" t="s">
        <v>7432</v>
      </c>
    </row>
    <row r="3258" customFormat="false" ht="15" hidden="false" customHeight="true" outlineLevel="0" collapsed="false">
      <c r="A3258" s="163" t="s">
        <v>3026</v>
      </c>
      <c r="B3258" s="163" t="s">
        <v>928</v>
      </c>
      <c r="C3258" s="163" t="s">
        <v>7433</v>
      </c>
      <c r="D3258" s="163" t="s">
        <v>7434</v>
      </c>
      <c r="E3258" s="164" t="n">
        <v>10000</v>
      </c>
      <c r="F3258" s="165" t="s">
        <v>7435</v>
      </c>
    </row>
    <row r="3259" customFormat="false" ht="15" hidden="false" customHeight="true" outlineLevel="0" collapsed="false">
      <c r="A3259" s="163" t="s">
        <v>3026</v>
      </c>
      <c r="B3259" s="163" t="s">
        <v>928</v>
      </c>
      <c r="C3259" s="163" t="s">
        <v>7436</v>
      </c>
      <c r="D3259" s="163" t="s">
        <v>7437</v>
      </c>
      <c r="E3259" s="164" t="n">
        <v>10000</v>
      </c>
      <c r="F3259" s="165" t="s">
        <v>7438</v>
      </c>
    </row>
    <row r="3260" customFormat="false" ht="15" hidden="false" customHeight="true" outlineLevel="0" collapsed="false">
      <c r="A3260" s="163" t="s">
        <v>3026</v>
      </c>
      <c r="B3260" s="163" t="s">
        <v>928</v>
      </c>
      <c r="C3260" s="163" t="s">
        <v>7439</v>
      </c>
      <c r="D3260" s="163" t="s">
        <v>7440</v>
      </c>
      <c r="E3260" s="164" t="n">
        <v>10000</v>
      </c>
      <c r="F3260" s="165" t="s">
        <v>7441</v>
      </c>
    </row>
    <row r="3261" customFormat="false" ht="15" hidden="false" customHeight="true" outlineLevel="0" collapsed="false">
      <c r="A3261" s="163" t="s">
        <v>3026</v>
      </c>
      <c r="B3261" s="163" t="s">
        <v>928</v>
      </c>
      <c r="C3261" s="163" t="s">
        <v>7442</v>
      </c>
      <c r="D3261" s="163" t="s">
        <v>7443</v>
      </c>
      <c r="E3261" s="164" t="n">
        <v>10000</v>
      </c>
      <c r="F3261" s="165" t="s">
        <v>7444</v>
      </c>
    </row>
    <row r="3262" customFormat="false" ht="15" hidden="false" customHeight="true" outlineLevel="0" collapsed="false">
      <c r="A3262" s="163" t="s">
        <v>3026</v>
      </c>
      <c r="B3262" s="163" t="s">
        <v>928</v>
      </c>
      <c r="C3262" s="163" t="s">
        <v>7445</v>
      </c>
      <c r="D3262" s="163" t="s">
        <v>7446</v>
      </c>
      <c r="E3262" s="164" t="n">
        <v>5000</v>
      </c>
      <c r="F3262" s="165" t="s">
        <v>7447</v>
      </c>
    </row>
    <row r="3263" customFormat="false" ht="15" hidden="false" customHeight="true" outlineLevel="0" collapsed="false">
      <c r="A3263" s="163" t="s">
        <v>3026</v>
      </c>
      <c r="B3263" s="163" t="s">
        <v>928</v>
      </c>
      <c r="C3263" s="163" t="s">
        <v>3985</v>
      </c>
      <c r="D3263" s="163" t="s">
        <v>3986</v>
      </c>
      <c r="E3263" s="164" t="n">
        <v>5000</v>
      </c>
      <c r="F3263" s="165" t="s">
        <v>7448</v>
      </c>
    </row>
    <row r="3264" customFormat="false" ht="15" hidden="false" customHeight="true" outlineLevel="0" collapsed="false">
      <c r="A3264" s="163" t="s">
        <v>3026</v>
      </c>
      <c r="B3264" s="163" t="s">
        <v>928</v>
      </c>
      <c r="C3264" s="163" t="s">
        <v>3243</v>
      </c>
      <c r="D3264" s="163" t="s">
        <v>3244</v>
      </c>
      <c r="E3264" s="164" t="n">
        <v>5000</v>
      </c>
      <c r="F3264" s="165" t="s">
        <v>7449</v>
      </c>
    </row>
    <row r="3265" customFormat="false" ht="15" hidden="false" customHeight="true" outlineLevel="0" collapsed="false">
      <c r="A3265" s="163" t="s">
        <v>3026</v>
      </c>
      <c r="B3265" s="163" t="s">
        <v>928</v>
      </c>
      <c r="C3265" s="163" t="s">
        <v>7450</v>
      </c>
      <c r="D3265" s="163" t="s">
        <v>7451</v>
      </c>
      <c r="E3265" s="164" t="n">
        <v>5000</v>
      </c>
      <c r="F3265" s="165" t="s">
        <v>7452</v>
      </c>
    </row>
    <row r="3266" customFormat="false" ht="15" hidden="false" customHeight="true" outlineLevel="0" collapsed="false">
      <c r="A3266" s="163" t="s">
        <v>3026</v>
      </c>
      <c r="B3266" s="163" t="s">
        <v>928</v>
      </c>
      <c r="C3266" s="163" t="s">
        <v>7453</v>
      </c>
      <c r="D3266" s="163" t="s">
        <v>7454</v>
      </c>
      <c r="E3266" s="164" t="n">
        <v>5000</v>
      </c>
      <c r="F3266" s="165" t="s">
        <v>7455</v>
      </c>
    </row>
    <row r="3267" customFormat="false" ht="15" hidden="false" customHeight="true" outlineLevel="0" collapsed="false">
      <c r="A3267" s="163" t="s">
        <v>3026</v>
      </c>
      <c r="B3267" s="163" t="s">
        <v>928</v>
      </c>
      <c r="C3267" s="163" t="s">
        <v>7456</v>
      </c>
      <c r="D3267" s="163" t="s">
        <v>7457</v>
      </c>
      <c r="E3267" s="164" t="n">
        <v>5000</v>
      </c>
      <c r="F3267" s="165" t="s">
        <v>7458</v>
      </c>
    </row>
    <row r="3268" customFormat="false" ht="15" hidden="false" customHeight="true" outlineLevel="0" collapsed="false">
      <c r="A3268" s="163" t="s">
        <v>3026</v>
      </c>
      <c r="B3268" s="163" t="s">
        <v>928</v>
      </c>
      <c r="C3268" s="163" t="s">
        <v>7459</v>
      </c>
      <c r="D3268" s="163" t="s">
        <v>7460</v>
      </c>
      <c r="E3268" s="164" t="n">
        <v>5000</v>
      </c>
      <c r="F3268" s="165" t="s">
        <v>7461</v>
      </c>
    </row>
    <row r="3269" customFormat="false" ht="15" hidden="false" customHeight="true" outlineLevel="0" collapsed="false">
      <c r="A3269" s="163" t="s">
        <v>3026</v>
      </c>
      <c r="B3269" s="163" t="s">
        <v>928</v>
      </c>
      <c r="C3269" s="163" t="s">
        <v>7462</v>
      </c>
      <c r="D3269" s="163" t="s">
        <v>7463</v>
      </c>
      <c r="E3269" s="164" t="n">
        <v>5000</v>
      </c>
      <c r="F3269" s="165" t="s">
        <v>7464</v>
      </c>
    </row>
    <row r="3270" customFormat="false" ht="15" hidden="false" customHeight="true" outlineLevel="0" collapsed="false">
      <c r="A3270" s="163" t="s">
        <v>3026</v>
      </c>
      <c r="B3270" s="163" t="s">
        <v>928</v>
      </c>
      <c r="C3270" s="163" t="s">
        <v>7465</v>
      </c>
      <c r="D3270" s="163" t="s">
        <v>7466</v>
      </c>
      <c r="E3270" s="164" t="n">
        <v>5000</v>
      </c>
      <c r="F3270" s="165" t="s">
        <v>7467</v>
      </c>
    </row>
    <row r="3271" customFormat="false" ht="15" hidden="false" customHeight="true" outlineLevel="0" collapsed="false">
      <c r="A3271" s="163" t="s">
        <v>3011</v>
      </c>
      <c r="B3271" s="163" t="s">
        <v>926</v>
      </c>
      <c r="C3271" s="163" t="s">
        <v>4735</v>
      </c>
      <c r="D3271" s="163" t="s">
        <v>4736</v>
      </c>
      <c r="E3271" s="164" t="n">
        <v>60000</v>
      </c>
      <c r="F3271" s="165" t="s">
        <v>7468</v>
      </c>
    </row>
    <row r="3272" customFormat="false" ht="15" hidden="false" customHeight="true" outlineLevel="0" collapsed="false">
      <c r="A3272" s="163" t="s">
        <v>3011</v>
      </c>
      <c r="B3272" s="163" t="s">
        <v>926</v>
      </c>
      <c r="C3272" s="163" t="s">
        <v>6292</v>
      </c>
      <c r="D3272" s="163" t="s">
        <v>6293</v>
      </c>
      <c r="E3272" s="164" t="n">
        <v>40000</v>
      </c>
      <c r="F3272" s="165" t="s">
        <v>7469</v>
      </c>
    </row>
    <row r="3273" customFormat="false" ht="15" hidden="false" customHeight="true" outlineLevel="0" collapsed="false">
      <c r="A3273" s="163" t="s">
        <v>3011</v>
      </c>
      <c r="B3273" s="163" t="s">
        <v>957</v>
      </c>
      <c r="C3273" s="163" t="s">
        <v>7470</v>
      </c>
      <c r="D3273" s="163" t="s">
        <v>7471</v>
      </c>
      <c r="E3273" s="164" t="n">
        <v>30000</v>
      </c>
      <c r="F3273" s="165" t="s">
        <v>7472</v>
      </c>
    </row>
    <row r="3274" customFormat="false" ht="15" hidden="false" customHeight="true" outlineLevel="0" collapsed="false">
      <c r="A3274" s="163" t="s">
        <v>3011</v>
      </c>
      <c r="B3274" s="163" t="s">
        <v>957</v>
      </c>
      <c r="C3274" s="163" t="s">
        <v>5793</v>
      </c>
      <c r="D3274" s="163" t="s">
        <v>5794</v>
      </c>
      <c r="E3274" s="164" t="n">
        <v>30000</v>
      </c>
      <c r="F3274" s="165" t="s">
        <v>7473</v>
      </c>
    </row>
    <row r="3275" customFormat="false" ht="15" hidden="false" customHeight="true" outlineLevel="0" collapsed="false">
      <c r="A3275" s="163" t="s">
        <v>3011</v>
      </c>
      <c r="B3275" s="163" t="s">
        <v>957</v>
      </c>
      <c r="C3275" s="163" t="s">
        <v>6612</v>
      </c>
      <c r="D3275" s="163" t="s">
        <v>6613</v>
      </c>
      <c r="E3275" s="164" t="n">
        <v>30000</v>
      </c>
      <c r="F3275" s="165" t="s">
        <v>7474</v>
      </c>
    </row>
    <row r="3276" customFormat="false" ht="15" hidden="false" customHeight="true" outlineLevel="0" collapsed="false">
      <c r="A3276" s="163" t="s">
        <v>3011</v>
      </c>
      <c r="B3276" s="163" t="s">
        <v>957</v>
      </c>
      <c r="C3276" s="163" t="s">
        <v>6176</v>
      </c>
      <c r="D3276" s="163" t="s">
        <v>6177</v>
      </c>
      <c r="E3276" s="164" t="n">
        <v>15000</v>
      </c>
      <c r="F3276" s="165" t="s">
        <v>7475</v>
      </c>
    </row>
    <row r="3277" customFormat="false" ht="15" hidden="false" customHeight="true" outlineLevel="0" collapsed="false">
      <c r="A3277" s="163" t="s">
        <v>3011</v>
      </c>
      <c r="B3277" s="163" t="s">
        <v>957</v>
      </c>
      <c r="C3277" s="163" t="s">
        <v>473</v>
      </c>
      <c r="D3277" s="163" t="s">
        <v>2764</v>
      </c>
      <c r="E3277" s="164" t="n">
        <v>5000</v>
      </c>
      <c r="F3277" s="165" t="s">
        <v>7476</v>
      </c>
    </row>
    <row r="3278" customFormat="false" ht="15" hidden="false" customHeight="true" outlineLevel="0" collapsed="false">
      <c r="A3278" s="163" t="s">
        <v>3011</v>
      </c>
      <c r="B3278" s="163" t="s">
        <v>945</v>
      </c>
      <c r="C3278" s="163" t="s">
        <v>7477</v>
      </c>
      <c r="D3278" s="163" t="s">
        <v>7478</v>
      </c>
      <c r="E3278" s="164" t="n">
        <v>30000</v>
      </c>
      <c r="F3278" s="165" t="s">
        <v>7479</v>
      </c>
    </row>
    <row r="3279" customFormat="false" ht="15" hidden="false" customHeight="true" outlineLevel="0" collapsed="false">
      <c r="A3279" s="163" t="s">
        <v>3011</v>
      </c>
      <c r="B3279" s="163" t="s">
        <v>945</v>
      </c>
      <c r="C3279" s="163" t="s">
        <v>7480</v>
      </c>
      <c r="D3279" s="163" t="s">
        <v>7481</v>
      </c>
      <c r="E3279" s="164" t="n">
        <v>10000</v>
      </c>
      <c r="F3279" s="165" t="s">
        <v>7482</v>
      </c>
    </row>
    <row r="3280" customFormat="false" ht="15" hidden="false" customHeight="true" outlineLevel="0" collapsed="false">
      <c r="A3280" s="163" t="s">
        <v>3011</v>
      </c>
      <c r="B3280" s="163" t="s">
        <v>945</v>
      </c>
      <c r="C3280" s="163" t="s">
        <v>7483</v>
      </c>
      <c r="D3280" s="163" t="s">
        <v>7484</v>
      </c>
      <c r="E3280" s="164" t="n">
        <v>10000</v>
      </c>
      <c r="F3280" s="165" t="s">
        <v>7479</v>
      </c>
    </row>
    <row r="3281" customFormat="false" ht="15" hidden="false" customHeight="true" outlineLevel="0" collapsed="false">
      <c r="A3281" s="163" t="s">
        <v>3011</v>
      </c>
      <c r="B3281" s="163" t="s">
        <v>945</v>
      </c>
      <c r="C3281" s="163" t="s">
        <v>7485</v>
      </c>
      <c r="D3281" s="163" t="s">
        <v>7486</v>
      </c>
      <c r="E3281" s="164" t="n">
        <v>7000</v>
      </c>
      <c r="F3281" s="165" t="s">
        <v>7479</v>
      </c>
    </row>
    <row r="3282" customFormat="false" ht="15" hidden="false" customHeight="true" outlineLevel="0" collapsed="false">
      <c r="A3282" s="163" t="s">
        <v>3011</v>
      </c>
      <c r="B3282" s="163" t="s">
        <v>945</v>
      </c>
      <c r="C3282" s="163" t="s">
        <v>3357</v>
      </c>
      <c r="D3282" s="163" t="s">
        <v>3358</v>
      </c>
      <c r="E3282" s="164" t="n">
        <v>7000</v>
      </c>
      <c r="F3282" s="165" t="s">
        <v>7479</v>
      </c>
    </row>
    <row r="3283" customFormat="false" ht="15" hidden="false" customHeight="true" outlineLevel="0" collapsed="false">
      <c r="A3283" s="163" t="s">
        <v>3011</v>
      </c>
      <c r="B3283" s="163" t="s">
        <v>945</v>
      </c>
      <c r="C3283" s="163" t="s">
        <v>6283</v>
      </c>
      <c r="D3283" s="163" t="s">
        <v>6284</v>
      </c>
      <c r="E3283" s="164" t="n">
        <v>7000</v>
      </c>
      <c r="F3283" s="165" t="s">
        <v>7479</v>
      </c>
    </row>
    <row r="3284" customFormat="false" ht="15" hidden="false" customHeight="true" outlineLevel="0" collapsed="false">
      <c r="A3284" s="163" t="s">
        <v>3011</v>
      </c>
      <c r="B3284" s="163" t="s">
        <v>945</v>
      </c>
      <c r="C3284" s="163" t="s">
        <v>3180</v>
      </c>
      <c r="D3284" s="163" t="s">
        <v>3181</v>
      </c>
      <c r="E3284" s="164" t="n">
        <v>7000</v>
      </c>
      <c r="F3284" s="165" t="s">
        <v>7479</v>
      </c>
    </row>
    <row r="3285" customFormat="false" ht="15" hidden="false" customHeight="true" outlineLevel="0" collapsed="false">
      <c r="A3285" s="163" t="s">
        <v>3011</v>
      </c>
      <c r="B3285" s="163" t="s">
        <v>945</v>
      </c>
      <c r="C3285" s="163" t="s">
        <v>7487</v>
      </c>
      <c r="D3285" s="163" t="s">
        <v>7488</v>
      </c>
      <c r="E3285" s="164" t="n">
        <v>7000</v>
      </c>
      <c r="F3285" s="165" t="s">
        <v>7479</v>
      </c>
    </row>
    <row r="3286" customFormat="false" ht="15" hidden="false" customHeight="true" outlineLevel="0" collapsed="false">
      <c r="A3286" s="163" t="s">
        <v>3011</v>
      </c>
      <c r="B3286" s="163" t="s">
        <v>945</v>
      </c>
      <c r="C3286" s="163" t="s">
        <v>5815</v>
      </c>
      <c r="D3286" s="163" t="s">
        <v>5816</v>
      </c>
      <c r="E3286" s="164" t="n">
        <v>5000</v>
      </c>
      <c r="F3286" s="165" t="s">
        <v>7479</v>
      </c>
    </row>
    <row r="3287" customFormat="false" ht="15" hidden="false" customHeight="true" outlineLevel="0" collapsed="false">
      <c r="A3287" s="163" t="s">
        <v>3011</v>
      </c>
      <c r="B3287" s="163" t="s">
        <v>945</v>
      </c>
      <c r="C3287" s="163" t="s">
        <v>6960</v>
      </c>
      <c r="D3287" s="163" t="s">
        <v>6961</v>
      </c>
      <c r="E3287" s="164" t="n">
        <v>5000</v>
      </c>
      <c r="F3287" s="165" t="s">
        <v>7479</v>
      </c>
    </row>
    <row r="3288" customFormat="false" ht="15" hidden="false" customHeight="true" outlineLevel="0" collapsed="false">
      <c r="A3288" s="163" t="s">
        <v>3011</v>
      </c>
      <c r="B3288" s="163" t="s">
        <v>945</v>
      </c>
      <c r="C3288" s="163" t="s">
        <v>7489</v>
      </c>
      <c r="D3288" s="163" t="s">
        <v>7490</v>
      </c>
      <c r="E3288" s="164" t="n">
        <v>5000</v>
      </c>
      <c r="F3288" s="165" t="s">
        <v>7479</v>
      </c>
    </row>
    <row r="3289" customFormat="false" ht="15" hidden="false" customHeight="true" outlineLevel="0" collapsed="false">
      <c r="A3289" s="163" t="s">
        <v>3011</v>
      </c>
      <c r="B3289" s="163" t="s">
        <v>3111</v>
      </c>
      <c r="C3289" s="163" t="s">
        <v>7491</v>
      </c>
      <c r="D3289" s="163" t="s">
        <v>7492</v>
      </c>
      <c r="E3289" s="164" t="n">
        <v>50000</v>
      </c>
      <c r="F3289" s="165" t="s">
        <v>7493</v>
      </c>
    </row>
    <row r="3290" customFormat="false" ht="15" hidden="false" customHeight="true" outlineLevel="0" collapsed="false">
      <c r="A3290" s="163" t="s">
        <v>3011</v>
      </c>
      <c r="B3290" s="163" t="s">
        <v>3111</v>
      </c>
      <c r="C3290" s="163" t="s">
        <v>7494</v>
      </c>
      <c r="D3290" s="163" t="s">
        <v>7495</v>
      </c>
      <c r="E3290" s="164" t="n">
        <v>50000</v>
      </c>
      <c r="F3290" s="165" t="s">
        <v>7493</v>
      </c>
    </row>
    <row r="3291" customFormat="false" ht="15" hidden="false" customHeight="true" outlineLevel="0" collapsed="false">
      <c r="A3291" s="163" t="s">
        <v>3011</v>
      </c>
      <c r="B3291" s="163" t="s">
        <v>1938</v>
      </c>
      <c r="C3291" s="163" t="s">
        <v>3137</v>
      </c>
      <c r="D3291" s="163" t="s">
        <v>3138</v>
      </c>
      <c r="E3291" s="164" t="n">
        <v>20000</v>
      </c>
      <c r="F3291" s="165" t="s">
        <v>7496</v>
      </c>
    </row>
    <row r="3292" customFormat="false" ht="15" hidden="false" customHeight="true" outlineLevel="0" collapsed="false">
      <c r="A3292" s="163" t="s">
        <v>3011</v>
      </c>
      <c r="B3292" s="163" t="s">
        <v>1938</v>
      </c>
      <c r="C3292" s="163" t="s">
        <v>3385</v>
      </c>
      <c r="D3292" s="163" t="s">
        <v>3386</v>
      </c>
      <c r="E3292" s="164" t="n">
        <v>20000</v>
      </c>
      <c r="F3292" s="165" t="s">
        <v>7497</v>
      </c>
    </row>
    <row r="3293" customFormat="false" ht="15" hidden="false" customHeight="true" outlineLevel="0" collapsed="false">
      <c r="A3293" s="163" t="s">
        <v>3011</v>
      </c>
      <c r="B3293" s="163" t="s">
        <v>1938</v>
      </c>
      <c r="C3293" s="163" t="s">
        <v>3385</v>
      </c>
      <c r="D3293" s="163" t="s">
        <v>3386</v>
      </c>
      <c r="E3293" s="164" t="n">
        <v>20000</v>
      </c>
      <c r="F3293" s="165" t="s">
        <v>7498</v>
      </c>
    </row>
    <row r="3294" customFormat="false" ht="15" hidden="false" customHeight="true" outlineLevel="0" collapsed="false">
      <c r="A3294" s="163" t="s">
        <v>3011</v>
      </c>
      <c r="B3294" s="163" t="s">
        <v>1938</v>
      </c>
      <c r="C3294" s="163" t="s">
        <v>6509</v>
      </c>
      <c r="D3294" s="163" t="s">
        <v>6510</v>
      </c>
      <c r="E3294" s="164" t="n">
        <v>20000</v>
      </c>
      <c r="F3294" s="165" t="s">
        <v>7499</v>
      </c>
    </row>
    <row r="3295" customFormat="false" ht="15" hidden="false" customHeight="true" outlineLevel="0" collapsed="false">
      <c r="A3295" s="163" t="s">
        <v>3011</v>
      </c>
      <c r="B3295" s="163" t="s">
        <v>1938</v>
      </c>
      <c r="C3295" s="163" t="s">
        <v>3176</v>
      </c>
      <c r="D3295" s="163" t="s">
        <v>3177</v>
      </c>
      <c r="E3295" s="164" t="n">
        <v>20000</v>
      </c>
      <c r="F3295" s="165" t="s">
        <v>7500</v>
      </c>
    </row>
    <row r="3296" customFormat="false" ht="15" hidden="false" customHeight="true" outlineLevel="0" collapsed="false">
      <c r="A3296" s="163" t="s">
        <v>3011</v>
      </c>
      <c r="B3296" s="163" t="s">
        <v>1938</v>
      </c>
      <c r="C3296" s="163" t="s">
        <v>431</v>
      </c>
      <c r="D3296" s="163" t="s">
        <v>2678</v>
      </c>
      <c r="E3296" s="164" t="n">
        <v>20000</v>
      </c>
      <c r="F3296" s="165" t="s">
        <v>7501</v>
      </c>
    </row>
    <row r="3297" customFormat="false" ht="15" hidden="false" customHeight="true" outlineLevel="0" collapsed="false">
      <c r="A3297" s="163" t="s">
        <v>3011</v>
      </c>
      <c r="B3297" s="163" t="s">
        <v>1938</v>
      </c>
      <c r="C3297" s="163" t="s">
        <v>431</v>
      </c>
      <c r="D3297" s="163" t="s">
        <v>2678</v>
      </c>
      <c r="E3297" s="164" t="n">
        <v>20000</v>
      </c>
      <c r="F3297" s="165" t="s">
        <v>7502</v>
      </c>
    </row>
    <row r="3298" customFormat="false" ht="15" hidden="false" customHeight="true" outlineLevel="0" collapsed="false">
      <c r="A3298" s="163" t="s">
        <v>3011</v>
      </c>
      <c r="B3298" s="163" t="s">
        <v>1938</v>
      </c>
      <c r="C3298" s="163" t="s">
        <v>3385</v>
      </c>
      <c r="D3298" s="163" t="s">
        <v>3386</v>
      </c>
      <c r="E3298" s="164" t="n">
        <v>20000</v>
      </c>
      <c r="F3298" s="165" t="s">
        <v>7503</v>
      </c>
    </row>
    <row r="3299" customFormat="false" ht="15" hidden="false" customHeight="true" outlineLevel="0" collapsed="false">
      <c r="A3299" s="163" t="s">
        <v>3011</v>
      </c>
      <c r="B3299" s="163" t="s">
        <v>1938</v>
      </c>
      <c r="C3299" s="163" t="s">
        <v>6509</v>
      </c>
      <c r="D3299" s="163" t="s">
        <v>6510</v>
      </c>
      <c r="E3299" s="164" t="n">
        <v>20000</v>
      </c>
      <c r="F3299" s="165" t="s">
        <v>7504</v>
      </c>
    </row>
    <row r="3300" customFormat="false" ht="15" hidden="false" customHeight="true" outlineLevel="0" collapsed="false">
      <c r="A3300" s="163" t="s">
        <v>3011</v>
      </c>
      <c r="B3300" s="163" t="s">
        <v>1938</v>
      </c>
      <c r="C3300" s="163" t="s">
        <v>6509</v>
      </c>
      <c r="D3300" s="163" t="s">
        <v>6510</v>
      </c>
      <c r="E3300" s="164" t="n">
        <v>20000</v>
      </c>
      <c r="F3300" s="165" t="s">
        <v>7505</v>
      </c>
    </row>
    <row r="3301" customFormat="false" ht="15" hidden="false" customHeight="true" outlineLevel="0" collapsed="false">
      <c r="A3301" s="163" t="s">
        <v>3011</v>
      </c>
      <c r="B3301" s="163" t="s">
        <v>1938</v>
      </c>
      <c r="C3301" s="163" t="s">
        <v>6509</v>
      </c>
      <c r="D3301" s="163" t="s">
        <v>6510</v>
      </c>
      <c r="E3301" s="164" t="n">
        <v>20000</v>
      </c>
      <c r="F3301" s="165" t="s">
        <v>7506</v>
      </c>
    </row>
    <row r="3302" customFormat="false" ht="15" hidden="false" customHeight="true" outlineLevel="0" collapsed="false">
      <c r="A3302" s="163" t="s">
        <v>3011</v>
      </c>
      <c r="B3302" s="163" t="s">
        <v>1938</v>
      </c>
      <c r="C3302" s="163" t="s">
        <v>6509</v>
      </c>
      <c r="D3302" s="163" t="s">
        <v>6510</v>
      </c>
      <c r="E3302" s="164" t="n">
        <v>20000</v>
      </c>
      <c r="F3302" s="165" t="s">
        <v>7507</v>
      </c>
    </row>
    <row r="3303" customFormat="false" ht="15" hidden="false" customHeight="true" outlineLevel="0" collapsed="false">
      <c r="A3303" s="163" t="s">
        <v>3011</v>
      </c>
      <c r="B3303" s="163" t="s">
        <v>1938</v>
      </c>
      <c r="C3303" s="163" t="s">
        <v>6509</v>
      </c>
      <c r="D3303" s="163" t="s">
        <v>6510</v>
      </c>
      <c r="E3303" s="164" t="n">
        <v>20000</v>
      </c>
      <c r="F3303" s="165" t="s">
        <v>7508</v>
      </c>
    </row>
    <row r="3304" customFormat="false" ht="15" hidden="false" customHeight="true" outlineLevel="0" collapsed="false">
      <c r="A3304" s="163" t="s">
        <v>3011</v>
      </c>
      <c r="B3304" s="163" t="s">
        <v>1938</v>
      </c>
      <c r="C3304" s="163" t="s">
        <v>6509</v>
      </c>
      <c r="D3304" s="163" t="s">
        <v>6510</v>
      </c>
      <c r="E3304" s="164" t="n">
        <v>20000</v>
      </c>
      <c r="F3304" s="165" t="s">
        <v>7509</v>
      </c>
    </row>
    <row r="3305" customFormat="false" ht="15" hidden="false" customHeight="true" outlineLevel="0" collapsed="false">
      <c r="A3305" s="163" t="s">
        <v>3011</v>
      </c>
      <c r="B3305" s="163" t="s">
        <v>1938</v>
      </c>
      <c r="C3305" s="163" t="s">
        <v>6509</v>
      </c>
      <c r="D3305" s="163" t="s">
        <v>6510</v>
      </c>
      <c r="E3305" s="164" t="n">
        <v>20000</v>
      </c>
      <c r="F3305" s="165" t="s">
        <v>7510</v>
      </c>
    </row>
    <row r="3306" customFormat="false" ht="15" hidden="false" customHeight="true" outlineLevel="0" collapsed="false">
      <c r="A3306" s="163" t="s">
        <v>3011</v>
      </c>
      <c r="B3306" s="163" t="s">
        <v>1938</v>
      </c>
      <c r="C3306" s="163" t="s">
        <v>3385</v>
      </c>
      <c r="D3306" s="163" t="s">
        <v>3386</v>
      </c>
      <c r="E3306" s="164" t="n">
        <v>20000</v>
      </c>
      <c r="F3306" s="165" t="s">
        <v>7511</v>
      </c>
    </row>
    <row r="3307" customFormat="false" ht="15" hidden="false" customHeight="true" outlineLevel="0" collapsed="false">
      <c r="A3307" s="163" t="s">
        <v>3011</v>
      </c>
      <c r="B3307" s="163" t="s">
        <v>1938</v>
      </c>
      <c r="C3307" s="163" t="s">
        <v>431</v>
      </c>
      <c r="D3307" s="163" t="s">
        <v>2678</v>
      </c>
      <c r="E3307" s="164" t="n">
        <v>20000</v>
      </c>
      <c r="F3307" s="165" t="s">
        <v>7512</v>
      </c>
    </row>
    <row r="3308" customFormat="false" ht="15" hidden="false" customHeight="true" outlineLevel="0" collapsed="false">
      <c r="A3308" s="163" t="s">
        <v>3011</v>
      </c>
      <c r="B3308" s="163" t="s">
        <v>691</v>
      </c>
      <c r="C3308" s="163" t="s">
        <v>7470</v>
      </c>
      <c r="D3308" s="163" t="s">
        <v>7471</v>
      </c>
      <c r="E3308" s="164" t="n">
        <v>75000</v>
      </c>
      <c r="F3308" s="165" t="s">
        <v>7513</v>
      </c>
    </row>
    <row r="3309" customFormat="false" ht="15" hidden="false" customHeight="true" outlineLevel="0" collapsed="false">
      <c r="A3309" s="163" t="s">
        <v>3011</v>
      </c>
      <c r="B3309" s="163" t="s">
        <v>691</v>
      </c>
      <c r="C3309" s="163" t="s">
        <v>3406</v>
      </c>
      <c r="D3309" s="163" t="s">
        <v>3407</v>
      </c>
      <c r="E3309" s="164" t="n">
        <v>40000</v>
      </c>
      <c r="F3309" s="165" t="s">
        <v>7514</v>
      </c>
    </row>
    <row r="3310" customFormat="false" ht="15" hidden="false" customHeight="true" outlineLevel="0" collapsed="false">
      <c r="A3310" s="163" t="s">
        <v>3011</v>
      </c>
      <c r="B3310" s="163" t="s">
        <v>691</v>
      </c>
      <c r="C3310" s="163" t="s">
        <v>6196</v>
      </c>
      <c r="D3310" s="163" t="s">
        <v>6197</v>
      </c>
      <c r="E3310" s="164" t="n">
        <v>30000</v>
      </c>
      <c r="F3310" s="165" t="s">
        <v>7513</v>
      </c>
    </row>
    <row r="3311" customFormat="false" ht="15" hidden="false" customHeight="true" outlineLevel="0" collapsed="false">
      <c r="A3311" s="163" t="s">
        <v>3011</v>
      </c>
      <c r="B3311" s="163" t="s">
        <v>2027</v>
      </c>
      <c r="C3311" s="163" t="s">
        <v>6283</v>
      </c>
      <c r="D3311" s="163" t="s">
        <v>6284</v>
      </c>
      <c r="E3311" s="164" t="n">
        <v>30000</v>
      </c>
      <c r="F3311" s="165" t="s">
        <v>7513</v>
      </c>
    </row>
    <row r="3312" customFormat="false" ht="15" hidden="false" customHeight="true" outlineLevel="0" collapsed="false">
      <c r="A3312" s="163" t="s">
        <v>3011</v>
      </c>
      <c r="B3312" s="163" t="s">
        <v>2027</v>
      </c>
      <c r="C3312" s="163" t="s">
        <v>4717</v>
      </c>
      <c r="D3312" s="163" t="s">
        <v>4718</v>
      </c>
      <c r="E3312" s="164" t="n">
        <v>20000</v>
      </c>
      <c r="F3312" s="165" t="s">
        <v>7515</v>
      </c>
    </row>
    <row r="3313" customFormat="false" ht="15" hidden="false" customHeight="true" outlineLevel="0" collapsed="false">
      <c r="A3313" s="163" t="s">
        <v>3011</v>
      </c>
      <c r="B3313" s="163" t="s">
        <v>2027</v>
      </c>
      <c r="C3313" s="163" t="s">
        <v>473</v>
      </c>
      <c r="D3313" s="163" t="s">
        <v>2764</v>
      </c>
      <c r="E3313" s="164" t="n">
        <v>20000</v>
      </c>
      <c r="F3313" s="165" t="s">
        <v>7516</v>
      </c>
    </row>
    <row r="3314" customFormat="false" ht="15" hidden="false" customHeight="true" outlineLevel="0" collapsed="false">
      <c r="A3314" s="163" t="s">
        <v>3011</v>
      </c>
      <c r="B3314" s="163" t="s">
        <v>2027</v>
      </c>
      <c r="C3314" s="163" t="s">
        <v>3455</v>
      </c>
      <c r="D3314" s="163" t="s">
        <v>3456</v>
      </c>
      <c r="E3314" s="164" t="n">
        <v>20000</v>
      </c>
      <c r="F3314" s="165" t="s">
        <v>7517</v>
      </c>
    </row>
    <row r="3315" customFormat="false" ht="15" hidden="false" customHeight="true" outlineLevel="0" collapsed="false">
      <c r="A3315" s="163" t="s">
        <v>3011</v>
      </c>
      <c r="B3315" s="163" t="s">
        <v>2037</v>
      </c>
      <c r="C3315" s="163" t="s">
        <v>3441</v>
      </c>
      <c r="D3315" s="163" t="s">
        <v>3442</v>
      </c>
      <c r="E3315" s="164" t="n">
        <v>145000</v>
      </c>
      <c r="F3315" s="165" t="s">
        <v>7518</v>
      </c>
    </row>
    <row r="3316" customFormat="false" ht="15" hidden="false" customHeight="true" outlineLevel="0" collapsed="false">
      <c r="A3316" s="163" t="s">
        <v>3011</v>
      </c>
      <c r="B3316" s="163" t="s">
        <v>2037</v>
      </c>
      <c r="C3316" s="163" t="s">
        <v>3865</v>
      </c>
      <c r="D3316" s="163" t="s">
        <v>3866</v>
      </c>
      <c r="E3316" s="164" t="n">
        <v>35000</v>
      </c>
      <c r="F3316" s="165" t="s">
        <v>7513</v>
      </c>
    </row>
    <row r="3317" customFormat="false" ht="15" hidden="false" customHeight="true" outlineLevel="0" collapsed="false">
      <c r="A3317" s="163" t="s">
        <v>3011</v>
      </c>
      <c r="B3317" s="163" t="s">
        <v>2037</v>
      </c>
      <c r="C3317" s="163" t="s">
        <v>3202</v>
      </c>
      <c r="D3317" s="163" t="s">
        <v>3203</v>
      </c>
      <c r="E3317" s="164" t="n">
        <v>30000</v>
      </c>
      <c r="F3317" s="165" t="s">
        <v>7513</v>
      </c>
    </row>
    <row r="3318" customFormat="false" ht="15" hidden="false" customHeight="true" outlineLevel="0" collapsed="false">
      <c r="A3318" s="163" t="s">
        <v>3011</v>
      </c>
      <c r="B3318" s="163" t="s">
        <v>2037</v>
      </c>
      <c r="C3318" s="163" t="s">
        <v>7487</v>
      </c>
      <c r="D3318" s="163" t="s">
        <v>7488</v>
      </c>
      <c r="E3318" s="164" t="n">
        <v>15000</v>
      </c>
      <c r="F3318" s="165" t="s">
        <v>7513</v>
      </c>
    </row>
    <row r="3319" customFormat="false" ht="15" hidden="false" customHeight="true" outlineLevel="0" collapsed="false">
      <c r="A3319" s="163" t="s">
        <v>3011</v>
      </c>
      <c r="B3319" s="163" t="s">
        <v>894</v>
      </c>
      <c r="C3319" s="163" t="s">
        <v>7519</v>
      </c>
      <c r="D3319" s="163" t="s">
        <v>7520</v>
      </c>
      <c r="E3319" s="164" t="n">
        <v>55000</v>
      </c>
      <c r="F3319" s="165" t="s">
        <v>7521</v>
      </c>
    </row>
    <row r="3320" customFormat="false" ht="15" hidden="false" customHeight="true" outlineLevel="0" collapsed="false">
      <c r="A3320" s="163" t="s">
        <v>3011</v>
      </c>
      <c r="B3320" s="163" t="s">
        <v>894</v>
      </c>
      <c r="C3320" s="163" t="s">
        <v>7522</v>
      </c>
      <c r="D3320" s="163" t="s">
        <v>1931</v>
      </c>
      <c r="E3320" s="164" t="n">
        <v>41000</v>
      </c>
      <c r="F3320" s="165" t="s">
        <v>7513</v>
      </c>
    </row>
    <row r="3321" customFormat="false" ht="15" hidden="false" customHeight="true" outlineLevel="0" collapsed="false">
      <c r="A3321" s="163" t="s">
        <v>3011</v>
      </c>
      <c r="B3321" s="163" t="s">
        <v>894</v>
      </c>
      <c r="C3321" s="163" t="s">
        <v>3183</v>
      </c>
      <c r="D3321" s="163" t="s">
        <v>3184</v>
      </c>
      <c r="E3321" s="164" t="n">
        <v>35000</v>
      </c>
      <c r="F3321" s="165" t="s">
        <v>7523</v>
      </c>
    </row>
    <row r="3322" customFormat="false" ht="15" hidden="false" customHeight="true" outlineLevel="0" collapsed="false">
      <c r="A3322" s="163" t="s">
        <v>3011</v>
      </c>
      <c r="B3322" s="163" t="s">
        <v>894</v>
      </c>
      <c r="C3322" s="163" t="s">
        <v>7524</v>
      </c>
      <c r="D3322" s="163" t="s">
        <v>7525</v>
      </c>
      <c r="E3322" s="164" t="n">
        <v>30000</v>
      </c>
      <c r="F3322" s="165" t="s">
        <v>7526</v>
      </c>
    </row>
    <row r="3323" customFormat="false" ht="15" hidden="false" customHeight="true" outlineLevel="0" collapsed="false">
      <c r="A3323" s="163" t="s">
        <v>3011</v>
      </c>
      <c r="B3323" s="163" t="s">
        <v>894</v>
      </c>
      <c r="C3323" s="163" t="s">
        <v>925</v>
      </c>
      <c r="D3323" s="163" t="s">
        <v>1931</v>
      </c>
      <c r="E3323" s="164" t="n">
        <v>20000</v>
      </c>
      <c r="F3323" s="165" t="s">
        <v>7527</v>
      </c>
    </row>
    <row r="3324" customFormat="false" ht="15" hidden="false" customHeight="true" outlineLevel="0" collapsed="false">
      <c r="A3324" s="163" t="s">
        <v>3011</v>
      </c>
      <c r="B3324" s="163" t="s">
        <v>894</v>
      </c>
      <c r="C3324" s="163" t="s">
        <v>6544</v>
      </c>
      <c r="D3324" s="163" t="s">
        <v>6545</v>
      </c>
      <c r="E3324" s="164" t="n">
        <v>20000</v>
      </c>
      <c r="F3324" s="165" t="s">
        <v>7528</v>
      </c>
    </row>
    <row r="3325" customFormat="false" ht="15" hidden="false" customHeight="true" outlineLevel="0" collapsed="false">
      <c r="A3325" s="163" t="s">
        <v>3011</v>
      </c>
      <c r="B3325" s="163" t="s">
        <v>894</v>
      </c>
      <c r="C3325" s="163" t="s">
        <v>3939</v>
      </c>
      <c r="D3325" s="163" t="s">
        <v>3940</v>
      </c>
      <c r="E3325" s="164" t="n">
        <v>20000</v>
      </c>
      <c r="F3325" s="165" t="s">
        <v>7529</v>
      </c>
    </row>
    <row r="3326" customFormat="false" ht="15" hidden="false" customHeight="true" outlineLevel="0" collapsed="false">
      <c r="A3326" s="163" t="s">
        <v>3011</v>
      </c>
      <c r="B3326" s="163" t="s">
        <v>894</v>
      </c>
      <c r="C3326" s="163" t="s">
        <v>7530</v>
      </c>
      <c r="D3326" s="163" t="s">
        <v>1931</v>
      </c>
      <c r="E3326" s="164" t="n">
        <v>16000</v>
      </c>
      <c r="F3326" s="165" t="s">
        <v>7513</v>
      </c>
    </row>
    <row r="3327" customFormat="false" ht="15" hidden="false" customHeight="true" outlineLevel="0" collapsed="false">
      <c r="A3327" s="163" t="s">
        <v>3011</v>
      </c>
      <c r="B3327" s="163" t="s">
        <v>894</v>
      </c>
      <c r="C3327" s="163" t="s">
        <v>5862</v>
      </c>
      <c r="D3327" s="163" t="s">
        <v>1931</v>
      </c>
      <c r="E3327" s="164" t="n">
        <v>16000</v>
      </c>
      <c r="F3327" s="165" t="s">
        <v>7513</v>
      </c>
    </row>
    <row r="3328" customFormat="false" ht="15" hidden="false" customHeight="true" outlineLevel="0" collapsed="false">
      <c r="A3328" s="163" t="s">
        <v>3011</v>
      </c>
      <c r="B3328" s="163" t="s">
        <v>894</v>
      </c>
      <c r="C3328" s="163" t="s">
        <v>7531</v>
      </c>
      <c r="D3328" s="163" t="s">
        <v>1931</v>
      </c>
      <c r="E3328" s="164" t="n">
        <v>16000</v>
      </c>
      <c r="F3328" s="165" t="s">
        <v>7513</v>
      </c>
    </row>
    <row r="3329" customFormat="false" ht="15" hidden="false" customHeight="true" outlineLevel="0" collapsed="false">
      <c r="A3329" s="163" t="s">
        <v>3011</v>
      </c>
      <c r="B3329" s="163" t="s">
        <v>894</v>
      </c>
      <c r="C3329" s="163" t="s">
        <v>6292</v>
      </c>
      <c r="D3329" s="163" t="s">
        <v>6293</v>
      </c>
      <c r="E3329" s="164" t="n">
        <v>16000</v>
      </c>
      <c r="F3329" s="165" t="s">
        <v>7532</v>
      </c>
    </row>
    <row r="3330" customFormat="false" ht="15" hidden="false" customHeight="true" outlineLevel="0" collapsed="false">
      <c r="A3330" s="163" t="s">
        <v>3011</v>
      </c>
      <c r="B3330" s="163" t="s">
        <v>894</v>
      </c>
      <c r="C3330" s="163" t="s">
        <v>5266</v>
      </c>
      <c r="D3330" s="163" t="s">
        <v>5267</v>
      </c>
      <c r="E3330" s="164" t="n">
        <v>13000</v>
      </c>
      <c r="F3330" s="165" t="s">
        <v>7533</v>
      </c>
    </row>
    <row r="3331" customFormat="false" ht="15" hidden="false" customHeight="true" outlineLevel="0" collapsed="false">
      <c r="A3331" s="163" t="s">
        <v>3011</v>
      </c>
      <c r="B3331" s="163" t="s">
        <v>894</v>
      </c>
      <c r="C3331" s="163" t="s">
        <v>7519</v>
      </c>
      <c r="D3331" s="163" t="s">
        <v>7520</v>
      </c>
      <c r="E3331" s="164" t="n">
        <v>10000</v>
      </c>
      <c r="F3331" s="165" t="s">
        <v>7534</v>
      </c>
    </row>
    <row r="3332" customFormat="false" ht="15" hidden="false" customHeight="true" outlineLevel="0" collapsed="false">
      <c r="A3332" s="163" t="s">
        <v>3011</v>
      </c>
      <c r="B3332" s="163" t="s">
        <v>894</v>
      </c>
      <c r="C3332" s="163" t="s">
        <v>925</v>
      </c>
      <c r="D3332" s="163" t="s">
        <v>1931</v>
      </c>
      <c r="E3332" s="164" t="n">
        <v>10000</v>
      </c>
      <c r="F3332" s="165" t="s">
        <v>7535</v>
      </c>
    </row>
    <row r="3333" customFormat="false" ht="15" hidden="false" customHeight="true" outlineLevel="0" collapsed="false">
      <c r="A3333" s="163" t="s">
        <v>3011</v>
      </c>
      <c r="B3333" s="163" t="s">
        <v>894</v>
      </c>
      <c r="C3333" s="163" t="s">
        <v>925</v>
      </c>
      <c r="D3333" s="163" t="s">
        <v>1931</v>
      </c>
      <c r="E3333" s="164" t="n">
        <v>10000</v>
      </c>
      <c r="F3333" s="165" t="s">
        <v>7536</v>
      </c>
    </row>
    <row r="3334" customFormat="false" ht="15" hidden="false" customHeight="true" outlineLevel="0" collapsed="false">
      <c r="A3334" s="163" t="s">
        <v>3011</v>
      </c>
      <c r="B3334" s="163" t="s">
        <v>894</v>
      </c>
      <c r="C3334" s="163" t="s">
        <v>925</v>
      </c>
      <c r="D3334" s="163" t="s">
        <v>1931</v>
      </c>
      <c r="E3334" s="164" t="n">
        <v>10000</v>
      </c>
      <c r="F3334" s="165" t="s">
        <v>7537</v>
      </c>
    </row>
    <row r="3335" customFormat="false" ht="15" hidden="false" customHeight="true" outlineLevel="0" collapsed="false">
      <c r="A3335" s="163" t="s">
        <v>3011</v>
      </c>
      <c r="B3335" s="163" t="s">
        <v>894</v>
      </c>
      <c r="C3335" s="163" t="s">
        <v>7538</v>
      </c>
      <c r="D3335" s="163" t="s">
        <v>7539</v>
      </c>
      <c r="E3335" s="164" t="n">
        <v>10000</v>
      </c>
      <c r="F3335" s="165" t="s">
        <v>7540</v>
      </c>
    </row>
    <row r="3336" customFormat="false" ht="15" hidden="false" customHeight="true" outlineLevel="0" collapsed="false">
      <c r="A3336" s="163" t="s">
        <v>3011</v>
      </c>
      <c r="B3336" s="163" t="s">
        <v>894</v>
      </c>
      <c r="C3336" s="163" t="s">
        <v>925</v>
      </c>
      <c r="D3336" s="163" t="s">
        <v>1931</v>
      </c>
      <c r="E3336" s="164" t="n">
        <v>10000</v>
      </c>
      <c r="F3336" s="165" t="s">
        <v>7541</v>
      </c>
    </row>
    <row r="3337" customFormat="false" ht="15" hidden="false" customHeight="true" outlineLevel="0" collapsed="false">
      <c r="A3337" s="163" t="s">
        <v>3011</v>
      </c>
      <c r="B3337" s="163" t="s">
        <v>894</v>
      </c>
      <c r="C3337" s="163" t="s">
        <v>7542</v>
      </c>
      <c r="D3337" s="163" t="s">
        <v>7543</v>
      </c>
      <c r="E3337" s="164" t="n">
        <v>10000</v>
      </c>
      <c r="F3337" s="165" t="s">
        <v>7544</v>
      </c>
    </row>
    <row r="3338" customFormat="false" ht="15" hidden="false" customHeight="true" outlineLevel="0" collapsed="false">
      <c r="A3338" s="163" t="s">
        <v>3011</v>
      </c>
      <c r="B3338" s="163" t="s">
        <v>894</v>
      </c>
      <c r="C3338" s="163" t="s">
        <v>549</v>
      </c>
      <c r="D3338" s="163" t="s">
        <v>2441</v>
      </c>
      <c r="E3338" s="164" t="n">
        <v>9000</v>
      </c>
      <c r="F3338" s="165" t="s">
        <v>7545</v>
      </c>
    </row>
    <row r="3339" customFormat="false" ht="15" hidden="false" customHeight="true" outlineLevel="0" collapsed="false">
      <c r="A3339" s="163" t="s">
        <v>3011</v>
      </c>
      <c r="B3339" s="163" t="s">
        <v>894</v>
      </c>
      <c r="C3339" s="163" t="s">
        <v>893</v>
      </c>
      <c r="D3339" s="163" t="s">
        <v>1931</v>
      </c>
      <c r="E3339" s="164" t="n">
        <v>6000</v>
      </c>
      <c r="F3339" s="165" t="s">
        <v>7546</v>
      </c>
    </row>
    <row r="3340" customFormat="false" ht="15" hidden="false" customHeight="true" outlineLevel="0" collapsed="false">
      <c r="A3340" s="163" t="s">
        <v>3011</v>
      </c>
      <c r="B3340" s="163" t="s">
        <v>894</v>
      </c>
      <c r="C3340" s="163" t="s">
        <v>3436</v>
      </c>
      <c r="D3340" s="163" t="s">
        <v>3437</v>
      </c>
      <c r="E3340" s="164" t="n">
        <v>5000</v>
      </c>
      <c r="F3340" s="165" t="s">
        <v>7547</v>
      </c>
    </row>
    <row r="3341" customFormat="false" ht="15" hidden="false" customHeight="true" outlineLevel="0" collapsed="false">
      <c r="A3341" s="163" t="s">
        <v>3011</v>
      </c>
      <c r="B3341" s="163" t="s">
        <v>894</v>
      </c>
      <c r="C3341" s="163" t="s">
        <v>7548</v>
      </c>
      <c r="D3341" s="163" t="s">
        <v>7549</v>
      </c>
      <c r="E3341" s="164" t="n">
        <v>5000</v>
      </c>
      <c r="F3341" s="165" t="s">
        <v>7550</v>
      </c>
    </row>
    <row r="3342" customFormat="false" ht="15" hidden="false" customHeight="true" outlineLevel="0" collapsed="false">
      <c r="A3342" s="163" t="s">
        <v>3011</v>
      </c>
      <c r="B3342" s="163" t="s">
        <v>894</v>
      </c>
      <c r="C3342" s="163" t="s">
        <v>7551</v>
      </c>
      <c r="D3342" s="163" t="s">
        <v>7552</v>
      </c>
      <c r="E3342" s="164" t="n">
        <v>5000</v>
      </c>
      <c r="F3342" s="165" t="s">
        <v>7553</v>
      </c>
    </row>
    <row r="3343" customFormat="false" ht="15" hidden="false" customHeight="true" outlineLevel="0" collapsed="false">
      <c r="A3343" s="163" t="s">
        <v>3011</v>
      </c>
      <c r="B3343" s="163" t="s">
        <v>894</v>
      </c>
      <c r="C3343" s="163" t="s">
        <v>925</v>
      </c>
      <c r="D3343" s="163" t="s">
        <v>1931</v>
      </c>
      <c r="E3343" s="164" t="n">
        <v>2000</v>
      </c>
      <c r="F3343" s="165" t="s">
        <v>7554</v>
      </c>
    </row>
    <row r="3344" customFormat="false" ht="15" hidden="false" customHeight="true" outlineLevel="0" collapsed="false">
      <c r="A3344" s="163" t="s">
        <v>3011</v>
      </c>
      <c r="B3344" s="163" t="s">
        <v>882</v>
      </c>
      <c r="C3344" s="163" t="s">
        <v>640</v>
      </c>
      <c r="D3344" s="163" t="s">
        <v>1931</v>
      </c>
      <c r="E3344" s="164" t="n">
        <v>280000</v>
      </c>
      <c r="F3344" s="165" t="s">
        <v>7513</v>
      </c>
    </row>
    <row r="3345" customFormat="false" ht="15" hidden="false" customHeight="true" outlineLevel="0" collapsed="false">
      <c r="A3345" s="163" t="s">
        <v>3011</v>
      </c>
      <c r="B3345" s="163" t="s">
        <v>2328</v>
      </c>
      <c r="C3345" s="163" t="s">
        <v>3334</v>
      </c>
      <c r="D3345" s="163" t="s">
        <v>3335</v>
      </c>
      <c r="E3345" s="164" t="n">
        <v>20000</v>
      </c>
      <c r="F3345" s="165" t="s">
        <v>7555</v>
      </c>
    </row>
    <row r="3346" customFormat="false" ht="15" hidden="false" customHeight="true" outlineLevel="0" collapsed="false">
      <c r="A3346" s="163" t="s">
        <v>3011</v>
      </c>
      <c r="B3346" s="163" t="s">
        <v>2328</v>
      </c>
      <c r="C3346" s="163" t="s">
        <v>7556</v>
      </c>
      <c r="D3346" s="163" t="s">
        <v>7557</v>
      </c>
      <c r="E3346" s="164" t="n">
        <v>10000</v>
      </c>
      <c r="F3346" s="165" t="s">
        <v>7558</v>
      </c>
    </row>
    <row r="3347" customFormat="false" ht="15" hidden="false" customHeight="true" outlineLevel="0" collapsed="false">
      <c r="A3347" s="163" t="s">
        <v>3011</v>
      </c>
      <c r="B3347" s="163" t="s">
        <v>2328</v>
      </c>
      <c r="C3347" s="163" t="s">
        <v>7519</v>
      </c>
      <c r="D3347" s="163" t="s">
        <v>7520</v>
      </c>
      <c r="E3347" s="164" t="n">
        <v>10000</v>
      </c>
      <c r="F3347" s="165" t="s">
        <v>7559</v>
      </c>
    </row>
    <row r="3348" customFormat="false" ht="15" hidden="false" customHeight="true" outlineLevel="0" collapsed="false">
      <c r="A3348" s="163" t="s">
        <v>3011</v>
      </c>
      <c r="B3348" s="163" t="s">
        <v>2328</v>
      </c>
      <c r="C3348" s="163" t="s">
        <v>5071</v>
      </c>
      <c r="D3348" s="163" t="s">
        <v>5072</v>
      </c>
      <c r="E3348" s="164" t="n">
        <v>10000</v>
      </c>
      <c r="F3348" s="165" t="s">
        <v>3948</v>
      </c>
    </row>
    <row r="3349" customFormat="false" ht="15" hidden="false" customHeight="true" outlineLevel="0" collapsed="false">
      <c r="A3349" s="163" t="s">
        <v>3011</v>
      </c>
      <c r="B3349" s="163" t="s">
        <v>2342</v>
      </c>
      <c r="C3349" s="163" t="s">
        <v>7487</v>
      </c>
      <c r="D3349" s="163" t="s">
        <v>7488</v>
      </c>
      <c r="E3349" s="164" t="n">
        <v>20000</v>
      </c>
      <c r="F3349" s="165" t="s">
        <v>7560</v>
      </c>
    </row>
    <row r="3350" customFormat="false" ht="15" hidden="false" customHeight="true" outlineLevel="0" collapsed="false">
      <c r="A3350" s="163" t="s">
        <v>3011</v>
      </c>
      <c r="B3350" s="163" t="s">
        <v>2342</v>
      </c>
      <c r="C3350" s="163" t="s">
        <v>5611</v>
      </c>
      <c r="D3350" s="163" t="s">
        <v>5612</v>
      </c>
      <c r="E3350" s="164" t="n">
        <v>20000</v>
      </c>
      <c r="F3350" s="165" t="s">
        <v>7561</v>
      </c>
    </row>
    <row r="3351" customFormat="false" ht="15" hidden="false" customHeight="true" outlineLevel="0" collapsed="false">
      <c r="A3351" s="163" t="s">
        <v>3011</v>
      </c>
      <c r="B3351" s="163" t="s">
        <v>2342</v>
      </c>
      <c r="C3351" s="163" t="s">
        <v>197</v>
      </c>
      <c r="D3351" s="163" t="s">
        <v>1931</v>
      </c>
      <c r="E3351" s="164" t="n">
        <v>20000</v>
      </c>
      <c r="F3351" s="165" t="s">
        <v>7562</v>
      </c>
    </row>
    <row r="3352" customFormat="false" ht="15" hidden="false" customHeight="true" outlineLevel="0" collapsed="false">
      <c r="A3352" s="163" t="s">
        <v>3011</v>
      </c>
      <c r="B3352" s="163" t="s">
        <v>2342</v>
      </c>
      <c r="C3352" s="163" t="s">
        <v>7563</v>
      </c>
      <c r="D3352" s="163" t="s">
        <v>7564</v>
      </c>
      <c r="E3352" s="164" t="n">
        <v>10000</v>
      </c>
      <c r="F3352" s="165" t="s">
        <v>7565</v>
      </c>
    </row>
    <row r="3353" customFormat="false" ht="15" hidden="false" customHeight="true" outlineLevel="0" collapsed="false">
      <c r="A3353" s="163" t="s">
        <v>3011</v>
      </c>
      <c r="B3353" s="163" t="s">
        <v>2342</v>
      </c>
      <c r="C3353" s="163" t="s">
        <v>6292</v>
      </c>
      <c r="D3353" s="163" t="s">
        <v>6293</v>
      </c>
      <c r="E3353" s="164" t="n">
        <v>10000</v>
      </c>
      <c r="F3353" s="165" t="s">
        <v>7566</v>
      </c>
    </row>
    <row r="3354" customFormat="false" ht="15" hidden="false" customHeight="true" outlineLevel="0" collapsed="false">
      <c r="A3354" s="163" t="s">
        <v>3011</v>
      </c>
      <c r="B3354" s="163" t="s">
        <v>2342</v>
      </c>
      <c r="C3354" s="163" t="s">
        <v>6277</v>
      </c>
      <c r="D3354" s="163" t="s">
        <v>6278</v>
      </c>
      <c r="E3354" s="164" t="n">
        <v>10000</v>
      </c>
      <c r="F3354" s="165" t="s">
        <v>7567</v>
      </c>
    </row>
    <row r="3355" customFormat="false" ht="15" hidden="false" customHeight="true" outlineLevel="0" collapsed="false">
      <c r="A3355" s="163" t="s">
        <v>3011</v>
      </c>
      <c r="B3355" s="163" t="s">
        <v>1743</v>
      </c>
      <c r="C3355" s="163" t="s">
        <v>7470</v>
      </c>
      <c r="D3355" s="163" t="s">
        <v>7471</v>
      </c>
      <c r="E3355" s="164" t="n">
        <v>70000</v>
      </c>
      <c r="F3355" s="165" t="s">
        <v>7568</v>
      </c>
    </row>
    <row r="3356" customFormat="false" ht="15" hidden="false" customHeight="true" outlineLevel="0" collapsed="false">
      <c r="A3356" s="163" t="s">
        <v>3011</v>
      </c>
      <c r="B3356" s="163" t="s">
        <v>1743</v>
      </c>
      <c r="C3356" s="163" t="s">
        <v>3077</v>
      </c>
      <c r="D3356" s="163" t="s">
        <v>3078</v>
      </c>
      <c r="E3356" s="164" t="n">
        <v>20000</v>
      </c>
      <c r="F3356" s="165" t="s">
        <v>7569</v>
      </c>
    </row>
    <row r="3357" customFormat="false" ht="15" hidden="false" customHeight="true" outlineLevel="0" collapsed="false">
      <c r="A3357" s="163" t="s">
        <v>3011</v>
      </c>
      <c r="B3357" s="163" t="s">
        <v>1743</v>
      </c>
      <c r="C3357" s="163" t="s">
        <v>3077</v>
      </c>
      <c r="D3357" s="163" t="s">
        <v>3078</v>
      </c>
      <c r="E3357" s="164" t="n">
        <v>20000</v>
      </c>
      <c r="F3357" s="165" t="s">
        <v>7570</v>
      </c>
    </row>
    <row r="3358" customFormat="false" ht="15" hidden="false" customHeight="true" outlineLevel="0" collapsed="false">
      <c r="A3358" s="163" t="s">
        <v>3011</v>
      </c>
      <c r="B3358" s="163" t="s">
        <v>1743</v>
      </c>
      <c r="C3358" s="163" t="s">
        <v>6176</v>
      </c>
      <c r="D3358" s="163" t="s">
        <v>6177</v>
      </c>
      <c r="E3358" s="164" t="n">
        <v>20000</v>
      </c>
      <c r="F3358" s="165" t="s">
        <v>7571</v>
      </c>
    </row>
    <row r="3359" customFormat="false" ht="15" hidden="false" customHeight="true" outlineLevel="0" collapsed="false">
      <c r="A3359" s="163" t="s">
        <v>3011</v>
      </c>
      <c r="B3359" s="163" t="s">
        <v>1743</v>
      </c>
      <c r="C3359" s="163" t="s">
        <v>7519</v>
      </c>
      <c r="D3359" s="163" t="s">
        <v>7520</v>
      </c>
      <c r="E3359" s="164" t="n">
        <v>20000</v>
      </c>
      <c r="F3359" s="165" t="s">
        <v>7572</v>
      </c>
    </row>
    <row r="3360" customFormat="false" ht="15" hidden="false" customHeight="true" outlineLevel="0" collapsed="false">
      <c r="A3360" s="163" t="s">
        <v>3011</v>
      </c>
      <c r="B3360" s="163" t="s">
        <v>928</v>
      </c>
      <c r="C3360" s="163" t="s">
        <v>4708</v>
      </c>
      <c r="D3360" s="163" t="s">
        <v>4709</v>
      </c>
      <c r="E3360" s="164" t="n">
        <v>50000</v>
      </c>
      <c r="F3360" s="165" t="s">
        <v>7573</v>
      </c>
    </row>
    <row r="3361" customFormat="false" ht="15" hidden="false" customHeight="true" outlineLevel="0" collapsed="false">
      <c r="A3361" s="163" t="s">
        <v>3011</v>
      </c>
      <c r="B3361" s="163" t="s">
        <v>928</v>
      </c>
      <c r="C3361" s="163" t="s">
        <v>7574</v>
      </c>
      <c r="D3361" s="163" t="s">
        <v>7575</v>
      </c>
      <c r="E3361" s="164" t="n">
        <v>20000</v>
      </c>
      <c r="F3361" s="165" t="s">
        <v>7576</v>
      </c>
    </row>
    <row r="3362" customFormat="false" ht="15" hidden="false" customHeight="true" outlineLevel="0" collapsed="false">
      <c r="A3362" s="163" t="s">
        <v>3011</v>
      </c>
      <c r="B3362" s="163" t="s">
        <v>928</v>
      </c>
      <c r="C3362" s="163" t="s">
        <v>4735</v>
      </c>
      <c r="D3362" s="163" t="s">
        <v>4736</v>
      </c>
      <c r="E3362" s="164" t="n">
        <v>10000</v>
      </c>
      <c r="F3362" s="165" t="s">
        <v>7577</v>
      </c>
    </row>
    <row r="3363" customFormat="false" ht="15" hidden="false" customHeight="true" outlineLevel="0" collapsed="false">
      <c r="A3363" s="163" t="s">
        <v>3011</v>
      </c>
      <c r="B3363" s="163" t="s">
        <v>928</v>
      </c>
      <c r="C3363" s="163" t="s">
        <v>7578</v>
      </c>
      <c r="D3363" s="163" t="s">
        <v>7579</v>
      </c>
      <c r="E3363" s="164" t="n">
        <v>10000</v>
      </c>
      <c r="F3363" s="165" t="s">
        <v>7580</v>
      </c>
    </row>
    <row r="3364" customFormat="false" ht="15" hidden="false" customHeight="true" outlineLevel="0" collapsed="false">
      <c r="A3364" s="163" t="s">
        <v>3011</v>
      </c>
      <c r="B3364" s="163" t="s">
        <v>928</v>
      </c>
      <c r="C3364" s="163" t="s">
        <v>6518</v>
      </c>
      <c r="D3364" s="163" t="s">
        <v>6519</v>
      </c>
      <c r="E3364" s="164" t="n">
        <v>10000</v>
      </c>
      <c r="F3364" s="165" t="s">
        <v>7581</v>
      </c>
    </row>
    <row r="3365" customFormat="false" ht="15" hidden="false" customHeight="true" outlineLevel="0" collapsed="false">
      <c r="A3365" s="163" t="s">
        <v>3011</v>
      </c>
      <c r="B3365" s="163" t="s">
        <v>928</v>
      </c>
      <c r="C3365" s="163" t="s">
        <v>3856</v>
      </c>
      <c r="D3365" s="163" t="s">
        <v>3857</v>
      </c>
      <c r="E3365" s="164" t="n">
        <v>9000</v>
      </c>
      <c r="F3365" s="165" t="s">
        <v>7582</v>
      </c>
    </row>
    <row r="3366" customFormat="false" ht="15" hidden="false" customHeight="true" outlineLevel="0" collapsed="false">
      <c r="A3366" s="163" t="s">
        <v>3011</v>
      </c>
      <c r="B3366" s="163" t="s">
        <v>928</v>
      </c>
      <c r="C3366" s="163" t="s">
        <v>549</v>
      </c>
      <c r="D3366" s="163" t="s">
        <v>2441</v>
      </c>
      <c r="E3366" s="164" t="n">
        <v>6000</v>
      </c>
      <c r="F3366" s="165" t="s">
        <v>7545</v>
      </c>
    </row>
    <row r="3367" customFormat="false" ht="15" hidden="false" customHeight="true" outlineLevel="0" collapsed="false">
      <c r="A3367" s="163" t="s">
        <v>3011</v>
      </c>
      <c r="B3367" s="163" t="s">
        <v>928</v>
      </c>
      <c r="C3367" s="163" t="s">
        <v>7583</v>
      </c>
      <c r="D3367" s="163" t="s">
        <v>7584</v>
      </c>
      <c r="E3367" s="164" t="n">
        <v>5000</v>
      </c>
      <c r="F3367" s="165" t="s">
        <v>7585</v>
      </c>
    </row>
    <row r="3368" customFormat="false" ht="15" hidden="false" customHeight="true" outlineLevel="0" collapsed="false">
      <c r="A3368" s="163" t="s">
        <v>3011</v>
      </c>
      <c r="B3368" s="163" t="s">
        <v>928</v>
      </c>
      <c r="C3368" s="163" t="s">
        <v>962</v>
      </c>
      <c r="D3368" s="163" t="s">
        <v>7155</v>
      </c>
      <c r="E3368" s="164" t="n">
        <v>5000</v>
      </c>
      <c r="F3368" s="165" t="s">
        <v>7586</v>
      </c>
    </row>
    <row r="3369" customFormat="false" ht="15" hidden="false" customHeight="true" outlineLevel="0" collapsed="false">
      <c r="A3369" s="163" t="s">
        <v>3011</v>
      </c>
      <c r="B3369" s="163" t="s">
        <v>928</v>
      </c>
      <c r="C3369" s="163" t="s">
        <v>6444</v>
      </c>
      <c r="D3369" s="163" t="s">
        <v>6445</v>
      </c>
      <c r="E3369" s="164" t="n">
        <v>5000</v>
      </c>
      <c r="F3369" s="165" t="s">
        <v>7587</v>
      </c>
    </row>
    <row r="3370" customFormat="false" ht="15" hidden="false" customHeight="true" outlineLevel="0" collapsed="false">
      <c r="A3370" s="163" t="s">
        <v>3011</v>
      </c>
      <c r="B3370" s="163" t="s">
        <v>928</v>
      </c>
      <c r="C3370" s="163" t="s">
        <v>395</v>
      </c>
      <c r="D3370" s="163" t="s">
        <v>2196</v>
      </c>
      <c r="E3370" s="164" t="n">
        <v>5000</v>
      </c>
      <c r="F3370" s="165" t="s">
        <v>7588</v>
      </c>
    </row>
    <row r="3371" customFormat="false" ht="15" hidden="false" customHeight="true" outlineLevel="0" collapsed="false">
      <c r="A3371" s="163" t="s">
        <v>3011</v>
      </c>
      <c r="B3371" s="163" t="s">
        <v>928</v>
      </c>
      <c r="C3371" s="163" t="s">
        <v>7589</v>
      </c>
      <c r="D3371" s="163" t="s">
        <v>7590</v>
      </c>
      <c r="E3371" s="164" t="n">
        <v>5000</v>
      </c>
      <c r="F3371" s="165" t="s">
        <v>7591</v>
      </c>
    </row>
    <row r="3372" customFormat="false" ht="15" hidden="false" customHeight="true" outlineLevel="0" collapsed="false">
      <c r="A3372" s="163" t="s">
        <v>3011</v>
      </c>
      <c r="B3372" s="163" t="s">
        <v>928</v>
      </c>
      <c r="C3372" s="163" t="s">
        <v>3447</v>
      </c>
      <c r="D3372" s="163" t="s">
        <v>3448</v>
      </c>
      <c r="E3372" s="164" t="n">
        <v>5000</v>
      </c>
      <c r="F3372" s="165" t="s">
        <v>7592</v>
      </c>
    </row>
    <row r="3373" customFormat="false" ht="15" hidden="false" customHeight="true" outlineLevel="0" collapsed="false">
      <c r="A3373" s="163" t="s">
        <v>3011</v>
      </c>
      <c r="B3373" s="163" t="s">
        <v>928</v>
      </c>
      <c r="C3373" s="163" t="s">
        <v>5284</v>
      </c>
      <c r="D3373" s="163" t="s">
        <v>5285</v>
      </c>
      <c r="E3373" s="164" t="n">
        <v>5000</v>
      </c>
      <c r="F3373" s="165" t="s">
        <v>7573</v>
      </c>
    </row>
    <row r="3374" customFormat="false" ht="15" hidden="false" customHeight="true" outlineLevel="0" collapsed="false">
      <c r="A3374" s="163" t="s">
        <v>3039</v>
      </c>
      <c r="B3374" s="163" t="s">
        <v>926</v>
      </c>
      <c r="C3374" s="163" t="s">
        <v>3061</v>
      </c>
      <c r="D3374" s="163" t="s">
        <v>3062</v>
      </c>
      <c r="E3374" s="164" t="n">
        <v>20000</v>
      </c>
      <c r="F3374" s="165" t="s">
        <v>7593</v>
      </c>
    </row>
    <row r="3375" customFormat="false" ht="15" hidden="false" customHeight="true" outlineLevel="0" collapsed="false">
      <c r="A3375" s="163" t="s">
        <v>3039</v>
      </c>
      <c r="B3375" s="163" t="s">
        <v>926</v>
      </c>
      <c r="C3375" s="163" t="s">
        <v>424</v>
      </c>
      <c r="D3375" s="163" t="s">
        <v>2630</v>
      </c>
      <c r="E3375" s="164" t="n">
        <v>10000</v>
      </c>
      <c r="F3375" s="165" t="s">
        <v>3060</v>
      </c>
    </row>
    <row r="3376" customFormat="false" ht="15" hidden="false" customHeight="true" outlineLevel="0" collapsed="false">
      <c r="A3376" s="163" t="s">
        <v>3039</v>
      </c>
      <c r="B3376" s="163" t="s">
        <v>926</v>
      </c>
      <c r="C3376" s="163" t="s">
        <v>3334</v>
      </c>
      <c r="D3376" s="163" t="s">
        <v>3335</v>
      </c>
      <c r="E3376" s="164" t="n">
        <v>10000</v>
      </c>
      <c r="F3376" s="165" t="s">
        <v>3334</v>
      </c>
    </row>
    <row r="3377" customFormat="false" ht="15" hidden="false" customHeight="true" outlineLevel="0" collapsed="false">
      <c r="A3377" s="163" t="s">
        <v>3039</v>
      </c>
      <c r="B3377" s="163" t="s">
        <v>926</v>
      </c>
      <c r="C3377" s="163" t="s">
        <v>3334</v>
      </c>
      <c r="D3377" s="163" t="s">
        <v>3335</v>
      </c>
      <c r="E3377" s="164" t="n">
        <v>10000</v>
      </c>
      <c r="F3377" s="165" t="s">
        <v>3334</v>
      </c>
    </row>
    <row r="3378" customFormat="false" ht="15" hidden="false" customHeight="true" outlineLevel="0" collapsed="false">
      <c r="A3378" s="163" t="s">
        <v>3039</v>
      </c>
      <c r="B3378" s="163" t="s">
        <v>926</v>
      </c>
      <c r="C3378" s="163" t="s">
        <v>3063</v>
      </c>
      <c r="D3378" s="163" t="s">
        <v>3064</v>
      </c>
      <c r="E3378" s="164" t="n">
        <v>10000</v>
      </c>
      <c r="F3378" s="165" t="s">
        <v>3063</v>
      </c>
    </row>
    <row r="3379" customFormat="false" ht="15" hidden="false" customHeight="true" outlineLevel="0" collapsed="false">
      <c r="A3379" s="163" t="s">
        <v>3039</v>
      </c>
      <c r="B3379" s="163" t="s">
        <v>926</v>
      </c>
      <c r="C3379" s="163" t="s">
        <v>395</v>
      </c>
      <c r="D3379" s="163" t="s">
        <v>2196</v>
      </c>
      <c r="E3379" s="164" t="n">
        <v>10000</v>
      </c>
      <c r="F3379" s="165" t="s">
        <v>395</v>
      </c>
    </row>
    <row r="3380" customFormat="false" ht="15" hidden="false" customHeight="true" outlineLevel="0" collapsed="false">
      <c r="A3380" s="163" t="s">
        <v>3039</v>
      </c>
      <c r="B3380" s="163" t="s">
        <v>926</v>
      </c>
      <c r="C3380" s="163" t="s">
        <v>7594</v>
      </c>
      <c r="D3380" s="163" t="s">
        <v>7595</v>
      </c>
      <c r="E3380" s="164" t="n">
        <v>10000</v>
      </c>
      <c r="F3380" s="165" t="s">
        <v>7594</v>
      </c>
    </row>
    <row r="3381" customFormat="false" ht="15" hidden="false" customHeight="true" outlineLevel="0" collapsed="false">
      <c r="A3381" s="163" t="s">
        <v>3039</v>
      </c>
      <c r="B3381" s="163" t="s">
        <v>926</v>
      </c>
      <c r="C3381" s="163" t="s">
        <v>3749</v>
      </c>
      <c r="D3381" s="163" t="s">
        <v>3750</v>
      </c>
      <c r="E3381" s="164" t="n">
        <v>10000</v>
      </c>
      <c r="F3381" s="165" t="s">
        <v>3749</v>
      </c>
    </row>
    <row r="3382" customFormat="false" ht="15" hidden="false" customHeight="true" outlineLevel="0" collapsed="false">
      <c r="A3382" s="163" t="s">
        <v>3039</v>
      </c>
      <c r="B3382" s="163" t="s">
        <v>926</v>
      </c>
      <c r="C3382" s="163" t="s">
        <v>3063</v>
      </c>
      <c r="D3382" s="163" t="s">
        <v>3064</v>
      </c>
      <c r="E3382" s="164" t="n">
        <v>5000</v>
      </c>
      <c r="F3382" s="165" t="s">
        <v>3063</v>
      </c>
    </row>
    <row r="3383" customFormat="false" ht="15" hidden="false" customHeight="true" outlineLevel="0" collapsed="false">
      <c r="A3383" s="163" t="s">
        <v>3039</v>
      </c>
      <c r="B3383" s="163" t="s">
        <v>926</v>
      </c>
      <c r="C3383" s="163" t="s">
        <v>7190</v>
      </c>
      <c r="D3383" s="163" t="s">
        <v>7191</v>
      </c>
      <c r="E3383" s="164" t="n">
        <v>5000</v>
      </c>
      <c r="F3383" s="165" t="s">
        <v>3060</v>
      </c>
    </row>
    <row r="3384" customFormat="false" ht="15" hidden="false" customHeight="true" outlineLevel="0" collapsed="false">
      <c r="A3384" s="163" t="s">
        <v>3039</v>
      </c>
      <c r="B3384" s="163" t="s">
        <v>957</v>
      </c>
      <c r="C3384" s="163" t="s">
        <v>7596</v>
      </c>
      <c r="D3384" s="163" t="s">
        <v>7597</v>
      </c>
      <c r="E3384" s="164" t="n">
        <v>20000</v>
      </c>
      <c r="F3384" s="165" t="s">
        <v>7598</v>
      </c>
    </row>
    <row r="3385" customFormat="false" ht="15" hidden="false" customHeight="true" outlineLevel="0" collapsed="false">
      <c r="A3385" s="163" t="s">
        <v>3039</v>
      </c>
      <c r="B3385" s="163" t="s">
        <v>957</v>
      </c>
      <c r="C3385" s="163" t="s">
        <v>7599</v>
      </c>
      <c r="D3385" s="163" t="s">
        <v>7600</v>
      </c>
      <c r="E3385" s="164" t="n">
        <v>15000</v>
      </c>
      <c r="F3385" s="165" t="s">
        <v>7601</v>
      </c>
    </row>
    <row r="3386" customFormat="false" ht="15" hidden="false" customHeight="true" outlineLevel="0" collapsed="false">
      <c r="A3386" s="163" t="s">
        <v>3039</v>
      </c>
      <c r="B3386" s="163" t="s">
        <v>957</v>
      </c>
      <c r="C3386" s="163" t="s">
        <v>3670</v>
      </c>
      <c r="D3386" s="163" t="s">
        <v>3671</v>
      </c>
      <c r="E3386" s="164" t="n">
        <v>10000</v>
      </c>
      <c r="F3386" s="165" t="s">
        <v>7602</v>
      </c>
    </row>
    <row r="3387" customFormat="false" ht="15" hidden="false" customHeight="true" outlineLevel="0" collapsed="false">
      <c r="A3387" s="163" t="s">
        <v>3039</v>
      </c>
      <c r="B3387" s="163" t="s">
        <v>957</v>
      </c>
      <c r="C3387" s="163" t="s">
        <v>7207</v>
      </c>
      <c r="D3387" s="163" t="s">
        <v>7208</v>
      </c>
      <c r="E3387" s="164" t="n">
        <v>10000</v>
      </c>
      <c r="F3387" s="165" t="s">
        <v>7603</v>
      </c>
    </row>
    <row r="3388" customFormat="false" ht="15" hidden="false" customHeight="true" outlineLevel="0" collapsed="false">
      <c r="A3388" s="163" t="s">
        <v>3039</v>
      </c>
      <c r="B3388" s="163" t="s">
        <v>957</v>
      </c>
      <c r="C3388" s="163" t="s">
        <v>7604</v>
      </c>
      <c r="D3388" s="163" t="s">
        <v>7605</v>
      </c>
      <c r="E3388" s="164" t="n">
        <v>10000</v>
      </c>
      <c r="F3388" s="165" t="s">
        <v>7606</v>
      </c>
    </row>
    <row r="3389" customFormat="false" ht="15" hidden="false" customHeight="true" outlineLevel="0" collapsed="false">
      <c r="A3389" s="163" t="s">
        <v>3039</v>
      </c>
      <c r="B3389" s="163" t="s">
        <v>957</v>
      </c>
      <c r="C3389" s="163" t="s">
        <v>7607</v>
      </c>
      <c r="D3389" s="163" t="s">
        <v>7608</v>
      </c>
      <c r="E3389" s="164" t="n">
        <v>10000</v>
      </c>
      <c r="F3389" s="165" t="s">
        <v>7609</v>
      </c>
    </row>
    <row r="3390" customFormat="false" ht="15" hidden="false" customHeight="true" outlineLevel="0" collapsed="false">
      <c r="A3390" s="163" t="s">
        <v>3039</v>
      </c>
      <c r="B3390" s="163" t="s">
        <v>957</v>
      </c>
      <c r="C3390" s="163" t="s">
        <v>3762</v>
      </c>
      <c r="D3390" s="163" t="s">
        <v>3763</v>
      </c>
      <c r="E3390" s="164" t="n">
        <v>5000</v>
      </c>
      <c r="F3390" s="165" t="s">
        <v>7610</v>
      </c>
    </row>
    <row r="3391" customFormat="false" ht="15" hidden="false" customHeight="true" outlineLevel="0" collapsed="false">
      <c r="A3391" s="163" t="s">
        <v>3039</v>
      </c>
      <c r="B3391" s="163" t="s">
        <v>957</v>
      </c>
      <c r="C3391" s="163" t="s">
        <v>7611</v>
      </c>
      <c r="D3391" s="163" t="s">
        <v>7612</v>
      </c>
      <c r="E3391" s="164" t="n">
        <v>5000</v>
      </c>
      <c r="F3391" s="165" t="s">
        <v>7613</v>
      </c>
    </row>
    <row r="3392" customFormat="false" ht="15" hidden="false" customHeight="true" outlineLevel="0" collapsed="false">
      <c r="A3392" s="163" t="s">
        <v>3039</v>
      </c>
      <c r="B3392" s="163" t="s">
        <v>957</v>
      </c>
      <c r="C3392" s="163" t="s">
        <v>4826</v>
      </c>
      <c r="D3392" s="163" t="s">
        <v>4827</v>
      </c>
      <c r="E3392" s="164" t="n">
        <v>5000</v>
      </c>
      <c r="F3392" s="165" t="s">
        <v>7614</v>
      </c>
    </row>
    <row r="3393" customFormat="false" ht="15" hidden="false" customHeight="true" outlineLevel="0" collapsed="false">
      <c r="A3393" s="163" t="s">
        <v>3039</v>
      </c>
      <c r="B3393" s="163" t="s">
        <v>957</v>
      </c>
      <c r="C3393" s="163" t="s">
        <v>4420</v>
      </c>
      <c r="D3393" s="163" t="s">
        <v>4421</v>
      </c>
      <c r="E3393" s="164" t="n">
        <v>5000</v>
      </c>
      <c r="F3393" s="165" t="s">
        <v>7615</v>
      </c>
    </row>
    <row r="3394" customFormat="false" ht="15" hidden="false" customHeight="true" outlineLevel="0" collapsed="false">
      <c r="A3394" s="163" t="s">
        <v>3039</v>
      </c>
      <c r="B3394" s="163" t="s">
        <v>957</v>
      </c>
      <c r="C3394" s="163" t="s">
        <v>4635</v>
      </c>
      <c r="D3394" s="163" t="s">
        <v>4636</v>
      </c>
      <c r="E3394" s="164" t="n">
        <v>5000</v>
      </c>
      <c r="F3394" s="165" t="s">
        <v>7616</v>
      </c>
    </row>
    <row r="3395" customFormat="false" ht="15" hidden="false" customHeight="true" outlineLevel="0" collapsed="false">
      <c r="A3395" s="163" t="s">
        <v>3039</v>
      </c>
      <c r="B3395" s="163" t="s">
        <v>957</v>
      </c>
      <c r="C3395" s="163" t="s">
        <v>7617</v>
      </c>
      <c r="D3395" s="163" t="s">
        <v>7618</v>
      </c>
      <c r="E3395" s="164" t="n">
        <v>5000</v>
      </c>
      <c r="F3395" s="165" t="s">
        <v>7619</v>
      </c>
    </row>
    <row r="3396" customFormat="false" ht="15" hidden="false" customHeight="true" outlineLevel="0" collapsed="false">
      <c r="A3396" s="163" t="s">
        <v>3039</v>
      </c>
      <c r="B3396" s="163" t="s">
        <v>957</v>
      </c>
      <c r="C3396" s="163" t="s">
        <v>3354</v>
      </c>
      <c r="D3396" s="163" t="s">
        <v>1931</v>
      </c>
      <c r="E3396" s="164" t="n">
        <v>5000</v>
      </c>
      <c r="F3396" s="165" t="s">
        <v>3060</v>
      </c>
    </row>
    <row r="3397" customFormat="false" ht="15" hidden="false" customHeight="true" outlineLevel="0" collapsed="false">
      <c r="A3397" s="163" t="s">
        <v>3039</v>
      </c>
      <c r="B3397" s="163" t="s">
        <v>945</v>
      </c>
      <c r="C3397" s="163" t="s">
        <v>4784</v>
      </c>
      <c r="D3397" s="163" t="s">
        <v>4785</v>
      </c>
      <c r="E3397" s="164" t="n">
        <v>10000</v>
      </c>
      <c r="F3397" s="165" t="s">
        <v>7620</v>
      </c>
    </row>
    <row r="3398" customFormat="false" ht="15" hidden="false" customHeight="true" outlineLevel="0" collapsed="false">
      <c r="A3398" s="163" t="s">
        <v>3039</v>
      </c>
      <c r="B3398" s="163" t="s">
        <v>945</v>
      </c>
      <c r="C3398" s="163" t="s">
        <v>7621</v>
      </c>
      <c r="D3398" s="163" t="s">
        <v>7622</v>
      </c>
      <c r="E3398" s="164" t="n">
        <v>10000</v>
      </c>
      <c r="F3398" s="165" t="s">
        <v>7623</v>
      </c>
    </row>
    <row r="3399" customFormat="false" ht="15" hidden="false" customHeight="true" outlineLevel="0" collapsed="false">
      <c r="A3399" s="163" t="s">
        <v>3039</v>
      </c>
      <c r="B3399" s="163" t="s">
        <v>945</v>
      </c>
      <c r="C3399" s="163" t="s">
        <v>4815</v>
      </c>
      <c r="D3399" s="163" t="s">
        <v>4816</v>
      </c>
      <c r="E3399" s="164" t="n">
        <v>10000</v>
      </c>
      <c r="F3399" s="165" t="s">
        <v>7624</v>
      </c>
    </row>
    <row r="3400" customFormat="false" ht="15" hidden="false" customHeight="true" outlineLevel="0" collapsed="false">
      <c r="A3400" s="163" t="s">
        <v>3039</v>
      </c>
      <c r="B3400" s="163" t="s">
        <v>945</v>
      </c>
      <c r="C3400" s="163" t="s">
        <v>7625</v>
      </c>
      <c r="D3400" s="163" t="s">
        <v>7626</v>
      </c>
      <c r="E3400" s="164" t="n">
        <v>5000</v>
      </c>
      <c r="F3400" s="165" t="s">
        <v>7627</v>
      </c>
    </row>
    <row r="3401" customFormat="false" ht="15" hidden="false" customHeight="true" outlineLevel="0" collapsed="false">
      <c r="A3401" s="163" t="s">
        <v>3039</v>
      </c>
      <c r="B3401" s="163" t="s">
        <v>945</v>
      </c>
      <c r="C3401" s="163" t="s">
        <v>991</v>
      </c>
      <c r="D3401" s="163" t="s">
        <v>3769</v>
      </c>
      <c r="E3401" s="164" t="n">
        <v>5000</v>
      </c>
      <c r="F3401" s="165" t="s">
        <v>7628</v>
      </c>
    </row>
    <row r="3402" customFormat="false" ht="15" hidden="false" customHeight="true" outlineLevel="0" collapsed="false">
      <c r="A3402" s="163" t="s">
        <v>3039</v>
      </c>
      <c r="B3402" s="163" t="s">
        <v>945</v>
      </c>
      <c r="C3402" s="163" t="s">
        <v>7629</v>
      </c>
      <c r="D3402" s="163" t="s">
        <v>7630</v>
      </c>
      <c r="E3402" s="164" t="n">
        <v>5000</v>
      </c>
      <c r="F3402" s="165" t="s">
        <v>7631</v>
      </c>
    </row>
    <row r="3403" customFormat="false" ht="15" hidden="false" customHeight="true" outlineLevel="0" collapsed="false">
      <c r="A3403" s="163" t="s">
        <v>3039</v>
      </c>
      <c r="B3403" s="163" t="s">
        <v>945</v>
      </c>
      <c r="C3403" s="163" t="s">
        <v>6354</v>
      </c>
      <c r="D3403" s="163" t="s">
        <v>6355</v>
      </c>
      <c r="E3403" s="164" t="n">
        <v>5000</v>
      </c>
      <c r="F3403" s="165" t="s">
        <v>7632</v>
      </c>
    </row>
    <row r="3404" customFormat="false" ht="15" hidden="false" customHeight="true" outlineLevel="0" collapsed="false">
      <c r="A3404" s="163" t="s">
        <v>3039</v>
      </c>
      <c r="B3404" s="163" t="s">
        <v>3111</v>
      </c>
      <c r="C3404" s="163" t="s">
        <v>2695</v>
      </c>
      <c r="D3404" s="163" t="s">
        <v>2696</v>
      </c>
      <c r="E3404" s="164" t="n">
        <v>10000</v>
      </c>
      <c r="F3404" s="165" t="s">
        <v>7624</v>
      </c>
    </row>
    <row r="3405" customFormat="false" ht="15" hidden="false" customHeight="true" outlineLevel="0" collapsed="false">
      <c r="A3405" s="163" t="s">
        <v>3039</v>
      </c>
      <c r="B3405" s="163" t="s">
        <v>3111</v>
      </c>
      <c r="C3405" s="163" t="s">
        <v>4076</v>
      </c>
      <c r="D3405" s="163" t="s">
        <v>4077</v>
      </c>
      <c r="E3405" s="164" t="n">
        <v>10000</v>
      </c>
      <c r="F3405" s="165" t="s">
        <v>7624</v>
      </c>
    </row>
    <row r="3406" customFormat="false" ht="15" hidden="false" customHeight="true" outlineLevel="0" collapsed="false">
      <c r="A3406" s="163" t="s">
        <v>3039</v>
      </c>
      <c r="B3406" s="163" t="s">
        <v>3111</v>
      </c>
      <c r="C3406" s="163" t="s">
        <v>5208</v>
      </c>
      <c r="D3406" s="163" t="s">
        <v>5209</v>
      </c>
      <c r="E3406" s="164" t="n">
        <v>10000</v>
      </c>
      <c r="F3406" s="165" t="s">
        <v>7624</v>
      </c>
    </row>
    <row r="3407" customFormat="false" ht="15" hidden="false" customHeight="true" outlineLevel="0" collapsed="false">
      <c r="A3407" s="163" t="s">
        <v>3039</v>
      </c>
      <c r="B3407" s="163" t="s">
        <v>3111</v>
      </c>
      <c r="C3407" s="163" t="s">
        <v>4081</v>
      </c>
      <c r="D3407" s="163" t="s">
        <v>4082</v>
      </c>
      <c r="E3407" s="164" t="n">
        <v>10000</v>
      </c>
      <c r="F3407" s="165" t="s">
        <v>7624</v>
      </c>
    </row>
    <row r="3408" customFormat="false" ht="15" hidden="false" customHeight="true" outlineLevel="0" collapsed="false">
      <c r="A3408" s="163" t="s">
        <v>3039</v>
      </c>
      <c r="B3408" s="163" t="s">
        <v>3111</v>
      </c>
      <c r="C3408" s="163" t="s">
        <v>5015</v>
      </c>
      <c r="D3408" s="163" t="s">
        <v>5016</v>
      </c>
      <c r="E3408" s="164" t="n">
        <v>10000</v>
      </c>
      <c r="F3408" s="165" t="s">
        <v>3060</v>
      </c>
    </row>
    <row r="3409" customFormat="false" ht="15" hidden="false" customHeight="true" outlineLevel="0" collapsed="false">
      <c r="A3409" s="163" t="s">
        <v>3039</v>
      </c>
      <c r="B3409" s="163" t="s">
        <v>3111</v>
      </c>
      <c r="C3409" s="163" t="s">
        <v>7607</v>
      </c>
      <c r="D3409" s="163" t="s">
        <v>7608</v>
      </c>
      <c r="E3409" s="164" t="n">
        <v>10000</v>
      </c>
      <c r="F3409" s="165" t="s">
        <v>7624</v>
      </c>
    </row>
    <row r="3410" customFormat="false" ht="15" hidden="false" customHeight="true" outlineLevel="0" collapsed="false">
      <c r="A3410" s="163" t="s">
        <v>3039</v>
      </c>
      <c r="B3410" s="163" t="s">
        <v>3111</v>
      </c>
      <c r="C3410" s="163" t="s">
        <v>7633</v>
      </c>
      <c r="D3410" s="163" t="s">
        <v>7634</v>
      </c>
      <c r="E3410" s="164" t="n">
        <v>10000</v>
      </c>
      <c r="F3410" s="165" t="s">
        <v>7624</v>
      </c>
    </row>
    <row r="3411" customFormat="false" ht="15" hidden="false" customHeight="true" outlineLevel="0" collapsed="false">
      <c r="A3411" s="163" t="s">
        <v>3039</v>
      </c>
      <c r="B3411" s="163" t="s">
        <v>3111</v>
      </c>
      <c r="C3411" s="163" t="s">
        <v>7290</v>
      </c>
      <c r="D3411" s="163" t="s">
        <v>7291</v>
      </c>
      <c r="E3411" s="164" t="n">
        <v>10000</v>
      </c>
      <c r="F3411" s="165" t="s">
        <v>7635</v>
      </c>
    </row>
    <row r="3412" customFormat="false" ht="15" hidden="false" customHeight="true" outlineLevel="0" collapsed="false">
      <c r="A3412" s="163" t="s">
        <v>3039</v>
      </c>
      <c r="B3412" s="163" t="s">
        <v>3111</v>
      </c>
      <c r="C3412" s="163" t="s">
        <v>6794</v>
      </c>
      <c r="D3412" s="163" t="s">
        <v>6795</v>
      </c>
      <c r="E3412" s="164" t="n">
        <v>10000</v>
      </c>
      <c r="F3412" s="165" t="s">
        <v>7636</v>
      </c>
    </row>
    <row r="3413" customFormat="false" ht="15" hidden="false" customHeight="true" outlineLevel="0" collapsed="false">
      <c r="A3413" s="163" t="s">
        <v>3039</v>
      </c>
      <c r="B3413" s="163" t="s">
        <v>3111</v>
      </c>
      <c r="C3413" s="163" t="s">
        <v>3416</v>
      </c>
      <c r="D3413" s="163" t="s">
        <v>3417</v>
      </c>
      <c r="E3413" s="164" t="n">
        <v>10000</v>
      </c>
      <c r="F3413" s="165" t="s">
        <v>7637</v>
      </c>
    </row>
    <row r="3414" customFormat="false" ht="15" hidden="false" customHeight="true" outlineLevel="0" collapsed="false">
      <c r="A3414" s="163" t="s">
        <v>3039</v>
      </c>
      <c r="B3414" s="163" t="s">
        <v>1938</v>
      </c>
      <c r="C3414" s="163" t="s">
        <v>3137</v>
      </c>
      <c r="D3414" s="163" t="s">
        <v>3138</v>
      </c>
      <c r="E3414" s="164" t="n">
        <v>20000</v>
      </c>
      <c r="F3414" s="165" t="s">
        <v>3137</v>
      </c>
    </row>
    <row r="3415" customFormat="false" ht="15" hidden="false" customHeight="true" outlineLevel="0" collapsed="false">
      <c r="A3415" s="163" t="s">
        <v>3039</v>
      </c>
      <c r="B3415" s="163" t="s">
        <v>1938</v>
      </c>
      <c r="C3415" s="163" t="s">
        <v>4890</v>
      </c>
      <c r="D3415" s="163" t="s">
        <v>4891</v>
      </c>
      <c r="E3415" s="164" t="n">
        <v>20000</v>
      </c>
      <c r="F3415" s="165" t="s">
        <v>4890</v>
      </c>
    </row>
    <row r="3416" customFormat="false" ht="15" hidden="false" customHeight="true" outlineLevel="0" collapsed="false">
      <c r="A3416" s="163" t="s">
        <v>3039</v>
      </c>
      <c r="B3416" s="163" t="s">
        <v>1938</v>
      </c>
      <c r="C3416" s="163" t="s">
        <v>4087</v>
      </c>
      <c r="D3416" s="163" t="s">
        <v>4088</v>
      </c>
      <c r="E3416" s="164" t="n">
        <v>20000</v>
      </c>
      <c r="F3416" s="165" t="s">
        <v>4087</v>
      </c>
    </row>
    <row r="3417" customFormat="false" ht="15" hidden="false" customHeight="true" outlineLevel="0" collapsed="false">
      <c r="A3417" s="163" t="s">
        <v>3039</v>
      </c>
      <c r="B3417" s="163" t="s">
        <v>1938</v>
      </c>
      <c r="C3417" s="163" t="s">
        <v>3805</v>
      </c>
      <c r="D3417" s="163" t="s">
        <v>3806</v>
      </c>
      <c r="E3417" s="164" t="n">
        <v>20000</v>
      </c>
      <c r="F3417" s="165" t="s">
        <v>3805</v>
      </c>
    </row>
    <row r="3418" customFormat="false" ht="15" hidden="false" customHeight="true" outlineLevel="0" collapsed="false">
      <c r="A3418" s="163" t="s">
        <v>3039</v>
      </c>
      <c r="B3418" s="163" t="s">
        <v>1938</v>
      </c>
      <c r="C3418" s="163" t="s">
        <v>6982</v>
      </c>
      <c r="D3418" s="163" t="s">
        <v>6983</v>
      </c>
      <c r="E3418" s="164" t="n">
        <v>20000</v>
      </c>
      <c r="F3418" s="165" t="s">
        <v>6982</v>
      </c>
    </row>
    <row r="3419" customFormat="false" ht="15" hidden="false" customHeight="true" outlineLevel="0" collapsed="false">
      <c r="A3419" s="163" t="s">
        <v>3039</v>
      </c>
      <c r="B3419" s="163" t="s">
        <v>1938</v>
      </c>
      <c r="C3419" s="163" t="s">
        <v>935</v>
      </c>
      <c r="D3419" s="163" t="s">
        <v>3162</v>
      </c>
      <c r="E3419" s="164" t="n">
        <v>20000</v>
      </c>
      <c r="F3419" s="165" t="s">
        <v>935</v>
      </c>
    </row>
    <row r="3420" customFormat="false" ht="15" hidden="false" customHeight="true" outlineLevel="0" collapsed="false">
      <c r="A3420" s="163" t="s">
        <v>3039</v>
      </c>
      <c r="B3420" s="163" t="s">
        <v>1938</v>
      </c>
      <c r="C3420" s="163" t="s">
        <v>3815</v>
      </c>
      <c r="D3420" s="163" t="s">
        <v>3816</v>
      </c>
      <c r="E3420" s="164" t="n">
        <v>20000</v>
      </c>
      <c r="F3420" s="165" t="s">
        <v>3815</v>
      </c>
    </row>
    <row r="3421" customFormat="false" ht="15" hidden="false" customHeight="true" outlineLevel="0" collapsed="false">
      <c r="A3421" s="163" t="s">
        <v>3039</v>
      </c>
      <c r="B3421" s="163" t="s">
        <v>1938</v>
      </c>
      <c r="C3421" s="163" t="s">
        <v>7246</v>
      </c>
      <c r="D3421" s="163" t="s">
        <v>7247</v>
      </c>
      <c r="E3421" s="164" t="n">
        <v>20000</v>
      </c>
      <c r="F3421" s="165" t="s">
        <v>7246</v>
      </c>
    </row>
    <row r="3422" customFormat="false" ht="15" hidden="false" customHeight="true" outlineLevel="0" collapsed="false">
      <c r="A3422" s="163" t="s">
        <v>3039</v>
      </c>
      <c r="B3422" s="163" t="s">
        <v>1938</v>
      </c>
      <c r="C3422" s="163" t="s">
        <v>332</v>
      </c>
      <c r="D3422" s="163" t="s">
        <v>2673</v>
      </c>
      <c r="E3422" s="164" t="n">
        <v>20000</v>
      </c>
      <c r="F3422" s="165" t="s">
        <v>332</v>
      </c>
    </row>
    <row r="3423" customFormat="false" ht="15" hidden="false" customHeight="true" outlineLevel="0" collapsed="false">
      <c r="A3423" s="163" t="s">
        <v>3039</v>
      </c>
      <c r="B3423" s="163" t="s">
        <v>1938</v>
      </c>
      <c r="C3423" s="163" t="s">
        <v>3602</v>
      </c>
      <c r="D3423" s="163" t="s">
        <v>3603</v>
      </c>
      <c r="E3423" s="164" t="n">
        <v>20000</v>
      </c>
      <c r="F3423" s="165" t="s">
        <v>3602</v>
      </c>
    </row>
    <row r="3424" customFormat="false" ht="15" hidden="false" customHeight="true" outlineLevel="0" collapsed="false">
      <c r="A3424" s="163" t="s">
        <v>3039</v>
      </c>
      <c r="B3424" s="163" t="s">
        <v>1938</v>
      </c>
      <c r="C3424" s="163" t="s">
        <v>431</v>
      </c>
      <c r="D3424" s="163" t="s">
        <v>2678</v>
      </c>
      <c r="E3424" s="164" t="n">
        <v>20000</v>
      </c>
      <c r="F3424" s="165" t="s">
        <v>431</v>
      </c>
    </row>
    <row r="3425" customFormat="false" ht="15" hidden="false" customHeight="true" outlineLevel="0" collapsed="false">
      <c r="A3425" s="163" t="s">
        <v>3039</v>
      </c>
      <c r="B3425" s="163" t="s">
        <v>1938</v>
      </c>
      <c r="C3425" s="163" t="s">
        <v>7638</v>
      </c>
      <c r="D3425" s="163" t="s">
        <v>7639</v>
      </c>
      <c r="E3425" s="164" t="n">
        <v>20000</v>
      </c>
      <c r="F3425" s="165" t="s">
        <v>7638</v>
      </c>
    </row>
    <row r="3426" customFormat="false" ht="15" hidden="false" customHeight="true" outlineLevel="0" collapsed="false">
      <c r="A3426" s="163" t="s">
        <v>3039</v>
      </c>
      <c r="B3426" s="163" t="s">
        <v>1938</v>
      </c>
      <c r="C3426" s="163" t="s">
        <v>3835</v>
      </c>
      <c r="D3426" s="163" t="s">
        <v>3836</v>
      </c>
      <c r="E3426" s="164" t="n">
        <v>20000</v>
      </c>
      <c r="F3426" s="165" t="s">
        <v>3835</v>
      </c>
    </row>
    <row r="3427" customFormat="false" ht="15" hidden="false" customHeight="true" outlineLevel="0" collapsed="false">
      <c r="A3427" s="163" t="s">
        <v>3039</v>
      </c>
      <c r="B3427" s="163" t="s">
        <v>1938</v>
      </c>
      <c r="C3427" s="163" t="s">
        <v>7450</v>
      </c>
      <c r="D3427" s="163" t="s">
        <v>7451</v>
      </c>
      <c r="E3427" s="164" t="n">
        <v>20000</v>
      </c>
      <c r="F3427" s="165" t="s">
        <v>7450</v>
      </c>
    </row>
    <row r="3428" customFormat="false" ht="15" hidden="false" customHeight="true" outlineLevel="0" collapsed="false">
      <c r="A3428" s="163" t="s">
        <v>3039</v>
      </c>
      <c r="B3428" s="163" t="s">
        <v>1938</v>
      </c>
      <c r="C3428" s="163" t="s">
        <v>7640</v>
      </c>
      <c r="D3428" s="163" t="s">
        <v>7641</v>
      </c>
      <c r="E3428" s="164" t="n">
        <v>20000</v>
      </c>
      <c r="F3428" s="165" t="s">
        <v>7640</v>
      </c>
    </row>
    <row r="3429" customFormat="false" ht="15" hidden="false" customHeight="true" outlineLevel="0" collapsed="false">
      <c r="A3429" s="163" t="s">
        <v>3039</v>
      </c>
      <c r="B3429" s="163" t="s">
        <v>691</v>
      </c>
      <c r="C3429" s="163" t="s">
        <v>950</v>
      </c>
      <c r="D3429" s="163" t="s">
        <v>4373</v>
      </c>
      <c r="E3429" s="164" t="n">
        <v>10000</v>
      </c>
      <c r="F3429" s="165" t="s">
        <v>950</v>
      </c>
    </row>
    <row r="3430" customFormat="false" ht="15" hidden="false" customHeight="true" outlineLevel="0" collapsed="false">
      <c r="A3430" s="163" t="s">
        <v>3039</v>
      </c>
      <c r="B3430" s="163" t="s">
        <v>691</v>
      </c>
      <c r="C3430" s="163" t="s">
        <v>7642</v>
      </c>
      <c r="D3430" s="163" t="s">
        <v>7643</v>
      </c>
      <c r="E3430" s="164" t="n">
        <v>10000</v>
      </c>
      <c r="F3430" s="165" t="s">
        <v>7642</v>
      </c>
    </row>
    <row r="3431" customFormat="false" ht="15" hidden="false" customHeight="true" outlineLevel="0" collapsed="false">
      <c r="A3431" s="163" t="s">
        <v>3039</v>
      </c>
      <c r="B3431" s="163" t="s">
        <v>691</v>
      </c>
      <c r="C3431" s="163" t="s">
        <v>991</v>
      </c>
      <c r="D3431" s="163" t="s">
        <v>3769</v>
      </c>
      <c r="E3431" s="164" t="n">
        <v>10000</v>
      </c>
      <c r="F3431" s="165" t="s">
        <v>991</v>
      </c>
    </row>
    <row r="3432" customFormat="false" ht="15" hidden="false" customHeight="true" outlineLevel="0" collapsed="false">
      <c r="A3432" s="163" t="s">
        <v>3039</v>
      </c>
      <c r="B3432" s="163" t="s">
        <v>691</v>
      </c>
      <c r="C3432" s="163" t="s">
        <v>4087</v>
      </c>
      <c r="D3432" s="163" t="s">
        <v>4088</v>
      </c>
      <c r="E3432" s="164" t="n">
        <v>10000</v>
      </c>
      <c r="F3432" s="165" t="s">
        <v>4087</v>
      </c>
    </row>
    <row r="3433" customFormat="false" ht="15" hidden="false" customHeight="true" outlineLevel="0" collapsed="false">
      <c r="A3433" s="163" t="s">
        <v>3039</v>
      </c>
      <c r="B3433" s="163" t="s">
        <v>691</v>
      </c>
      <c r="C3433" s="163" t="s">
        <v>4084</v>
      </c>
      <c r="D3433" s="163" t="s">
        <v>4085</v>
      </c>
      <c r="E3433" s="164" t="n">
        <v>10000</v>
      </c>
      <c r="F3433" s="165" t="s">
        <v>4084</v>
      </c>
    </row>
    <row r="3434" customFormat="false" ht="15" hidden="false" customHeight="true" outlineLevel="0" collapsed="false">
      <c r="A3434" s="163" t="s">
        <v>3039</v>
      </c>
      <c r="B3434" s="163" t="s">
        <v>691</v>
      </c>
      <c r="C3434" s="163" t="s">
        <v>4815</v>
      </c>
      <c r="D3434" s="163" t="s">
        <v>4816</v>
      </c>
      <c r="E3434" s="164" t="n">
        <v>10000</v>
      </c>
      <c r="F3434" s="165" t="s">
        <v>4815</v>
      </c>
    </row>
    <row r="3435" customFormat="false" ht="15" hidden="false" customHeight="true" outlineLevel="0" collapsed="false">
      <c r="A3435" s="163" t="s">
        <v>3039</v>
      </c>
      <c r="B3435" s="163" t="s">
        <v>691</v>
      </c>
      <c r="C3435" s="163" t="s">
        <v>7059</v>
      </c>
      <c r="D3435" s="163" t="s">
        <v>7060</v>
      </c>
      <c r="E3435" s="164" t="n">
        <v>10000</v>
      </c>
      <c r="F3435" s="165" t="s">
        <v>7059</v>
      </c>
    </row>
    <row r="3436" customFormat="false" ht="15" hidden="false" customHeight="true" outlineLevel="0" collapsed="false">
      <c r="A3436" s="163" t="s">
        <v>3039</v>
      </c>
      <c r="B3436" s="163" t="s">
        <v>691</v>
      </c>
      <c r="C3436" s="163" t="s">
        <v>3959</v>
      </c>
      <c r="D3436" s="163" t="s">
        <v>3960</v>
      </c>
      <c r="E3436" s="164" t="n">
        <v>10000</v>
      </c>
      <c r="F3436" s="165" t="s">
        <v>3959</v>
      </c>
    </row>
    <row r="3437" customFormat="false" ht="15" hidden="false" customHeight="true" outlineLevel="0" collapsed="false">
      <c r="A3437" s="163" t="s">
        <v>3039</v>
      </c>
      <c r="B3437" s="163" t="s">
        <v>691</v>
      </c>
      <c r="C3437" s="163" t="s">
        <v>4829</v>
      </c>
      <c r="D3437" s="163" t="s">
        <v>4830</v>
      </c>
      <c r="E3437" s="164" t="n">
        <v>10000</v>
      </c>
      <c r="F3437" s="165" t="s">
        <v>4829</v>
      </c>
    </row>
    <row r="3438" customFormat="false" ht="15" hidden="false" customHeight="true" outlineLevel="0" collapsed="false">
      <c r="A3438" s="163" t="s">
        <v>3039</v>
      </c>
      <c r="B3438" s="163" t="s">
        <v>691</v>
      </c>
      <c r="C3438" s="163" t="s">
        <v>4829</v>
      </c>
      <c r="D3438" s="163" t="s">
        <v>4830</v>
      </c>
      <c r="E3438" s="164" t="n">
        <v>10000</v>
      </c>
      <c r="F3438" s="165" t="s">
        <v>4829</v>
      </c>
    </row>
    <row r="3439" customFormat="false" ht="15" hidden="false" customHeight="true" outlineLevel="0" collapsed="false">
      <c r="A3439" s="163" t="s">
        <v>3039</v>
      </c>
      <c r="B3439" s="163" t="s">
        <v>691</v>
      </c>
      <c r="C3439" s="163" t="s">
        <v>7246</v>
      </c>
      <c r="D3439" s="163" t="s">
        <v>7247</v>
      </c>
      <c r="E3439" s="164" t="n">
        <v>10000</v>
      </c>
      <c r="F3439" s="165" t="s">
        <v>7246</v>
      </c>
    </row>
    <row r="3440" customFormat="false" ht="15" hidden="false" customHeight="true" outlineLevel="0" collapsed="false">
      <c r="A3440" s="163" t="s">
        <v>3039</v>
      </c>
      <c r="B3440" s="163" t="s">
        <v>691</v>
      </c>
      <c r="C3440" s="163" t="s">
        <v>4103</v>
      </c>
      <c r="D3440" s="163" t="s">
        <v>4104</v>
      </c>
      <c r="E3440" s="164" t="n">
        <v>10000</v>
      </c>
      <c r="F3440" s="165" t="s">
        <v>4103</v>
      </c>
    </row>
    <row r="3441" customFormat="false" ht="15" hidden="false" customHeight="true" outlineLevel="0" collapsed="false">
      <c r="A3441" s="163" t="s">
        <v>3039</v>
      </c>
      <c r="B3441" s="163" t="s">
        <v>691</v>
      </c>
      <c r="C3441" s="163" t="s">
        <v>7644</v>
      </c>
      <c r="D3441" s="163" t="s">
        <v>7645</v>
      </c>
      <c r="E3441" s="164" t="n">
        <v>10000</v>
      </c>
      <c r="F3441" s="165" t="s">
        <v>7644</v>
      </c>
    </row>
    <row r="3442" customFormat="false" ht="15" hidden="false" customHeight="true" outlineLevel="0" collapsed="false">
      <c r="A3442" s="163" t="s">
        <v>3039</v>
      </c>
      <c r="B3442" s="163" t="s">
        <v>2027</v>
      </c>
      <c r="C3442" s="163" t="s">
        <v>3856</v>
      </c>
      <c r="D3442" s="163" t="s">
        <v>3857</v>
      </c>
      <c r="E3442" s="164" t="n">
        <v>23000</v>
      </c>
      <c r="F3442" s="165" t="s">
        <v>3856</v>
      </c>
    </row>
    <row r="3443" customFormat="false" ht="15" hidden="false" customHeight="true" outlineLevel="0" collapsed="false">
      <c r="A3443" s="163" t="s">
        <v>3039</v>
      </c>
      <c r="B3443" s="163" t="s">
        <v>2027</v>
      </c>
      <c r="C3443" s="163" t="s">
        <v>7646</v>
      </c>
      <c r="D3443" s="163" t="s">
        <v>7647</v>
      </c>
      <c r="E3443" s="164" t="n">
        <v>23000</v>
      </c>
      <c r="F3443" s="165" t="s">
        <v>7648</v>
      </c>
    </row>
    <row r="3444" customFormat="false" ht="15" hidden="false" customHeight="true" outlineLevel="0" collapsed="false">
      <c r="A3444" s="163" t="s">
        <v>3039</v>
      </c>
      <c r="B3444" s="163" t="s">
        <v>2027</v>
      </c>
      <c r="C3444" s="163" t="s">
        <v>4112</v>
      </c>
      <c r="D3444" s="163" t="s">
        <v>4113</v>
      </c>
      <c r="E3444" s="164" t="n">
        <v>22000</v>
      </c>
      <c r="F3444" s="165" t="s">
        <v>4112</v>
      </c>
    </row>
    <row r="3445" customFormat="false" ht="15" hidden="false" customHeight="true" outlineLevel="0" collapsed="false">
      <c r="A3445" s="163" t="s">
        <v>3039</v>
      </c>
      <c r="B3445" s="163" t="s">
        <v>2027</v>
      </c>
      <c r="C3445" s="163" t="s">
        <v>360</v>
      </c>
      <c r="D3445" s="163" t="s">
        <v>2685</v>
      </c>
      <c r="E3445" s="164" t="n">
        <v>22000</v>
      </c>
      <c r="F3445" s="165" t="s">
        <v>360</v>
      </c>
    </row>
    <row r="3446" customFormat="false" ht="15" hidden="false" customHeight="true" outlineLevel="0" collapsed="false">
      <c r="A3446" s="163" t="s">
        <v>3039</v>
      </c>
      <c r="B3446" s="163" t="s">
        <v>2037</v>
      </c>
      <c r="C3446" s="163" t="s">
        <v>4047</v>
      </c>
      <c r="D3446" s="163" t="s">
        <v>4048</v>
      </c>
      <c r="E3446" s="164" t="n">
        <v>10000</v>
      </c>
      <c r="F3446" s="165" t="s">
        <v>7649</v>
      </c>
    </row>
    <row r="3447" customFormat="false" ht="15" hidden="false" customHeight="true" outlineLevel="0" collapsed="false">
      <c r="A3447" s="163" t="s">
        <v>3039</v>
      </c>
      <c r="B3447" s="163" t="s">
        <v>2037</v>
      </c>
      <c r="C3447" s="163" t="s">
        <v>7199</v>
      </c>
      <c r="D3447" s="163" t="s">
        <v>7200</v>
      </c>
      <c r="E3447" s="164" t="n">
        <v>10000</v>
      </c>
      <c r="F3447" s="165" t="s">
        <v>7649</v>
      </c>
    </row>
    <row r="3448" customFormat="false" ht="15" hidden="false" customHeight="true" outlineLevel="0" collapsed="false">
      <c r="A3448" s="163" t="s">
        <v>3039</v>
      </c>
      <c r="B3448" s="163" t="s">
        <v>2037</v>
      </c>
      <c r="C3448" s="163" t="s">
        <v>5015</v>
      </c>
      <c r="D3448" s="163" t="s">
        <v>5016</v>
      </c>
      <c r="E3448" s="164" t="n">
        <v>10000</v>
      </c>
      <c r="F3448" s="165" t="s">
        <v>5015</v>
      </c>
    </row>
    <row r="3449" customFormat="false" ht="15" hidden="false" customHeight="true" outlineLevel="0" collapsed="false">
      <c r="A3449" s="163" t="s">
        <v>3039</v>
      </c>
      <c r="B3449" s="163" t="s">
        <v>2037</v>
      </c>
      <c r="C3449" s="163" t="s">
        <v>5071</v>
      </c>
      <c r="D3449" s="163" t="s">
        <v>5072</v>
      </c>
      <c r="E3449" s="164" t="n">
        <v>9000</v>
      </c>
      <c r="F3449" s="165" t="s">
        <v>7649</v>
      </c>
    </row>
    <row r="3450" customFormat="false" ht="15" hidden="false" customHeight="true" outlineLevel="0" collapsed="false">
      <c r="A3450" s="163" t="s">
        <v>3039</v>
      </c>
      <c r="B3450" s="163" t="s">
        <v>2037</v>
      </c>
      <c r="C3450" s="163" t="s">
        <v>4843</v>
      </c>
      <c r="D3450" s="163" t="s">
        <v>4844</v>
      </c>
      <c r="E3450" s="164" t="n">
        <v>9000</v>
      </c>
      <c r="F3450" s="165" t="s">
        <v>7649</v>
      </c>
    </row>
    <row r="3451" customFormat="false" ht="15" hidden="false" customHeight="true" outlineLevel="0" collapsed="false">
      <c r="A3451" s="163" t="s">
        <v>3039</v>
      </c>
      <c r="B3451" s="163" t="s">
        <v>2037</v>
      </c>
      <c r="C3451" s="163" t="s">
        <v>240</v>
      </c>
      <c r="D3451" s="163" t="s">
        <v>2418</v>
      </c>
      <c r="E3451" s="164" t="n">
        <v>9000</v>
      </c>
      <c r="F3451" s="165" t="s">
        <v>7649</v>
      </c>
    </row>
    <row r="3452" customFormat="false" ht="15" hidden="false" customHeight="true" outlineLevel="0" collapsed="false">
      <c r="A3452" s="163" t="s">
        <v>3039</v>
      </c>
      <c r="B3452" s="163" t="s">
        <v>2037</v>
      </c>
      <c r="C3452" s="163" t="s">
        <v>7290</v>
      </c>
      <c r="D3452" s="163" t="s">
        <v>7291</v>
      </c>
      <c r="E3452" s="164" t="n">
        <v>9000</v>
      </c>
      <c r="F3452" s="165" t="s">
        <v>7649</v>
      </c>
    </row>
    <row r="3453" customFormat="false" ht="15" hidden="false" customHeight="true" outlineLevel="0" collapsed="false">
      <c r="A3453" s="163" t="s">
        <v>3039</v>
      </c>
      <c r="B3453" s="163" t="s">
        <v>2037</v>
      </c>
      <c r="C3453" s="163" t="s">
        <v>3771</v>
      </c>
      <c r="D3453" s="163" t="s">
        <v>3772</v>
      </c>
      <c r="E3453" s="164" t="n">
        <v>9000</v>
      </c>
      <c r="F3453" s="165" t="s">
        <v>3771</v>
      </c>
    </row>
    <row r="3454" customFormat="false" ht="15" hidden="false" customHeight="true" outlineLevel="0" collapsed="false">
      <c r="A3454" s="163" t="s">
        <v>3039</v>
      </c>
      <c r="B3454" s="163" t="s">
        <v>2037</v>
      </c>
      <c r="C3454" s="163" t="s">
        <v>7299</v>
      </c>
      <c r="D3454" s="163" t="s">
        <v>7300</v>
      </c>
      <c r="E3454" s="164" t="n">
        <v>9000</v>
      </c>
      <c r="F3454" s="165" t="s">
        <v>7299</v>
      </c>
    </row>
    <row r="3455" customFormat="false" ht="15" hidden="false" customHeight="true" outlineLevel="0" collapsed="false">
      <c r="A3455" s="163" t="s">
        <v>3039</v>
      </c>
      <c r="B3455" s="163" t="s">
        <v>2037</v>
      </c>
      <c r="C3455" s="163" t="s">
        <v>2695</v>
      </c>
      <c r="D3455" s="163" t="s">
        <v>2696</v>
      </c>
      <c r="E3455" s="164" t="n">
        <v>8000</v>
      </c>
      <c r="F3455" s="165" t="s">
        <v>7649</v>
      </c>
    </row>
    <row r="3456" customFormat="false" ht="15" hidden="false" customHeight="true" outlineLevel="0" collapsed="false">
      <c r="A3456" s="163" t="s">
        <v>3039</v>
      </c>
      <c r="B3456" s="163" t="s">
        <v>2037</v>
      </c>
      <c r="C3456" s="163" t="s">
        <v>372</v>
      </c>
      <c r="D3456" s="163" t="s">
        <v>2692</v>
      </c>
      <c r="E3456" s="164" t="n">
        <v>8000</v>
      </c>
      <c r="F3456" s="165" t="s">
        <v>372</v>
      </c>
    </row>
    <row r="3457" customFormat="false" ht="15" hidden="false" customHeight="true" outlineLevel="0" collapsed="false">
      <c r="A3457" s="163" t="s">
        <v>3039</v>
      </c>
      <c r="B3457" s="163" t="s">
        <v>2037</v>
      </c>
      <c r="C3457" s="163" t="s">
        <v>7650</v>
      </c>
      <c r="D3457" s="163" t="s">
        <v>7651</v>
      </c>
      <c r="E3457" s="164" t="n">
        <v>8000</v>
      </c>
      <c r="F3457" s="165" t="s">
        <v>7650</v>
      </c>
    </row>
    <row r="3458" customFormat="false" ht="15" hidden="false" customHeight="true" outlineLevel="0" collapsed="false">
      <c r="A3458" s="163" t="s">
        <v>3039</v>
      </c>
      <c r="B3458" s="163" t="s">
        <v>2037</v>
      </c>
      <c r="C3458" s="163" t="s">
        <v>4076</v>
      </c>
      <c r="D3458" s="163" t="s">
        <v>4077</v>
      </c>
      <c r="E3458" s="164" t="n">
        <v>5000</v>
      </c>
      <c r="F3458" s="165" t="s">
        <v>7649</v>
      </c>
    </row>
    <row r="3459" customFormat="false" ht="15" hidden="false" customHeight="true" outlineLevel="0" collapsed="false">
      <c r="A3459" s="163" t="s">
        <v>3039</v>
      </c>
      <c r="B3459" s="163" t="s">
        <v>2037</v>
      </c>
      <c r="C3459" s="163" t="s">
        <v>4802</v>
      </c>
      <c r="D3459" s="163" t="s">
        <v>4803</v>
      </c>
      <c r="E3459" s="164" t="n">
        <v>5000</v>
      </c>
      <c r="F3459" s="165" t="s">
        <v>7649</v>
      </c>
    </row>
    <row r="3460" customFormat="false" ht="15" hidden="false" customHeight="true" outlineLevel="0" collapsed="false">
      <c r="A3460" s="163" t="s">
        <v>3039</v>
      </c>
      <c r="B3460" s="163" t="s">
        <v>2037</v>
      </c>
      <c r="C3460" s="163" t="s">
        <v>3099</v>
      </c>
      <c r="D3460" s="163" t="s">
        <v>3100</v>
      </c>
      <c r="E3460" s="164" t="n">
        <v>5000</v>
      </c>
      <c r="F3460" s="165" t="s">
        <v>7649</v>
      </c>
    </row>
    <row r="3461" customFormat="false" ht="15" hidden="false" customHeight="true" outlineLevel="0" collapsed="false">
      <c r="A3461" s="163" t="s">
        <v>3039</v>
      </c>
      <c r="B3461" s="163" t="s">
        <v>2037</v>
      </c>
      <c r="C3461" s="163" t="s">
        <v>5266</v>
      </c>
      <c r="D3461" s="163" t="s">
        <v>5267</v>
      </c>
      <c r="E3461" s="164" t="n">
        <v>5000</v>
      </c>
      <c r="F3461" s="165" t="s">
        <v>5266</v>
      </c>
    </row>
    <row r="3462" customFormat="false" ht="15" hidden="false" customHeight="true" outlineLevel="0" collapsed="false">
      <c r="A3462" s="163" t="s">
        <v>3039</v>
      </c>
      <c r="B3462" s="163" t="s">
        <v>2037</v>
      </c>
      <c r="C3462" s="163" t="s">
        <v>4173</v>
      </c>
      <c r="D3462" s="163" t="s">
        <v>4174</v>
      </c>
      <c r="E3462" s="164" t="n">
        <v>5000</v>
      </c>
      <c r="F3462" s="165" t="s">
        <v>4173</v>
      </c>
    </row>
    <row r="3463" customFormat="false" ht="15" hidden="false" customHeight="true" outlineLevel="0" collapsed="false">
      <c r="A3463" s="163" t="s">
        <v>3039</v>
      </c>
      <c r="B3463" s="163" t="s">
        <v>894</v>
      </c>
      <c r="C3463" s="163" t="s">
        <v>3835</v>
      </c>
      <c r="D3463" s="163" t="s">
        <v>3836</v>
      </c>
      <c r="E3463" s="164" t="n">
        <v>20000</v>
      </c>
      <c r="F3463" s="165" t="s">
        <v>7652</v>
      </c>
    </row>
    <row r="3464" customFormat="false" ht="15" hidden="false" customHeight="true" outlineLevel="0" collapsed="false">
      <c r="A3464" s="163" t="s">
        <v>3039</v>
      </c>
      <c r="B3464" s="163" t="s">
        <v>894</v>
      </c>
      <c r="C3464" s="163" t="s">
        <v>7653</v>
      </c>
      <c r="D3464" s="163" t="s">
        <v>7654</v>
      </c>
      <c r="E3464" s="164" t="n">
        <v>15000</v>
      </c>
      <c r="F3464" s="165" t="s">
        <v>7655</v>
      </c>
    </row>
    <row r="3465" customFormat="false" ht="15" hidden="false" customHeight="true" outlineLevel="0" collapsed="false">
      <c r="A3465" s="163" t="s">
        <v>3039</v>
      </c>
      <c r="B3465" s="163" t="s">
        <v>894</v>
      </c>
      <c r="C3465" s="163" t="s">
        <v>3771</v>
      </c>
      <c r="D3465" s="163" t="s">
        <v>3772</v>
      </c>
      <c r="E3465" s="164" t="n">
        <v>10000</v>
      </c>
      <c r="F3465" s="165" t="s">
        <v>7656</v>
      </c>
    </row>
    <row r="3466" customFormat="false" ht="15" hidden="false" customHeight="true" outlineLevel="0" collapsed="false">
      <c r="A3466" s="163" t="s">
        <v>3039</v>
      </c>
      <c r="B3466" s="163" t="s">
        <v>894</v>
      </c>
      <c r="C3466" s="163" t="s">
        <v>4087</v>
      </c>
      <c r="D3466" s="163" t="s">
        <v>4088</v>
      </c>
      <c r="E3466" s="164" t="n">
        <v>10000</v>
      </c>
      <c r="F3466" s="165" t="s">
        <v>7657</v>
      </c>
    </row>
    <row r="3467" customFormat="false" ht="15" hidden="false" customHeight="true" outlineLevel="0" collapsed="false">
      <c r="A3467" s="163" t="s">
        <v>3039</v>
      </c>
      <c r="B3467" s="163" t="s">
        <v>894</v>
      </c>
      <c r="C3467" s="163" t="s">
        <v>4826</v>
      </c>
      <c r="D3467" s="163" t="s">
        <v>4827</v>
      </c>
      <c r="E3467" s="164" t="n">
        <v>10000</v>
      </c>
      <c r="F3467" s="165" t="s">
        <v>7624</v>
      </c>
    </row>
    <row r="3468" customFormat="false" ht="15" hidden="false" customHeight="true" outlineLevel="0" collapsed="false">
      <c r="A3468" s="163" t="s">
        <v>3039</v>
      </c>
      <c r="B3468" s="163" t="s">
        <v>894</v>
      </c>
      <c r="C3468" s="163" t="s">
        <v>3856</v>
      </c>
      <c r="D3468" s="163" t="s">
        <v>3857</v>
      </c>
      <c r="E3468" s="164" t="n">
        <v>10000</v>
      </c>
      <c r="F3468" s="165" t="s">
        <v>7624</v>
      </c>
    </row>
    <row r="3469" customFormat="false" ht="15" hidden="false" customHeight="true" outlineLevel="0" collapsed="false">
      <c r="A3469" s="163" t="s">
        <v>3039</v>
      </c>
      <c r="B3469" s="163" t="s">
        <v>894</v>
      </c>
      <c r="C3469" s="163" t="s">
        <v>4047</v>
      </c>
      <c r="D3469" s="163" t="s">
        <v>4048</v>
      </c>
      <c r="E3469" s="164" t="n">
        <v>10000</v>
      </c>
      <c r="F3469" s="165" t="s">
        <v>7658</v>
      </c>
    </row>
    <row r="3470" customFormat="false" ht="15" hidden="false" customHeight="true" outlineLevel="0" collapsed="false">
      <c r="A3470" s="163" t="s">
        <v>3039</v>
      </c>
      <c r="B3470" s="163" t="s">
        <v>894</v>
      </c>
      <c r="C3470" s="163" t="s">
        <v>7659</v>
      </c>
      <c r="D3470" s="163" t="s">
        <v>7660</v>
      </c>
      <c r="E3470" s="164" t="n">
        <v>10000</v>
      </c>
      <c r="F3470" s="165" t="s">
        <v>7661</v>
      </c>
    </row>
    <row r="3471" customFormat="false" ht="15" hidden="false" customHeight="true" outlineLevel="0" collapsed="false">
      <c r="A3471" s="163" t="s">
        <v>3039</v>
      </c>
      <c r="B3471" s="163" t="s">
        <v>894</v>
      </c>
      <c r="C3471" s="163" t="s">
        <v>4143</v>
      </c>
      <c r="D3471" s="163" t="s">
        <v>4144</v>
      </c>
      <c r="E3471" s="164" t="n">
        <v>10000</v>
      </c>
      <c r="F3471" s="165" t="s">
        <v>7624</v>
      </c>
    </row>
    <row r="3472" customFormat="false" ht="15" hidden="false" customHeight="true" outlineLevel="0" collapsed="false">
      <c r="A3472" s="163" t="s">
        <v>3039</v>
      </c>
      <c r="B3472" s="163" t="s">
        <v>894</v>
      </c>
      <c r="C3472" s="163" t="s">
        <v>7662</v>
      </c>
      <c r="D3472" s="163" t="s">
        <v>7663</v>
      </c>
      <c r="E3472" s="164" t="n">
        <v>10000</v>
      </c>
      <c r="F3472" s="165" t="s">
        <v>7624</v>
      </c>
    </row>
    <row r="3473" customFormat="false" ht="15" hidden="false" customHeight="true" outlineLevel="0" collapsed="false">
      <c r="A3473" s="163" t="s">
        <v>3039</v>
      </c>
      <c r="B3473" s="163" t="s">
        <v>894</v>
      </c>
      <c r="C3473" s="163" t="s">
        <v>7664</v>
      </c>
      <c r="D3473" s="163" t="s">
        <v>7665</v>
      </c>
      <c r="E3473" s="164" t="n">
        <v>10000</v>
      </c>
      <c r="F3473" s="165" t="s">
        <v>7666</v>
      </c>
    </row>
    <row r="3474" customFormat="false" ht="15" hidden="false" customHeight="true" outlineLevel="0" collapsed="false">
      <c r="A3474" s="163" t="s">
        <v>3039</v>
      </c>
      <c r="B3474" s="163" t="s">
        <v>894</v>
      </c>
      <c r="C3474" s="163" t="s">
        <v>7633</v>
      </c>
      <c r="D3474" s="163" t="s">
        <v>7634</v>
      </c>
      <c r="E3474" s="164" t="n">
        <v>10000</v>
      </c>
      <c r="F3474" s="165" t="s">
        <v>7667</v>
      </c>
    </row>
    <row r="3475" customFormat="false" ht="15" hidden="false" customHeight="true" outlineLevel="0" collapsed="false">
      <c r="A3475" s="163" t="s">
        <v>3039</v>
      </c>
      <c r="B3475" s="163" t="s">
        <v>894</v>
      </c>
      <c r="C3475" s="163" t="s">
        <v>4193</v>
      </c>
      <c r="D3475" s="163" t="s">
        <v>4194</v>
      </c>
      <c r="E3475" s="164" t="n">
        <v>10000</v>
      </c>
      <c r="F3475" s="165" t="s">
        <v>7624</v>
      </c>
    </row>
    <row r="3476" customFormat="false" ht="15" hidden="false" customHeight="true" outlineLevel="0" collapsed="false">
      <c r="A3476" s="163" t="s">
        <v>3039</v>
      </c>
      <c r="B3476" s="163" t="s">
        <v>894</v>
      </c>
      <c r="C3476" s="163" t="s">
        <v>4153</v>
      </c>
      <c r="D3476" s="163" t="s">
        <v>4154</v>
      </c>
      <c r="E3476" s="164" t="n">
        <v>10000</v>
      </c>
      <c r="F3476" s="165" t="s">
        <v>7668</v>
      </c>
    </row>
    <row r="3477" customFormat="false" ht="15" hidden="false" customHeight="true" outlineLevel="0" collapsed="false">
      <c r="A3477" s="163" t="s">
        <v>3039</v>
      </c>
      <c r="B3477" s="163" t="s">
        <v>894</v>
      </c>
      <c r="C3477" s="163" t="s">
        <v>7669</v>
      </c>
      <c r="D3477" s="163" t="s">
        <v>7670</v>
      </c>
      <c r="E3477" s="164" t="n">
        <v>10000</v>
      </c>
      <c r="F3477" s="165" t="s">
        <v>4756</v>
      </c>
    </row>
    <row r="3478" customFormat="false" ht="15" hidden="false" customHeight="true" outlineLevel="0" collapsed="false">
      <c r="A3478" s="163" t="s">
        <v>3039</v>
      </c>
      <c r="B3478" s="163" t="s">
        <v>894</v>
      </c>
      <c r="C3478" s="163" t="s">
        <v>4829</v>
      </c>
      <c r="D3478" s="163" t="s">
        <v>4830</v>
      </c>
      <c r="E3478" s="164" t="n">
        <v>8000</v>
      </c>
      <c r="F3478" s="165" t="s">
        <v>7389</v>
      </c>
    </row>
    <row r="3479" customFormat="false" ht="15" hidden="false" customHeight="true" outlineLevel="0" collapsed="false">
      <c r="A3479" s="163" t="s">
        <v>3039</v>
      </c>
      <c r="B3479" s="163" t="s">
        <v>894</v>
      </c>
      <c r="C3479" s="163" t="s">
        <v>7671</v>
      </c>
      <c r="D3479" s="163" t="s">
        <v>7672</v>
      </c>
      <c r="E3479" s="164" t="n">
        <v>7000</v>
      </c>
      <c r="F3479" s="165" t="s">
        <v>7673</v>
      </c>
    </row>
    <row r="3480" customFormat="false" ht="15" hidden="false" customHeight="true" outlineLevel="0" collapsed="false">
      <c r="A3480" s="163" t="s">
        <v>3039</v>
      </c>
      <c r="B3480" s="163" t="s">
        <v>894</v>
      </c>
      <c r="C3480" s="163" t="s">
        <v>7594</v>
      </c>
      <c r="D3480" s="163" t="s">
        <v>7595</v>
      </c>
      <c r="E3480" s="164" t="n">
        <v>7000</v>
      </c>
      <c r="F3480" s="165" t="s">
        <v>7674</v>
      </c>
    </row>
    <row r="3481" customFormat="false" ht="15" hidden="false" customHeight="true" outlineLevel="0" collapsed="false">
      <c r="A3481" s="163" t="s">
        <v>3039</v>
      </c>
      <c r="B3481" s="163" t="s">
        <v>894</v>
      </c>
      <c r="C3481" s="163" t="s">
        <v>7675</v>
      </c>
      <c r="D3481" s="163" t="s">
        <v>7676</v>
      </c>
      <c r="E3481" s="164" t="n">
        <v>7000</v>
      </c>
      <c r="F3481" s="165" t="s">
        <v>7677</v>
      </c>
    </row>
    <row r="3482" customFormat="false" ht="15" hidden="false" customHeight="true" outlineLevel="0" collapsed="false">
      <c r="A3482" s="163" t="s">
        <v>3039</v>
      </c>
      <c r="B3482" s="163" t="s">
        <v>894</v>
      </c>
      <c r="C3482" s="163" t="s">
        <v>3188</v>
      </c>
      <c r="D3482" s="163" t="s">
        <v>3189</v>
      </c>
      <c r="E3482" s="164" t="n">
        <v>7000</v>
      </c>
      <c r="F3482" s="165" t="s">
        <v>7678</v>
      </c>
    </row>
    <row r="3483" customFormat="false" ht="15" hidden="false" customHeight="true" outlineLevel="0" collapsed="false">
      <c r="A3483" s="163" t="s">
        <v>3039</v>
      </c>
      <c r="B3483" s="163" t="s">
        <v>894</v>
      </c>
      <c r="C3483" s="163" t="s">
        <v>7679</v>
      </c>
      <c r="D3483" s="163" t="s">
        <v>7680</v>
      </c>
      <c r="E3483" s="164" t="n">
        <v>7000</v>
      </c>
      <c r="F3483" s="165" t="s">
        <v>3060</v>
      </c>
    </row>
    <row r="3484" customFormat="false" ht="15" hidden="false" customHeight="true" outlineLevel="0" collapsed="false">
      <c r="A3484" s="163" t="s">
        <v>3039</v>
      </c>
      <c r="B3484" s="163" t="s">
        <v>894</v>
      </c>
      <c r="C3484" s="163" t="s">
        <v>6368</v>
      </c>
      <c r="D3484" s="163" t="s">
        <v>6369</v>
      </c>
      <c r="E3484" s="164" t="n">
        <v>7000</v>
      </c>
      <c r="F3484" s="165" t="s">
        <v>3060</v>
      </c>
    </row>
    <row r="3485" customFormat="false" ht="15" hidden="false" customHeight="true" outlineLevel="0" collapsed="false">
      <c r="A3485" s="163" t="s">
        <v>3039</v>
      </c>
      <c r="B3485" s="163" t="s">
        <v>894</v>
      </c>
      <c r="C3485" s="163" t="s">
        <v>7681</v>
      </c>
      <c r="D3485" s="163" t="s">
        <v>7682</v>
      </c>
      <c r="E3485" s="164" t="n">
        <v>7000</v>
      </c>
      <c r="F3485" s="165" t="s">
        <v>7624</v>
      </c>
    </row>
    <row r="3486" customFormat="false" ht="15" hidden="false" customHeight="true" outlineLevel="0" collapsed="false">
      <c r="A3486" s="163" t="s">
        <v>3039</v>
      </c>
      <c r="B3486" s="163" t="s">
        <v>894</v>
      </c>
      <c r="C3486" s="163" t="s">
        <v>974</v>
      </c>
      <c r="D3486" s="163" t="s">
        <v>1931</v>
      </c>
      <c r="E3486" s="164" t="n">
        <v>7000</v>
      </c>
      <c r="F3486" s="165" t="s">
        <v>7683</v>
      </c>
    </row>
    <row r="3487" customFormat="false" ht="15" hidden="false" customHeight="true" outlineLevel="0" collapsed="false">
      <c r="A3487" s="163" t="s">
        <v>3039</v>
      </c>
      <c r="B3487" s="163" t="s">
        <v>894</v>
      </c>
      <c r="C3487" s="163" t="s">
        <v>7684</v>
      </c>
      <c r="D3487" s="163" t="s">
        <v>7685</v>
      </c>
      <c r="E3487" s="164" t="n">
        <v>6000</v>
      </c>
      <c r="F3487" s="165" t="s">
        <v>7624</v>
      </c>
    </row>
    <row r="3488" customFormat="false" ht="15" hidden="false" customHeight="true" outlineLevel="0" collapsed="false">
      <c r="A3488" s="163" t="s">
        <v>3039</v>
      </c>
      <c r="B3488" s="163" t="s">
        <v>894</v>
      </c>
      <c r="C3488" s="163" t="s">
        <v>7686</v>
      </c>
      <c r="D3488" s="163" t="s">
        <v>7687</v>
      </c>
      <c r="E3488" s="164" t="n">
        <v>5000</v>
      </c>
      <c r="F3488" s="165" t="s">
        <v>7389</v>
      </c>
    </row>
    <row r="3489" customFormat="false" ht="15" hidden="false" customHeight="true" outlineLevel="0" collapsed="false">
      <c r="A3489" s="163" t="s">
        <v>3039</v>
      </c>
      <c r="B3489" s="163" t="s">
        <v>894</v>
      </c>
      <c r="C3489" s="163" t="s">
        <v>7671</v>
      </c>
      <c r="D3489" s="163" t="s">
        <v>7672</v>
      </c>
      <c r="E3489" s="164" t="n">
        <v>5000</v>
      </c>
      <c r="F3489" s="165" t="s">
        <v>7688</v>
      </c>
    </row>
    <row r="3490" customFormat="false" ht="15" hidden="false" customHeight="true" outlineLevel="0" collapsed="false">
      <c r="A3490" s="163" t="s">
        <v>3039</v>
      </c>
      <c r="B3490" s="163" t="s">
        <v>894</v>
      </c>
      <c r="C3490" s="163" t="s">
        <v>7650</v>
      </c>
      <c r="D3490" s="163" t="s">
        <v>7651</v>
      </c>
      <c r="E3490" s="164" t="n">
        <v>5000</v>
      </c>
      <c r="F3490" s="165" t="s">
        <v>7689</v>
      </c>
    </row>
    <row r="3491" customFormat="false" ht="15" hidden="false" customHeight="true" outlineLevel="0" collapsed="false">
      <c r="A3491" s="163" t="s">
        <v>3039</v>
      </c>
      <c r="B3491" s="163" t="s">
        <v>894</v>
      </c>
      <c r="C3491" s="163" t="s">
        <v>3853</v>
      </c>
      <c r="D3491" s="163" t="s">
        <v>3854</v>
      </c>
      <c r="E3491" s="164" t="n">
        <v>5000</v>
      </c>
      <c r="F3491" s="165" t="s">
        <v>7624</v>
      </c>
    </row>
    <row r="3492" customFormat="false" ht="15" hidden="false" customHeight="true" outlineLevel="0" collapsed="false">
      <c r="A3492" s="163" t="s">
        <v>3039</v>
      </c>
      <c r="B3492" s="163" t="s">
        <v>894</v>
      </c>
      <c r="C3492" s="163" t="s">
        <v>7690</v>
      </c>
      <c r="D3492" s="163" t="s">
        <v>7691</v>
      </c>
      <c r="E3492" s="164" t="n">
        <v>5000</v>
      </c>
      <c r="F3492" s="165" t="s">
        <v>7624</v>
      </c>
    </row>
    <row r="3493" customFormat="false" ht="15" hidden="false" customHeight="true" outlineLevel="0" collapsed="false">
      <c r="A3493" s="163" t="s">
        <v>3039</v>
      </c>
      <c r="B3493" s="163" t="s">
        <v>894</v>
      </c>
      <c r="C3493" s="163" t="s">
        <v>7203</v>
      </c>
      <c r="D3493" s="163" t="s">
        <v>7204</v>
      </c>
      <c r="E3493" s="164" t="n">
        <v>5000</v>
      </c>
      <c r="F3493" s="165" t="s">
        <v>7624</v>
      </c>
    </row>
    <row r="3494" customFormat="false" ht="15" hidden="false" customHeight="true" outlineLevel="0" collapsed="false">
      <c r="A3494" s="163" t="s">
        <v>3039</v>
      </c>
      <c r="B3494" s="163" t="s">
        <v>894</v>
      </c>
      <c r="C3494" s="163" t="s">
        <v>7692</v>
      </c>
      <c r="D3494" s="163" t="s">
        <v>7693</v>
      </c>
      <c r="E3494" s="164" t="n">
        <v>5000</v>
      </c>
      <c r="F3494" s="165" t="s">
        <v>7694</v>
      </c>
    </row>
    <row r="3495" customFormat="false" ht="15" hidden="false" customHeight="true" outlineLevel="0" collapsed="false">
      <c r="A3495" s="163" t="s">
        <v>3039</v>
      </c>
      <c r="B3495" s="163" t="s">
        <v>894</v>
      </c>
      <c r="C3495" s="163" t="s">
        <v>372</v>
      </c>
      <c r="D3495" s="163" t="s">
        <v>2692</v>
      </c>
      <c r="E3495" s="164" t="n">
        <v>5000</v>
      </c>
      <c r="F3495" s="165" t="s">
        <v>7695</v>
      </c>
    </row>
    <row r="3496" customFormat="false" ht="15" hidden="false" customHeight="true" outlineLevel="0" collapsed="false">
      <c r="A3496" s="163" t="s">
        <v>3039</v>
      </c>
      <c r="B3496" s="163" t="s">
        <v>894</v>
      </c>
      <c r="C3496" s="163" t="s">
        <v>7696</v>
      </c>
      <c r="D3496" s="163" t="s">
        <v>7697</v>
      </c>
      <c r="E3496" s="164" t="n">
        <v>5000</v>
      </c>
      <c r="F3496" s="165" t="s">
        <v>7698</v>
      </c>
    </row>
    <row r="3497" customFormat="false" ht="15" hidden="false" customHeight="true" outlineLevel="0" collapsed="false">
      <c r="A3497" s="163" t="s">
        <v>3039</v>
      </c>
      <c r="B3497" s="163" t="s">
        <v>894</v>
      </c>
      <c r="C3497" s="163" t="s">
        <v>7362</v>
      </c>
      <c r="D3497" s="163" t="s">
        <v>7363</v>
      </c>
      <c r="E3497" s="164" t="n">
        <v>5000</v>
      </c>
      <c r="F3497" s="165" t="s">
        <v>3060</v>
      </c>
    </row>
    <row r="3498" customFormat="false" ht="15" hidden="false" customHeight="true" outlineLevel="0" collapsed="false">
      <c r="A3498" s="163" t="s">
        <v>3039</v>
      </c>
      <c r="B3498" s="163" t="s">
        <v>894</v>
      </c>
      <c r="C3498" s="163" t="s">
        <v>4017</v>
      </c>
      <c r="D3498" s="163" t="s">
        <v>4018</v>
      </c>
      <c r="E3498" s="164" t="n">
        <v>5000</v>
      </c>
      <c r="F3498" s="165" t="s">
        <v>7699</v>
      </c>
    </row>
    <row r="3499" customFormat="false" ht="15" hidden="false" customHeight="true" outlineLevel="0" collapsed="false">
      <c r="A3499" s="163" t="s">
        <v>3039</v>
      </c>
      <c r="B3499" s="163" t="s">
        <v>894</v>
      </c>
      <c r="C3499" s="163" t="s">
        <v>3808</v>
      </c>
      <c r="D3499" s="163" t="s">
        <v>3809</v>
      </c>
      <c r="E3499" s="164" t="n">
        <v>5000</v>
      </c>
      <c r="F3499" s="165" t="s">
        <v>7700</v>
      </c>
    </row>
    <row r="3500" customFormat="false" ht="15" hidden="false" customHeight="true" outlineLevel="0" collapsed="false">
      <c r="A3500" s="163" t="s">
        <v>3039</v>
      </c>
      <c r="B3500" s="163" t="s">
        <v>894</v>
      </c>
      <c r="C3500" s="163" t="s">
        <v>7701</v>
      </c>
      <c r="D3500" s="163" t="s">
        <v>7702</v>
      </c>
      <c r="E3500" s="164" t="n">
        <v>5000</v>
      </c>
      <c r="F3500" s="165" t="s">
        <v>7624</v>
      </c>
    </row>
    <row r="3501" customFormat="false" ht="15" hidden="false" customHeight="true" outlineLevel="0" collapsed="false">
      <c r="A3501" s="163" t="s">
        <v>3039</v>
      </c>
      <c r="B3501" s="163" t="s">
        <v>894</v>
      </c>
      <c r="C3501" s="163" t="s">
        <v>7703</v>
      </c>
      <c r="D3501" s="163" t="s">
        <v>7704</v>
      </c>
      <c r="E3501" s="164" t="n">
        <v>5000</v>
      </c>
      <c r="F3501" s="165" t="s">
        <v>7624</v>
      </c>
    </row>
    <row r="3502" customFormat="false" ht="15" hidden="false" customHeight="true" outlineLevel="0" collapsed="false">
      <c r="A3502" s="163" t="s">
        <v>3039</v>
      </c>
      <c r="B3502" s="163" t="s">
        <v>894</v>
      </c>
      <c r="C3502" s="163" t="s">
        <v>1191</v>
      </c>
      <c r="D3502" s="163" t="s">
        <v>2141</v>
      </c>
      <c r="E3502" s="164" t="n">
        <v>5000</v>
      </c>
      <c r="F3502" s="165" t="s">
        <v>7624</v>
      </c>
    </row>
    <row r="3503" customFormat="false" ht="15" hidden="false" customHeight="true" outlineLevel="0" collapsed="false">
      <c r="A3503" s="163" t="s">
        <v>3039</v>
      </c>
      <c r="B3503" s="163" t="s">
        <v>894</v>
      </c>
      <c r="C3503" s="163" t="s">
        <v>4229</v>
      </c>
      <c r="D3503" s="163" t="s">
        <v>4230</v>
      </c>
      <c r="E3503" s="164" t="n">
        <v>5000</v>
      </c>
      <c r="F3503" s="165" t="s">
        <v>7624</v>
      </c>
    </row>
    <row r="3504" customFormat="false" ht="15" hidden="false" customHeight="true" outlineLevel="0" collapsed="false">
      <c r="A3504" s="163" t="s">
        <v>3039</v>
      </c>
      <c r="B3504" s="163" t="s">
        <v>894</v>
      </c>
      <c r="C3504" s="163" t="s">
        <v>4843</v>
      </c>
      <c r="D3504" s="163" t="s">
        <v>4844</v>
      </c>
      <c r="E3504" s="164" t="n">
        <v>5000</v>
      </c>
      <c r="F3504" s="165" t="s">
        <v>7705</v>
      </c>
    </row>
    <row r="3505" customFormat="false" ht="15" hidden="false" customHeight="true" outlineLevel="0" collapsed="false">
      <c r="A3505" s="163" t="s">
        <v>3039</v>
      </c>
      <c r="B3505" s="163" t="s">
        <v>894</v>
      </c>
      <c r="C3505" s="163" t="s">
        <v>4076</v>
      </c>
      <c r="D3505" s="163" t="s">
        <v>4077</v>
      </c>
      <c r="E3505" s="164" t="n">
        <v>5000</v>
      </c>
      <c r="F3505" s="165" t="s">
        <v>7706</v>
      </c>
    </row>
    <row r="3506" customFormat="false" ht="15" hidden="false" customHeight="true" outlineLevel="0" collapsed="false">
      <c r="A3506" s="163" t="s">
        <v>3039</v>
      </c>
      <c r="B3506" s="163" t="s">
        <v>894</v>
      </c>
      <c r="C3506" s="163" t="s">
        <v>7199</v>
      </c>
      <c r="D3506" s="163" t="s">
        <v>7200</v>
      </c>
      <c r="E3506" s="164" t="n">
        <v>5000</v>
      </c>
      <c r="F3506" s="165" t="s">
        <v>7624</v>
      </c>
    </row>
    <row r="3507" customFormat="false" ht="15" hidden="false" customHeight="true" outlineLevel="0" collapsed="false">
      <c r="A3507" s="163" t="s">
        <v>3039</v>
      </c>
      <c r="B3507" s="163" t="s">
        <v>894</v>
      </c>
      <c r="C3507" s="163" t="s">
        <v>7707</v>
      </c>
      <c r="D3507" s="163" t="s">
        <v>7708</v>
      </c>
      <c r="E3507" s="164" t="n">
        <v>5000</v>
      </c>
      <c r="F3507" s="165" t="s">
        <v>7624</v>
      </c>
    </row>
    <row r="3508" customFormat="false" ht="15" hidden="false" customHeight="true" outlineLevel="0" collapsed="false">
      <c r="A3508" s="163" t="s">
        <v>3039</v>
      </c>
      <c r="B3508" s="163" t="s">
        <v>894</v>
      </c>
      <c r="C3508" s="163" t="s">
        <v>3063</v>
      </c>
      <c r="D3508" s="163" t="s">
        <v>3064</v>
      </c>
      <c r="E3508" s="164" t="n">
        <v>5000</v>
      </c>
      <c r="F3508" s="165" t="s">
        <v>7624</v>
      </c>
    </row>
    <row r="3509" customFormat="false" ht="15" hidden="false" customHeight="true" outlineLevel="0" collapsed="false">
      <c r="A3509" s="163" t="s">
        <v>3039</v>
      </c>
      <c r="B3509" s="163" t="s">
        <v>894</v>
      </c>
      <c r="C3509" s="163" t="s">
        <v>893</v>
      </c>
      <c r="D3509" s="163" t="s">
        <v>1931</v>
      </c>
      <c r="E3509" s="164" t="n">
        <v>5000</v>
      </c>
      <c r="F3509" s="165" t="s">
        <v>7709</v>
      </c>
    </row>
    <row r="3510" customFormat="false" ht="15" hidden="false" customHeight="true" outlineLevel="0" collapsed="false">
      <c r="A3510" s="163" t="s">
        <v>3039</v>
      </c>
      <c r="B3510" s="163" t="s">
        <v>894</v>
      </c>
      <c r="C3510" s="163" t="s">
        <v>7710</v>
      </c>
      <c r="D3510" s="163" t="s">
        <v>7711</v>
      </c>
      <c r="E3510" s="164" t="n">
        <v>5000</v>
      </c>
      <c r="F3510" s="165" t="s">
        <v>7624</v>
      </c>
    </row>
    <row r="3511" customFormat="false" ht="15" hidden="false" customHeight="true" outlineLevel="0" collapsed="false">
      <c r="A3511" s="163" t="s">
        <v>3039</v>
      </c>
      <c r="B3511" s="163" t="s">
        <v>894</v>
      </c>
      <c r="C3511" s="163" t="s">
        <v>7307</v>
      </c>
      <c r="D3511" s="163" t="s">
        <v>7308</v>
      </c>
      <c r="E3511" s="164" t="n">
        <v>5000</v>
      </c>
      <c r="F3511" s="165" t="s">
        <v>7712</v>
      </c>
    </row>
    <row r="3512" customFormat="false" ht="15" hidden="false" customHeight="true" outlineLevel="0" collapsed="false">
      <c r="A3512" s="163" t="s">
        <v>3039</v>
      </c>
      <c r="B3512" s="163" t="s">
        <v>894</v>
      </c>
      <c r="C3512" s="163" t="s">
        <v>7713</v>
      </c>
      <c r="D3512" s="163" t="s">
        <v>7714</v>
      </c>
      <c r="E3512" s="164" t="n">
        <v>5000</v>
      </c>
      <c r="F3512" s="165" t="s">
        <v>7713</v>
      </c>
    </row>
    <row r="3513" customFormat="false" ht="15" hidden="false" customHeight="true" outlineLevel="0" collapsed="false">
      <c r="A3513" s="163" t="s">
        <v>3039</v>
      </c>
      <c r="B3513" s="163" t="s">
        <v>894</v>
      </c>
      <c r="C3513" s="163" t="s">
        <v>7715</v>
      </c>
      <c r="D3513" s="163" t="s">
        <v>7716</v>
      </c>
      <c r="E3513" s="164" t="n">
        <v>5000</v>
      </c>
      <c r="F3513" s="165" t="s">
        <v>7717</v>
      </c>
    </row>
    <row r="3514" customFormat="false" ht="15" hidden="false" customHeight="true" outlineLevel="0" collapsed="false">
      <c r="A3514" s="163" t="s">
        <v>3039</v>
      </c>
      <c r="B3514" s="163" t="s">
        <v>894</v>
      </c>
      <c r="C3514" s="163" t="s">
        <v>4060</v>
      </c>
      <c r="D3514" s="163" t="s">
        <v>4061</v>
      </c>
      <c r="E3514" s="164" t="n">
        <v>5000</v>
      </c>
      <c r="F3514" s="165" t="s">
        <v>7718</v>
      </c>
    </row>
    <row r="3515" customFormat="false" ht="15" hidden="false" customHeight="true" outlineLevel="0" collapsed="false">
      <c r="A3515" s="163" t="s">
        <v>3039</v>
      </c>
      <c r="B3515" s="163" t="s">
        <v>894</v>
      </c>
      <c r="C3515" s="163" t="s">
        <v>7719</v>
      </c>
      <c r="D3515" s="163" t="s">
        <v>7720</v>
      </c>
      <c r="E3515" s="164" t="n">
        <v>5000</v>
      </c>
      <c r="F3515" s="165" t="s">
        <v>7624</v>
      </c>
    </row>
    <row r="3516" customFormat="false" ht="15" hidden="false" customHeight="true" outlineLevel="0" collapsed="false">
      <c r="A3516" s="163" t="s">
        <v>3039</v>
      </c>
      <c r="B3516" s="163" t="s">
        <v>894</v>
      </c>
      <c r="C3516" s="163" t="s">
        <v>6342</v>
      </c>
      <c r="D3516" s="163" t="s">
        <v>6343</v>
      </c>
      <c r="E3516" s="164" t="n">
        <v>5000</v>
      </c>
      <c r="F3516" s="165" t="s">
        <v>7624</v>
      </c>
    </row>
    <row r="3517" customFormat="false" ht="15" hidden="false" customHeight="true" outlineLevel="0" collapsed="false">
      <c r="A3517" s="163" t="s">
        <v>3039</v>
      </c>
      <c r="B3517" s="163" t="s">
        <v>894</v>
      </c>
      <c r="C3517" s="163" t="s">
        <v>7721</v>
      </c>
      <c r="D3517" s="163" t="s">
        <v>1931</v>
      </c>
      <c r="E3517" s="164" t="n">
        <v>5000</v>
      </c>
      <c r="F3517" s="165" t="s">
        <v>7722</v>
      </c>
    </row>
    <row r="3518" customFormat="false" ht="15" hidden="false" customHeight="true" outlineLevel="0" collapsed="false">
      <c r="A3518" s="163" t="s">
        <v>3039</v>
      </c>
      <c r="B3518" s="163" t="s">
        <v>894</v>
      </c>
      <c r="C3518" s="163" t="s">
        <v>2167</v>
      </c>
      <c r="D3518" s="163" t="s">
        <v>1931</v>
      </c>
      <c r="E3518" s="164" t="n">
        <v>3000</v>
      </c>
      <c r="F3518" s="165" t="s">
        <v>3060</v>
      </c>
    </row>
    <row r="3519" customFormat="false" ht="15" hidden="false" customHeight="true" outlineLevel="0" collapsed="false">
      <c r="A3519" s="163" t="s">
        <v>3039</v>
      </c>
      <c r="B3519" s="163" t="s">
        <v>894</v>
      </c>
      <c r="C3519" s="163" t="s">
        <v>7006</v>
      </c>
      <c r="D3519" s="163" t="s">
        <v>1931</v>
      </c>
      <c r="E3519" s="164" t="n">
        <v>2500</v>
      </c>
      <c r="F3519" s="165" t="s">
        <v>7624</v>
      </c>
    </row>
    <row r="3520" customFormat="false" ht="15" hidden="false" customHeight="true" outlineLevel="0" collapsed="false">
      <c r="A3520" s="163" t="s">
        <v>3039</v>
      </c>
      <c r="B3520" s="163" t="s">
        <v>894</v>
      </c>
      <c r="C3520" s="163" t="s">
        <v>7721</v>
      </c>
      <c r="D3520" s="163" t="s">
        <v>1931</v>
      </c>
      <c r="E3520" s="164" t="n">
        <v>2500</v>
      </c>
      <c r="F3520" s="165" t="s">
        <v>7624</v>
      </c>
    </row>
    <row r="3521" customFormat="false" ht="15" hidden="false" customHeight="true" outlineLevel="0" collapsed="false">
      <c r="A3521" s="163" t="s">
        <v>3039</v>
      </c>
      <c r="B3521" s="163" t="s">
        <v>894</v>
      </c>
      <c r="C3521" s="163" t="s">
        <v>7723</v>
      </c>
      <c r="D3521" s="163" t="s">
        <v>1931</v>
      </c>
      <c r="E3521" s="164" t="n">
        <v>2500</v>
      </c>
      <c r="F3521" s="165" t="s">
        <v>7624</v>
      </c>
    </row>
    <row r="3522" customFormat="false" ht="15" hidden="false" customHeight="true" outlineLevel="0" collapsed="false">
      <c r="A3522" s="163" t="s">
        <v>3039</v>
      </c>
      <c r="B3522" s="163" t="s">
        <v>894</v>
      </c>
      <c r="C3522" s="163" t="s">
        <v>7350</v>
      </c>
      <c r="D3522" s="163" t="s">
        <v>1931</v>
      </c>
      <c r="E3522" s="164" t="n">
        <v>2500</v>
      </c>
      <c r="F3522" s="165" t="s">
        <v>7624</v>
      </c>
    </row>
    <row r="3523" customFormat="false" ht="15" hidden="false" customHeight="true" outlineLevel="0" collapsed="false">
      <c r="A3523" s="163" t="s">
        <v>3039</v>
      </c>
      <c r="B3523" s="163" t="s">
        <v>894</v>
      </c>
      <c r="C3523" s="163" t="s">
        <v>7008</v>
      </c>
      <c r="D3523" s="163" t="s">
        <v>1931</v>
      </c>
      <c r="E3523" s="164" t="n">
        <v>2000</v>
      </c>
      <c r="F3523" s="165" t="s">
        <v>7624</v>
      </c>
    </row>
    <row r="3524" customFormat="false" ht="15" hidden="false" customHeight="true" outlineLevel="0" collapsed="false">
      <c r="A3524" s="163" t="s">
        <v>3039</v>
      </c>
      <c r="B3524" s="163" t="s">
        <v>882</v>
      </c>
      <c r="C3524" s="163" t="s">
        <v>2759</v>
      </c>
      <c r="D3524" s="163" t="s">
        <v>2760</v>
      </c>
      <c r="E3524" s="164" t="n">
        <v>130000</v>
      </c>
      <c r="F3524" s="165" t="s">
        <v>7724</v>
      </c>
    </row>
    <row r="3525" customFormat="false" ht="15" hidden="false" customHeight="true" outlineLevel="0" collapsed="false">
      <c r="A3525" s="163" t="s">
        <v>3039</v>
      </c>
      <c r="B3525" s="163" t="s">
        <v>882</v>
      </c>
      <c r="C3525" s="163" t="s">
        <v>3112</v>
      </c>
      <c r="D3525" s="163" t="s">
        <v>3113</v>
      </c>
      <c r="E3525" s="164" t="n">
        <v>90000</v>
      </c>
      <c r="F3525" s="165" t="s">
        <v>3112</v>
      </c>
    </row>
    <row r="3526" customFormat="false" ht="15" hidden="false" customHeight="true" outlineLevel="0" collapsed="false">
      <c r="A3526" s="163" t="s">
        <v>3039</v>
      </c>
      <c r="B3526" s="163" t="s">
        <v>882</v>
      </c>
      <c r="C3526" s="163" t="s">
        <v>640</v>
      </c>
      <c r="D3526" s="163" t="s">
        <v>1931</v>
      </c>
      <c r="E3526" s="164" t="n">
        <v>60000</v>
      </c>
      <c r="F3526" s="165" t="s">
        <v>640</v>
      </c>
    </row>
    <row r="3527" customFormat="false" ht="15" hidden="false" customHeight="true" outlineLevel="0" collapsed="false">
      <c r="A3527" s="163" t="s">
        <v>3039</v>
      </c>
      <c r="B3527" s="163" t="s">
        <v>2328</v>
      </c>
      <c r="C3527" s="163" t="s">
        <v>4143</v>
      </c>
      <c r="D3527" s="163" t="s">
        <v>4144</v>
      </c>
      <c r="E3527" s="164" t="n">
        <v>10000</v>
      </c>
      <c r="F3527" s="165" t="s">
        <v>4143</v>
      </c>
    </row>
    <row r="3528" customFormat="false" ht="15" hidden="false" customHeight="true" outlineLevel="0" collapsed="false">
      <c r="A3528" s="163" t="s">
        <v>3039</v>
      </c>
      <c r="B3528" s="163" t="s">
        <v>2328</v>
      </c>
      <c r="C3528" s="163" t="s">
        <v>6342</v>
      </c>
      <c r="D3528" s="163" t="s">
        <v>6343</v>
      </c>
      <c r="E3528" s="164" t="n">
        <v>10000</v>
      </c>
      <c r="F3528" s="165" t="s">
        <v>6342</v>
      </c>
    </row>
    <row r="3529" customFormat="false" ht="15" hidden="false" customHeight="true" outlineLevel="0" collapsed="false">
      <c r="A3529" s="163" t="s">
        <v>3039</v>
      </c>
      <c r="B3529" s="163" t="s">
        <v>2328</v>
      </c>
      <c r="C3529" s="163" t="s">
        <v>7725</v>
      </c>
      <c r="D3529" s="163" t="s">
        <v>7726</v>
      </c>
      <c r="E3529" s="164" t="n">
        <v>10000</v>
      </c>
      <c r="F3529" s="165" t="s">
        <v>7725</v>
      </c>
    </row>
    <row r="3530" customFormat="false" ht="15" hidden="false" customHeight="true" outlineLevel="0" collapsed="false">
      <c r="A3530" s="163" t="s">
        <v>3039</v>
      </c>
      <c r="B3530" s="163" t="s">
        <v>2328</v>
      </c>
      <c r="C3530" s="163" t="s">
        <v>3416</v>
      </c>
      <c r="D3530" s="163" t="s">
        <v>3417</v>
      </c>
      <c r="E3530" s="164" t="n">
        <v>10000</v>
      </c>
      <c r="F3530" s="165" t="s">
        <v>3416</v>
      </c>
    </row>
    <row r="3531" customFormat="false" ht="15" hidden="false" customHeight="true" outlineLevel="0" collapsed="false">
      <c r="A3531" s="163" t="s">
        <v>3039</v>
      </c>
      <c r="B3531" s="163" t="s">
        <v>2328</v>
      </c>
      <c r="C3531" s="163" t="s">
        <v>7727</v>
      </c>
      <c r="D3531" s="163" t="s">
        <v>7728</v>
      </c>
      <c r="E3531" s="164" t="n">
        <v>5000</v>
      </c>
      <c r="F3531" s="165" t="s">
        <v>7727</v>
      </c>
    </row>
    <row r="3532" customFormat="false" ht="15" hidden="false" customHeight="true" outlineLevel="0" collapsed="false">
      <c r="A3532" s="163" t="s">
        <v>3039</v>
      </c>
      <c r="B3532" s="163" t="s">
        <v>2328</v>
      </c>
      <c r="C3532" s="163" t="s">
        <v>7727</v>
      </c>
      <c r="D3532" s="163" t="s">
        <v>7728</v>
      </c>
      <c r="E3532" s="164" t="n">
        <v>5000</v>
      </c>
      <c r="F3532" s="165" t="s">
        <v>7727</v>
      </c>
    </row>
    <row r="3533" customFormat="false" ht="15" hidden="false" customHeight="true" outlineLevel="0" collapsed="false">
      <c r="A3533" s="163" t="s">
        <v>3039</v>
      </c>
      <c r="B3533" s="163" t="s">
        <v>2342</v>
      </c>
      <c r="C3533" s="163" t="s">
        <v>3063</v>
      </c>
      <c r="D3533" s="163" t="s">
        <v>3064</v>
      </c>
      <c r="E3533" s="164" t="n">
        <v>30000</v>
      </c>
      <c r="F3533" s="165" t="s">
        <v>3063</v>
      </c>
    </row>
    <row r="3534" customFormat="false" ht="15" hidden="false" customHeight="true" outlineLevel="0" collapsed="false">
      <c r="A3534" s="163" t="s">
        <v>3039</v>
      </c>
      <c r="B3534" s="163" t="s">
        <v>2342</v>
      </c>
      <c r="C3534" s="163" t="s">
        <v>4076</v>
      </c>
      <c r="D3534" s="163" t="s">
        <v>4077</v>
      </c>
      <c r="E3534" s="164" t="n">
        <v>20000</v>
      </c>
      <c r="F3534" s="165" t="s">
        <v>4076</v>
      </c>
    </row>
    <row r="3535" customFormat="false" ht="15" hidden="false" customHeight="true" outlineLevel="0" collapsed="false">
      <c r="A3535" s="163" t="s">
        <v>3039</v>
      </c>
      <c r="B3535" s="163" t="s">
        <v>2342</v>
      </c>
      <c r="C3535" s="163" t="s">
        <v>230</v>
      </c>
      <c r="D3535" s="163" t="s">
        <v>2077</v>
      </c>
      <c r="E3535" s="164" t="n">
        <v>10000</v>
      </c>
      <c r="F3535" s="165" t="s">
        <v>230</v>
      </c>
    </row>
    <row r="3536" customFormat="false" ht="15" hidden="false" customHeight="true" outlineLevel="0" collapsed="false">
      <c r="A3536" s="163" t="s">
        <v>3039</v>
      </c>
      <c r="B3536" s="163" t="s">
        <v>2342</v>
      </c>
      <c r="C3536" s="163" t="s">
        <v>197</v>
      </c>
      <c r="D3536" s="163" t="s">
        <v>1931</v>
      </c>
      <c r="E3536" s="164" t="n">
        <v>10000</v>
      </c>
      <c r="F3536" s="165" t="s">
        <v>197</v>
      </c>
    </row>
    <row r="3537" customFormat="false" ht="15" hidden="false" customHeight="true" outlineLevel="0" collapsed="false">
      <c r="A3537" s="163" t="s">
        <v>3039</v>
      </c>
      <c r="B3537" s="163" t="s">
        <v>2342</v>
      </c>
      <c r="C3537" s="163" t="s">
        <v>6888</v>
      </c>
      <c r="D3537" s="163" t="s">
        <v>6889</v>
      </c>
      <c r="E3537" s="164" t="n">
        <v>10000</v>
      </c>
      <c r="F3537" s="165" t="s">
        <v>6888</v>
      </c>
    </row>
    <row r="3538" customFormat="false" ht="15" hidden="false" customHeight="true" outlineLevel="0" collapsed="false">
      <c r="A3538" s="163" t="s">
        <v>3039</v>
      </c>
      <c r="B3538" s="163" t="s">
        <v>2766</v>
      </c>
      <c r="C3538" s="163" t="s">
        <v>7729</v>
      </c>
      <c r="D3538" s="163" t="s">
        <v>7730</v>
      </c>
      <c r="E3538" s="164" t="n">
        <v>15000</v>
      </c>
      <c r="F3538" s="165" t="s">
        <v>7731</v>
      </c>
    </row>
    <row r="3539" customFormat="false" ht="15" hidden="false" customHeight="true" outlineLevel="0" collapsed="false">
      <c r="A3539" s="163" t="s">
        <v>3039</v>
      </c>
      <c r="B3539" s="163" t="s">
        <v>2766</v>
      </c>
      <c r="C3539" s="163" t="s">
        <v>4103</v>
      </c>
      <c r="D3539" s="163" t="s">
        <v>4104</v>
      </c>
      <c r="E3539" s="164" t="n">
        <v>15000</v>
      </c>
      <c r="F3539" s="165" t="s">
        <v>4103</v>
      </c>
    </row>
    <row r="3540" customFormat="false" ht="15" hidden="false" customHeight="true" outlineLevel="0" collapsed="false">
      <c r="A3540" s="163" t="s">
        <v>3039</v>
      </c>
      <c r="B3540" s="163" t="s">
        <v>1743</v>
      </c>
      <c r="C3540" s="163" t="s">
        <v>3766</v>
      </c>
      <c r="D3540" s="163" t="s">
        <v>3767</v>
      </c>
      <c r="E3540" s="164" t="n">
        <v>10000</v>
      </c>
      <c r="F3540" s="165" t="s">
        <v>7732</v>
      </c>
    </row>
    <row r="3541" customFormat="false" ht="15" hidden="false" customHeight="true" outlineLevel="0" collapsed="false">
      <c r="A3541" s="163" t="s">
        <v>3039</v>
      </c>
      <c r="B3541" s="163" t="s">
        <v>1743</v>
      </c>
      <c r="C3541" s="163" t="s">
        <v>3853</v>
      </c>
      <c r="D3541" s="163" t="s">
        <v>3854</v>
      </c>
      <c r="E3541" s="164" t="n">
        <v>10000</v>
      </c>
      <c r="F3541" s="165" t="s">
        <v>3853</v>
      </c>
    </row>
    <row r="3542" customFormat="false" ht="15" hidden="false" customHeight="true" outlineLevel="0" collapsed="false">
      <c r="A3542" s="163" t="s">
        <v>3039</v>
      </c>
      <c r="B3542" s="163" t="s">
        <v>1743</v>
      </c>
      <c r="C3542" s="163" t="s">
        <v>6912</v>
      </c>
      <c r="D3542" s="163" t="s">
        <v>6913</v>
      </c>
      <c r="E3542" s="164" t="n">
        <v>10000</v>
      </c>
      <c r="F3542" s="165" t="s">
        <v>6912</v>
      </c>
    </row>
    <row r="3543" customFormat="false" ht="15" hidden="false" customHeight="true" outlineLevel="0" collapsed="false">
      <c r="A3543" s="163" t="s">
        <v>3039</v>
      </c>
      <c r="B3543" s="163" t="s">
        <v>1743</v>
      </c>
      <c r="C3543" s="163" t="s">
        <v>6342</v>
      </c>
      <c r="D3543" s="163" t="s">
        <v>6343</v>
      </c>
      <c r="E3543" s="164" t="n">
        <v>10000</v>
      </c>
      <c r="F3543" s="165" t="s">
        <v>6342</v>
      </c>
    </row>
    <row r="3544" customFormat="false" ht="15" hidden="false" customHeight="true" outlineLevel="0" collapsed="false">
      <c r="A3544" s="163" t="s">
        <v>3039</v>
      </c>
      <c r="B3544" s="163" t="s">
        <v>1743</v>
      </c>
      <c r="C3544" s="163" t="s">
        <v>4843</v>
      </c>
      <c r="D3544" s="163" t="s">
        <v>4844</v>
      </c>
      <c r="E3544" s="164" t="n">
        <v>10000</v>
      </c>
      <c r="F3544" s="165" t="s">
        <v>4843</v>
      </c>
    </row>
    <row r="3545" customFormat="false" ht="15" hidden="false" customHeight="true" outlineLevel="0" collapsed="false">
      <c r="A3545" s="163" t="s">
        <v>3039</v>
      </c>
      <c r="B3545" s="163" t="s">
        <v>1743</v>
      </c>
      <c r="C3545" s="163" t="s">
        <v>7669</v>
      </c>
      <c r="D3545" s="163" t="s">
        <v>7670</v>
      </c>
      <c r="E3545" s="164" t="n">
        <v>10000</v>
      </c>
      <c r="F3545" s="165" t="s">
        <v>7669</v>
      </c>
    </row>
    <row r="3546" customFormat="false" ht="15" hidden="false" customHeight="true" outlineLevel="0" collapsed="false">
      <c r="A3546" s="163" t="s">
        <v>3039</v>
      </c>
      <c r="B3546" s="163" t="s">
        <v>1743</v>
      </c>
      <c r="C3546" s="163" t="s">
        <v>7596</v>
      </c>
      <c r="D3546" s="163" t="s">
        <v>7597</v>
      </c>
      <c r="E3546" s="164" t="n">
        <v>10000</v>
      </c>
      <c r="F3546" s="165" t="s">
        <v>7596</v>
      </c>
    </row>
    <row r="3547" customFormat="false" ht="15" hidden="false" customHeight="true" outlineLevel="0" collapsed="false">
      <c r="A3547" s="163" t="s">
        <v>3039</v>
      </c>
      <c r="B3547" s="163" t="s">
        <v>1743</v>
      </c>
      <c r="C3547" s="163" t="s">
        <v>7604</v>
      </c>
      <c r="D3547" s="163" t="s">
        <v>7605</v>
      </c>
      <c r="E3547" s="164" t="n">
        <v>10000</v>
      </c>
      <c r="F3547" s="165" t="s">
        <v>7604</v>
      </c>
    </row>
    <row r="3548" customFormat="false" ht="15" hidden="false" customHeight="true" outlineLevel="0" collapsed="false">
      <c r="A3548" s="163" t="s">
        <v>3039</v>
      </c>
      <c r="B3548" s="163" t="s">
        <v>1743</v>
      </c>
      <c r="C3548" s="163" t="s">
        <v>4017</v>
      </c>
      <c r="D3548" s="163" t="s">
        <v>4018</v>
      </c>
      <c r="E3548" s="164" t="n">
        <v>10000</v>
      </c>
      <c r="F3548" s="165" t="s">
        <v>4017</v>
      </c>
    </row>
    <row r="3549" customFormat="false" ht="15" hidden="false" customHeight="true" outlineLevel="0" collapsed="false">
      <c r="A3549" s="163" t="s">
        <v>3039</v>
      </c>
      <c r="B3549" s="163" t="s">
        <v>1743</v>
      </c>
      <c r="C3549" s="163" t="s">
        <v>5015</v>
      </c>
      <c r="D3549" s="163" t="s">
        <v>5016</v>
      </c>
      <c r="E3549" s="164" t="n">
        <v>10000</v>
      </c>
      <c r="F3549" s="165" t="s">
        <v>5015</v>
      </c>
    </row>
    <row r="3550" customFormat="false" ht="15" hidden="false" customHeight="true" outlineLevel="0" collapsed="false">
      <c r="A3550" s="163" t="s">
        <v>3039</v>
      </c>
      <c r="B3550" s="163" t="s">
        <v>1743</v>
      </c>
      <c r="C3550" s="163" t="s">
        <v>1135</v>
      </c>
      <c r="D3550" s="163" t="s">
        <v>2507</v>
      </c>
      <c r="E3550" s="164" t="n">
        <v>10000</v>
      </c>
      <c r="F3550" s="165" t="s">
        <v>1135</v>
      </c>
    </row>
    <row r="3551" customFormat="false" ht="15" hidden="false" customHeight="true" outlineLevel="0" collapsed="false">
      <c r="A3551" s="163" t="s">
        <v>3039</v>
      </c>
      <c r="B3551" s="163" t="s">
        <v>1743</v>
      </c>
      <c r="C3551" s="163" t="s">
        <v>4826</v>
      </c>
      <c r="D3551" s="163" t="s">
        <v>4827</v>
      </c>
      <c r="E3551" s="164" t="n">
        <v>10000</v>
      </c>
      <c r="F3551" s="165" t="s">
        <v>4826</v>
      </c>
    </row>
    <row r="3552" customFormat="false" ht="15" hidden="false" customHeight="true" outlineLevel="0" collapsed="false">
      <c r="A3552" s="163" t="s">
        <v>3039</v>
      </c>
      <c r="B3552" s="163" t="s">
        <v>1743</v>
      </c>
      <c r="C3552" s="163" t="s">
        <v>4350</v>
      </c>
      <c r="D3552" s="163" t="s">
        <v>4351</v>
      </c>
      <c r="E3552" s="164" t="n">
        <v>10000</v>
      </c>
      <c r="F3552" s="165" t="s">
        <v>7733</v>
      </c>
    </row>
    <row r="3553" customFormat="false" ht="15" hidden="false" customHeight="true" outlineLevel="0" collapsed="false">
      <c r="A3553" s="163" t="s">
        <v>3039</v>
      </c>
      <c r="B3553" s="163" t="s">
        <v>1743</v>
      </c>
      <c r="C3553" s="163" t="s">
        <v>7599</v>
      </c>
      <c r="D3553" s="163" t="s">
        <v>7600</v>
      </c>
      <c r="E3553" s="164" t="n">
        <v>10000</v>
      </c>
      <c r="F3553" s="165" t="s">
        <v>7599</v>
      </c>
    </row>
    <row r="3554" customFormat="false" ht="15" hidden="false" customHeight="true" outlineLevel="0" collapsed="false">
      <c r="A3554" s="163" t="s">
        <v>3039</v>
      </c>
      <c r="B3554" s="163" t="s">
        <v>1743</v>
      </c>
      <c r="C3554" s="163" t="s">
        <v>7599</v>
      </c>
      <c r="D3554" s="163" t="s">
        <v>7600</v>
      </c>
      <c r="E3554" s="164" t="n">
        <v>10000</v>
      </c>
      <c r="F3554" s="165" t="s">
        <v>7734</v>
      </c>
    </row>
    <row r="3555" customFormat="false" ht="15" hidden="false" customHeight="true" outlineLevel="0" collapsed="false">
      <c r="A3555" s="163" t="s">
        <v>3039</v>
      </c>
      <c r="B3555" s="163" t="s">
        <v>928</v>
      </c>
      <c r="C3555" s="163" t="s">
        <v>7735</v>
      </c>
      <c r="D3555" s="163" t="s">
        <v>7736</v>
      </c>
      <c r="E3555" s="164" t="n">
        <v>10000</v>
      </c>
      <c r="F3555" s="165" t="s">
        <v>7737</v>
      </c>
    </row>
    <row r="3556" customFormat="false" ht="15" hidden="false" customHeight="true" outlineLevel="0" collapsed="false">
      <c r="A3556" s="163" t="s">
        <v>3039</v>
      </c>
      <c r="B3556" s="163" t="s">
        <v>928</v>
      </c>
      <c r="C3556" s="163" t="s">
        <v>7738</v>
      </c>
      <c r="D3556" s="163" t="s">
        <v>7739</v>
      </c>
      <c r="E3556" s="164" t="n">
        <v>10000</v>
      </c>
      <c r="F3556" s="165" t="s">
        <v>7740</v>
      </c>
    </row>
    <row r="3557" customFormat="false" ht="15" hidden="false" customHeight="true" outlineLevel="0" collapsed="false">
      <c r="A3557" s="163" t="s">
        <v>3039</v>
      </c>
      <c r="B3557" s="163" t="s">
        <v>928</v>
      </c>
      <c r="C3557" s="163" t="s">
        <v>7696</v>
      </c>
      <c r="D3557" s="163" t="s">
        <v>7697</v>
      </c>
      <c r="E3557" s="164" t="n">
        <v>7000</v>
      </c>
      <c r="F3557" s="165" t="s">
        <v>7741</v>
      </c>
    </row>
    <row r="3558" customFormat="false" ht="15" hidden="false" customHeight="true" outlineLevel="0" collapsed="false">
      <c r="A3558" s="163" t="s">
        <v>3039</v>
      </c>
      <c r="B3558" s="163" t="s">
        <v>928</v>
      </c>
      <c r="C3558" s="163" t="s">
        <v>7158</v>
      </c>
      <c r="D3558" s="163" t="s">
        <v>7159</v>
      </c>
      <c r="E3558" s="164" t="n">
        <v>5000</v>
      </c>
      <c r="F3558" s="165" t="s">
        <v>7158</v>
      </c>
    </row>
    <row r="3559" customFormat="false" ht="15" hidden="false" customHeight="true" outlineLevel="0" collapsed="false">
      <c r="A3559" s="163" t="s">
        <v>3039</v>
      </c>
      <c r="B3559" s="163" t="s">
        <v>928</v>
      </c>
      <c r="C3559" s="163" t="s">
        <v>7742</v>
      </c>
      <c r="D3559" s="163" t="s">
        <v>7743</v>
      </c>
      <c r="E3559" s="164" t="n">
        <v>5000</v>
      </c>
      <c r="F3559" s="165" t="s">
        <v>7718</v>
      </c>
    </row>
    <row r="3560" customFormat="false" ht="15" hidden="false" customHeight="true" outlineLevel="0" collapsed="false">
      <c r="A3560" s="163" t="s">
        <v>3039</v>
      </c>
      <c r="B3560" s="163" t="s">
        <v>928</v>
      </c>
      <c r="C3560" s="163" t="s">
        <v>7744</v>
      </c>
      <c r="D3560" s="163" t="s">
        <v>7745</v>
      </c>
      <c r="E3560" s="164" t="n">
        <v>5000</v>
      </c>
      <c r="F3560" s="165" t="s">
        <v>7718</v>
      </c>
    </row>
    <row r="3561" customFormat="false" ht="15" hidden="false" customHeight="true" outlineLevel="0" collapsed="false">
      <c r="A3561" s="163" t="s">
        <v>3039</v>
      </c>
      <c r="B3561" s="163" t="s">
        <v>928</v>
      </c>
      <c r="C3561" s="163" t="s">
        <v>2780</v>
      </c>
      <c r="D3561" s="163" t="s">
        <v>2429</v>
      </c>
      <c r="E3561" s="164" t="n">
        <v>5000</v>
      </c>
      <c r="F3561" s="165" t="s">
        <v>7718</v>
      </c>
    </row>
    <row r="3562" customFormat="false" ht="15" hidden="false" customHeight="true" outlineLevel="0" collapsed="false">
      <c r="A3562" s="163" t="s">
        <v>3039</v>
      </c>
      <c r="B3562" s="163" t="s">
        <v>928</v>
      </c>
      <c r="C3562" s="163" t="s">
        <v>7746</v>
      </c>
      <c r="D3562" s="163" t="s">
        <v>7747</v>
      </c>
      <c r="E3562" s="164" t="n">
        <v>5000</v>
      </c>
      <c r="F3562" s="165" t="s">
        <v>7624</v>
      </c>
    </row>
    <row r="3563" customFormat="false" ht="15" hidden="false" customHeight="true" outlineLevel="0" collapsed="false">
      <c r="A3563" s="163" t="s">
        <v>3039</v>
      </c>
      <c r="B3563" s="163" t="s">
        <v>928</v>
      </c>
      <c r="C3563" s="163" t="s">
        <v>7748</v>
      </c>
      <c r="D3563" s="163" t="s">
        <v>7749</v>
      </c>
      <c r="E3563" s="164" t="n">
        <v>5000</v>
      </c>
      <c r="F3563" s="165" t="s">
        <v>7750</v>
      </c>
    </row>
    <row r="3564" customFormat="false" ht="15" hidden="false" customHeight="true" outlineLevel="0" collapsed="false">
      <c r="A3564" s="163" t="s">
        <v>3039</v>
      </c>
      <c r="B3564" s="163" t="s">
        <v>928</v>
      </c>
      <c r="C3564" s="163" t="s">
        <v>4047</v>
      </c>
      <c r="D3564" s="163" t="s">
        <v>4048</v>
      </c>
      <c r="E3564" s="164" t="n">
        <v>5000</v>
      </c>
      <c r="F3564" s="165" t="s">
        <v>7751</v>
      </c>
    </row>
    <row r="3565" customFormat="false" ht="15" hidden="false" customHeight="true" outlineLevel="0" collapsed="false">
      <c r="A3565" s="163" t="s">
        <v>3039</v>
      </c>
      <c r="B3565" s="163" t="s">
        <v>928</v>
      </c>
      <c r="C3565" s="163" t="s">
        <v>7445</v>
      </c>
      <c r="D3565" s="163" t="s">
        <v>7446</v>
      </c>
      <c r="E3565" s="164" t="n">
        <v>5000</v>
      </c>
      <c r="F3565" s="165" t="s">
        <v>7624</v>
      </c>
    </row>
    <row r="3566" customFormat="false" ht="15" hidden="false" customHeight="true" outlineLevel="0" collapsed="false">
      <c r="A3566" s="163" t="s">
        <v>3039</v>
      </c>
      <c r="B3566" s="163" t="s">
        <v>928</v>
      </c>
      <c r="C3566" s="163" t="s">
        <v>3567</v>
      </c>
      <c r="D3566" s="163" t="s">
        <v>3568</v>
      </c>
      <c r="E3566" s="164" t="n">
        <v>5000</v>
      </c>
      <c r="F3566" s="165" t="s">
        <v>7752</v>
      </c>
    </row>
    <row r="3567" customFormat="false" ht="15" hidden="false" customHeight="true" outlineLevel="0" collapsed="false">
      <c r="A3567" s="163" t="s">
        <v>3039</v>
      </c>
      <c r="B3567" s="163" t="s">
        <v>928</v>
      </c>
      <c r="C3567" s="163" t="s">
        <v>5376</v>
      </c>
      <c r="D3567" s="163" t="s">
        <v>5377</v>
      </c>
      <c r="E3567" s="164" t="n">
        <v>5000</v>
      </c>
      <c r="F3567" s="165" t="s">
        <v>7624</v>
      </c>
    </row>
    <row r="3568" customFormat="false" ht="15" hidden="false" customHeight="true" outlineLevel="0" collapsed="false">
      <c r="A3568" s="163" t="s">
        <v>3039</v>
      </c>
      <c r="B3568" s="163" t="s">
        <v>928</v>
      </c>
      <c r="C3568" s="163" t="s">
        <v>3317</v>
      </c>
      <c r="D3568" s="163" t="s">
        <v>3318</v>
      </c>
      <c r="E3568" s="164" t="n">
        <v>5000</v>
      </c>
      <c r="F3568" s="165" t="s">
        <v>7624</v>
      </c>
    </row>
    <row r="3569" customFormat="false" ht="15" hidden="false" customHeight="true" outlineLevel="0" collapsed="false">
      <c r="A3569" s="163" t="s">
        <v>3039</v>
      </c>
      <c r="B3569" s="163" t="s">
        <v>928</v>
      </c>
      <c r="C3569" s="163" t="s">
        <v>4843</v>
      </c>
      <c r="D3569" s="163" t="s">
        <v>4844</v>
      </c>
      <c r="E3569" s="164" t="n">
        <v>5000</v>
      </c>
      <c r="F3569" s="165" t="s">
        <v>7753</v>
      </c>
    </row>
    <row r="3570" customFormat="false" ht="15" hidden="false" customHeight="true" outlineLevel="0" collapsed="false">
      <c r="A3570" s="163" t="s">
        <v>3039</v>
      </c>
      <c r="B3570" s="163" t="s">
        <v>928</v>
      </c>
      <c r="C3570" s="163" t="s">
        <v>7754</v>
      </c>
      <c r="D3570" s="163" t="s">
        <v>7755</v>
      </c>
      <c r="E3570" s="164" t="n">
        <v>5000</v>
      </c>
      <c r="F3570" s="165" t="s">
        <v>7756</v>
      </c>
    </row>
    <row r="3571" customFormat="false" ht="15" hidden="false" customHeight="true" outlineLevel="0" collapsed="false">
      <c r="A3571" s="163" t="s">
        <v>3039</v>
      </c>
      <c r="B3571" s="163" t="s">
        <v>928</v>
      </c>
      <c r="C3571" s="163" t="s">
        <v>7611</v>
      </c>
      <c r="D3571" s="163" t="s">
        <v>7612</v>
      </c>
      <c r="E3571" s="164" t="n">
        <v>5000</v>
      </c>
      <c r="F3571" s="165" t="s">
        <v>7624</v>
      </c>
    </row>
    <row r="3572" customFormat="false" ht="15" hidden="false" customHeight="true" outlineLevel="0" collapsed="false">
      <c r="A3572" s="163" t="s">
        <v>3039</v>
      </c>
      <c r="B3572" s="163" t="s">
        <v>928</v>
      </c>
      <c r="C3572" s="163" t="s">
        <v>7757</v>
      </c>
      <c r="D3572" s="163" t="s">
        <v>7758</v>
      </c>
      <c r="E3572" s="164" t="n">
        <v>5000</v>
      </c>
      <c r="F3572" s="165" t="s">
        <v>7759</v>
      </c>
    </row>
    <row r="3573" customFormat="false" ht="15" hidden="false" customHeight="true" outlineLevel="0" collapsed="false">
      <c r="A3573" s="163" t="s">
        <v>3039</v>
      </c>
      <c r="B3573" s="163" t="s">
        <v>928</v>
      </c>
      <c r="C3573" s="163" t="s">
        <v>7760</v>
      </c>
      <c r="D3573" s="163" t="s">
        <v>7761</v>
      </c>
      <c r="E3573" s="164" t="n">
        <v>5000</v>
      </c>
      <c r="F3573" s="165" t="s">
        <v>7762</v>
      </c>
    </row>
    <row r="3574" customFormat="false" ht="15" hidden="false" customHeight="true" outlineLevel="0" collapsed="false">
      <c r="A3574" s="163" t="s">
        <v>3039</v>
      </c>
      <c r="B3574" s="163" t="s">
        <v>928</v>
      </c>
      <c r="C3574" s="163" t="s">
        <v>6813</v>
      </c>
      <c r="D3574" s="163" t="s">
        <v>6814</v>
      </c>
      <c r="E3574" s="164" t="n">
        <v>5000</v>
      </c>
      <c r="F3574" s="165" t="s">
        <v>7762</v>
      </c>
    </row>
    <row r="3575" customFormat="false" ht="15" hidden="false" customHeight="true" outlineLevel="0" collapsed="false">
      <c r="A3575" s="163" t="s">
        <v>3039</v>
      </c>
      <c r="B3575" s="163" t="s">
        <v>928</v>
      </c>
      <c r="C3575" s="163" t="s">
        <v>6421</v>
      </c>
      <c r="D3575" s="163" t="s">
        <v>6422</v>
      </c>
      <c r="E3575" s="164" t="n">
        <v>5000</v>
      </c>
      <c r="F3575" s="165" t="s">
        <v>7624</v>
      </c>
    </row>
    <row r="3576" customFormat="false" ht="15" hidden="false" customHeight="true" outlineLevel="0" collapsed="false">
      <c r="A3576" s="163" t="s">
        <v>3039</v>
      </c>
      <c r="B3576" s="163" t="s">
        <v>928</v>
      </c>
      <c r="C3576" s="163" t="s">
        <v>2953</v>
      </c>
      <c r="D3576" s="163" t="s">
        <v>2954</v>
      </c>
      <c r="E3576" s="164" t="n">
        <v>5000</v>
      </c>
      <c r="F3576" s="165" t="s">
        <v>7763</v>
      </c>
    </row>
    <row r="3577" customFormat="false" ht="15" hidden="false" customHeight="true" outlineLevel="0" collapsed="false">
      <c r="A3577" s="163" t="s">
        <v>3039</v>
      </c>
      <c r="B3577" s="163" t="s">
        <v>928</v>
      </c>
      <c r="C3577" s="163" t="s">
        <v>4692</v>
      </c>
      <c r="D3577" s="163" t="s">
        <v>4693</v>
      </c>
      <c r="E3577" s="164" t="n">
        <v>5000</v>
      </c>
      <c r="F3577" s="165" t="s">
        <v>7764</v>
      </c>
    </row>
    <row r="3578" customFormat="false" ht="15" hidden="false" customHeight="true" outlineLevel="0" collapsed="false">
      <c r="A3578" s="163" t="s">
        <v>3039</v>
      </c>
      <c r="B3578" s="163" t="s">
        <v>928</v>
      </c>
      <c r="C3578" s="163" t="s">
        <v>7450</v>
      </c>
      <c r="D3578" s="163" t="s">
        <v>7451</v>
      </c>
      <c r="E3578" s="164" t="n">
        <v>5000</v>
      </c>
      <c r="F3578" s="165" t="s">
        <v>7624</v>
      </c>
    </row>
    <row r="3579" customFormat="false" ht="15" hidden="false" customHeight="true" outlineLevel="0" collapsed="false">
      <c r="A3579" s="163" t="s">
        <v>3039</v>
      </c>
      <c r="B3579" s="163" t="s">
        <v>928</v>
      </c>
      <c r="C3579" s="163" t="s">
        <v>7765</v>
      </c>
      <c r="D3579" s="163" t="s">
        <v>7766</v>
      </c>
      <c r="E3579" s="164" t="n">
        <v>5000</v>
      </c>
      <c r="F3579" s="165" t="s">
        <v>7767</v>
      </c>
    </row>
    <row r="3580" customFormat="false" ht="15" hidden="false" customHeight="true" outlineLevel="0" collapsed="false">
      <c r="A3580" s="163" t="s">
        <v>3039</v>
      </c>
      <c r="B3580" s="163" t="s">
        <v>928</v>
      </c>
      <c r="C3580" s="163" t="s">
        <v>1159</v>
      </c>
      <c r="D3580" s="163" t="s">
        <v>1936</v>
      </c>
      <c r="E3580" s="164" t="n">
        <v>5000</v>
      </c>
      <c r="F3580" s="165" t="s">
        <v>7624</v>
      </c>
    </row>
    <row r="3581" customFormat="false" ht="15" hidden="false" customHeight="true" outlineLevel="0" collapsed="false">
      <c r="A3581" s="163" t="s">
        <v>3039</v>
      </c>
      <c r="B3581" s="163" t="s">
        <v>928</v>
      </c>
      <c r="C3581" s="163" t="s">
        <v>7307</v>
      </c>
      <c r="D3581" s="163" t="s">
        <v>7308</v>
      </c>
      <c r="E3581" s="164" t="n">
        <v>5000</v>
      </c>
      <c r="F3581" s="165" t="s">
        <v>7767</v>
      </c>
    </row>
    <row r="3582" customFormat="false" ht="15" hidden="false" customHeight="true" outlineLevel="0" collapsed="false">
      <c r="A3582" s="163" t="s">
        <v>3039</v>
      </c>
      <c r="B3582" s="163" t="s">
        <v>928</v>
      </c>
      <c r="C3582" s="163" t="s">
        <v>2167</v>
      </c>
      <c r="D3582" s="163" t="s">
        <v>1931</v>
      </c>
      <c r="E3582" s="164" t="n">
        <v>3000</v>
      </c>
      <c r="F3582" s="165" t="s">
        <v>3060</v>
      </c>
    </row>
    <row r="3583" customFormat="false" ht="15" hidden="false" customHeight="true" outlineLevel="0" collapsed="false">
      <c r="A3583" s="163" t="s">
        <v>3021</v>
      </c>
      <c r="B3583" s="163" t="s">
        <v>926</v>
      </c>
      <c r="C3583" s="163" t="s">
        <v>3334</v>
      </c>
      <c r="D3583" s="163" t="s">
        <v>3335</v>
      </c>
      <c r="E3583" s="164" t="n">
        <v>60000</v>
      </c>
      <c r="F3583" s="165" t="s">
        <v>7768</v>
      </c>
    </row>
    <row r="3584" customFormat="false" ht="15" hidden="false" customHeight="true" outlineLevel="0" collapsed="false">
      <c r="A3584" s="163" t="s">
        <v>3021</v>
      </c>
      <c r="B3584" s="163" t="s">
        <v>926</v>
      </c>
      <c r="C3584" s="163" t="s">
        <v>424</v>
      </c>
      <c r="D3584" s="163" t="s">
        <v>2630</v>
      </c>
      <c r="E3584" s="164" t="n">
        <v>13831</v>
      </c>
      <c r="F3584" s="165" t="s">
        <v>7769</v>
      </c>
    </row>
    <row r="3585" customFormat="false" ht="15" hidden="false" customHeight="true" outlineLevel="0" collapsed="false">
      <c r="A3585" s="163" t="s">
        <v>3021</v>
      </c>
      <c r="B3585" s="163" t="s">
        <v>926</v>
      </c>
      <c r="C3585" s="163" t="s">
        <v>5148</v>
      </c>
      <c r="D3585" s="163" t="s">
        <v>5149</v>
      </c>
      <c r="E3585" s="164" t="n">
        <v>13085</v>
      </c>
      <c r="F3585" s="165" t="s">
        <v>7770</v>
      </c>
    </row>
    <row r="3586" customFormat="false" ht="15" hidden="false" customHeight="true" outlineLevel="0" collapsed="false">
      <c r="A3586" s="163" t="s">
        <v>3021</v>
      </c>
      <c r="B3586" s="163" t="s">
        <v>926</v>
      </c>
      <c r="C3586" s="163" t="s">
        <v>3552</v>
      </c>
      <c r="D3586" s="163" t="s">
        <v>3553</v>
      </c>
      <c r="E3586" s="164" t="n">
        <v>13084</v>
      </c>
      <c r="F3586" s="165" t="s">
        <v>7769</v>
      </c>
    </row>
    <row r="3587" customFormat="false" ht="15" hidden="false" customHeight="true" outlineLevel="0" collapsed="false">
      <c r="A3587" s="163" t="s">
        <v>3021</v>
      </c>
      <c r="B3587" s="163" t="s">
        <v>957</v>
      </c>
      <c r="C3587" s="163" t="s">
        <v>5214</v>
      </c>
      <c r="D3587" s="163" t="s">
        <v>5215</v>
      </c>
      <c r="E3587" s="164" t="n">
        <v>22000</v>
      </c>
      <c r="F3587" s="165" t="s">
        <v>7771</v>
      </c>
    </row>
    <row r="3588" customFormat="false" ht="15" hidden="false" customHeight="true" outlineLevel="0" collapsed="false">
      <c r="A3588" s="163" t="s">
        <v>3021</v>
      </c>
      <c r="B3588" s="163" t="s">
        <v>957</v>
      </c>
      <c r="C3588" s="163" t="s">
        <v>4635</v>
      </c>
      <c r="D3588" s="163" t="s">
        <v>4636</v>
      </c>
      <c r="E3588" s="164" t="n">
        <v>19500</v>
      </c>
      <c r="F3588" s="165" t="s">
        <v>7772</v>
      </c>
    </row>
    <row r="3589" customFormat="false" ht="15" hidden="false" customHeight="true" outlineLevel="0" collapsed="false">
      <c r="A3589" s="163" t="s">
        <v>3021</v>
      </c>
      <c r="B3589" s="163" t="s">
        <v>957</v>
      </c>
      <c r="C3589" s="163" t="s">
        <v>7773</v>
      </c>
      <c r="D3589" s="163" t="s">
        <v>7774</v>
      </c>
      <c r="E3589" s="164" t="n">
        <v>18500</v>
      </c>
      <c r="F3589" s="165" t="s">
        <v>3060</v>
      </c>
    </row>
    <row r="3590" customFormat="false" ht="15" hidden="false" customHeight="true" outlineLevel="0" collapsed="false">
      <c r="A3590" s="163" t="s">
        <v>3021</v>
      </c>
      <c r="B3590" s="163" t="s">
        <v>957</v>
      </c>
      <c r="C3590" s="163" t="s">
        <v>6557</v>
      </c>
      <c r="D3590" s="163" t="s">
        <v>6558</v>
      </c>
      <c r="E3590" s="164" t="n">
        <v>13000</v>
      </c>
      <c r="F3590" s="165" t="s">
        <v>3342</v>
      </c>
    </row>
    <row r="3591" customFormat="false" ht="15" hidden="false" customHeight="true" outlineLevel="0" collapsed="false">
      <c r="A3591" s="163" t="s">
        <v>3021</v>
      </c>
      <c r="B3591" s="163" t="s">
        <v>957</v>
      </c>
      <c r="C3591" s="163" t="s">
        <v>1860</v>
      </c>
      <c r="D3591" s="163" t="s">
        <v>1861</v>
      </c>
      <c r="E3591" s="164" t="n">
        <v>10000</v>
      </c>
      <c r="F3591" s="165" t="s">
        <v>7775</v>
      </c>
    </row>
    <row r="3592" customFormat="false" ht="15" hidden="false" customHeight="true" outlineLevel="0" collapsed="false">
      <c r="A3592" s="163" t="s">
        <v>3021</v>
      </c>
      <c r="B3592" s="163" t="s">
        <v>957</v>
      </c>
      <c r="C3592" s="163" t="s">
        <v>7776</v>
      </c>
      <c r="D3592" s="163" t="s">
        <v>7777</v>
      </c>
      <c r="E3592" s="164" t="n">
        <v>9000</v>
      </c>
      <c r="F3592" s="165" t="s">
        <v>3060</v>
      </c>
    </row>
    <row r="3593" customFormat="false" ht="15" hidden="false" customHeight="true" outlineLevel="0" collapsed="false">
      <c r="A3593" s="163" t="s">
        <v>3021</v>
      </c>
      <c r="B3593" s="163" t="s">
        <v>957</v>
      </c>
      <c r="C3593" s="163" t="s">
        <v>5214</v>
      </c>
      <c r="D3593" s="163" t="s">
        <v>5215</v>
      </c>
      <c r="E3593" s="164" t="n">
        <v>8000</v>
      </c>
      <c r="F3593" s="165" t="s">
        <v>7778</v>
      </c>
    </row>
    <row r="3594" customFormat="false" ht="15" hidden="false" customHeight="true" outlineLevel="0" collapsed="false">
      <c r="A3594" s="163" t="s">
        <v>3021</v>
      </c>
      <c r="B3594" s="163" t="s">
        <v>957</v>
      </c>
      <c r="C3594" s="163" t="s">
        <v>5793</v>
      </c>
      <c r="D3594" s="163" t="s">
        <v>5794</v>
      </c>
      <c r="E3594" s="164" t="n">
        <v>5000</v>
      </c>
      <c r="F3594" s="165" t="s">
        <v>7779</v>
      </c>
    </row>
    <row r="3595" customFormat="false" ht="15" hidden="false" customHeight="true" outlineLevel="0" collapsed="false">
      <c r="A3595" s="163" t="s">
        <v>3021</v>
      </c>
      <c r="B3595" s="163" t="s">
        <v>957</v>
      </c>
      <c r="C3595" s="163" t="s">
        <v>4986</v>
      </c>
      <c r="D3595" s="163" t="s">
        <v>4987</v>
      </c>
      <c r="E3595" s="164" t="n">
        <v>5000</v>
      </c>
      <c r="F3595" s="165" t="s">
        <v>7780</v>
      </c>
    </row>
    <row r="3596" customFormat="false" ht="15" hidden="false" customHeight="true" outlineLevel="0" collapsed="false">
      <c r="A3596" s="163" t="s">
        <v>3021</v>
      </c>
      <c r="B3596" s="163" t="s">
        <v>945</v>
      </c>
      <c r="C3596" s="163" t="s">
        <v>3790</v>
      </c>
      <c r="D3596" s="163" t="s">
        <v>3791</v>
      </c>
      <c r="E3596" s="164" t="n">
        <v>10000</v>
      </c>
      <c r="F3596" s="165" t="s">
        <v>7781</v>
      </c>
    </row>
    <row r="3597" customFormat="false" ht="15" hidden="false" customHeight="true" outlineLevel="0" collapsed="false">
      <c r="A3597" s="163" t="s">
        <v>3021</v>
      </c>
      <c r="B3597" s="163" t="s">
        <v>945</v>
      </c>
      <c r="C3597" s="163" t="s">
        <v>4455</v>
      </c>
      <c r="D3597" s="163" t="s">
        <v>4456</v>
      </c>
      <c r="E3597" s="164" t="n">
        <v>7000</v>
      </c>
      <c r="F3597" s="165" t="s">
        <v>7782</v>
      </c>
    </row>
    <row r="3598" customFormat="false" ht="15" hidden="false" customHeight="true" outlineLevel="0" collapsed="false">
      <c r="A3598" s="163" t="s">
        <v>3021</v>
      </c>
      <c r="B3598" s="163" t="s">
        <v>945</v>
      </c>
      <c r="C3598" s="163" t="s">
        <v>7783</v>
      </c>
      <c r="D3598" s="163" t="s">
        <v>7784</v>
      </c>
      <c r="E3598" s="164" t="n">
        <v>7000</v>
      </c>
      <c r="F3598" s="165" t="s">
        <v>7785</v>
      </c>
    </row>
    <row r="3599" customFormat="false" ht="15" hidden="false" customHeight="true" outlineLevel="0" collapsed="false">
      <c r="A3599" s="163" t="s">
        <v>3021</v>
      </c>
      <c r="B3599" s="163" t="s">
        <v>945</v>
      </c>
      <c r="C3599" s="163" t="s">
        <v>3635</v>
      </c>
      <c r="D3599" s="163" t="s">
        <v>3636</v>
      </c>
      <c r="E3599" s="164" t="n">
        <v>6000</v>
      </c>
      <c r="F3599" s="165" t="s">
        <v>7786</v>
      </c>
    </row>
    <row r="3600" customFormat="false" ht="15" hidden="false" customHeight="true" outlineLevel="0" collapsed="false">
      <c r="A3600" s="163" t="s">
        <v>3021</v>
      </c>
      <c r="B3600" s="163" t="s">
        <v>945</v>
      </c>
      <c r="C3600" s="163" t="s">
        <v>273</v>
      </c>
      <c r="D3600" s="163" t="s">
        <v>1891</v>
      </c>
      <c r="E3600" s="164" t="n">
        <v>5000</v>
      </c>
      <c r="F3600" s="165" t="s">
        <v>7787</v>
      </c>
    </row>
    <row r="3601" customFormat="false" ht="15" hidden="false" customHeight="true" outlineLevel="0" collapsed="false">
      <c r="A3601" s="163" t="s">
        <v>3021</v>
      </c>
      <c r="B3601" s="163" t="s">
        <v>945</v>
      </c>
      <c r="C3601" s="163" t="s">
        <v>6945</v>
      </c>
      <c r="D3601" s="163" t="s">
        <v>6946</v>
      </c>
      <c r="E3601" s="164" t="n">
        <v>5000</v>
      </c>
      <c r="F3601" s="165" t="s">
        <v>7786</v>
      </c>
    </row>
    <row r="3602" customFormat="false" ht="15" hidden="false" customHeight="true" outlineLevel="0" collapsed="false">
      <c r="A3602" s="163" t="s">
        <v>3021</v>
      </c>
      <c r="B3602" s="163" t="s">
        <v>945</v>
      </c>
      <c r="C3602" s="163" t="s">
        <v>3317</v>
      </c>
      <c r="D3602" s="163" t="s">
        <v>3318</v>
      </c>
      <c r="E3602" s="164" t="n">
        <v>5000</v>
      </c>
      <c r="F3602" s="165" t="s">
        <v>7786</v>
      </c>
    </row>
    <row r="3603" customFormat="false" ht="15" hidden="false" customHeight="true" outlineLevel="0" collapsed="false">
      <c r="A3603" s="163" t="s">
        <v>3021</v>
      </c>
      <c r="B3603" s="163" t="s">
        <v>945</v>
      </c>
      <c r="C3603" s="163" t="s">
        <v>3133</v>
      </c>
      <c r="D3603" s="163" t="s">
        <v>3134</v>
      </c>
      <c r="E3603" s="164" t="n">
        <v>5000</v>
      </c>
      <c r="F3603" s="165" t="s">
        <v>7788</v>
      </c>
    </row>
    <row r="3604" customFormat="false" ht="15" hidden="false" customHeight="true" outlineLevel="0" collapsed="false">
      <c r="A3604" s="163" t="s">
        <v>3021</v>
      </c>
      <c r="B3604" s="163" t="s">
        <v>3111</v>
      </c>
      <c r="C3604" s="163" t="s">
        <v>640</v>
      </c>
      <c r="D3604" s="163" t="s">
        <v>1931</v>
      </c>
      <c r="E3604" s="164" t="n">
        <v>22750</v>
      </c>
      <c r="F3604" s="165" t="s">
        <v>7789</v>
      </c>
    </row>
    <row r="3605" customFormat="false" ht="15" hidden="false" customHeight="true" outlineLevel="0" collapsed="false">
      <c r="A3605" s="163" t="s">
        <v>3021</v>
      </c>
      <c r="B3605" s="163" t="s">
        <v>3111</v>
      </c>
      <c r="C3605" s="163" t="s">
        <v>7773</v>
      </c>
      <c r="D3605" s="163" t="s">
        <v>7774</v>
      </c>
      <c r="E3605" s="164" t="n">
        <v>17250</v>
      </c>
      <c r="F3605" s="165" t="s">
        <v>7786</v>
      </c>
    </row>
    <row r="3606" customFormat="false" ht="15" hidden="false" customHeight="true" outlineLevel="0" collapsed="false">
      <c r="A3606" s="163" t="s">
        <v>3021</v>
      </c>
      <c r="B3606" s="163" t="s">
        <v>3111</v>
      </c>
      <c r="C3606" s="163" t="s">
        <v>5290</v>
      </c>
      <c r="D3606" s="163" t="s">
        <v>5291</v>
      </c>
      <c r="E3606" s="164" t="n">
        <v>10000</v>
      </c>
      <c r="F3606" s="165" t="s">
        <v>7786</v>
      </c>
    </row>
    <row r="3607" customFormat="false" ht="15" hidden="false" customHeight="true" outlineLevel="0" collapsed="false">
      <c r="A3607" s="163" t="s">
        <v>3021</v>
      </c>
      <c r="B3607" s="163" t="s">
        <v>3111</v>
      </c>
      <c r="C3607" s="163" t="s">
        <v>5858</v>
      </c>
      <c r="D3607" s="163" t="s">
        <v>5859</v>
      </c>
      <c r="E3607" s="164" t="n">
        <v>10000</v>
      </c>
      <c r="F3607" s="165" t="s">
        <v>7790</v>
      </c>
    </row>
    <row r="3608" customFormat="false" ht="15" hidden="false" customHeight="true" outlineLevel="0" collapsed="false">
      <c r="A3608" s="163" t="s">
        <v>3021</v>
      </c>
      <c r="B3608" s="163" t="s">
        <v>3111</v>
      </c>
      <c r="C3608" s="163" t="s">
        <v>4910</v>
      </c>
      <c r="D3608" s="163" t="s">
        <v>4911</v>
      </c>
      <c r="E3608" s="164" t="n">
        <v>10000</v>
      </c>
      <c r="F3608" s="165" t="s">
        <v>7791</v>
      </c>
    </row>
    <row r="3609" customFormat="false" ht="15" hidden="false" customHeight="true" outlineLevel="0" collapsed="false">
      <c r="A3609" s="163" t="s">
        <v>3021</v>
      </c>
      <c r="B3609" s="163" t="s">
        <v>3111</v>
      </c>
      <c r="C3609" s="163" t="s">
        <v>3368</v>
      </c>
      <c r="D3609" s="163" t="s">
        <v>3369</v>
      </c>
      <c r="E3609" s="164" t="n">
        <v>10000</v>
      </c>
      <c r="F3609" s="165" t="s">
        <v>7792</v>
      </c>
    </row>
    <row r="3610" customFormat="false" ht="15" hidden="false" customHeight="true" outlineLevel="0" collapsed="false">
      <c r="A3610" s="163" t="s">
        <v>3021</v>
      </c>
      <c r="B3610" s="163" t="s">
        <v>3111</v>
      </c>
      <c r="C3610" s="163" t="s">
        <v>6627</v>
      </c>
      <c r="D3610" s="163" t="s">
        <v>6628</v>
      </c>
      <c r="E3610" s="164" t="n">
        <v>10000</v>
      </c>
      <c r="F3610" s="165" t="s">
        <v>7793</v>
      </c>
    </row>
    <row r="3611" customFormat="false" ht="15" hidden="false" customHeight="true" outlineLevel="0" collapsed="false">
      <c r="A3611" s="163" t="s">
        <v>3021</v>
      </c>
      <c r="B3611" s="163" t="s">
        <v>3111</v>
      </c>
      <c r="C3611" s="163" t="s">
        <v>7794</v>
      </c>
      <c r="D3611" s="163" t="s">
        <v>7795</v>
      </c>
      <c r="E3611" s="164" t="n">
        <v>10000</v>
      </c>
      <c r="F3611" s="165" t="s">
        <v>7796</v>
      </c>
    </row>
    <row r="3612" customFormat="false" ht="15" hidden="false" customHeight="true" outlineLevel="0" collapsed="false">
      <c r="A3612" s="163" t="s">
        <v>3021</v>
      </c>
      <c r="B3612" s="163" t="s">
        <v>1938</v>
      </c>
      <c r="C3612" s="163" t="s">
        <v>5152</v>
      </c>
      <c r="D3612" s="163" t="s">
        <v>5153</v>
      </c>
      <c r="E3612" s="164" t="n">
        <v>20000</v>
      </c>
      <c r="F3612" s="165" t="s">
        <v>7797</v>
      </c>
    </row>
    <row r="3613" customFormat="false" ht="15" hidden="false" customHeight="true" outlineLevel="0" collapsed="false">
      <c r="A3613" s="163" t="s">
        <v>3021</v>
      </c>
      <c r="B3613" s="163" t="s">
        <v>1938</v>
      </c>
      <c r="C3613" s="163" t="s">
        <v>3155</v>
      </c>
      <c r="D3613" s="163" t="s">
        <v>3156</v>
      </c>
      <c r="E3613" s="164" t="n">
        <v>20000</v>
      </c>
      <c r="F3613" s="165" t="s">
        <v>7798</v>
      </c>
    </row>
    <row r="3614" customFormat="false" ht="15" hidden="false" customHeight="true" outlineLevel="0" collapsed="false">
      <c r="A3614" s="163" t="s">
        <v>3021</v>
      </c>
      <c r="B3614" s="163" t="s">
        <v>1938</v>
      </c>
      <c r="C3614" s="163" t="s">
        <v>3139</v>
      </c>
      <c r="D3614" s="163" t="s">
        <v>3140</v>
      </c>
      <c r="E3614" s="164" t="n">
        <v>20000</v>
      </c>
      <c r="F3614" s="165" t="s">
        <v>7799</v>
      </c>
    </row>
    <row r="3615" customFormat="false" ht="15" hidden="false" customHeight="true" outlineLevel="0" collapsed="false">
      <c r="A3615" s="163" t="s">
        <v>3021</v>
      </c>
      <c r="B3615" s="163" t="s">
        <v>1938</v>
      </c>
      <c r="C3615" s="163" t="s">
        <v>5160</v>
      </c>
      <c r="D3615" s="163" t="s">
        <v>5161</v>
      </c>
      <c r="E3615" s="164" t="n">
        <v>20000</v>
      </c>
      <c r="F3615" s="165" t="s">
        <v>7800</v>
      </c>
    </row>
    <row r="3616" customFormat="false" ht="15" hidden="false" customHeight="true" outlineLevel="0" collapsed="false">
      <c r="A3616" s="163" t="s">
        <v>3021</v>
      </c>
      <c r="B3616" s="163" t="s">
        <v>1938</v>
      </c>
      <c r="C3616" s="163" t="s">
        <v>332</v>
      </c>
      <c r="D3616" s="163" t="s">
        <v>2673</v>
      </c>
      <c r="E3616" s="164" t="n">
        <v>20000</v>
      </c>
      <c r="F3616" s="165" t="s">
        <v>7801</v>
      </c>
    </row>
    <row r="3617" customFormat="false" ht="15" hidden="false" customHeight="true" outlineLevel="0" collapsed="false">
      <c r="A3617" s="163" t="s">
        <v>3021</v>
      </c>
      <c r="B3617" s="163" t="s">
        <v>1938</v>
      </c>
      <c r="C3617" s="163" t="s">
        <v>431</v>
      </c>
      <c r="D3617" s="163" t="s">
        <v>2678</v>
      </c>
      <c r="E3617" s="164" t="n">
        <v>20000</v>
      </c>
      <c r="F3617" s="165" t="s">
        <v>7802</v>
      </c>
    </row>
    <row r="3618" customFormat="false" ht="15" hidden="false" customHeight="true" outlineLevel="0" collapsed="false">
      <c r="A3618" s="163" t="s">
        <v>3021</v>
      </c>
      <c r="B3618" s="163" t="s">
        <v>1938</v>
      </c>
      <c r="C3618" s="163" t="s">
        <v>431</v>
      </c>
      <c r="D3618" s="163" t="s">
        <v>2678</v>
      </c>
      <c r="E3618" s="164" t="n">
        <v>20000</v>
      </c>
      <c r="F3618" s="165" t="s">
        <v>7803</v>
      </c>
    </row>
    <row r="3619" customFormat="false" ht="15" hidden="false" customHeight="true" outlineLevel="0" collapsed="false">
      <c r="A3619" s="163" t="s">
        <v>3021</v>
      </c>
      <c r="B3619" s="163" t="s">
        <v>1938</v>
      </c>
      <c r="C3619" s="163" t="s">
        <v>431</v>
      </c>
      <c r="D3619" s="163" t="s">
        <v>2678</v>
      </c>
      <c r="E3619" s="164" t="n">
        <v>20000</v>
      </c>
      <c r="F3619" s="165" t="s">
        <v>7804</v>
      </c>
    </row>
    <row r="3620" customFormat="false" ht="15" hidden="false" customHeight="true" outlineLevel="0" collapsed="false">
      <c r="A3620" s="163" t="s">
        <v>3021</v>
      </c>
      <c r="B3620" s="163" t="s">
        <v>1938</v>
      </c>
      <c r="C3620" s="163" t="s">
        <v>431</v>
      </c>
      <c r="D3620" s="163" t="s">
        <v>2678</v>
      </c>
      <c r="E3620" s="164" t="n">
        <v>20000</v>
      </c>
      <c r="F3620" s="165" t="s">
        <v>7800</v>
      </c>
    </row>
    <row r="3621" customFormat="false" ht="15" hidden="false" customHeight="true" outlineLevel="0" collapsed="false">
      <c r="A3621" s="163" t="s">
        <v>3021</v>
      </c>
      <c r="B3621" s="163" t="s">
        <v>1938</v>
      </c>
      <c r="C3621" s="163" t="s">
        <v>431</v>
      </c>
      <c r="D3621" s="163" t="s">
        <v>2678</v>
      </c>
      <c r="E3621" s="164" t="n">
        <v>20000</v>
      </c>
      <c r="F3621" s="165" t="s">
        <v>7805</v>
      </c>
    </row>
    <row r="3622" customFormat="false" ht="15" hidden="false" customHeight="true" outlineLevel="0" collapsed="false">
      <c r="A3622" s="163" t="s">
        <v>3021</v>
      </c>
      <c r="B3622" s="163" t="s">
        <v>1938</v>
      </c>
      <c r="C3622" s="163" t="s">
        <v>431</v>
      </c>
      <c r="D3622" s="163" t="s">
        <v>2678</v>
      </c>
      <c r="E3622" s="164" t="n">
        <v>20000</v>
      </c>
      <c r="F3622" s="165" t="s">
        <v>7798</v>
      </c>
    </row>
    <row r="3623" customFormat="false" ht="15" hidden="false" customHeight="true" outlineLevel="0" collapsed="false">
      <c r="A3623" s="163" t="s">
        <v>3021</v>
      </c>
      <c r="B3623" s="163" t="s">
        <v>1938</v>
      </c>
      <c r="C3623" s="163" t="s">
        <v>4303</v>
      </c>
      <c r="D3623" s="163" t="s">
        <v>4304</v>
      </c>
      <c r="E3623" s="164" t="n">
        <v>20000</v>
      </c>
      <c r="F3623" s="165" t="s">
        <v>7806</v>
      </c>
    </row>
    <row r="3624" customFormat="false" ht="15" hidden="false" customHeight="true" outlineLevel="0" collapsed="false">
      <c r="A3624" s="163" t="s">
        <v>3021</v>
      </c>
      <c r="B3624" s="163" t="s">
        <v>1938</v>
      </c>
      <c r="C3624" s="163" t="s">
        <v>4946</v>
      </c>
      <c r="D3624" s="163" t="s">
        <v>4947</v>
      </c>
      <c r="E3624" s="164" t="n">
        <v>20000</v>
      </c>
      <c r="F3624" s="165" t="s">
        <v>7798</v>
      </c>
    </row>
    <row r="3625" customFormat="false" ht="15" hidden="false" customHeight="true" outlineLevel="0" collapsed="false">
      <c r="A3625" s="163" t="s">
        <v>3021</v>
      </c>
      <c r="B3625" s="163" t="s">
        <v>1938</v>
      </c>
      <c r="C3625" s="163" t="s">
        <v>3560</v>
      </c>
      <c r="D3625" s="163" t="s">
        <v>3561</v>
      </c>
      <c r="E3625" s="164" t="n">
        <v>20000</v>
      </c>
      <c r="F3625" s="165" t="s">
        <v>7807</v>
      </c>
    </row>
    <row r="3626" customFormat="false" ht="15" hidden="false" customHeight="true" outlineLevel="0" collapsed="false">
      <c r="A3626" s="163" t="s">
        <v>3021</v>
      </c>
      <c r="B3626" s="163" t="s">
        <v>1938</v>
      </c>
      <c r="C3626" s="163" t="s">
        <v>3560</v>
      </c>
      <c r="D3626" s="163" t="s">
        <v>3561</v>
      </c>
      <c r="E3626" s="164" t="n">
        <v>20000</v>
      </c>
      <c r="F3626" s="165" t="s">
        <v>7808</v>
      </c>
    </row>
    <row r="3627" customFormat="false" ht="15" hidden="false" customHeight="true" outlineLevel="0" collapsed="false">
      <c r="A3627" s="163" t="s">
        <v>3021</v>
      </c>
      <c r="B3627" s="163" t="s">
        <v>1938</v>
      </c>
      <c r="C3627" s="163" t="s">
        <v>3560</v>
      </c>
      <c r="D3627" s="163" t="s">
        <v>3561</v>
      </c>
      <c r="E3627" s="164" t="n">
        <v>20000</v>
      </c>
      <c r="F3627" s="165" t="s">
        <v>7809</v>
      </c>
    </row>
    <row r="3628" customFormat="false" ht="15" hidden="false" customHeight="true" outlineLevel="0" collapsed="false">
      <c r="A3628" s="163" t="s">
        <v>3021</v>
      </c>
      <c r="B3628" s="163" t="s">
        <v>1938</v>
      </c>
      <c r="C3628" s="163" t="s">
        <v>7810</v>
      </c>
      <c r="D3628" s="163" t="s">
        <v>7811</v>
      </c>
      <c r="E3628" s="164" t="n">
        <v>20000</v>
      </c>
      <c r="F3628" s="165" t="s">
        <v>7812</v>
      </c>
    </row>
    <row r="3629" customFormat="false" ht="15" hidden="false" customHeight="true" outlineLevel="0" collapsed="false">
      <c r="A3629" s="163" t="s">
        <v>3021</v>
      </c>
      <c r="B3629" s="163" t="s">
        <v>691</v>
      </c>
      <c r="C3629" s="163" t="s">
        <v>7813</v>
      </c>
      <c r="D3629" s="163" t="s">
        <v>7814</v>
      </c>
      <c r="E3629" s="164" t="n">
        <v>35000</v>
      </c>
      <c r="F3629" s="165" t="s">
        <v>7815</v>
      </c>
    </row>
    <row r="3630" customFormat="false" ht="15" hidden="false" customHeight="true" outlineLevel="0" collapsed="false">
      <c r="A3630" s="163" t="s">
        <v>3021</v>
      </c>
      <c r="B3630" s="163" t="s">
        <v>691</v>
      </c>
      <c r="C3630" s="163" t="s">
        <v>3560</v>
      </c>
      <c r="D3630" s="163" t="s">
        <v>3561</v>
      </c>
      <c r="E3630" s="164" t="n">
        <v>30000</v>
      </c>
      <c r="F3630" s="165" t="s">
        <v>7816</v>
      </c>
    </row>
    <row r="3631" customFormat="false" ht="15" hidden="false" customHeight="true" outlineLevel="0" collapsed="false">
      <c r="A3631" s="163" t="s">
        <v>3021</v>
      </c>
      <c r="B3631" s="163" t="s">
        <v>691</v>
      </c>
      <c r="C3631" s="163" t="s">
        <v>7817</v>
      </c>
      <c r="D3631" s="163" t="s">
        <v>7818</v>
      </c>
      <c r="E3631" s="164" t="n">
        <v>20000</v>
      </c>
      <c r="F3631" s="165" t="s">
        <v>3060</v>
      </c>
    </row>
    <row r="3632" customFormat="false" ht="15" hidden="false" customHeight="true" outlineLevel="0" collapsed="false">
      <c r="A3632" s="163" t="s">
        <v>3021</v>
      </c>
      <c r="B3632" s="163" t="s">
        <v>691</v>
      </c>
      <c r="C3632" s="163" t="s">
        <v>7819</v>
      </c>
      <c r="D3632" s="163" t="s">
        <v>7820</v>
      </c>
      <c r="E3632" s="164" t="n">
        <v>20000</v>
      </c>
      <c r="F3632" s="165" t="s">
        <v>3060</v>
      </c>
    </row>
    <row r="3633" customFormat="false" ht="15" hidden="false" customHeight="true" outlineLevel="0" collapsed="false">
      <c r="A3633" s="163" t="s">
        <v>3021</v>
      </c>
      <c r="B3633" s="163" t="s">
        <v>691</v>
      </c>
      <c r="C3633" s="163" t="s">
        <v>7821</v>
      </c>
      <c r="D3633" s="163" t="s">
        <v>7822</v>
      </c>
      <c r="E3633" s="164" t="n">
        <v>20000</v>
      </c>
      <c r="F3633" s="165" t="s">
        <v>7823</v>
      </c>
    </row>
    <row r="3634" customFormat="false" ht="15" hidden="false" customHeight="true" outlineLevel="0" collapsed="false">
      <c r="A3634" s="163" t="s">
        <v>3021</v>
      </c>
      <c r="B3634" s="163" t="s">
        <v>691</v>
      </c>
      <c r="C3634" s="163" t="s">
        <v>5188</v>
      </c>
      <c r="D3634" s="163" t="s">
        <v>5189</v>
      </c>
      <c r="E3634" s="164" t="n">
        <v>10000</v>
      </c>
      <c r="F3634" s="165" t="s">
        <v>7815</v>
      </c>
    </row>
    <row r="3635" customFormat="false" ht="15" hidden="false" customHeight="true" outlineLevel="0" collapsed="false">
      <c r="A3635" s="163" t="s">
        <v>3021</v>
      </c>
      <c r="B3635" s="163" t="s">
        <v>691</v>
      </c>
      <c r="C3635" s="163" t="s">
        <v>7824</v>
      </c>
      <c r="D3635" s="163" t="s">
        <v>7825</v>
      </c>
      <c r="E3635" s="164" t="n">
        <v>10000</v>
      </c>
      <c r="F3635" s="165" t="s">
        <v>7815</v>
      </c>
    </row>
    <row r="3636" customFormat="false" ht="15" hidden="false" customHeight="true" outlineLevel="0" collapsed="false">
      <c r="A3636" s="163" t="s">
        <v>3021</v>
      </c>
      <c r="B3636" s="163" t="s">
        <v>2027</v>
      </c>
      <c r="C3636" s="163" t="s">
        <v>7826</v>
      </c>
      <c r="D3636" s="163" t="s">
        <v>7827</v>
      </c>
      <c r="E3636" s="164" t="n">
        <v>25000</v>
      </c>
      <c r="F3636" s="165" t="s">
        <v>7828</v>
      </c>
    </row>
    <row r="3637" customFormat="false" ht="15" hidden="false" customHeight="true" outlineLevel="0" collapsed="false">
      <c r="A3637" s="163" t="s">
        <v>3021</v>
      </c>
      <c r="B3637" s="163" t="s">
        <v>2027</v>
      </c>
      <c r="C3637" s="163" t="s">
        <v>4995</v>
      </c>
      <c r="D3637" s="163" t="s">
        <v>4996</v>
      </c>
      <c r="E3637" s="164" t="n">
        <v>20000</v>
      </c>
      <c r="F3637" s="165" t="s">
        <v>7829</v>
      </c>
    </row>
    <row r="3638" customFormat="false" ht="15" hidden="false" customHeight="true" outlineLevel="0" collapsed="false">
      <c r="A3638" s="163" t="s">
        <v>3021</v>
      </c>
      <c r="B3638" s="163" t="s">
        <v>2027</v>
      </c>
      <c r="C3638" s="163" t="s">
        <v>935</v>
      </c>
      <c r="D3638" s="163" t="s">
        <v>3162</v>
      </c>
      <c r="E3638" s="164" t="n">
        <v>20000</v>
      </c>
      <c r="F3638" s="165" t="s">
        <v>7829</v>
      </c>
    </row>
    <row r="3639" customFormat="false" ht="15" hidden="false" customHeight="true" outlineLevel="0" collapsed="false">
      <c r="A3639" s="163" t="s">
        <v>3021</v>
      </c>
      <c r="B3639" s="163" t="s">
        <v>2027</v>
      </c>
      <c r="C3639" s="163" t="s">
        <v>5196</v>
      </c>
      <c r="D3639" s="163" t="s">
        <v>5197</v>
      </c>
      <c r="E3639" s="164" t="n">
        <v>15000</v>
      </c>
      <c r="F3639" s="165" t="s">
        <v>7828</v>
      </c>
    </row>
    <row r="3640" customFormat="false" ht="15" hidden="false" customHeight="true" outlineLevel="0" collapsed="false">
      <c r="A3640" s="163" t="s">
        <v>3021</v>
      </c>
      <c r="B3640" s="163" t="s">
        <v>2027</v>
      </c>
      <c r="C3640" s="163" t="s">
        <v>4692</v>
      </c>
      <c r="D3640" s="163" t="s">
        <v>4693</v>
      </c>
      <c r="E3640" s="164" t="n">
        <v>10000</v>
      </c>
      <c r="F3640" s="165" t="s">
        <v>7828</v>
      </c>
    </row>
    <row r="3641" customFormat="false" ht="15" hidden="false" customHeight="true" outlineLevel="0" collapsed="false">
      <c r="A3641" s="163" t="s">
        <v>3021</v>
      </c>
      <c r="B3641" s="163" t="s">
        <v>2037</v>
      </c>
      <c r="C3641" s="163" t="s">
        <v>3799</v>
      </c>
      <c r="D3641" s="163" t="s">
        <v>3800</v>
      </c>
      <c r="E3641" s="164" t="n">
        <v>59593</v>
      </c>
      <c r="F3641" s="165" t="s">
        <v>7830</v>
      </c>
    </row>
    <row r="3642" customFormat="false" ht="15" hidden="false" customHeight="true" outlineLevel="0" collapsed="false">
      <c r="A3642" s="163" t="s">
        <v>3021</v>
      </c>
      <c r="B3642" s="163" t="s">
        <v>2037</v>
      </c>
      <c r="C3642" s="163" t="s">
        <v>1860</v>
      </c>
      <c r="D3642" s="163" t="s">
        <v>1861</v>
      </c>
      <c r="E3642" s="164" t="n">
        <v>35000</v>
      </c>
      <c r="F3642" s="165" t="s">
        <v>7830</v>
      </c>
    </row>
    <row r="3643" customFormat="false" ht="15" hidden="false" customHeight="true" outlineLevel="0" collapsed="false">
      <c r="A3643" s="163" t="s">
        <v>3021</v>
      </c>
      <c r="B3643" s="163" t="s">
        <v>2037</v>
      </c>
      <c r="C3643" s="163" t="s">
        <v>2695</v>
      </c>
      <c r="D3643" s="163" t="s">
        <v>2696</v>
      </c>
      <c r="E3643" s="164" t="n">
        <v>25000</v>
      </c>
      <c r="F3643" s="165" t="s">
        <v>7830</v>
      </c>
    </row>
    <row r="3644" customFormat="false" ht="15" hidden="false" customHeight="true" outlineLevel="0" collapsed="false">
      <c r="A3644" s="163" t="s">
        <v>3021</v>
      </c>
      <c r="B3644" s="163" t="s">
        <v>2037</v>
      </c>
      <c r="C3644" s="163" t="s">
        <v>6945</v>
      </c>
      <c r="D3644" s="163" t="s">
        <v>6946</v>
      </c>
      <c r="E3644" s="164" t="n">
        <v>13407</v>
      </c>
      <c r="F3644" s="165" t="s">
        <v>7830</v>
      </c>
    </row>
    <row r="3645" customFormat="false" ht="15" hidden="false" customHeight="true" outlineLevel="0" collapsed="false">
      <c r="A3645" s="163" t="s">
        <v>3021</v>
      </c>
      <c r="B3645" s="163" t="s">
        <v>894</v>
      </c>
      <c r="C3645" s="163" t="s">
        <v>640</v>
      </c>
      <c r="D3645" s="163" t="s">
        <v>1931</v>
      </c>
      <c r="E3645" s="164" t="n">
        <v>50000</v>
      </c>
      <c r="F3645" s="165" t="s">
        <v>7831</v>
      </c>
    </row>
    <row r="3646" customFormat="false" ht="15" hidden="false" customHeight="true" outlineLevel="0" collapsed="false">
      <c r="A3646" s="163" t="s">
        <v>3021</v>
      </c>
      <c r="B3646" s="163" t="s">
        <v>894</v>
      </c>
      <c r="C3646" s="163" t="s">
        <v>7832</v>
      </c>
      <c r="D3646" s="163" t="s">
        <v>7833</v>
      </c>
      <c r="E3646" s="164" t="n">
        <v>24500</v>
      </c>
      <c r="F3646" s="165" t="s">
        <v>7834</v>
      </c>
    </row>
    <row r="3647" customFormat="false" ht="15" hidden="false" customHeight="true" outlineLevel="0" collapsed="false">
      <c r="A3647" s="163" t="s">
        <v>3021</v>
      </c>
      <c r="B3647" s="163" t="s">
        <v>894</v>
      </c>
      <c r="C3647" s="163" t="s">
        <v>3706</v>
      </c>
      <c r="D3647" s="163" t="s">
        <v>3707</v>
      </c>
      <c r="E3647" s="164" t="n">
        <v>23000</v>
      </c>
      <c r="F3647" s="165" t="s">
        <v>7835</v>
      </c>
    </row>
    <row r="3648" customFormat="false" ht="15" hidden="false" customHeight="true" outlineLevel="0" collapsed="false">
      <c r="A3648" s="163" t="s">
        <v>3021</v>
      </c>
      <c r="B3648" s="163" t="s">
        <v>894</v>
      </c>
      <c r="C3648" s="163" t="s">
        <v>4964</v>
      </c>
      <c r="D3648" s="163" t="s">
        <v>4965</v>
      </c>
      <c r="E3648" s="164" t="n">
        <v>15000</v>
      </c>
      <c r="F3648" s="165" t="s">
        <v>7836</v>
      </c>
    </row>
    <row r="3649" customFormat="false" ht="15" hidden="false" customHeight="true" outlineLevel="0" collapsed="false">
      <c r="A3649" s="163" t="s">
        <v>3021</v>
      </c>
      <c r="B3649" s="163" t="s">
        <v>894</v>
      </c>
      <c r="C3649" s="163" t="s">
        <v>7837</v>
      </c>
      <c r="D3649" s="163" t="s">
        <v>7838</v>
      </c>
      <c r="E3649" s="164" t="n">
        <v>14000</v>
      </c>
      <c r="F3649" s="165" t="s">
        <v>7839</v>
      </c>
    </row>
    <row r="3650" customFormat="false" ht="15" hidden="false" customHeight="true" outlineLevel="0" collapsed="false">
      <c r="A3650" s="163" t="s">
        <v>3021</v>
      </c>
      <c r="B3650" s="163" t="s">
        <v>894</v>
      </c>
      <c r="C3650" s="163" t="s">
        <v>473</v>
      </c>
      <c r="D3650" s="163" t="s">
        <v>2764</v>
      </c>
      <c r="E3650" s="164" t="n">
        <v>13500</v>
      </c>
      <c r="F3650" s="165" t="s">
        <v>7840</v>
      </c>
    </row>
    <row r="3651" customFormat="false" ht="15" hidden="false" customHeight="true" outlineLevel="0" collapsed="false">
      <c r="A3651" s="163" t="s">
        <v>3021</v>
      </c>
      <c r="B3651" s="163" t="s">
        <v>894</v>
      </c>
      <c r="C3651" s="163" t="s">
        <v>4874</v>
      </c>
      <c r="D3651" s="163" t="s">
        <v>4875</v>
      </c>
      <c r="E3651" s="164" t="n">
        <v>12500</v>
      </c>
      <c r="F3651" s="165" t="s">
        <v>7834</v>
      </c>
    </row>
    <row r="3652" customFormat="false" ht="15" hidden="false" customHeight="true" outlineLevel="0" collapsed="false">
      <c r="A3652" s="163" t="s">
        <v>3021</v>
      </c>
      <c r="B3652" s="163" t="s">
        <v>894</v>
      </c>
      <c r="C3652" s="163" t="s">
        <v>452</v>
      </c>
      <c r="D3652" s="163" t="s">
        <v>2102</v>
      </c>
      <c r="E3652" s="164" t="n">
        <v>10750</v>
      </c>
      <c r="F3652" s="165" t="s">
        <v>5134</v>
      </c>
    </row>
    <row r="3653" customFormat="false" ht="15" hidden="false" customHeight="true" outlineLevel="0" collapsed="false">
      <c r="A3653" s="163" t="s">
        <v>3021</v>
      </c>
      <c r="B3653" s="163" t="s">
        <v>894</v>
      </c>
      <c r="C3653" s="163" t="s">
        <v>7841</v>
      </c>
      <c r="D3653" s="163" t="s">
        <v>7842</v>
      </c>
      <c r="E3653" s="164" t="n">
        <v>10000</v>
      </c>
      <c r="F3653" s="165" t="s">
        <v>3060</v>
      </c>
    </row>
    <row r="3654" customFormat="false" ht="15" hidden="false" customHeight="true" outlineLevel="0" collapsed="false">
      <c r="A3654" s="163" t="s">
        <v>3021</v>
      </c>
      <c r="B3654" s="163" t="s">
        <v>894</v>
      </c>
      <c r="C3654" s="163" t="s">
        <v>4408</v>
      </c>
      <c r="D3654" s="163" t="s">
        <v>4409</v>
      </c>
      <c r="E3654" s="164" t="n">
        <v>10000</v>
      </c>
      <c r="F3654" s="165" t="s">
        <v>7843</v>
      </c>
    </row>
    <row r="3655" customFormat="false" ht="15" hidden="false" customHeight="true" outlineLevel="0" collapsed="false">
      <c r="A3655" s="163" t="s">
        <v>3021</v>
      </c>
      <c r="B3655" s="163" t="s">
        <v>894</v>
      </c>
      <c r="C3655" s="163" t="s">
        <v>3552</v>
      </c>
      <c r="D3655" s="163" t="s">
        <v>3553</v>
      </c>
      <c r="E3655" s="164" t="n">
        <v>10000</v>
      </c>
      <c r="F3655" s="165" t="s">
        <v>7786</v>
      </c>
    </row>
    <row r="3656" customFormat="false" ht="15" hidden="false" customHeight="true" outlineLevel="0" collapsed="false">
      <c r="A3656" s="163" t="s">
        <v>3021</v>
      </c>
      <c r="B3656" s="163" t="s">
        <v>894</v>
      </c>
      <c r="C3656" s="163" t="s">
        <v>5205</v>
      </c>
      <c r="D3656" s="163" t="s">
        <v>5206</v>
      </c>
      <c r="E3656" s="164" t="n">
        <v>9000</v>
      </c>
      <c r="F3656" s="165" t="s">
        <v>3060</v>
      </c>
    </row>
    <row r="3657" customFormat="false" ht="15" hidden="false" customHeight="true" outlineLevel="0" collapsed="false">
      <c r="A3657" s="163" t="s">
        <v>3021</v>
      </c>
      <c r="B3657" s="163" t="s">
        <v>894</v>
      </c>
      <c r="C3657" s="163" t="s">
        <v>3560</v>
      </c>
      <c r="D3657" s="163" t="s">
        <v>3561</v>
      </c>
      <c r="E3657" s="164" t="n">
        <v>8900</v>
      </c>
      <c r="F3657" s="165" t="s">
        <v>7844</v>
      </c>
    </row>
    <row r="3658" customFormat="false" ht="15" hidden="false" customHeight="true" outlineLevel="0" collapsed="false">
      <c r="A3658" s="163" t="s">
        <v>3021</v>
      </c>
      <c r="B3658" s="163" t="s">
        <v>894</v>
      </c>
      <c r="C3658" s="163" t="s">
        <v>5323</v>
      </c>
      <c r="D3658" s="163" t="s">
        <v>5324</v>
      </c>
      <c r="E3658" s="164" t="n">
        <v>8500</v>
      </c>
      <c r="F3658" s="165" t="s">
        <v>7845</v>
      </c>
    </row>
    <row r="3659" customFormat="false" ht="15" hidden="false" customHeight="true" outlineLevel="0" collapsed="false">
      <c r="A3659" s="163" t="s">
        <v>3021</v>
      </c>
      <c r="B3659" s="163" t="s">
        <v>894</v>
      </c>
      <c r="C3659" s="163" t="s">
        <v>3099</v>
      </c>
      <c r="D3659" s="163" t="s">
        <v>3100</v>
      </c>
      <c r="E3659" s="164" t="n">
        <v>8000</v>
      </c>
      <c r="F3659" s="165" t="s">
        <v>7846</v>
      </c>
    </row>
    <row r="3660" customFormat="false" ht="15" hidden="false" customHeight="true" outlineLevel="0" collapsed="false">
      <c r="A3660" s="163" t="s">
        <v>3021</v>
      </c>
      <c r="B3660" s="163" t="s">
        <v>894</v>
      </c>
      <c r="C3660" s="163" t="s">
        <v>3063</v>
      </c>
      <c r="D3660" s="163" t="s">
        <v>3064</v>
      </c>
      <c r="E3660" s="164" t="n">
        <v>8000</v>
      </c>
      <c r="F3660" s="165" t="s">
        <v>7786</v>
      </c>
    </row>
    <row r="3661" customFormat="false" ht="15" hidden="false" customHeight="true" outlineLevel="0" collapsed="false">
      <c r="A3661" s="163" t="s">
        <v>3021</v>
      </c>
      <c r="B3661" s="163" t="s">
        <v>894</v>
      </c>
      <c r="C3661" s="163" t="s">
        <v>2695</v>
      </c>
      <c r="D3661" s="163" t="s">
        <v>2696</v>
      </c>
      <c r="E3661" s="164" t="n">
        <v>7500</v>
      </c>
      <c r="F3661" s="165" t="s">
        <v>7847</v>
      </c>
    </row>
    <row r="3662" customFormat="false" ht="15" hidden="false" customHeight="true" outlineLevel="0" collapsed="false">
      <c r="A3662" s="163" t="s">
        <v>3021</v>
      </c>
      <c r="B3662" s="163" t="s">
        <v>894</v>
      </c>
      <c r="C3662" s="163" t="s">
        <v>5858</v>
      </c>
      <c r="D3662" s="163" t="s">
        <v>5859</v>
      </c>
      <c r="E3662" s="164" t="n">
        <v>7500</v>
      </c>
      <c r="F3662" s="165" t="s">
        <v>7848</v>
      </c>
    </row>
    <row r="3663" customFormat="false" ht="15" hidden="false" customHeight="true" outlineLevel="0" collapsed="false">
      <c r="A3663" s="163" t="s">
        <v>3021</v>
      </c>
      <c r="B3663" s="163" t="s">
        <v>894</v>
      </c>
      <c r="C3663" s="163" t="s">
        <v>7849</v>
      </c>
      <c r="D3663" s="163" t="s">
        <v>7850</v>
      </c>
      <c r="E3663" s="164" t="n">
        <v>7500</v>
      </c>
      <c r="F3663" s="165" t="s">
        <v>7851</v>
      </c>
    </row>
    <row r="3664" customFormat="false" ht="15" hidden="false" customHeight="true" outlineLevel="0" collapsed="false">
      <c r="A3664" s="163" t="s">
        <v>3021</v>
      </c>
      <c r="B3664" s="163" t="s">
        <v>894</v>
      </c>
      <c r="C3664" s="163" t="s">
        <v>640</v>
      </c>
      <c r="D3664" s="163" t="s">
        <v>1931</v>
      </c>
      <c r="E3664" s="164" t="n">
        <v>7250</v>
      </c>
      <c r="F3664" s="165" t="s">
        <v>7852</v>
      </c>
    </row>
    <row r="3665" customFormat="false" ht="15" hidden="false" customHeight="true" outlineLevel="0" collapsed="false">
      <c r="A3665" s="163" t="s">
        <v>3021</v>
      </c>
      <c r="B3665" s="163" t="s">
        <v>894</v>
      </c>
      <c r="C3665" s="163" t="s">
        <v>197</v>
      </c>
      <c r="D3665" s="163" t="s">
        <v>1931</v>
      </c>
      <c r="E3665" s="164" t="n">
        <v>7100</v>
      </c>
      <c r="F3665" s="165" t="s">
        <v>7853</v>
      </c>
    </row>
    <row r="3666" customFormat="false" ht="15" hidden="false" customHeight="true" outlineLevel="0" collapsed="false">
      <c r="A3666" s="163" t="s">
        <v>3021</v>
      </c>
      <c r="B3666" s="163" t="s">
        <v>894</v>
      </c>
      <c r="C3666" s="163" t="s">
        <v>5028</v>
      </c>
      <c r="D3666" s="163" t="s">
        <v>1931</v>
      </c>
      <c r="E3666" s="164" t="n">
        <v>7000</v>
      </c>
      <c r="F3666" s="165" t="s">
        <v>7854</v>
      </c>
    </row>
    <row r="3667" customFormat="false" ht="15" hidden="false" customHeight="true" outlineLevel="0" collapsed="false">
      <c r="A3667" s="163" t="s">
        <v>3021</v>
      </c>
      <c r="B3667" s="163" t="s">
        <v>894</v>
      </c>
      <c r="C3667" s="163" t="s">
        <v>5028</v>
      </c>
      <c r="D3667" s="163" t="s">
        <v>1931</v>
      </c>
      <c r="E3667" s="164" t="n">
        <v>7000</v>
      </c>
      <c r="F3667" s="165" t="s">
        <v>7855</v>
      </c>
    </row>
    <row r="3668" customFormat="false" ht="15" hidden="false" customHeight="true" outlineLevel="0" collapsed="false">
      <c r="A3668" s="163" t="s">
        <v>3021</v>
      </c>
      <c r="B3668" s="163" t="s">
        <v>894</v>
      </c>
      <c r="C3668" s="163" t="s">
        <v>5165</v>
      </c>
      <c r="D3668" s="163" t="s">
        <v>5166</v>
      </c>
      <c r="E3668" s="164" t="n">
        <v>7000</v>
      </c>
      <c r="F3668" s="165" t="s">
        <v>7856</v>
      </c>
    </row>
    <row r="3669" customFormat="false" ht="15" hidden="false" customHeight="true" outlineLevel="0" collapsed="false">
      <c r="A3669" s="163" t="s">
        <v>3021</v>
      </c>
      <c r="B3669" s="163" t="s">
        <v>894</v>
      </c>
      <c r="C3669" s="163" t="s">
        <v>6612</v>
      </c>
      <c r="D3669" s="163" t="s">
        <v>6613</v>
      </c>
      <c r="E3669" s="164" t="n">
        <v>6000</v>
      </c>
      <c r="F3669" s="165" t="s">
        <v>7857</v>
      </c>
    </row>
    <row r="3670" customFormat="false" ht="15" hidden="false" customHeight="true" outlineLevel="0" collapsed="false">
      <c r="A3670" s="163" t="s">
        <v>3021</v>
      </c>
      <c r="B3670" s="163" t="s">
        <v>894</v>
      </c>
      <c r="C3670" s="163" t="s">
        <v>5160</v>
      </c>
      <c r="D3670" s="163" t="s">
        <v>5161</v>
      </c>
      <c r="E3670" s="164" t="n">
        <v>5500</v>
      </c>
      <c r="F3670" s="165" t="s">
        <v>7858</v>
      </c>
    </row>
    <row r="3671" customFormat="false" ht="15" hidden="false" customHeight="true" outlineLevel="0" collapsed="false">
      <c r="A3671" s="163" t="s">
        <v>3021</v>
      </c>
      <c r="B3671" s="163" t="s">
        <v>894</v>
      </c>
      <c r="C3671" s="163" t="s">
        <v>2759</v>
      </c>
      <c r="D3671" s="163" t="s">
        <v>2760</v>
      </c>
      <c r="E3671" s="164" t="n">
        <v>5000</v>
      </c>
      <c r="F3671" s="165" t="s">
        <v>7859</v>
      </c>
    </row>
    <row r="3672" customFormat="false" ht="15" hidden="false" customHeight="true" outlineLevel="0" collapsed="false">
      <c r="A3672" s="163" t="s">
        <v>3021</v>
      </c>
      <c r="B3672" s="163" t="s">
        <v>894</v>
      </c>
      <c r="C3672" s="163" t="s">
        <v>5232</v>
      </c>
      <c r="D3672" s="163" t="s">
        <v>5233</v>
      </c>
      <c r="E3672" s="164" t="n">
        <v>5000</v>
      </c>
      <c r="F3672" s="165" t="s">
        <v>7860</v>
      </c>
    </row>
    <row r="3673" customFormat="false" ht="15" hidden="false" customHeight="true" outlineLevel="0" collapsed="false">
      <c r="A3673" s="163" t="s">
        <v>3021</v>
      </c>
      <c r="B3673" s="163" t="s">
        <v>894</v>
      </c>
      <c r="C3673" s="163" t="s">
        <v>5208</v>
      </c>
      <c r="D3673" s="163" t="s">
        <v>5209</v>
      </c>
      <c r="E3673" s="164" t="n">
        <v>5000</v>
      </c>
      <c r="F3673" s="165" t="s">
        <v>7786</v>
      </c>
    </row>
    <row r="3674" customFormat="false" ht="15" hidden="false" customHeight="true" outlineLevel="0" collapsed="false">
      <c r="A3674" s="163" t="s">
        <v>3021</v>
      </c>
      <c r="B3674" s="163" t="s">
        <v>894</v>
      </c>
      <c r="C3674" s="163" t="s">
        <v>7861</v>
      </c>
      <c r="D3674" s="163" t="s">
        <v>7862</v>
      </c>
      <c r="E3674" s="164" t="n">
        <v>5000</v>
      </c>
      <c r="F3674" s="165" t="s">
        <v>7863</v>
      </c>
    </row>
    <row r="3675" customFormat="false" ht="15" hidden="false" customHeight="true" outlineLevel="0" collapsed="false">
      <c r="A3675" s="163" t="s">
        <v>3021</v>
      </c>
      <c r="B3675" s="163" t="s">
        <v>894</v>
      </c>
      <c r="C3675" s="163" t="s">
        <v>7864</v>
      </c>
      <c r="D3675" s="163" t="s">
        <v>7865</v>
      </c>
      <c r="E3675" s="164" t="n">
        <v>5000</v>
      </c>
      <c r="F3675" s="165" t="s">
        <v>7786</v>
      </c>
    </row>
    <row r="3676" customFormat="false" ht="15" hidden="false" customHeight="true" outlineLevel="0" collapsed="false">
      <c r="A3676" s="163" t="s">
        <v>3021</v>
      </c>
      <c r="B3676" s="163" t="s">
        <v>894</v>
      </c>
      <c r="C3676" s="163" t="s">
        <v>7866</v>
      </c>
      <c r="D3676" s="163" t="s">
        <v>7867</v>
      </c>
      <c r="E3676" s="164" t="n">
        <v>5000</v>
      </c>
      <c r="F3676" s="165" t="s">
        <v>7868</v>
      </c>
    </row>
    <row r="3677" customFormat="false" ht="15" hidden="false" customHeight="true" outlineLevel="0" collapsed="false">
      <c r="A3677" s="163" t="s">
        <v>3021</v>
      </c>
      <c r="B3677" s="163" t="s">
        <v>894</v>
      </c>
      <c r="C3677" s="163" t="s">
        <v>7869</v>
      </c>
      <c r="D3677" s="163" t="s">
        <v>7870</v>
      </c>
      <c r="E3677" s="164" t="n">
        <v>5000</v>
      </c>
      <c r="F3677" s="165" t="s">
        <v>7871</v>
      </c>
    </row>
    <row r="3678" customFormat="false" ht="15" hidden="false" customHeight="true" outlineLevel="0" collapsed="false">
      <c r="A3678" s="163" t="s">
        <v>3021</v>
      </c>
      <c r="B3678" s="163" t="s">
        <v>894</v>
      </c>
      <c r="C3678" s="163" t="s">
        <v>7872</v>
      </c>
      <c r="D3678" s="163" t="s">
        <v>7873</v>
      </c>
      <c r="E3678" s="164" t="n">
        <v>5000</v>
      </c>
      <c r="F3678" s="165" t="s">
        <v>7786</v>
      </c>
    </row>
    <row r="3679" customFormat="false" ht="15" hidden="false" customHeight="true" outlineLevel="0" collapsed="false">
      <c r="A3679" s="163" t="s">
        <v>3021</v>
      </c>
      <c r="B3679" s="163" t="s">
        <v>894</v>
      </c>
      <c r="C3679" s="163" t="s">
        <v>6627</v>
      </c>
      <c r="D3679" s="163" t="s">
        <v>6628</v>
      </c>
      <c r="E3679" s="164" t="n">
        <v>5000</v>
      </c>
      <c r="F3679" s="165" t="s">
        <v>7786</v>
      </c>
    </row>
    <row r="3680" customFormat="false" ht="15" hidden="false" customHeight="true" outlineLevel="0" collapsed="false">
      <c r="A3680" s="163" t="s">
        <v>3021</v>
      </c>
      <c r="B3680" s="163" t="s">
        <v>894</v>
      </c>
      <c r="C3680" s="163" t="s">
        <v>5102</v>
      </c>
      <c r="D3680" s="163" t="s">
        <v>5103</v>
      </c>
      <c r="E3680" s="164" t="n">
        <v>5000</v>
      </c>
      <c r="F3680" s="165" t="s">
        <v>7786</v>
      </c>
    </row>
    <row r="3681" customFormat="false" ht="15" hidden="false" customHeight="true" outlineLevel="0" collapsed="false">
      <c r="A3681" s="163" t="s">
        <v>3021</v>
      </c>
      <c r="B3681" s="163" t="s">
        <v>894</v>
      </c>
      <c r="C3681" s="163" t="s">
        <v>431</v>
      </c>
      <c r="D3681" s="163" t="s">
        <v>2678</v>
      </c>
      <c r="E3681" s="164" t="n">
        <v>5000</v>
      </c>
      <c r="F3681" s="165" t="s">
        <v>7786</v>
      </c>
    </row>
    <row r="3682" customFormat="false" ht="15" hidden="false" customHeight="true" outlineLevel="0" collapsed="false">
      <c r="A3682" s="163" t="s">
        <v>3021</v>
      </c>
      <c r="B3682" s="163" t="s">
        <v>894</v>
      </c>
      <c r="C3682" s="163" t="s">
        <v>3309</v>
      </c>
      <c r="D3682" s="163" t="s">
        <v>3310</v>
      </c>
      <c r="E3682" s="164" t="n">
        <v>5000</v>
      </c>
      <c r="F3682" s="165" t="s">
        <v>7874</v>
      </c>
    </row>
    <row r="3683" customFormat="false" ht="15" hidden="false" customHeight="true" outlineLevel="0" collapsed="false">
      <c r="A3683" s="163" t="s">
        <v>3021</v>
      </c>
      <c r="B3683" s="163" t="s">
        <v>894</v>
      </c>
      <c r="C3683" s="163" t="s">
        <v>7875</v>
      </c>
      <c r="D3683" s="163" t="s">
        <v>7876</v>
      </c>
      <c r="E3683" s="164" t="n">
        <v>5000</v>
      </c>
      <c r="F3683" s="165" t="s">
        <v>7787</v>
      </c>
    </row>
    <row r="3684" customFormat="false" ht="15" hidden="false" customHeight="true" outlineLevel="0" collapsed="false">
      <c r="A3684" s="163" t="s">
        <v>3021</v>
      </c>
      <c r="B3684" s="163" t="s">
        <v>894</v>
      </c>
      <c r="C3684" s="163" t="s">
        <v>7877</v>
      </c>
      <c r="D3684" s="163" t="s">
        <v>1931</v>
      </c>
      <c r="E3684" s="164" t="n">
        <v>5000</v>
      </c>
      <c r="F3684" s="165" t="s">
        <v>7878</v>
      </c>
    </row>
    <row r="3685" customFormat="false" ht="15" hidden="false" customHeight="true" outlineLevel="0" collapsed="false">
      <c r="A3685" s="163" t="s">
        <v>3021</v>
      </c>
      <c r="B3685" s="163" t="s">
        <v>894</v>
      </c>
      <c r="C3685" s="163" t="s">
        <v>7879</v>
      </c>
      <c r="D3685" s="163" t="s">
        <v>1931</v>
      </c>
      <c r="E3685" s="164" t="n">
        <v>5000</v>
      </c>
      <c r="F3685" s="165" t="s">
        <v>7878</v>
      </c>
    </row>
    <row r="3686" customFormat="false" ht="15" hidden="false" customHeight="true" outlineLevel="0" collapsed="false">
      <c r="A3686" s="163" t="s">
        <v>3021</v>
      </c>
      <c r="B3686" s="163" t="s">
        <v>894</v>
      </c>
      <c r="C3686" s="163" t="s">
        <v>7880</v>
      </c>
      <c r="D3686" s="163" t="s">
        <v>7881</v>
      </c>
      <c r="E3686" s="164" t="n">
        <v>5000</v>
      </c>
      <c r="F3686" s="165" t="s">
        <v>3060</v>
      </c>
    </row>
    <row r="3687" customFormat="false" ht="15" hidden="false" customHeight="true" outlineLevel="0" collapsed="false">
      <c r="A3687" s="163" t="s">
        <v>3021</v>
      </c>
      <c r="B3687" s="163" t="s">
        <v>894</v>
      </c>
      <c r="C3687" s="163" t="s">
        <v>7882</v>
      </c>
      <c r="D3687" s="163" t="s">
        <v>7883</v>
      </c>
      <c r="E3687" s="164" t="n">
        <v>5000</v>
      </c>
      <c r="F3687" s="165" t="s">
        <v>7884</v>
      </c>
    </row>
    <row r="3688" customFormat="false" ht="15" hidden="false" customHeight="true" outlineLevel="0" collapsed="false">
      <c r="A3688" s="163" t="s">
        <v>3021</v>
      </c>
      <c r="B3688" s="163" t="s">
        <v>894</v>
      </c>
      <c r="C3688" s="163" t="s">
        <v>452</v>
      </c>
      <c r="D3688" s="163" t="s">
        <v>1931</v>
      </c>
      <c r="E3688" s="164" t="n">
        <v>5000</v>
      </c>
      <c r="F3688" s="165" t="s">
        <v>7885</v>
      </c>
    </row>
    <row r="3689" customFormat="false" ht="15" hidden="false" customHeight="true" outlineLevel="0" collapsed="false">
      <c r="A3689" s="163" t="s">
        <v>3021</v>
      </c>
      <c r="B3689" s="163" t="s">
        <v>894</v>
      </c>
      <c r="C3689" s="163" t="s">
        <v>5042</v>
      </c>
      <c r="D3689" s="163" t="s">
        <v>5043</v>
      </c>
      <c r="E3689" s="164" t="n">
        <v>5000</v>
      </c>
      <c r="F3689" s="165" t="s">
        <v>3060</v>
      </c>
    </row>
    <row r="3690" customFormat="false" ht="15" hidden="false" customHeight="true" outlineLevel="0" collapsed="false">
      <c r="A3690" s="163" t="s">
        <v>3021</v>
      </c>
      <c r="B3690" s="163" t="s">
        <v>882</v>
      </c>
      <c r="C3690" s="163" t="s">
        <v>2759</v>
      </c>
      <c r="D3690" s="163" t="s">
        <v>2760</v>
      </c>
      <c r="E3690" s="164" t="n">
        <v>280000</v>
      </c>
      <c r="F3690" s="165" t="s">
        <v>7886</v>
      </c>
    </row>
    <row r="3691" customFormat="false" ht="15" hidden="false" customHeight="true" outlineLevel="0" collapsed="false">
      <c r="A3691" s="163" t="s">
        <v>3021</v>
      </c>
      <c r="B3691" s="163" t="s">
        <v>2328</v>
      </c>
      <c r="C3691" s="163" t="s">
        <v>3706</v>
      </c>
      <c r="D3691" s="163" t="s">
        <v>3707</v>
      </c>
      <c r="E3691" s="164" t="n">
        <v>30000</v>
      </c>
      <c r="F3691" s="165" t="s">
        <v>7887</v>
      </c>
    </row>
    <row r="3692" customFormat="false" ht="15" hidden="false" customHeight="true" outlineLevel="0" collapsed="false">
      <c r="A3692" s="163" t="s">
        <v>3021</v>
      </c>
      <c r="B3692" s="163" t="s">
        <v>2328</v>
      </c>
      <c r="C3692" s="163" t="s">
        <v>3063</v>
      </c>
      <c r="D3692" s="163" t="s">
        <v>3064</v>
      </c>
      <c r="E3692" s="164" t="n">
        <v>20000</v>
      </c>
      <c r="F3692" s="165" t="s">
        <v>7888</v>
      </c>
    </row>
    <row r="3693" customFormat="false" ht="15" hidden="false" customHeight="true" outlineLevel="0" collapsed="false">
      <c r="A3693" s="163" t="s">
        <v>3021</v>
      </c>
      <c r="B3693" s="163" t="s">
        <v>2342</v>
      </c>
      <c r="C3693" s="163" t="s">
        <v>197</v>
      </c>
      <c r="D3693" s="163" t="s">
        <v>1931</v>
      </c>
      <c r="E3693" s="164" t="n">
        <v>20000</v>
      </c>
      <c r="F3693" s="165" t="s">
        <v>7889</v>
      </c>
    </row>
    <row r="3694" customFormat="false" ht="15" hidden="false" customHeight="true" outlineLevel="0" collapsed="false">
      <c r="A3694" s="163" t="s">
        <v>3021</v>
      </c>
      <c r="B3694" s="163" t="s">
        <v>2342</v>
      </c>
      <c r="C3694" s="163" t="s">
        <v>5343</v>
      </c>
      <c r="D3694" s="163" t="s">
        <v>5344</v>
      </c>
      <c r="E3694" s="164" t="n">
        <v>19766</v>
      </c>
      <c r="F3694" s="165" t="s">
        <v>7890</v>
      </c>
    </row>
    <row r="3695" customFormat="false" ht="15" hidden="false" customHeight="true" outlineLevel="0" collapsed="false">
      <c r="A3695" s="163" t="s">
        <v>3021</v>
      </c>
      <c r="B3695" s="163" t="s">
        <v>2342</v>
      </c>
      <c r="C3695" s="163" t="s">
        <v>197</v>
      </c>
      <c r="D3695" s="163" t="s">
        <v>1931</v>
      </c>
      <c r="E3695" s="164" t="n">
        <v>18000</v>
      </c>
      <c r="F3695" s="165" t="s">
        <v>7891</v>
      </c>
    </row>
    <row r="3696" customFormat="false" ht="15" hidden="false" customHeight="true" outlineLevel="0" collapsed="false">
      <c r="A3696" s="163" t="s">
        <v>3021</v>
      </c>
      <c r="B3696" s="163" t="s">
        <v>2342</v>
      </c>
      <c r="C3696" s="163" t="s">
        <v>197</v>
      </c>
      <c r="D3696" s="163" t="s">
        <v>1931</v>
      </c>
      <c r="E3696" s="164" t="n">
        <v>17234</v>
      </c>
      <c r="F3696" s="165" t="s">
        <v>7892</v>
      </c>
    </row>
    <row r="3697" customFormat="false" ht="15" hidden="false" customHeight="true" outlineLevel="0" collapsed="false">
      <c r="A3697" s="163" t="s">
        <v>3021</v>
      </c>
      <c r="B3697" s="163" t="s">
        <v>2342</v>
      </c>
      <c r="C3697" s="163" t="s">
        <v>230</v>
      </c>
      <c r="D3697" s="163" t="s">
        <v>2077</v>
      </c>
      <c r="E3697" s="164" t="n">
        <v>15000</v>
      </c>
      <c r="F3697" s="165" t="s">
        <v>7890</v>
      </c>
    </row>
    <row r="3698" customFormat="false" ht="15" hidden="false" customHeight="true" outlineLevel="0" collapsed="false">
      <c r="A3698" s="163" t="s">
        <v>3021</v>
      </c>
      <c r="B3698" s="163" t="s">
        <v>2766</v>
      </c>
      <c r="C3698" s="163" t="s">
        <v>7893</v>
      </c>
      <c r="D3698" s="163" t="s">
        <v>7894</v>
      </c>
      <c r="E3698" s="164" t="n">
        <v>15000</v>
      </c>
      <c r="F3698" s="165" t="s">
        <v>7895</v>
      </c>
    </row>
    <row r="3699" customFormat="false" ht="15" hidden="false" customHeight="true" outlineLevel="0" collapsed="false">
      <c r="A3699" s="163" t="s">
        <v>3021</v>
      </c>
      <c r="B3699" s="163" t="s">
        <v>2766</v>
      </c>
      <c r="C3699" s="163" t="s">
        <v>4396</v>
      </c>
      <c r="D3699" s="163" t="s">
        <v>4397</v>
      </c>
      <c r="E3699" s="164" t="n">
        <v>15000</v>
      </c>
      <c r="F3699" s="165" t="s">
        <v>7896</v>
      </c>
    </row>
    <row r="3700" customFormat="false" ht="15" hidden="false" customHeight="true" outlineLevel="0" collapsed="false">
      <c r="A3700" s="163" t="s">
        <v>3021</v>
      </c>
      <c r="B3700" s="163" t="s">
        <v>2766</v>
      </c>
      <c r="C3700" s="163" t="s">
        <v>5160</v>
      </c>
      <c r="D3700" s="163" t="s">
        <v>5161</v>
      </c>
      <c r="E3700" s="164" t="n">
        <v>15000</v>
      </c>
      <c r="F3700" s="165" t="s">
        <v>7897</v>
      </c>
    </row>
    <row r="3701" customFormat="false" ht="15" hidden="false" customHeight="true" outlineLevel="0" collapsed="false">
      <c r="A3701" s="163" t="s">
        <v>3021</v>
      </c>
      <c r="B3701" s="163" t="s">
        <v>2766</v>
      </c>
      <c r="C3701" s="163" t="s">
        <v>5160</v>
      </c>
      <c r="D3701" s="163" t="s">
        <v>5161</v>
      </c>
      <c r="E3701" s="164" t="n">
        <v>15000</v>
      </c>
      <c r="F3701" s="165" t="s">
        <v>7898</v>
      </c>
    </row>
    <row r="3702" customFormat="false" ht="15" hidden="false" customHeight="true" outlineLevel="0" collapsed="false">
      <c r="A3702" s="163" t="s">
        <v>3021</v>
      </c>
      <c r="B3702" s="163" t="s">
        <v>2766</v>
      </c>
      <c r="C3702" s="163" t="s">
        <v>7810</v>
      </c>
      <c r="D3702" s="163" t="s">
        <v>7811</v>
      </c>
      <c r="E3702" s="164" t="n">
        <v>15000</v>
      </c>
      <c r="F3702" s="165" t="s">
        <v>7895</v>
      </c>
    </row>
    <row r="3703" customFormat="false" ht="15" hidden="false" customHeight="true" outlineLevel="0" collapsed="false">
      <c r="A3703" s="163" t="s">
        <v>3021</v>
      </c>
      <c r="B3703" s="163" t="s">
        <v>1743</v>
      </c>
      <c r="C3703" s="163" t="s">
        <v>1860</v>
      </c>
      <c r="D3703" s="163" t="s">
        <v>1861</v>
      </c>
      <c r="E3703" s="164" t="n">
        <v>20000</v>
      </c>
      <c r="F3703" s="165" t="s">
        <v>7899</v>
      </c>
    </row>
    <row r="3704" customFormat="false" ht="15" hidden="false" customHeight="true" outlineLevel="0" collapsed="false">
      <c r="A3704" s="163" t="s">
        <v>3021</v>
      </c>
      <c r="B3704" s="163" t="s">
        <v>1743</v>
      </c>
      <c r="C3704" s="163" t="s">
        <v>3334</v>
      </c>
      <c r="D3704" s="163" t="s">
        <v>3335</v>
      </c>
      <c r="E3704" s="164" t="n">
        <v>20000</v>
      </c>
      <c r="F3704" s="165" t="s">
        <v>7899</v>
      </c>
    </row>
    <row r="3705" customFormat="false" ht="15" hidden="false" customHeight="true" outlineLevel="0" collapsed="false">
      <c r="A3705" s="163" t="s">
        <v>3021</v>
      </c>
      <c r="B3705" s="163" t="s">
        <v>1743</v>
      </c>
      <c r="C3705" s="163" t="s">
        <v>6557</v>
      </c>
      <c r="D3705" s="163" t="s">
        <v>6558</v>
      </c>
      <c r="E3705" s="164" t="n">
        <v>20000</v>
      </c>
      <c r="F3705" s="165" t="s">
        <v>7900</v>
      </c>
    </row>
    <row r="3706" customFormat="false" ht="15" hidden="false" customHeight="true" outlineLevel="0" collapsed="false">
      <c r="A3706" s="163" t="s">
        <v>3021</v>
      </c>
      <c r="B3706" s="163" t="s">
        <v>1743</v>
      </c>
      <c r="C3706" s="163" t="s">
        <v>4986</v>
      </c>
      <c r="D3706" s="163" t="s">
        <v>4987</v>
      </c>
      <c r="E3706" s="164" t="n">
        <v>18000</v>
      </c>
      <c r="F3706" s="165" t="s">
        <v>7899</v>
      </c>
    </row>
    <row r="3707" customFormat="false" ht="15" hidden="false" customHeight="true" outlineLevel="0" collapsed="false">
      <c r="A3707" s="163" t="s">
        <v>3021</v>
      </c>
      <c r="B3707" s="163" t="s">
        <v>1743</v>
      </c>
      <c r="C3707" s="163" t="s">
        <v>7901</v>
      </c>
      <c r="D3707" s="163" t="s">
        <v>7902</v>
      </c>
      <c r="E3707" s="164" t="n">
        <v>15000</v>
      </c>
      <c r="F3707" s="165" t="s">
        <v>7899</v>
      </c>
    </row>
    <row r="3708" customFormat="false" ht="15" hidden="false" customHeight="true" outlineLevel="0" collapsed="false">
      <c r="A3708" s="163" t="s">
        <v>3021</v>
      </c>
      <c r="B3708" s="163" t="s">
        <v>1743</v>
      </c>
      <c r="C3708" s="163" t="s">
        <v>7776</v>
      </c>
      <c r="D3708" s="163" t="s">
        <v>7777</v>
      </c>
      <c r="E3708" s="164" t="n">
        <v>15000</v>
      </c>
      <c r="F3708" s="165" t="s">
        <v>7899</v>
      </c>
    </row>
    <row r="3709" customFormat="false" ht="15" hidden="false" customHeight="true" outlineLevel="0" collapsed="false">
      <c r="A3709" s="163" t="s">
        <v>3021</v>
      </c>
      <c r="B3709" s="163" t="s">
        <v>1743</v>
      </c>
      <c r="C3709" s="163" t="s">
        <v>7773</v>
      </c>
      <c r="D3709" s="163" t="s">
        <v>7774</v>
      </c>
      <c r="E3709" s="164" t="n">
        <v>12000</v>
      </c>
      <c r="F3709" s="165" t="s">
        <v>7899</v>
      </c>
    </row>
    <row r="3710" customFormat="false" ht="15" hidden="false" customHeight="true" outlineLevel="0" collapsed="false">
      <c r="A3710" s="163" t="s">
        <v>3021</v>
      </c>
      <c r="B3710" s="163" t="s">
        <v>1743</v>
      </c>
      <c r="C3710" s="163" t="s">
        <v>3280</v>
      </c>
      <c r="D3710" s="163" t="s">
        <v>3281</v>
      </c>
      <c r="E3710" s="164" t="n">
        <v>10000</v>
      </c>
      <c r="F3710" s="165" t="s">
        <v>7899</v>
      </c>
    </row>
    <row r="3711" customFormat="false" ht="15" hidden="false" customHeight="true" outlineLevel="0" collapsed="false">
      <c r="A3711" s="163" t="s">
        <v>3021</v>
      </c>
      <c r="B3711" s="163" t="s">
        <v>1743</v>
      </c>
      <c r="C3711" s="163" t="s">
        <v>5793</v>
      </c>
      <c r="D3711" s="163" t="s">
        <v>5794</v>
      </c>
      <c r="E3711" s="164" t="n">
        <v>10000</v>
      </c>
      <c r="F3711" s="165" t="s">
        <v>7899</v>
      </c>
    </row>
    <row r="3712" customFormat="false" ht="15" hidden="false" customHeight="true" outlineLevel="0" collapsed="false">
      <c r="A3712" s="163" t="s">
        <v>3021</v>
      </c>
      <c r="B3712" s="163" t="s">
        <v>1743</v>
      </c>
      <c r="C3712" s="163" t="s">
        <v>4350</v>
      </c>
      <c r="D3712" s="163" t="s">
        <v>4351</v>
      </c>
      <c r="E3712" s="164" t="n">
        <v>10000</v>
      </c>
      <c r="F3712" s="165" t="s">
        <v>7899</v>
      </c>
    </row>
    <row r="3713" customFormat="false" ht="15" hidden="false" customHeight="true" outlineLevel="0" collapsed="false">
      <c r="A3713" s="163" t="s">
        <v>3021</v>
      </c>
      <c r="B3713" s="163" t="s">
        <v>928</v>
      </c>
      <c r="C3713" s="163" t="s">
        <v>7903</v>
      </c>
      <c r="D3713" s="163" t="s">
        <v>7904</v>
      </c>
      <c r="E3713" s="164" t="n">
        <v>40000</v>
      </c>
      <c r="F3713" s="165" t="s">
        <v>7905</v>
      </c>
    </row>
    <row r="3714" customFormat="false" ht="15" hidden="false" customHeight="true" outlineLevel="0" collapsed="false">
      <c r="A3714" s="163" t="s">
        <v>3021</v>
      </c>
      <c r="B3714" s="163" t="s">
        <v>928</v>
      </c>
      <c r="C3714" s="163" t="s">
        <v>4874</v>
      </c>
      <c r="D3714" s="163" t="s">
        <v>4875</v>
      </c>
      <c r="E3714" s="164" t="n">
        <v>20000</v>
      </c>
      <c r="F3714" s="165" t="s">
        <v>6702</v>
      </c>
    </row>
    <row r="3715" customFormat="false" ht="15" hidden="false" customHeight="true" outlineLevel="0" collapsed="false">
      <c r="A3715" s="163" t="s">
        <v>3021</v>
      </c>
      <c r="B3715" s="163" t="s">
        <v>928</v>
      </c>
      <c r="C3715" s="163" t="s">
        <v>5214</v>
      </c>
      <c r="D3715" s="163" t="s">
        <v>5215</v>
      </c>
      <c r="E3715" s="164" t="n">
        <v>12500</v>
      </c>
      <c r="F3715" s="165" t="s">
        <v>7906</v>
      </c>
    </row>
    <row r="3716" customFormat="false" ht="15" hidden="false" customHeight="true" outlineLevel="0" collapsed="false">
      <c r="A3716" s="163" t="s">
        <v>3021</v>
      </c>
      <c r="B3716" s="163" t="s">
        <v>928</v>
      </c>
      <c r="C3716" s="163" t="s">
        <v>3243</v>
      </c>
      <c r="D3716" s="163" t="s">
        <v>3244</v>
      </c>
      <c r="E3716" s="164" t="n">
        <v>10000</v>
      </c>
      <c r="F3716" s="165" t="s">
        <v>7786</v>
      </c>
    </row>
    <row r="3717" customFormat="false" ht="15" hidden="false" customHeight="true" outlineLevel="0" collapsed="false">
      <c r="A3717" s="163" t="s">
        <v>3021</v>
      </c>
      <c r="B3717" s="163" t="s">
        <v>928</v>
      </c>
      <c r="C3717" s="163" t="s">
        <v>4874</v>
      </c>
      <c r="D3717" s="163" t="s">
        <v>4875</v>
      </c>
      <c r="E3717" s="164" t="n">
        <v>10000</v>
      </c>
      <c r="F3717" s="165" t="s">
        <v>7907</v>
      </c>
    </row>
    <row r="3718" customFormat="false" ht="15" hidden="false" customHeight="true" outlineLevel="0" collapsed="false">
      <c r="A3718" s="163" t="s">
        <v>3021</v>
      </c>
      <c r="B3718" s="163" t="s">
        <v>928</v>
      </c>
      <c r="C3718" s="163" t="s">
        <v>7742</v>
      </c>
      <c r="D3718" s="163" t="s">
        <v>7743</v>
      </c>
      <c r="E3718" s="164" t="n">
        <v>8000</v>
      </c>
      <c r="F3718" s="165" t="s">
        <v>7908</v>
      </c>
    </row>
    <row r="3719" customFormat="false" ht="15" hidden="false" customHeight="true" outlineLevel="0" collapsed="false">
      <c r="A3719" s="163" t="s">
        <v>3021</v>
      </c>
      <c r="B3719" s="163" t="s">
        <v>928</v>
      </c>
      <c r="C3719" s="163" t="s">
        <v>7909</v>
      </c>
      <c r="D3719" s="163" t="s">
        <v>7910</v>
      </c>
      <c r="E3719" s="164" t="n">
        <v>8000</v>
      </c>
      <c r="F3719" s="165" t="s">
        <v>3060</v>
      </c>
    </row>
    <row r="3720" customFormat="false" ht="15" hidden="false" customHeight="true" outlineLevel="0" collapsed="false">
      <c r="A3720" s="163" t="s">
        <v>3021</v>
      </c>
      <c r="B3720" s="163" t="s">
        <v>928</v>
      </c>
      <c r="C3720" s="163" t="s">
        <v>6169</v>
      </c>
      <c r="D3720" s="163" t="s">
        <v>6170</v>
      </c>
      <c r="E3720" s="164" t="n">
        <v>8000</v>
      </c>
      <c r="F3720" s="165" t="s">
        <v>7911</v>
      </c>
    </row>
    <row r="3721" customFormat="false" ht="15" hidden="false" customHeight="true" outlineLevel="0" collapsed="false">
      <c r="A3721" s="163" t="s">
        <v>3021</v>
      </c>
      <c r="B3721" s="163" t="s">
        <v>928</v>
      </c>
      <c r="C3721" s="163" t="s">
        <v>7912</v>
      </c>
      <c r="D3721" s="163" t="s">
        <v>7913</v>
      </c>
      <c r="E3721" s="164" t="n">
        <v>7000</v>
      </c>
      <c r="F3721" s="165" t="s">
        <v>3060</v>
      </c>
    </row>
    <row r="3722" customFormat="false" ht="15" hidden="false" customHeight="true" outlineLevel="0" collapsed="false">
      <c r="A3722" s="163" t="s">
        <v>3021</v>
      </c>
      <c r="B3722" s="163" t="s">
        <v>928</v>
      </c>
      <c r="C3722" s="163" t="s">
        <v>5323</v>
      </c>
      <c r="D3722" s="163" t="s">
        <v>5324</v>
      </c>
      <c r="E3722" s="164" t="n">
        <v>6500</v>
      </c>
      <c r="F3722" s="165" t="s">
        <v>7845</v>
      </c>
    </row>
    <row r="3723" customFormat="false" ht="15" hidden="false" customHeight="true" outlineLevel="0" collapsed="false">
      <c r="A3723" s="163" t="s">
        <v>3021</v>
      </c>
      <c r="B3723" s="163" t="s">
        <v>928</v>
      </c>
      <c r="C3723" s="163" t="s">
        <v>7794</v>
      </c>
      <c r="D3723" s="163" t="s">
        <v>7795</v>
      </c>
      <c r="E3723" s="164" t="n">
        <v>5000</v>
      </c>
      <c r="F3723" s="165" t="s">
        <v>7914</v>
      </c>
    </row>
    <row r="3724" customFormat="false" ht="15" hidden="false" customHeight="true" outlineLevel="0" collapsed="false">
      <c r="A3724" s="163" t="s">
        <v>3021</v>
      </c>
      <c r="B3724" s="163" t="s">
        <v>928</v>
      </c>
      <c r="C3724" s="163" t="s">
        <v>1199</v>
      </c>
      <c r="D3724" s="163" t="s">
        <v>1929</v>
      </c>
      <c r="E3724" s="164" t="n">
        <v>5000</v>
      </c>
      <c r="F3724" s="165" t="s">
        <v>7915</v>
      </c>
    </row>
    <row r="3725" customFormat="false" ht="15" hidden="false" customHeight="true" outlineLevel="0" collapsed="false">
      <c r="A3725" s="163" t="s">
        <v>3021</v>
      </c>
      <c r="B3725" s="163" t="s">
        <v>928</v>
      </c>
      <c r="C3725" s="163" t="s">
        <v>3324</v>
      </c>
      <c r="D3725" s="163" t="s">
        <v>3325</v>
      </c>
      <c r="E3725" s="164" t="n">
        <v>5000</v>
      </c>
      <c r="F3725" s="165" t="s">
        <v>7786</v>
      </c>
    </row>
    <row r="3726" customFormat="false" ht="15" hidden="false" customHeight="true" outlineLevel="0" collapsed="false">
      <c r="A3726" s="163" t="s">
        <v>3021</v>
      </c>
      <c r="B3726" s="163" t="s">
        <v>928</v>
      </c>
      <c r="C3726" s="163" t="s">
        <v>1109</v>
      </c>
      <c r="D3726" s="163" t="s">
        <v>3755</v>
      </c>
      <c r="E3726" s="164" t="n">
        <v>5000</v>
      </c>
      <c r="F3726" s="165" t="s">
        <v>7916</v>
      </c>
    </row>
    <row r="3727" customFormat="false" ht="15" hidden="false" customHeight="true" outlineLevel="0" collapsed="false">
      <c r="A3727" s="163" t="s">
        <v>3030</v>
      </c>
      <c r="B3727" s="163" t="s">
        <v>926</v>
      </c>
      <c r="C3727" s="163" t="s">
        <v>3595</v>
      </c>
      <c r="D3727" s="163" t="s">
        <v>3596</v>
      </c>
      <c r="E3727" s="164" t="n">
        <v>50000</v>
      </c>
      <c r="F3727" s="165" t="s">
        <v>7917</v>
      </c>
    </row>
    <row r="3728" customFormat="false" ht="15" hidden="false" customHeight="true" outlineLevel="0" collapsed="false">
      <c r="A3728" s="163" t="s">
        <v>3030</v>
      </c>
      <c r="B3728" s="163" t="s">
        <v>926</v>
      </c>
      <c r="C3728" s="163" t="s">
        <v>5148</v>
      </c>
      <c r="D3728" s="163" t="s">
        <v>5149</v>
      </c>
      <c r="E3728" s="164" t="n">
        <v>30000</v>
      </c>
      <c r="F3728" s="165" t="s">
        <v>7917</v>
      </c>
    </row>
    <row r="3729" customFormat="false" ht="15" hidden="false" customHeight="true" outlineLevel="0" collapsed="false">
      <c r="A3729" s="163" t="s">
        <v>3030</v>
      </c>
      <c r="B3729" s="163" t="s">
        <v>926</v>
      </c>
      <c r="C3729" s="163" t="s">
        <v>3552</v>
      </c>
      <c r="D3729" s="163" t="s">
        <v>3553</v>
      </c>
      <c r="E3729" s="164" t="n">
        <v>10000</v>
      </c>
      <c r="F3729" s="165" t="s">
        <v>7917</v>
      </c>
    </row>
    <row r="3730" customFormat="false" ht="15" hidden="false" customHeight="true" outlineLevel="0" collapsed="false">
      <c r="A3730" s="163" t="s">
        <v>3030</v>
      </c>
      <c r="B3730" s="163" t="s">
        <v>926</v>
      </c>
      <c r="C3730" s="163" t="s">
        <v>4717</v>
      </c>
      <c r="D3730" s="163" t="s">
        <v>4718</v>
      </c>
      <c r="E3730" s="164" t="n">
        <v>10000</v>
      </c>
      <c r="F3730" s="165" t="s">
        <v>7918</v>
      </c>
    </row>
    <row r="3731" customFormat="false" ht="15" hidden="false" customHeight="true" outlineLevel="0" collapsed="false">
      <c r="A3731" s="163" t="s">
        <v>3030</v>
      </c>
      <c r="B3731" s="163" t="s">
        <v>957</v>
      </c>
      <c r="C3731" s="163" t="s">
        <v>4887</v>
      </c>
      <c r="D3731" s="163" t="s">
        <v>4888</v>
      </c>
      <c r="E3731" s="164" t="n">
        <v>68000</v>
      </c>
      <c r="F3731" s="165" t="s">
        <v>7919</v>
      </c>
    </row>
    <row r="3732" customFormat="false" ht="15" hidden="false" customHeight="true" outlineLevel="0" collapsed="false">
      <c r="A3732" s="163" t="s">
        <v>3030</v>
      </c>
      <c r="B3732" s="163" t="s">
        <v>957</v>
      </c>
      <c r="C3732" s="163" t="s">
        <v>3567</v>
      </c>
      <c r="D3732" s="163" t="s">
        <v>3568</v>
      </c>
      <c r="E3732" s="164" t="n">
        <v>26000</v>
      </c>
      <c r="F3732" s="165" t="s">
        <v>7920</v>
      </c>
    </row>
    <row r="3733" customFormat="false" ht="15" hidden="false" customHeight="true" outlineLevel="0" collapsed="false">
      <c r="A3733" s="163" t="s">
        <v>3030</v>
      </c>
      <c r="B3733" s="163" t="s">
        <v>957</v>
      </c>
      <c r="C3733" s="163" t="s">
        <v>3210</v>
      </c>
      <c r="D3733" s="163" t="s">
        <v>3211</v>
      </c>
      <c r="E3733" s="164" t="n">
        <v>6000</v>
      </c>
      <c r="F3733" s="165" t="s">
        <v>7921</v>
      </c>
    </row>
    <row r="3734" customFormat="false" ht="15" hidden="false" customHeight="true" outlineLevel="0" collapsed="false">
      <c r="A3734" s="163" t="s">
        <v>3030</v>
      </c>
      <c r="B3734" s="163" t="s">
        <v>957</v>
      </c>
      <c r="C3734" s="163" t="s">
        <v>4343</v>
      </c>
      <c r="D3734" s="163" t="s">
        <v>4344</v>
      </c>
      <c r="E3734" s="164" t="n">
        <v>5000</v>
      </c>
      <c r="F3734" s="165" t="s">
        <v>7917</v>
      </c>
    </row>
    <row r="3735" customFormat="false" ht="15" hidden="false" customHeight="true" outlineLevel="0" collapsed="false">
      <c r="A3735" s="163" t="s">
        <v>3030</v>
      </c>
      <c r="B3735" s="163" t="s">
        <v>957</v>
      </c>
      <c r="C3735" s="163" t="s">
        <v>1264</v>
      </c>
      <c r="D3735" s="163" t="s">
        <v>2227</v>
      </c>
      <c r="E3735" s="164" t="n">
        <v>5000</v>
      </c>
      <c r="F3735" s="165" t="s">
        <v>7917</v>
      </c>
    </row>
    <row r="3736" customFormat="false" ht="15" hidden="false" customHeight="true" outlineLevel="0" collapsed="false">
      <c r="A3736" s="163" t="s">
        <v>3030</v>
      </c>
      <c r="B3736" s="163" t="s">
        <v>945</v>
      </c>
      <c r="C3736" s="163" t="s">
        <v>4635</v>
      </c>
      <c r="D3736" s="163" t="s">
        <v>4636</v>
      </c>
      <c r="E3736" s="164" t="n">
        <v>25000</v>
      </c>
      <c r="F3736" s="165" t="s">
        <v>7922</v>
      </c>
    </row>
    <row r="3737" customFormat="false" ht="15" hidden="false" customHeight="true" outlineLevel="0" collapsed="false">
      <c r="A3737" s="163" t="s">
        <v>3030</v>
      </c>
      <c r="B3737" s="163" t="s">
        <v>3111</v>
      </c>
      <c r="C3737" s="163" t="s">
        <v>452</v>
      </c>
      <c r="D3737" s="163" t="s">
        <v>1931</v>
      </c>
      <c r="E3737" s="164" t="n">
        <v>15000</v>
      </c>
      <c r="F3737" s="165" t="s">
        <v>7923</v>
      </c>
    </row>
    <row r="3738" customFormat="false" ht="15" hidden="false" customHeight="true" outlineLevel="0" collapsed="false">
      <c r="A3738" s="163" t="s">
        <v>3030</v>
      </c>
      <c r="B3738" s="163" t="s">
        <v>3111</v>
      </c>
      <c r="C3738" s="163" t="s">
        <v>6612</v>
      </c>
      <c r="D3738" s="163" t="s">
        <v>6613</v>
      </c>
      <c r="E3738" s="164" t="n">
        <v>13000</v>
      </c>
      <c r="F3738" s="165" t="s">
        <v>7917</v>
      </c>
    </row>
    <row r="3739" customFormat="false" ht="15" hidden="false" customHeight="true" outlineLevel="0" collapsed="false">
      <c r="A3739" s="163" t="s">
        <v>3030</v>
      </c>
      <c r="B3739" s="163" t="s">
        <v>3111</v>
      </c>
      <c r="C3739" s="163" t="s">
        <v>5290</v>
      </c>
      <c r="D3739" s="163" t="s">
        <v>5291</v>
      </c>
      <c r="E3739" s="164" t="n">
        <v>12000</v>
      </c>
      <c r="F3739" s="165" t="s">
        <v>7917</v>
      </c>
    </row>
    <row r="3740" customFormat="false" ht="15" hidden="false" customHeight="true" outlineLevel="0" collapsed="false">
      <c r="A3740" s="163" t="s">
        <v>3030</v>
      </c>
      <c r="B3740" s="163" t="s">
        <v>3111</v>
      </c>
      <c r="C3740" s="163" t="s">
        <v>7076</v>
      </c>
      <c r="D3740" s="163" t="s">
        <v>7077</v>
      </c>
      <c r="E3740" s="164" t="n">
        <v>10000</v>
      </c>
      <c r="F3740" s="165" t="s">
        <v>7917</v>
      </c>
    </row>
    <row r="3741" customFormat="false" ht="15" hidden="false" customHeight="true" outlineLevel="0" collapsed="false">
      <c r="A3741" s="163" t="s">
        <v>3030</v>
      </c>
      <c r="B3741" s="163" t="s">
        <v>3111</v>
      </c>
      <c r="C3741" s="163" t="s">
        <v>5858</v>
      </c>
      <c r="D3741" s="163" t="s">
        <v>5859</v>
      </c>
      <c r="E3741" s="164" t="n">
        <v>10000</v>
      </c>
      <c r="F3741" s="165" t="s">
        <v>7924</v>
      </c>
    </row>
    <row r="3742" customFormat="false" ht="15" hidden="false" customHeight="true" outlineLevel="0" collapsed="false">
      <c r="A3742" s="163" t="s">
        <v>3030</v>
      </c>
      <c r="B3742" s="163" t="s">
        <v>3111</v>
      </c>
      <c r="C3742" s="163" t="s">
        <v>3643</v>
      </c>
      <c r="D3742" s="163" t="s">
        <v>3644</v>
      </c>
      <c r="E3742" s="164" t="n">
        <v>10000</v>
      </c>
      <c r="F3742" s="165" t="s">
        <v>7925</v>
      </c>
    </row>
    <row r="3743" customFormat="false" ht="15" hidden="false" customHeight="true" outlineLevel="0" collapsed="false">
      <c r="A3743" s="163" t="s">
        <v>3030</v>
      </c>
      <c r="B3743" s="163" t="s">
        <v>3111</v>
      </c>
      <c r="C3743" s="163" t="s">
        <v>7489</v>
      </c>
      <c r="D3743" s="163" t="s">
        <v>7490</v>
      </c>
      <c r="E3743" s="164" t="n">
        <v>10000</v>
      </c>
      <c r="F3743" s="165" t="s">
        <v>7926</v>
      </c>
    </row>
    <row r="3744" customFormat="false" ht="15" hidden="false" customHeight="true" outlineLevel="0" collapsed="false">
      <c r="A3744" s="163" t="s">
        <v>3030</v>
      </c>
      <c r="B3744" s="163" t="s">
        <v>3111</v>
      </c>
      <c r="C3744" s="163" t="s">
        <v>7927</v>
      </c>
      <c r="D3744" s="163" t="s">
        <v>7928</v>
      </c>
      <c r="E3744" s="164" t="n">
        <v>10000</v>
      </c>
      <c r="F3744" s="165" t="s">
        <v>7917</v>
      </c>
    </row>
    <row r="3745" customFormat="false" ht="15" hidden="false" customHeight="true" outlineLevel="0" collapsed="false">
      <c r="A3745" s="163" t="s">
        <v>3030</v>
      </c>
      <c r="B3745" s="163" t="s">
        <v>3111</v>
      </c>
      <c r="C3745" s="163" t="s">
        <v>3771</v>
      </c>
      <c r="D3745" s="163" t="s">
        <v>3772</v>
      </c>
      <c r="E3745" s="164" t="n">
        <v>10000</v>
      </c>
      <c r="F3745" s="165" t="s">
        <v>7917</v>
      </c>
    </row>
    <row r="3746" customFormat="false" ht="15" hidden="false" customHeight="true" outlineLevel="0" collapsed="false">
      <c r="A3746" s="163" t="s">
        <v>3030</v>
      </c>
      <c r="B3746" s="163" t="s">
        <v>1938</v>
      </c>
      <c r="C3746" s="163" t="s">
        <v>5152</v>
      </c>
      <c r="D3746" s="163" t="s">
        <v>5153</v>
      </c>
      <c r="E3746" s="164" t="n">
        <v>20000</v>
      </c>
      <c r="F3746" s="165" t="s">
        <v>7929</v>
      </c>
    </row>
    <row r="3747" customFormat="false" ht="15" hidden="false" customHeight="true" outlineLevel="0" collapsed="false">
      <c r="A3747" s="163" t="s">
        <v>3030</v>
      </c>
      <c r="B3747" s="163" t="s">
        <v>1938</v>
      </c>
      <c r="C3747" s="163" t="s">
        <v>7930</v>
      </c>
      <c r="D3747" s="163" t="s">
        <v>7931</v>
      </c>
      <c r="E3747" s="164" t="n">
        <v>20000</v>
      </c>
      <c r="F3747" s="165" t="s">
        <v>7932</v>
      </c>
    </row>
    <row r="3748" customFormat="false" ht="15" hidden="false" customHeight="true" outlineLevel="0" collapsed="false">
      <c r="A3748" s="163" t="s">
        <v>3030</v>
      </c>
      <c r="B3748" s="163" t="s">
        <v>1938</v>
      </c>
      <c r="C3748" s="163" t="s">
        <v>260</v>
      </c>
      <c r="D3748" s="163" t="s">
        <v>2097</v>
      </c>
      <c r="E3748" s="164" t="n">
        <v>20000</v>
      </c>
      <c r="F3748" s="165" t="s">
        <v>7933</v>
      </c>
    </row>
    <row r="3749" customFormat="false" ht="15" hidden="false" customHeight="true" outlineLevel="0" collapsed="false">
      <c r="A3749" s="163" t="s">
        <v>3030</v>
      </c>
      <c r="B3749" s="163" t="s">
        <v>1938</v>
      </c>
      <c r="C3749" s="163" t="s">
        <v>452</v>
      </c>
      <c r="D3749" s="163" t="s">
        <v>1931</v>
      </c>
      <c r="E3749" s="164" t="n">
        <v>20000</v>
      </c>
      <c r="F3749" s="165" t="s">
        <v>7934</v>
      </c>
    </row>
    <row r="3750" customFormat="false" ht="15" hidden="false" customHeight="true" outlineLevel="0" collapsed="false">
      <c r="A3750" s="163" t="s">
        <v>3030</v>
      </c>
      <c r="B3750" s="163" t="s">
        <v>1938</v>
      </c>
      <c r="C3750" s="163" t="s">
        <v>3595</v>
      </c>
      <c r="D3750" s="163" t="s">
        <v>3596</v>
      </c>
      <c r="E3750" s="164" t="n">
        <v>20000</v>
      </c>
      <c r="F3750" s="165" t="s">
        <v>7935</v>
      </c>
    </row>
    <row r="3751" customFormat="false" ht="15" hidden="false" customHeight="true" outlineLevel="0" collapsed="false">
      <c r="A3751" s="163" t="s">
        <v>3030</v>
      </c>
      <c r="B3751" s="163" t="s">
        <v>1938</v>
      </c>
      <c r="C3751" s="163" t="s">
        <v>5160</v>
      </c>
      <c r="D3751" s="163" t="s">
        <v>5161</v>
      </c>
      <c r="E3751" s="164" t="n">
        <v>20000</v>
      </c>
      <c r="F3751" s="165" t="s">
        <v>7936</v>
      </c>
    </row>
    <row r="3752" customFormat="false" ht="15" hidden="false" customHeight="true" outlineLevel="0" collapsed="false">
      <c r="A3752" s="163" t="s">
        <v>3030</v>
      </c>
      <c r="B3752" s="163" t="s">
        <v>1938</v>
      </c>
      <c r="C3752" s="163" t="s">
        <v>4957</v>
      </c>
      <c r="D3752" s="163" t="s">
        <v>4958</v>
      </c>
      <c r="E3752" s="164" t="n">
        <v>20000</v>
      </c>
      <c r="F3752" s="165" t="s">
        <v>7937</v>
      </c>
    </row>
    <row r="3753" customFormat="false" ht="15" hidden="false" customHeight="true" outlineLevel="0" collapsed="false">
      <c r="A3753" s="163" t="s">
        <v>3030</v>
      </c>
      <c r="B3753" s="163" t="s">
        <v>1938</v>
      </c>
      <c r="C3753" s="163" t="s">
        <v>3133</v>
      </c>
      <c r="D3753" s="163" t="s">
        <v>3134</v>
      </c>
      <c r="E3753" s="164" t="n">
        <v>20000</v>
      </c>
      <c r="F3753" s="165" t="s">
        <v>7938</v>
      </c>
    </row>
    <row r="3754" customFormat="false" ht="15" hidden="false" customHeight="true" outlineLevel="0" collapsed="false">
      <c r="A3754" s="163" t="s">
        <v>3030</v>
      </c>
      <c r="B3754" s="163" t="s">
        <v>1938</v>
      </c>
      <c r="C3754" s="163" t="s">
        <v>5102</v>
      </c>
      <c r="D3754" s="163" t="s">
        <v>5103</v>
      </c>
      <c r="E3754" s="164" t="n">
        <v>20000</v>
      </c>
      <c r="F3754" s="165" t="s">
        <v>7939</v>
      </c>
    </row>
    <row r="3755" customFormat="false" ht="15" hidden="false" customHeight="true" outlineLevel="0" collapsed="false">
      <c r="A3755" s="163" t="s">
        <v>3030</v>
      </c>
      <c r="B3755" s="163" t="s">
        <v>1938</v>
      </c>
      <c r="C3755" s="163" t="s">
        <v>332</v>
      </c>
      <c r="D3755" s="163" t="s">
        <v>2673</v>
      </c>
      <c r="E3755" s="164" t="n">
        <v>20000</v>
      </c>
      <c r="F3755" s="165" t="s">
        <v>7940</v>
      </c>
    </row>
    <row r="3756" customFormat="false" ht="15" hidden="false" customHeight="true" outlineLevel="0" collapsed="false">
      <c r="A3756" s="163" t="s">
        <v>3030</v>
      </c>
      <c r="B3756" s="163" t="s">
        <v>1938</v>
      </c>
      <c r="C3756" s="163" t="s">
        <v>3602</v>
      </c>
      <c r="D3756" s="163" t="s">
        <v>3603</v>
      </c>
      <c r="E3756" s="164" t="n">
        <v>20000</v>
      </c>
      <c r="F3756" s="165" t="s">
        <v>7941</v>
      </c>
    </row>
    <row r="3757" customFormat="false" ht="15" hidden="false" customHeight="true" outlineLevel="0" collapsed="false">
      <c r="A3757" s="163" t="s">
        <v>3030</v>
      </c>
      <c r="B3757" s="163" t="s">
        <v>1938</v>
      </c>
      <c r="C3757" s="163" t="s">
        <v>7942</v>
      </c>
      <c r="D3757" s="163" t="s">
        <v>7943</v>
      </c>
      <c r="E3757" s="164" t="n">
        <v>20000</v>
      </c>
      <c r="F3757" s="165" t="s">
        <v>7944</v>
      </c>
    </row>
    <row r="3758" customFormat="false" ht="15" hidden="false" customHeight="true" outlineLevel="0" collapsed="false">
      <c r="A3758" s="163" t="s">
        <v>3030</v>
      </c>
      <c r="B3758" s="163" t="s">
        <v>1938</v>
      </c>
      <c r="C3758" s="163" t="s">
        <v>3552</v>
      </c>
      <c r="D3758" s="163" t="s">
        <v>3553</v>
      </c>
      <c r="E3758" s="164" t="n">
        <v>20000</v>
      </c>
      <c r="F3758" s="165" t="s">
        <v>7945</v>
      </c>
    </row>
    <row r="3759" customFormat="false" ht="15" hidden="false" customHeight="true" outlineLevel="0" collapsed="false">
      <c r="A3759" s="163" t="s">
        <v>3030</v>
      </c>
      <c r="B3759" s="163" t="s">
        <v>1938</v>
      </c>
      <c r="C3759" s="163" t="s">
        <v>5165</v>
      </c>
      <c r="D3759" s="163" t="s">
        <v>5166</v>
      </c>
      <c r="E3759" s="164" t="n">
        <v>20000</v>
      </c>
      <c r="F3759" s="165" t="s">
        <v>7946</v>
      </c>
    </row>
    <row r="3760" customFormat="false" ht="15" hidden="false" customHeight="true" outlineLevel="0" collapsed="false">
      <c r="A3760" s="163" t="s">
        <v>3030</v>
      </c>
      <c r="B3760" s="163" t="s">
        <v>1938</v>
      </c>
      <c r="C3760" s="163" t="s">
        <v>4946</v>
      </c>
      <c r="D3760" s="163" t="s">
        <v>4947</v>
      </c>
      <c r="E3760" s="164" t="n">
        <v>20000</v>
      </c>
      <c r="F3760" s="165" t="s">
        <v>7947</v>
      </c>
    </row>
    <row r="3761" customFormat="false" ht="15" hidden="false" customHeight="true" outlineLevel="0" collapsed="false">
      <c r="A3761" s="163" t="s">
        <v>3030</v>
      </c>
      <c r="B3761" s="163" t="s">
        <v>1938</v>
      </c>
      <c r="C3761" s="163" t="s">
        <v>3395</v>
      </c>
      <c r="D3761" s="163" t="s">
        <v>3396</v>
      </c>
      <c r="E3761" s="164" t="n">
        <v>20000</v>
      </c>
      <c r="F3761" s="165" t="s">
        <v>7948</v>
      </c>
    </row>
    <row r="3762" customFormat="false" ht="15" hidden="false" customHeight="true" outlineLevel="0" collapsed="false">
      <c r="A3762" s="163" t="s">
        <v>3030</v>
      </c>
      <c r="B3762" s="163" t="s">
        <v>1938</v>
      </c>
      <c r="C3762" s="163" t="s">
        <v>4717</v>
      </c>
      <c r="D3762" s="163" t="s">
        <v>4718</v>
      </c>
      <c r="E3762" s="164" t="n">
        <v>20000</v>
      </c>
      <c r="F3762" s="165" t="s">
        <v>7949</v>
      </c>
    </row>
    <row r="3763" customFormat="false" ht="15" hidden="false" customHeight="true" outlineLevel="0" collapsed="false">
      <c r="A3763" s="163" t="s">
        <v>3030</v>
      </c>
      <c r="B3763" s="163" t="s">
        <v>691</v>
      </c>
      <c r="C3763" s="163" t="s">
        <v>5148</v>
      </c>
      <c r="D3763" s="163" t="s">
        <v>5149</v>
      </c>
      <c r="E3763" s="164" t="n">
        <v>45000</v>
      </c>
      <c r="F3763" s="165" t="s">
        <v>7950</v>
      </c>
    </row>
    <row r="3764" customFormat="false" ht="15" hidden="false" customHeight="true" outlineLevel="0" collapsed="false">
      <c r="A3764" s="163" t="s">
        <v>3030</v>
      </c>
      <c r="B3764" s="163" t="s">
        <v>691</v>
      </c>
      <c r="C3764" s="163" t="s">
        <v>5865</v>
      </c>
      <c r="D3764" s="163" t="s">
        <v>5866</v>
      </c>
      <c r="E3764" s="164" t="n">
        <v>45000</v>
      </c>
      <c r="F3764" s="165" t="s">
        <v>7951</v>
      </c>
    </row>
    <row r="3765" customFormat="false" ht="15" hidden="false" customHeight="true" outlineLevel="0" collapsed="false">
      <c r="A3765" s="163" t="s">
        <v>3030</v>
      </c>
      <c r="B3765" s="163" t="s">
        <v>691</v>
      </c>
      <c r="C3765" s="163" t="s">
        <v>431</v>
      </c>
      <c r="D3765" s="163" t="s">
        <v>2678</v>
      </c>
      <c r="E3765" s="164" t="n">
        <v>30000</v>
      </c>
      <c r="F3765" s="165" t="s">
        <v>7952</v>
      </c>
    </row>
    <row r="3766" customFormat="false" ht="15" hidden="false" customHeight="true" outlineLevel="0" collapsed="false">
      <c r="A3766" s="163" t="s">
        <v>3030</v>
      </c>
      <c r="B3766" s="163" t="s">
        <v>691</v>
      </c>
      <c r="C3766" s="163" t="s">
        <v>4388</v>
      </c>
      <c r="D3766" s="163" t="s">
        <v>4389</v>
      </c>
      <c r="E3766" s="164" t="n">
        <v>15000</v>
      </c>
      <c r="F3766" s="165" t="s">
        <v>7953</v>
      </c>
    </row>
    <row r="3767" customFormat="false" ht="15" hidden="false" customHeight="true" outlineLevel="0" collapsed="false">
      <c r="A3767" s="163" t="s">
        <v>3030</v>
      </c>
      <c r="B3767" s="163" t="s">
        <v>691</v>
      </c>
      <c r="C3767" s="163" t="s">
        <v>3564</v>
      </c>
      <c r="D3767" s="163" t="s">
        <v>3565</v>
      </c>
      <c r="E3767" s="164" t="n">
        <v>10000</v>
      </c>
      <c r="F3767" s="165" t="s">
        <v>7954</v>
      </c>
    </row>
    <row r="3768" customFormat="false" ht="15" hidden="false" customHeight="true" outlineLevel="0" collapsed="false">
      <c r="A3768" s="163" t="s">
        <v>3030</v>
      </c>
      <c r="B3768" s="163" t="s">
        <v>2027</v>
      </c>
      <c r="C3768" s="163" t="s">
        <v>5028</v>
      </c>
      <c r="D3768" s="163" t="s">
        <v>1931</v>
      </c>
      <c r="E3768" s="164" t="n">
        <v>30000</v>
      </c>
      <c r="F3768" s="165" t="s">
        <v>7917</v>
      </c>
    </row>
    <row r="3769" customFormat="false" ht="15" hidden="false" customHeight="true" outlineLevel="0" collapsed="false">
      <c r="A3769" s="163" t="s">
        <v>3030</v>
      </c>
      <c r="B3769" s="163" t="s">
        <v>2027</v>
      </c>
      <c r="C3769" s="163" t="s">
        <v>4420</v>
      </c>
      <c r="D3769" s="163" t="s">
        <v>4421</v>
      </c>
      <c r="E3769" s="164" t="n">
        <v>25000</v>
      </c>
      <c r="F3769" s="165" t="s">
        <v>7917</v>
      </c>
    </row>
    <row r="3770" customFormat="false" ht="15" hidden="false" customHeight="true" outlineLevel="0" collapsed="false">
      <c r="A3770" s="163" t="s">
        <v>3030</v>
      </c>
      <c r="B3770" s="163" t="s">
        <v>2027</v>
      </c>
      <c r="C3770" s="163" t="s">
        <v>360</v>
      </c>
      <c r="D3770" s="163" t="s">
        <v>2685</v>
      </c>
      <c r="E3770" s="164" t="n">
        <v>20000</v>
      </c>
      <c r="F3770" s="165" t="s">
        <v>7917</v>
      </c>
    </row>
    <row r="3771" customFormat="false" ht="15" hidden="false" customHeight="true" outlineLevel="0" collapsed="false">
      <c r="A3771" s="163" t="s">
        <v>3030</v>
      </c>
      <c r="B3771" s="163" t="s">
        <v>2027</v>
      </c>
      <c r="C3771" s="163" t="s">
        <v>5196</v>
      </c>
      <c r="D3771" s="163" t="s">
        <v>5197</v>
      </c>
      <c r="E3771" s="164" t="n">
        <v>15000</v>
      </c>
      <c r="F3771" s="165" t="s">
        <v>7917</v>
      </c>
    </row>
    <row r="3772" customFormat="false" ht="15" hidden="false" customHeight="true" outlineLevel="0" collapsed="false">
      <c r="A3772" s="163" t="s">
        <v>3030</v>
      </c>
      <c r="B3772" s="163" t="s">
        <v>2037</v>
      </c>
      <c r="C3772" s="163" t="s">
        <v>6627</v>
      </c>
      <c r="D3772" s="163" t="s">
        <v>6628</v>
      </c>
      <c r="E3772" s="164" t="n">
        <v>50000</v>
      </c>
      <c r="F3772" s="165" t="s">
        <v>7917</v>
      </c>
    </row>
    <row r="3773" customFormat="false" ht="15" hidden="false" customHeight="true" outlineLevel="0" collapsed="false">
      <c r="A3773" s="163" t="s">
        <v>3030</v>
      </c>
      <c r="B3773" s="163" t="s">
        <v>2037</v>
      </c>
      <c r="C3773" s="163" t="s">
        <v>1860</v>
      </c>
      <c r="D3773" s="163" t="s">
        <v>1861</v>
      </c>
      <c r="E3773" s="164" t="n">
        <v>50000</v>
      </c>
      <c r="F3773" s="165" t="s">
        <v>7917</v>
      </c>
    </row>
    <row r="3774" customFormat="false" ht="15" hidden="false" customHeight="true" outlineLevel="0" collapsed="false">
      <c r="A3774" s="163" t="s">
        <v>3030</v>
      </c>
      <c r="B3774" s="163" t="s">
        <v>2037</v>
      </c>
      <c r="C3774" s="163" t="s">
        <v>6573</v>
      </c>
      <c r="D3774" s="163" t="s">
        <v>6574</v>
      </c>
      <c r="E3774" s="164" t="n">
        <v>16500</v>
      </c>
      <c r="F3774" s="165" t="s">
        <v>7917</v>
      </c>
    </row>
    <row r="3775" customFormat="false" ht="15" hidden="false" customHeight="true" outlineLevel="0" collapsed="false">
      <c r="A3775" s="163" t="s">
        <v>3030</v>
      </c>
      <c r="B3775" s="163" t="s">
        <v>2037</v>
      </c>
      <c r="C3775" s="163" t="s">
        <v>6945</v>
      </c>
      <c r="D3775" s="163" t="s">
        <v>6946</v>
      </c>
      <c r="E3775" s="164" t="n">
        <v>11500</v>
      </c>
      <c r="F3775" s="165" t="s">
        <v>7917</v>
      </c>
    </row>
    <row r="3776" customFormat="false" ht="15" hidden="false" customHeight="true" outlineLevel="0" collapsed="false">
      <c r="A3776" s="163" t="s">
        <v>3030</v>
      </c>
      <c r="B3776" s="163" t="s">
        <v>2037</v>
      </c>
      <c r="C3776" s="163" t="s">
        <v>5199</v>
      </c>
      <c r="D3776" s="163" t="s">
        <v>5200</v>
      </c>
      <c r="E3776" s="164" t="n">
        <v>5000</v>
      </c>
      <c r="F3776" s="165" t="s">
        <v>7917</v>
      </c>
    </row>
    <row r="3777" customFormat="false" ht="15" hidden="false" customHeight="true" outlineLevel="0" collapsed="false">
      <c r="A3777" s="163" t="s">
        <v>3030</v>
      </c>
      <c r="B3777" s="163" t="s">
        <v>894</v>
      </c>
      <c r="C3777" s="163" t="s">
        <v>6557</v>
      </c>
      <c r="D3777" s="163" t="s">
        <v>6558</v>
      </c>
      <c r="E3777" s="164" t="n">
        <v>30000</v>
      </c>
      <c r="F3777" s="165" t="s">
        <v>7955</v>
      </c>
    </row>
    <row r="3778" customFormat="false" ht="15" hidden="false" customHeight="true" outlineLevel="0" collapsed="false">
      <c r="A3778" s="163" t="s">
        <v>3030</v>
      </c>
      <c r="B3778" s="163" t="s">
        <v>894</v>
      </c>
      <c r="C3778" s="163" t="s">
        <v>3595</v>
      </c>
      <c r="D3778" s="163" t="s">
        <v>3596</v>
      </c>
      <c r="E3778" s="164" t="n">
        <v>28000</v>
      </c>
      <c r="F3778" s="165" t="s">
        <v>7956</v>
      </c>
    </row>
    <row r="3779" customFormat="false" ht="15" hidden="false" customHeight="true" outlineLevel="0" collapsed="false">
      <c r="A3779" s="163" t="s">
        <v>3030</v>
      </c>
      <c r="B3779" s="163" t="s">
        <v>894</v>
      </c>
      <c r="C3779" s="163" t="s">
        <v>6612</v>
      </c>
      <c r="D3779" s="163" t="s">
        <v>6613</v>
      </c>
      <c r="E3779" s="164" t="n">
        <v>25000</v>
      </c>
      <c r="F3779" s="165" t="s">
        <v>7957</v>
      </c>
    </row>
    <row r="3780" customFormat="false" ht="15" hidden="false" customHeight="true" outlineLevel="0" collapsed="false">
      <c r="A3780" s="163" t="s">
        <v>3030</v>
      </c>
      <c r="B3780" s="163" t="s">
        <v>894</v>
      </c>
      <c r="C3780" s="163" t="s">
        <v>6612</v>
      </c>
      <c r="D3780" s="163" t="s">
        <v>6613</v>
      </c>
      <c r="E3780" s="164" t="n">
        <v>25000</v>
      </c>
      <c r="F3780" s="165" t="s">
        <v>7958</v>
      </c>
    </row>
    <row r="3781" customFormat="false" ht="15" hidden="false" customHeight="true" outlineLevel="0" collapsed="false">
      <c r="A3781" s="163" t="s">
        <v>3030</v>
      </c>
      <c r="B3781" s="163" t="s">
        <v>894</v>
      </c>
      <c r="C3781" s="163" t="s">
        <v>4887</v>
      </c>
      <c r="D3781" s="163" t="s">
        <v>4888</v>
      </c>
      <c r="E3781" s="164" t="n">
        <v>24500</v>
      </c>
      <c r="F3781" s="165" t="s">
        <v>7917</v>
      </c>
    </row>
    <row r="3782" customFormat="false" ht="15" hidden="false" customHeight="true" outlineLevel="0" collapsed="false">
      <c r="A3782" s="163" t="s">
        <v>3030</v>
      </c>
      <c r="B3782" s="163" t="s">
        <v>894</v>
      </c>
      <c r="C3782" s="163" t="s">
        <v>197</v>
      </c>
      <c r="D3782" s="163" t="s">
        <v>1931</v>
      </c>
      <c r="E3782" s="164" t="n">
        <v>15000</v>
      </c>
      <c r="F3782" s="165" t="s">
        <v>7959</v>
      </c>
    </row>
    <row r="3783" customFormat="false" ht="15" hidden="false" customHeight="true" outlineLevel="0" collapsed="false">
      <c r="A3783" s="163" t="s">
        <v>3030</v>
      </c>
      <c r="B3783" s="163" t="s">
        <v>894</v>
      </c>
      <c r="C3783" s="163" t="s">
        <v>7773</v>
      </c>
      <c r="D3783" s="163" t="s">
        <v>7774</v>
      </c>
      <c r="E3783" s="164" t="n">
        <v>15000</v>
      </c>
      <c r="F3783" s="165" t="s">
        <v>3060</v>
      </c>
    </row>
    <row r="3784" customFormat="false" ht="15" hidden="false" customHeight="true" outlineLevel="0" collapsed="false">
      <c r="A3784" s="163" t="s">
        <v>3030</v>
      </c>
      <c r="B3784" s="163" t="s">
        <v>894</v>
      </c>
      <c r="C3784" s="163" t="s">
        <v>452</v>
      </c>
      <c r="D3784" s="163" t="s">
        <v>2102</v>
      </c>
      <c r="E3784" s="164" t="n">
        <v>15000</v>
      </c>
      <c r="F3784" s="165" t="s">
        <v>5134</v>
      </c>
    </row>
    <row r="3785" customFormat="false" ht="15" hidden="false" customHeight="true" outlineLevel="0" collapsed="false">
      <c r="A3785" s="163" t="s">
        <v>3030</v>
      </c>
      <c r="B3785" s="163" t="s">
        <v>894</v>
      </c>
      <c r="C3785" s="163" t="s">
        <v>3635</v>
      </c>
      <c r="D3785" s="163" t="s">
        <v>3636</v>
      </c>
      <c r="E3785" s="164" t="n">
        <v>10000</v>
      </c>
      <c r="F3785" s="165" t="s">
        <v>7960</v>
      </c>
    </row>
    <row r="3786" customFormat="false" ht="15" hidden="false" customHeight="true" outlineLevel="0" collapsed="false">
      <c r="A3786" s="163" t="s">
        <v>3030</v>
      </c>
      <c r="B3786" s="163" t="s">
        <v>894</v>
      </c>
      <c r="C3786" s="163" t="s">
        <v>4904</v>
      </c>
      <c r="D3786" s="163" t="s">
        <v>4905</v>
      </c>
      <c r="E3786" s="164" t="n">
        <v>10000</v>
      </c>
      <c r="F3786" s="165" t="s">
        <v>7917</v>
      </c>
    </row>
    <row r="3787" customFormat="false" ht="15" hidden="false" customHeight="true" outlineLevel="0" collapsed="false">
      <c r="A3787" s="163" t="s">
        <v>3030</v>
      </c>
      <c r="B3787" s="163" t="s">
        <v>894</v>
      </c>
      <c r="C3787" s="163" t="s">
        <v>7961</v>
      </c>
      <c r="D3787" s="163" t="s">
        <v>7962</v>
      </c>
      <c r="E3787" s="164" t="n">
        <v>10000</v>
      </c>
      <c r="F3787" s="165" t="s">
        <v>3060</v>
      </c>
    </row>
    <row r="3788" customFormat="false" ht="15" hidden="false" customHeight="true" outlineLevel="0" collapsed="false">
      <c r="A3788" s="163" t="s">
        <v>3030</v>
      </c>
      <c r="B3788" s="163" t="s">
        <v>894</v>
      </c>
      <c r="C3788" s="163" t="s">
        <v>7963</v>
      </c>
      <c r="D3788" s="163" t="s">
        <v>7964</v>
      </c>
      <c r="E3788" s="164" t="n">
        <v>10000</v>
      </c>
      <c r="F3788" s="165" t="s">
        <v>3060</v>
      </c>
    </row>
    <row r="3789" customFormat="false" ht="15" hidden="false" customHeight="true" outlineLevel="0" collapsed="false">
      <c r="A3789" s="163" t="s">
        <v>3030</v>
      </c>
      <c r="B3789" s="163" t="s">
        <v>894</v>
      </c>
      <c r="C3789" s="163" t="s">
        <v>7794</v>
      </c>
      <c r="D3789" s="163" t="s">
        <v>7795</v>
      </c>
      <c r="E3789" s="164" t="n">
        <v>10000</v>
      </c>
      <c r="F3789" s="165" t="s">
        <v>7965</v>
      </c>
    </row>
    <row r="3790" customFormat="false" ht="15" hidden="false" customHeight="true" outlineLevel="0" collapsed="false">
      <c r="A3790" s="163" t="s">
        <v>3030</v>
      </c>
      <c r="B3790" s="163" t="s">
        <v>894</v>
      </c>
      <c r="C3790" s="163" t="s">
        <v>6345</v>
      </c>
      <c r="D3790" s="163" t="s">
        <v>6346</v>
      </c>
      <c r="E3790" s="164" t="n">
        <v>10000</v>
      </c>
      <c r="F3790" s="165" t="s">
        <v>7966</v>
      </c>
    </row>
    <row r="3791" customFormat="false" ht="15" hidden="false" customHeight="true" outlineLevel="0" collapsed="false">
      <c r="A3791" s="163" t="s">
        <v>3030</v>
      </c>
      <c r="B3791" s="163" t="s">
        <v>894</v>
      </c>
      <c r="C3791" s="163" t="s">
        <v>7967</v>
      </c>
      <c r="D3791" s="163" t="s">
        <v>7968</v>
      </c>
      <c r="E3791" s="164" t="n">
        <v>10000</v>
      </c>
      <c r="F3791" s="165" t="s">
        <v>3060</v>
      </c>
    </row>
    <row r="3792" customFormat="false" ht="15" hidden="false" customHeight="true" outlineLevel="0" collapsed="false">
      <c r="A3792" s="163" t="s">
        <v>3030</v>
      </c>
      <c r="B3792" s="163" t="s">
        <v>894</v>
      </c>
      <c r="C3792" s="163" t="s">
        <v>7969</v>
      </c>
      <c r="D3792" s="163" t="s">
        <v>7970</v>
      </c>
      <c r="E3792" s="164" t="n">
        <v>10000</v>
      </c>
      <c r="F3792" s="165" t="s">
        <v>7971</v>
      </c>
    </row>
    <row r="3793" customFormat="false" ht="15" hidden="false" customHeight="true" outlineLevel="0" collapsed="false">
      <c r="A3793" s="163" t="s">
        <v>3030</v>
      </c>
      <c r="B3793" s="163" t="s">
        <v>894</v>
      </c>
      <c r="C3793" s="163" t="s">
        <v>6562</v>
      </c>
      <c r="D3793" s="163" t="s">
        <v>6563</v>
      </c>
      <c r="E3793" s="164" t="n">
        <v>10000</v>
      </c>
      <c r="F3793" s="165" t="s">
        <v>3060</v>
      </c>
    </row>
    <row r="3794" customFormat="false" ht="15" hidden="false" customHeight="true" outlineLevel="0" collapsed="false">
      <c r="A3794" s="163" t="s">
        <v>3030</v>
      </c>
      <c r="B3794" s="163" t="s">
        <v>894</v>
      </c>
      <c r="C3794" s="163" t="s">
        <v>3622</v>
      </c>
      <c r="D3794" s="163" t="s">
        <v>3623</v>
      </c>
      <c r="E3794" s="164" t="n">
        <v>10000</v>
      </c>
      <c r="F3794" s="165" t="s">
        <v>7917</v>
      </c>
    </row>
    <row r="3795" customFormat="false" ht="15" hidden="false" customHeight="true" outlineLevel="0" collapsed="false">
      <c r="A3795" s="163" t="s">
        <v>3030</v>
      </c>
      <c r="B3795" s="163" t="s">
        <v>894</v>
      </c>
      <c r="C3795" s="163" t="s">
        <v>332</v>
      </c>
      <c r="D3795" s="163" t="s">
        <v>2673</v>
      </c>
      <c r="E3795" s="164" t="n">
        <v>9000</v>
      </c>
      <c r="F3795" s="165" t="s">
        <v>7972</v>
      </c>
    </row>
    <row r="3796" customFormat="false" ht="15" hidden="false" customHeight="true" outlineLevel="0" collapsed="false">
      <c r="A3796" s="163" t="s">
        <v>3030</v>
      </c>
      <c r="B3796" s="163" t="s">
        <v>894</v>
      </c>
      <c r="C3796" s="163" t="s">
        <v>4946</v>
      </c>
      <c r="D3796" s="163" t="s">
        <v>4947</v>
      </c>
      <c r="E3796" s="164" t="n">
        <v>8000</v>
      </c>
      <c r="F3796" s="165" t="s">
        <v>7973</v>
      </c>
    </row>
    <row r="3797" customFormat="false" ht="15" hidden="false" customHeight="true" outlineLevel="0" collapsed="false">
      <c r="A3797" s="163" t="s">
        <v>3030</v>
      </c>
      <c r="B3797" s="163" t="s">
        <v>894</v>
      </c>
      <c r="C3797" s="163" t="s">
        <v>3706</v>
      </c>
      <c r="D3797" s="163" t="s">
        <v>3707</v>
      </c>
      <c r="E3797" s="164" t="n">
        <v>7500</v>
      </c>
      <c r="F3797" s="165" t="s">
        <v>7960</v>
      </c>
    </row>
    <row r="3798" customFormat="false" ht="15" hidden="false" customHeight="true" outlineLevel="0" collapsed="false">
      <c r="A3798" s="163" t="s">
        <v>3030</v>
      </c>
      <c r="B3798" s="163" t="s">
        <v>894</v>
      </c>
      <c r="C3798" s="163" t="s">
        <v>974</v>
      </c>
      <c r="D3798" s="163" t="s">
        <v>1931</v>
      </c>
      <c r="E3798" s="164" t="n">
        <v>7000</v>
      </c>
      <c r="F3798" s="165" t="s">
        <v>7974</v>
      </c>
    </row>
    <row r="3799" customFormat="false" ht="15" hidden="false" customHeight="true" outlineLevel="0" collapsed="false">
      <c r="A3799" s="163" t="s">
        <v>3030</v>
      </c>
      <c r="B3799" s="163" t="s">
        <v>894</v>
      </c>
      <c r="C3799" s="163" t="s">
        <v>3188</v>
      </c>
      <c r="D3799" s="163" t="s">
        <v>3189</v>
      </c>
      <c r="E3799" s="164" t="n">
        <v>6000</v>
      </c>
      <c r="F3799" s="165" t="s">
        <v>7917</v>
      </c>
    </row>
    <row r="3800" customFormat="false" ht="15" hidden="false" customHeight="true" outlineLevel="0" collapsed="false">
      <c r="A3800" s="163" t="s">
        <v>3030</v>
      </c>
      <c r="B3800" s="163" t="s">
        <v>894</v>
      </c>
      <c r="C3800" s="163" t="s">
        <v>6350</v>
      </c>
      <c r="D3800" s="163" t="s">
        <v>6351</v>
      </c>
      <c r="E3800" s="164" t="n">
        <v>5000</v>
      </c>
      <c r="F3800" s="165" t="s">
        <v>7917</v>
      </c>
    </row>
    <row r="3801" customFormat="false" ht="15" hidden="false" customHeight="true" outlineLevel="0" collapsed="false">
      <c r="A3801" s="163" t="s">
        <v>3030</v>
      </c>
      <c r="B3801" s="163" t="s">
        <v>894</v>
      </c>
      <c r="C3801" s="163" t="s">
        <v>7975</v>
      </c>
      <c r="D3801" s="163" t="s">
        <v>7976</v>
      </c>
      <c r="E3801" s="164" t="n">
        <v>5000</v>
      </c>
      <c r="F3801" s="165" t="s">
        <v>7917</v>
      </c>
    </row>
    <row r="3802" customFormat="false" ht="15" hidden="false" customHeight="true" outlineLevel="0" collapsed="false">
      <c r="A3802" s="163" t="s">
        <v>3030</v>
      </c>
      <c r="B3802" s="163" t="s">
        <v>894</v>
      </c>
      <c r="C3802" s="163" t="s">
        <v>6604</v>
      </c>
      <c r="D3802" s="163" t="s">
        <v>6605</v>
      </c>
      <c r="E3802" s="164" t="n">
        <v>5000</v>
      </c>
      <c r="F3802" s="165" t="s">
        <v>3060</v>
      </c>
    </row>
    <row r="3803" customFormat="false" ht="15" hidden="false" customHeight="true" outlineLevel="0" collapsed="false">
      <c r="A3803" s="163" t="s">
        <v>3030</v>
      </c>
      <c r="B3803" s="163" t="s">
        <v>894</v>
      </c>
      <c r="C3803" s="163" t="s">
        <v>1202</v>
      </c>
      <c r="D3803" s="163" t="s">
        <v>2693</v>
      </c>
      <c r="E3803" s="164" t="n">
        <v>5000</v>
      </c>
      <c r="F3803" s="165" t="s">
        <v>7917</v>
      </c>
    </row>
    <row r="3804" customFormat="false" ht="15" hidden="false" customHeight="true" outlineLevel="0" collapsed="false">
      <c r="A3804" s="163" t="s">
        <v>3030</v>
      </c>
      <c r="B3804" s="163" t="s">
        <v>894</v>
      </c>
      <c r="C3804" s="163" t="s">
        <v>7977</v>
      </c>
      <c r="D3804" s="163" t="s">
        <v>7978</v>
      </c>
      <c r="E3804" s="164" t="n">
        <v>5000</v>
      </c>
      <c r="F3804" s="165" t="s">
        <v>7917</v>
      </c>
    </row>
    <row r="3805" customFormat="false" ht="15" hidden="false" customHeight="true" outlineLevel="0" collapsed="false">
      <c r="A3805" s="163" t="s">
        <v>3030</v>
      </c>
      <c r="B3805" s="163" t="s">
        <v>894</v>
      </c>
      <c r="C3805" s="163" t="s">
        <v>5266</v>
      </c>
      <c r="D3805" s="163" t="s">
        <v>5267</v>
      </c>
      <c r="E3805" s="164" t="n">
        <v>5000</v>
      </c>
      <c r="F3805" s="165" t="s">
        <v>7979</v>
      </c>
    </row>
    <row r="3806" customFormat="false" ht="15" hidden="false" customHeight="true" outlineLevel="0" collapsed="false">
      <c r="A3806" s="163" t="s">
        <v>3030</v>
      </c>
      <c r="B3806" s="163" t="s">
        <v>894</v>
      </c>
      <c r="C3806" s="163" t="s">
        <v>6568</v>
      </c>
      <c r="D3806" s="163" t="s">
        <v>6569</v>
      </c>
      <c r="E3806" s="164" t="n">
        <v>5000</v>
      </c>
      <c r="F3806" s="165" t="s">
        <v>3060</v>
      </c>
    </row>
    <row r="3807" customFormat="false" ht="15" hidden="false" customHeight="true" outlineLevel="0" collapsed="false">
      <c r="A3807" s="163" t="s">
        <v>3030</v>
      </c>
      <c r="B3807" s="163" t="s">
        <v>894</v>
      </c>
      <c r="C3807" s="163" t="s">
        <v>3116</v>
      </c>
      <c r="D3807" s="163" t="s">
        <v>3117</v>
      </c>
      <c r="E3807" s="164" t="n">
        <v>5000</v>
      </c>
      <c r="F3807" s="165" t="s">
        <v>7917</v>
      </c>
    </row>
    <row r="3808" customFormat="false" ht="15" hidden="false" customHeight="true" outlineLevel="0" collapsed="false">
      <c r="A3808" s="163" t="s">
        <v>3030</v>
      </c>
      <c r="B3808" s="163" t="s">
        <v>894</v>
      </c>
      <c r="C3808" s="163" t="s">
        <v>5199</v>
      </c>
      <c r="D3808" s="163" t="s">
        <v>5200</v>
      </c>
      <c r="E3808" s="164" t="n">
        <v>5000</v>
      </c>
      <c r="F3808" s="165" t="s">
        <v>7980</v>
      </c>
    </row>
    <row r="3809" customFormat="false" ht="15" hidden="false" customHeight="true" outlineLevel="0" collapsed="false">
      <c r="A3809" s="163" t="s">
        <v>3030</v>
      </c>
      <c r="B3809" s="163" t="s">
        <v>894</v>
      </c>
      <c r="C3809" s="163" t="s">
        <v>5048</v>
      </c>
      <c r="D3809" s="163" t="s">
        <v>5049</v>
      </c>
      <c r="E3809" s="164" t="n">
        <v>5000</v>
      </c>
      <c r="F3809" s="165" t="s">
        <v>3060</v>
      </c>
    </row>
    <row r="3810" customFormat="false" ht="15" hidden="false" customHeight="true" outlineLevel="0" collapsed="false">
      <c r="A3810" s="163" t="s">
        <v>3030</v>
      </c>
      <c r="B3810" s="163" t="s">
        <v>894</v>
      </c>
      <c r="C3810" s="163" t="s">
        <v>7981</v>
      </c>
      <c r="D3810" s="163" t="s">
        <v>7982</v>
      </c>
      <c r="E3810" s="164" t="n">
        <v>5000</v>
      </c>
      <c r="F3810" s="165" t="s">
        <v>3060</v>
      </c>
    </row>
    <row r="3811" customFormat="false" ht="15" hidden="false" customHeight="true" outlineLevel="0" collapsed="false">
      <c r="A3811" s="163" t="s">
        <v>3030</v>
      </c>
      <c r="B3811" s="163" t="s">
        <v>894</v>
      </c>
      <c r="C3811" s="163" t="s">
        <v>3560</v>
      </c>
      <c r="D3811" s="163" t="s">
        <v>3561</v>
      </c>
      <c r="E3811" s="164" t="n">
        <v>5000</v>
      </c>
      <c r="F3811" s="165" t="s">
        <v>7983</v>
      </c>
    </row>
    <row r="3812" customFormat="false" ht="15" hidden="false" customHeight="true" outlineLevel="0" collapsed="false">
      <c r="A3812" s="163" t="s">
        <v>3030</v>
      </c>
      <c r="B3812" s="163" t="s">
        <v>894</v>
      </c>
      <c r="C3812" s="163" t="s">
        <v>7984</v>
      </c>
      <c r="D3812" s="163" t="s">
        <v>7985</v>
      </c>
      <c r="E3812" s="164" t="n">
        <v>5000</v>
      </c>
      <c r="F3812" s="165" t="s">
        <v>7986</v>
      </c>
    </row>
    <row r="3813" customFormat="false" ht="15" hidden="false" customHeight="true" outlineLevel="0" collapsed="false">
      <c r="A3813" s="163" t="s">
        <v>3030</v>
      </c>
      <c r="B3813" s="163" t="s">
        <v>894</v>
      </c>
      <c r="C3813" s="163" t="s">
        <v>7987</v>
      </c>
      <c r="D3813" s="163" t="s">
        <v>7988</v>
      </c>
      <c r="E3813" s="164" t="n">
        <v>5000</v>
      </c>
      <c r="F3813" s="165" t="s">
        <v>3060</v>
      </c>
    </row>
    <row r="3814" customFormat="false" ht="15" hidden="false" customHeight="true" outlineLevel="0" collapsed="false">
      <c r="A3814" s="163" t="s">
        <v>3030</v>
      </c>
      <c r="B3814" s="163" t="s">
        <v>894</v>
      </c>
      <c r="C3814" s="163" t="s">
        <v>3595</v>
      </c>
      <c r="D3814" s="163" t="s">
        <v>3596</v>
      </c>
      <c r="E3814" s="164" t="n">
        <v>5000</v>
      </c>
      <c r="F3814" s="165" t="s">
        <v>7989</v>
      </c>
    </row>
    <row r="3815" customFormat="false" ht="15" hidden="false" customHeight="true" outlineLevel="0" collapsed="false">
      <c r="A3815" s="163" t="s">
        <v>3030</v>
      </c>
      <c r="B3815" s="163" t="s">
        <v>894</v>
      </c>
      <c r="C3815" s="163" t="s">
        <v>6616</v>
      </c>
      <c r="D3815" s="163" t="s">
        <v>6617</v>
      </c>
      <c r="E3815" s="164" t="n">
        <v>5000</v>
      </c>
      <c r="F3815" s="165" t="s">
        <v>3060</v>
      </c>
    </row>
    <row r="3816" customFormat="false" ht="15" hidden="false" customHeight="true" outlineLevel="0" collapsed="false">
      <c r="A3816" s="163" t="s">
        <v>3030</v>
      </c>
      <c r="B3816" s="163" t="s">
        <v>894</v>
      </c>
      <c r="C3816" s="163" t="s">
        <v>4388</v>
      </c>
      <c r="D3816" s="163" t="s">
        <v>4389</v>
      </c>
      <c r="E3816" s="164" t="n">
        <v>5000</v>
      </c>
      <c r="F3816" s="165" t="s">
        <v>7953</v>
      </c>
    </row>
    <row r="3817" customFormat="false" ht="15" hidden="false" customHeight="true" outlineLevel="0" collapsed="false">
      <c r="A3817" s="163" t="s">
        <v>3030</v>
      </c>
      <c r="B3817" s="163" t="s">
        <v>882</v>
      </c>
      <c r="C3817" s="163" t="s">
        <v>2759</v>
      </c>
      <c r="D3817" s="163" t="s">
        <v>2760</v>
      </c>
      <c r="E3817" s="164" t="n">
        <v>140000</v>
      </c>
      <c r="F3817" s="165" t="s">
        <v>7990</v>
      </c>
    </row>
    <row r="3818" customFormat="false" ht="15" hidden="false" customHeight="true" outlineLevel="0" collapsed="false">
      <c r="A3818" s="163" t="s">
        <v>3030</v>
      </c>
      <c r="B3818" s="163" t="s">
        <v>882</v>
      </c>
      <c r="C3818" s="163" t="s">
        <v>640</v>
      </c>
      <c r="D3818" s="163" t="s">
        <v>1931</v>
      </c>
      <c r="E3818" s="164" t="n">
        <v>100000</v>
      </c>
      <c r="F3818" s="165" t="s">
        <v>7991</v>
      </c>
    </row>
    <row r="3819" customFormat="false" ht="15" hidden="false" customHeight="true" outlineLevel="0" collapsed="false">
      <c r="A3819" s="163" t="s">
        <v>3030</v>
      </c>
      <c r="B3819" s="163" t="s">
        <v>882</v>
      </c>
      <c r="C3819" s="163" t="s">
        <v>3706</v>
      </c>
      <c r="D3819" s="163" t="s">
        <v>3707</v>
      </c>
      <c r="E3819" s="164" t="n">
        <v>30000</v>
      </c>
      <c r="F3819" s="165" t="s">
        <v>7992</v>
      </c>
    </row>
    <row r="3820" customFormat="false" ht="15" hidden="false" customHeight="true" outlineLevel="0" collapsed="false">
      <c r="A3820" s="163" t="s">
        <v>3030</v>
      </c>
      <c r="B3820" s="163" t="s">
        <v>882</v>
      </c>
      <c r="C3820" s="163" t="s">
        <v>3709</v>
      </c>
      <c r="D3820" s="163" t="s">
        <v>3710</v>
      </c>
      <c r="E3820" s="164" t="n">
        <v>10000</v>
      </c>
      <c r="F3820" s="165" t="s">
        <v>7993</v>
      </c>
    </row>
    <row r="3821" customFormat="false" ht="15" hidden="false" customHeight="true" outlineLevel="0" collapsed="false">
      <c r="A3821" s="163" t="s">
        <v>3030</v>
      </c>
      <c r="B3821" s="163" t="s">
        <v>2328</v>
      </c>
      <c r="C3821" s="163" t="s">
        <v>3635</v>
      </c>
      <c r="D3821" s="163" t="s">
        <v>3636</v>
      </c>
      <c r="E3821" s="164" t="n">
        <v>50000</v>
      </c>
      <c r="F3821" s="165" t="s">
        <v>7994</v>
      </c>
    </row>
    <row r="3822" customFormat="false" ht="15" hidden="false" customHeight="true" outlineLevel="0" collapsed="false">
      <c r="A3822" s="163" t="s">
        <v>3030</v>
      </c>
      <c r="B3822" s="163" t="s">
        <v>2342</v>
      </c>
      <c r="C3822" s="163" t="s">
        <v>197</v>
      </c>
      <c r="D3822" s="163" t="s">
        <v>1931</v>
      </c>
      <c r="E3822" s="164" t="n">
        <v>56000</v>
      </c>
      <c r="F3822" s="165" t="s">
        <v>7995</v>
      </c>
    </row>
    <row r="3823" customFormat="false" ht="15" hidden="false" customHeight="true" outlineLevel="0" collapsed="false">
      <c r="A3823" s="163" t="s">
        <v>3030</v>
      </c>
      <c r="B3823" s="163" t="s">
        <v>2342</v>
      </c>
      <c r="C3823" s="163" t="s">
        <v>5148</v>
      </c>
      <c r="D3823" s="163" t="s">
        <v>5149</v>
      </c>
      <c r="E3823" s="164" t="n">
        <v>17000</v>
      </c>
      <c r="F3823" s="165" t="s">
        <v>7917</v>
      </c>
    </row>
    <row r="3824" customFormat="false" ht="15" hidden="false" customHeight="true" outlineLevel="0" collapsed="false">
      <c r="A3824" s="163" t="s">
        <v>3030</v>
      </c>
      <c r="B3824" s="163" t="s">
        <v>2342</v>
      </c>
      <c r="C3824" s="163" t="s">
        <v>3595</v>
      </c>
      <c r="D3824" s="163" t="s">
        <v>3596</v>
      </c>
      <c r="E3824" s="164" t="n">
        <v>17000</v>
      </c>
      <c r="F3824" s="165" t="s">
        <v>7917</v>
      </c>
    </row>
    <row r="3825" customFormat="false" ht="15" hidden="false" customHeight="true" outlineLevel="0" collapsed="false">
      <c r="A3825" s="163" t="s">
        <v>3030</v>
      </c>
      <c r="B3825" s="163" t="s">
        <v>2766</v>
      </c>
      <c r="C3825" s="163" t="s">
        <v>4957</v>
      </c>
      <c r="D3825" s="163" t="s">
        <v>4958</v>
      </c>
      <c r="E3825" s="164" t="n">
        <v>15000</v>
      </c>
      <c r="F3825" s="165" t="s">
        <v>7996</v>
      </c>
    </row>
    <row r="3826" customFormat="false" ht="15" hidden="false" customHeight="true" outlineLevel="0" collapsed="false">
      <c r="A3826" s="163" t="s">
        <v>3030</v>
      </c>
      <c r="B3826" s="163" t="s">
        <v>2766</v>
      </c>
      <c r="C3826" s="163" t="s">
        <v>4957</v>
      </c>
      <c r="D3826" s="163" t="s">
        <v>4958</v>
      </c>
      <c r="E3826" s="164" t="n">
        <v>15000</v>
      </c>
      <c r="F3826" s="165" t="s">
        <v>7997</v>
      </c>
    </row>
    <row r="3827" customFormat="false" ht="15" hidden="false" customHeight="true" outlineLevel="0" collapsed="false">
      <c r="A3827" s="163" t="s">
        <v>3030</v>
      </c>
      <c r="B3827" s="163" t="s">
        <v>2766</v>
      </c>
      <c r="C3827" s="163" t="s">
        <v>4946</v>
      </c>
      <c r="D3827" s="163" t="s">
        <v>4947</v>
      </c>
      <c r="E3827" s="164" t="n">
        <v>15000</v>
      </c>
      <c r="F3827" s="165" t="s">
        <v>7998</v>
      </c>
    </row>
    <row r="3828" customFormat="false" ht="15" hidden="false" customHeight="true" outlineLevel="0" collapsed="false">
      <c r="A3828" s="163" t="s">
        <v>3030</v>
      </c>
      <c r="B3828" s="163" t="s">
        <v>2766</v>
      </c>
      <c r="C3828" s="163" t="s">
        <v>4946</v>
      </c>
      <c r="D3828" s="163" t="s">
        <v>4947</v>
      </c>
      <c r="E3828" s="164" t="n">
        <v>15000</v>
      </c>
      <c r="F3828" s="165" t="s">
        <v>7999</v>
      </c>
    </row>
    <row r="3829" customFormat="false" ht="15" hidden="false" customHeight="true" outlineLevel="0" collapsed="false">
      <c r="A3829" s="163" t="s">
        <v>3030</v>
      </c>
      <c r="B3829" s="163" t="s">
        <v>2766</v>
      </c>
      <c r="C3829" s="163" t="s">
        <v>4946</v>
      </c>
      <c r="D3829" s="163" t="s">
        <v>4947</v>
      </c>
      <c r="E3829" s="164" t="n">
        <v>15000</v>
      </c>
      <c r="F3829" s="165" t="s">
        <v>8000</v>
      </c>
    </row>
    <row r="3830" customFormat="false" ht="15" hidden="false" customHeight="true" outlineLevel="0" collapsed="false">
      <c r="A3830" s="163" t="s">
        <v>3030</v>
      </c>
      <c r="B3830" s="163" t="s">
        <v>1743</v>
      </c>
      <c r="C3830" s="163" t="s">
        <v>4635</v>
      </c>
      <c r="D3830" s="163" t="s">
        <v>4636</v>
      </c>
      <c r="E3830" s="164" t="n">
        <v>45000</v>
      </c>
      <c r="F3830" s="165" t="s">
        <v>8001</v>
      </c>
    </row>
    <row r="3831" customFormat="false" ht="15" hidden="false" customHeight="true" outlineLevel="0" collapsed="false">
      <c r="A3831" s="163" t="s">
        <v>3030</v>
      </c>
      <c r="B3831" s="163" t="s">
        <v>1743</v>
      </c>
      <c r="C3831" s="163" t="s">
        <v>6557</v>
      </c>
      <c r="D3831" s="163" t="s">
        <v>6558</v>
      </c>
      <c r="E3831" s="164" t="n">
        <v>25000</v>
      </c>
      <c r="F3831" s="165" t="s">
        <v>8002</v>
      </c>
    </row>
    <row r="3832" customFormat="false" ht="15" hidden="false" customHeight="true" outlineLevel="0" collapsed="false">
      <c r="A3832" s="163" t="s">
        <v>3030</v>
      </c>
      <c r="B3832" s="163" t="s">
        <v>1743</v>
      </c>
      <c r="C3832" s="163" t="s">
        <v>3567</v>
      </c>
      <c r="D3832" s="163" t="s">
        <v>3568</v>
      </c>
      <c r="E3832" s="164" t="n">
        <v>20000</v>
      </c>
      <c r="F3832" s="165" t="s">
        <v>8003</v>
      </c>
    </row>
    <row r="3833" customFormat="false" ht="15" hidden="false" customHeight="true" outlineLevel="0" collapsed="false">
      <c r="A3833" s="163" t="s">
        <v>3030</v>
      </c>
      <c r="B3833" s="163" t="s">
        <v>1743</v>
      </c>
      <c r="C3833" s="163" t="s">
        <v>6612</v>
      </c>
      <c r="D3833" s="163" t="s">
        <v>6613</v>
      </c>
      <c r="E3833" s="164" t="n">
        <v>20000</v>
      </c>
      <c r="F3833" s="165" t="s">
        <v>7917</v>
      </c>
    </row>
    <row r="3834" customFormat="false" ht="15" hidden="false" customHeight="true" outlineLevel="0" collapsed="false">
      <c r="A3834" s="163" t="s">
        <v>3030</v>
      </c>
      <c r="B3834" s="163" t="s">
        <v>1743</v>
      </c>
      <c r="C3834" s="163" t="s">
        <v>3210</v>
      </c>
      <c r="D3834" s="163" t="s">
        <v>3211</v>
      </c>
      <c r="E3834" s="164" t="n">
        <v>20000</v>
      </c>
      <c r="F3834" s="165" t="s">
        <v>8004</v>
      </c>
    </row>
    <row r="3835" customFormat="false" ht="15" hidden="false" customHeight="true" outlineLevel="0" collapsed="false">
      <c r="A3835" s="163" t="s">
        <v>3030</v>
      </c>
      <c r="B3835" s="163" t="s">
        <v>1743</v>
      </c>
      <c r="C3835" s="163" t="s">
        <v>4887</v>
      </c>
      <c r="D3835" s="163" t="s">
        <v>4888</v>
      </c>
      <c r="E3835" s="164" t="n">
        <v>20000</v>
      </c>
      <c r="F3835" s="165" t="s">
        <v>7917</v>
      </c>
    </row>
    <row r="3836" customFormat="false" ht="15" hidden="false" customHeight="true" outlineLevel="0" collapsed="false">
      <c r="A3836" s="163" t="s">
        <v>3030</v>
      </c>
      <c r="B3836" s="163" t="s">
        <v>928</v>
      </c>
      <c r="C3836" s="163" t="s">
        <v>5148</v>
      </c>
      <c r="D3836" s="163" t="s">
        <v>5149</v>
      </c>
      <c r="E3836" s="164" t="n">
        <v>18000</v>
      </c>
      <c r="F3836" s="165" t="s">
        <v>8005</v>
      </c>
    </row>
    <row r="3837" customFormat="false" ht="15" hidden="false" customHeight="true" outlineLevel="0" collapsed="false">
      <c r="A3837" s="163" t="s">
        <v>3030</v>
      </c>
      <c r="B3837" s="163" t="s">
        <v>928</v>
      </c>
      <c r="C3837" s="163" t="s">
        <v>2953</v>
      </c>
      <c r="D3837" s="163" t="s">
        <v>2954</v>
      </c>
      <c r="E3837" s="164" t="n">
        <v>18000</v>
      </c>
      <c r="F3837" s="165" t="s">
        <v>8006</v>
      </c>
    </row>
    <row r="3838" customFormat="false" ht="15" hidden="false" customHeight="true" outlineLevel="0" collapsed="false">
      <c r="A3838" s="163" t="s">
        <v>3030</v>
      </c>
      <c r="B3838" s="163" t="s">
        <v>928</v>
      </c>
      <c r="C3838" s="163" t="s">
        <v>3622</v>
      </c>
      <c r="D3838" s="163" t="s">
        <v>3623</v>
      </c>
      <c r="E3838" s="164" t="n">
        <v>12000</v>
      </c>
      <c r="F3838" s="165" t="s">
        <v>8007</v>
      </c>
    </row>
    <row r="3839" customFormat="false" ht="15" hidden="false" customHeight="true" outlineLevel="0" collapsed="false">
      <c r="A3839" s="163" t="s">
        <v>3030</v>
      </c>
      <c r="B3839" s="163" t="s">
        <v>928</v>
      </c>
      <c r="C3839" s="163" t="s">
        <v>6612</v>
      </c>
      <c r="D3839" s="163" t="s">
        <v>6613</v>
      </c>
      <c r="E3839" s="164" t="n">
        <v>10000</v>
      </c>
      <c r="F3839" s="165" t="s">
        <v>7954</v>
      </c>
    </row>
    <row r="3840" customFormat="false" ht="15" hidden="false" customHeight="true" outlineLevel="0" collapsed="false">
      <c r="A3840" s="163" t="s">
        <v>3030</v>
      </c>
      <c r="B3840" s="163" t="s">
        <v>928</v>
      </c>
      <c r="C3840" s="163" t="s">
        <v>6169</v>
      </c>
      <c r="D3840" s="163" t="s">
        <v>6170</v>
      </c>
      <c r="E3840" s="164" t="n">
        <v>10000</v>
      </c>
      <c r="F3840" s="165" t="s">
        <v>7917</v>
      </c>
    </row>
    <row r="3841" customFormat="false" ht="15" hidden="false" customHeight="true" outlineLevel="0" collapsed="false">
      <c r="A3841" s="163" t="s">
        <v>3030</v>
      </c>
      <c r="B3841" s="163" t="s">
        <v>928</v>
      </c>
      <c r="C3841" s="163" t="s">
        <v>1159</v>
      </c>
      <c r="D3841" s="163" t="s">
        <v>1936</v>
      </c>
      <c r="E3841" s="164" t="n">
        <v>10000</v>
      </c>
      <c r="F3841" s="165" t="s">
        <v>8008</v>
      </c>
    </row>
    <row r="3842" customFormat="false" ht="15" hidden="false" customHeight="true" outlineLevel="0" collapsed="false">
      <c r="A3842" s="163" t="s">
        <v>3030</v>
      </c>
      <c r="B3842" s="163" t="s">
        <v>928</v>
      </c>
      <c r="C3842" s="163" t="s">
        <v>3560</v>
      </c>
      <c r="D3842" s="163" t="s">
        <v>3561</v>
      </c>
      <c r="E3842" s="164" t="n">
        <v>10000</v>
      </c>
      <c r="F3842" s="165" t="s">
        <v>7983</v>
      </c>
    </row>
    <row r="3843" customFormat="false" ht="15" hidden="false" customHeight="true" outlineLevel="0" collapsed="false">
      <c r="A3843" s="163" t="s">
        <v>3030</v>
      </c>
      <c r="B3843" s="163" t="s">
        <v>928</v>
      </c>
      <c r="C3843" s="163" t="s">
        <v>3425</v>
      </c>
      <c r="D3843" s="163" t="s">
        <v>3426</v>
      </c>
      <c r="E3843" s="164" t="n">
        <v>9000</v>
      </c>
      <c r="F3843" s="165" t="s">
        <v>7917</v>
      </c>
    </row>
    <row r="3844" customFormat="false" ht="15" hidden="false" customHeight="true" outlineLevel="0" collapsed="false">
      <c r="A3844" s="163" t="s">
        <v>3030</v>
      </c>
      <c r="B3844" s="163" t="s">
        <v>928</v>
      </c>
      <c r="C3844" s="163" t="s">
        <v>7701</v>
      </c>
      <c r="D3844" s="163" t="s">
        <v>7702</v>
      </c>
      <c r="E3844" s="164" t="n">
        <v>7500</v>
      </c>
      <c r="F3844" s="165" t="s">
        <v>7954</v>
      </c>
    </row>
    <row r="3845" customFormat="false" ht="15" hidden="false" customHeight="true" outlineLevel="0" collapsed="false">
      <c r="A3845" s="163" t="s">
        <v>3030</v>
      </c>
      <c r="B3845" s="163" t="s">
        <v>928</v>
      </c>
      <c r="C3845" s="163" t="s">
        <v>8009</v>
      </c>
      <c r="D3845" s="163" t="s">
        <v>8010</v>
      </c>
      <c r="E3845" s="164" t="n">
        <v>5500</v>
      </c>
      <c r="F3845" s="165" t="s">
        <v>3060</v>
      </c>
    </row>
    <row r="3846" customFormat="false" ht="15" hidden="false" customHeight="true" outlineLevel="0" collapsed="false">
      <c r="A3846" s="163" t="s">
        <v>3030</v>
      </c>
      <c r="B3846" s="163" t="s">
        <v>928</v>
      </c>
      <c r="C3846" s="163" t="s">
        <v>7742</v>
      </c>
      <c r="D3846" s="163" t="s">
        <v>7743</v>
      </c>
      <c r="E3846" s="164" t="n">
        <v>5000</v>
      </c>
      <c r="F3846" s="165" t="s">
        <v>8011</v>
      </c>
    </row>
    <row r="3847" customFormat="false" ht="15" hidden="false" customHeight="true" outlineLevel="0" collapsed="false">
      <c r="A3847" s="163" t="s">
        <v>3030</v>
      </c>
      <c r="B3847" s="163" t="s">
        <v>928</v>
      </c>
      <c r="C3847" s="163" t="s">
        <v>8012</v>
      </c>
      <c r="D3847" s="163" t="s">
        <v>8013</v>
      </c>
      <c r="E3847" s="164" t="n">
        <v>5000</v>
      </c>
      <c r="F3847" s="165" t="s">
        <v>7954</v>
      </c>
    </row>
    <row r="3848" customFormat="false" ht="15" hidden="false" customHeight="true" outlineLevel="0" collapsed="false">
      <c r="A3848" s="163" t="s">
        <v>3030</v>
      </c>
      <c r="B3848" s="163" t="s">
        <v>928</v>
      </c>
      <c r="C3848" s="163" t="s">
        <v>8014</v>
      </c>
      <c r="D3848" s="163" t="s">
        <v>8015</v>
      </c>
      <c r="E3848" s="164" t="n">
        <v>5000</v>
      </c>
      <c r="F3848" s="165" t="s">
        <v>3060</v>
      </c>
    </row>
    <row r="3849" customFormat="false" ht="15" hidden="false" customHeight="true" outlineLevel="0" collapsed="false">
      <c r="A3849" s="163" t="s">
        <v>3030</v>
      </c>
      <c r="B3849" s="163" t="s">
        <v>928</v>
      </c>
      <c r="C3849" s="163" t="s">
        <v>1109</v>
      </c>
      <c r="D3849" s="163" t="s">
        <v>3755</v>
      </c>
      <c r="E3849" s="164" t="n">
        <v>5000</v>
      </c>
      <c r="F3849" s="165" t="s">
        <v>8016</v>
      </c>
    </row>
    <row r="3850" customFormat="false" ht="15" hidden="false" customHeight="true" outlineLevel="0" collapsed="false">
      <c r="A3850" s="163" t="s">
        <v>3030</v>
      </c>
      <c r="B3850" s="163" t="s">
        <v>928</v>
      </c>
      <c r="C3850" s="163" t="s">
        <v>4287</v>
      </c>
      <c r="D3850" s="163" t="s">
        <v>4288</v>
      </c>
      <c r="E3850" s="164" t="n">
        <v>5000</v>
      </c>
      <c r="F3850" s="165" t="s">
        <v>7954</v>
      </c>
    </row>
    <row r="3851" customFormat="false" ht="15" hidden="false" customHeight="true" outlineLevel="0" collapsed="false">
      <c r="A3851" s="163" t="s">
        <v>3030</v>
      </c>
      <c r="B3851" s="163" t="s">
        <v>928</v>
      </c>
      <c r="C3851" s="163" t="s">
        <v>5323</v>
      </c>
      <c r="D3851" s="163" t="s">
        <v>5324</v>
      </c>
      <c r="E3851" s="164" t="n">
        <v>5000</v>
      </c>
      <c r="F3851" s="165" t="s">
        <v>8017</v>
      </c>
    </row>
    <row r="3852" customFormat="false" ht="15" hidden="false" customHeight="true" outlineLevel="0" collapsed="false">
      <c r="A3852" s="163" t="s">
        <v>3030</v>
      </c>
      <c r="B3852" s="163" t="s">
        <v>928</v>
      </c>
      <c r="C3852" s="163" t="s">
        <v>6573</v>
      </c>
      <c r="D3852" s="163" t="s">
        <v>6574</v>
      </c>
      <c r="E3852" s="164" t="n">
        <v>5000</v>
      </c>
      <c r="F3852" s="165" t="s">
        <v>7917</v>
      </c>
    </row>
    <row r="3853" customFormat="false" ht="15" hidden="false" customHeight="true" outlineLevel="0" collapsed="false">
      <c r="A3853" s="163" t="s">
        <v>3030</v>
      </c>
      <c r="B3853" s="163" t="s">
        <v>928</v>
      </c>
      <c r="C3853" s="163" t="s">
        <v>8018</v>
      </c>
      <c r="D3853" s="163" t="s">
        <v>8019</v>
      </c>
      <c r="E3853" s="164" t="n">
        <v>5000</v>
      </c>
      <c r="F3853" s="165" t="s">
        <v>7917</v>
      </c>
    </row>
    <row r="3854" customFormat="false" ht="15" hidden="false" customHeight="true" outlineLevel="0" collapsed="false">
      <c r="A3854" s="163" t="s">
        <v>3049</v>
      </c>
      <c r="B3854" s="163" t="s">
        <v>957</v>
      </c>
      <c r="C3854" s="163" t="s">
        <v>4017</v>
      </c>
      <c r="D3854" s="163" t="s">
        <v>4018</v>
      </c>
      <c r="E3854" s="164" t="n">
        <v>20000</v>
      </c>
      <c r="F3854" s="165" t="s">
        <v>8020</v>
      </c>
    </row>
    <row r="3855" customFormat="false" ht="15" hidden="false" customHeight="true" outlineLevel="0" collapsed="false">
      <c r="A3855" s="163" t="s">
        <v>3049</v>
      </c>
      <c r="B3855" s="163" t="s">
        <v>957</v>
      </c>
      <c r="C3855" s="163" t="s">
        <v>4005</v>
      </c>
      <c r="D3855" s="163" t="s">
        <v>4006</v>
      </c>
      <c r="E3855" s="164" t="n">
        <v>20000</v>
      </c>
      <c r="F3855" s="165" t="s">
        <v>8021</v>
      </c>
    </row>
    <row r="3856" customFormat="false" ht="15" hidden="false" customHeight="true" outlineLevel="0" collapsed="false">
      <c r="A3856" s="163" t="s">
        <v>3049</v>
      </c>
      <c r="B3856" s="163" t="s">
        <v>957</v>
      </c>
      <c r="C3856" s="163" t="s">
        <v>1159</v>
      </c>
      <c r="D3856" s="163" t="s">
        <v>1936</v>
      </c>
      <c r="E3856" s="164" t="n">
        <v>10000</v>
      </c>
      <c r="F3856" s="165" t="s">
        <v>8022</v>
      </c>
    </row>
    <row r="3857" customFormat="false" ht="15" hidden="false" customHeight="true" outlineLevel="0" collapsed="false">
      <c r="A3857" s="163" t="s">
        <v>3049</v>
      </c>
      <c r="B3857" s="163" t="s">
        <v>957</v>
      </c>
      <c r="C3857" s="163" t="s">
        <v>3567</v>
      </c>
      <c r="D3857" s="163" t="s">
        <v>3568</v>
      </c>
      <c r="E3857" s="164" t="n">
        <v>10000</v>
      </c>
      <c r="F3857" s="165" t="s">
        <v>8023</v>
      </c>
    </row>
    <row r="3858" customFormat="false" ht="15" hidden="false" customHeight="true" outlineLevel="0" collapsed="false">
      <c r="A3858" s="163" t="s">
        <v>3049</v>
      </c>
      <c r="B3858" s="163" t="s">
        <v>957</v>
      </c>
      <c r="C3858" s="163" t="s">
        <v>4843</v>
      </c>
      <c r="D3858" s="163" t="s">
        <v>4844</v>
      </c>
      <c r="E3858" s="164" t="n">
        <v>8000</v>
      </c>
      <c r="F3858" s="165" t="s">
        <v>8020</v>
      </c>
    </row>
    <row r="3859" customFormat="false" ht="15" hidden="false" customHeight="true" outlineLevel="0" collapsed="false">
      <c r="A3859" s="163" t="s">
        <v>3049</v>
      </c>
      <c r="B3859" s="163" t="s">
        <v>957</v>
      </c>
      <c r="C3859" s="163" t="s">
        <v>7203</v>
      </c>
      <c r="D3859" s="163" t="s">
        <v>7204</v>
      </c>
      <c r="E3859" s="164" t="n">
        <v>6000</v>
      </c>
      <c r="F3859" s="165" t="s">
        <v>8024</v>
      </c>
    </row>
    <row r="3860" customFormat="false" ht="15" hidden="false" customHeight="true" outlineLevel="0" collapsed="false">
      <c r="A3860" s="163" t="s">
        <v>3049</v>
      </c>
      <c r="B3860" s="163" t="s">
        <v>957</v>
      </c>
      <c r="C3860" s="163" t="s">
        <v>7607</v>
      </c>
      <c r="D3860" s="163" t="s">
        <v>7608</v>
      </c>
      <c r="E3860" s="164" t="n">
        <v>6000</v>
      </c>
      <c r="F3860" s="165" t="s">
        <v>8025</v>
      </c>
    </row>
    <row r="3861" customFormat="false" ht="15" hidden="false" customHeight="true" outlineLevel="0" collapsed="false">
      <c r="A3861" s="163" t="s">
        <v>3049</v>
      </c>
      <c r="B3861" s="163" t="s">
        <v>957</v>
      </c>
      <c r="C3861" s="163" t="s">
        <v>6316</v>
      </c>
      <c r="D3861" s="163" t="s">
        <v>6317</v>
      </c>
      <c r="E3861" s="164" t="n">
        <v>5000</v>
      </c>
      <c r="F3861" s="165" t="s">
        <v>8026</v>
      </c>
    </row>
    <row r="3862" customFormat="false" ht="15" hidden="false" customHeight="true" outlineLevel="0" collapsed="false">
      <c r="A3862" s="163" t="s">
        <v>3049</v>
      </c>
      <c r="B3862" s="163" t="s">
        <v>957</v>
      </c>
      <c r="C3862" s="163" t="s">
        <v>6342</v>
      </c>
      <c r="D3862" s="163" t="s">
        <v>6343</v>
      </c>
      <c r="E3862" s="164" t="n">
        <v>5000</v>
      </c>
      <c r="F3862" s="165" t="s">
        <v>8027</v>
      </c>
    </row>
    <row r="3863" customFormat="false" ht="15" hidden="false" customHeight="true" outlineLevel="0" collapsed="false">
      <c r="A3863" s="163" t="s">
        <v>3049</v>
      </c>
      <c r="B3863" s="163" t="s">
        <v>957</v>
      </c>
      <c r="C3863" s="163" t="s">
        <v>8028</v>
      </c>
      <c r="D3863" s="163" t="s">
        <v>8029</v>
      </c>
      <c r="E3863" s="164" t="n">
        <v>5000</v>
      </c>
      <c r="F3863" s="165" t="s">
        <v>8030</v>
      </c>
    </row>
    <row r="3864" customFormat="false" ht="15" hidden="false" customHeight="true" outlineLevel="0" collapsed="false">
      <c r="A3864" s="163" t="s">
        <v>3049</v>
      </c>
      <c r="B3864" s="163" t="s">
        <v>957</v>
      </c>
      <c r="C3864" s="163" t="s">
        <v>3670</v>
      </c>
      <c r="D3864" s="163" t="s">
        <v>3671</v>
      </c>
      <c r="E3864" s="164" t="n">
        <v>5000</v>
      </c>
      <c r="F3864" s="165" t="s">
        <v>8031</v>
      </c>
    </row>
    <row r="3865" customFormat="false" ht="15" hidden="false" customHeight="true" outlineLevel="0" collapsed="false">
      <c r="A3865" s="163" t="s">
        <v>3049</v>
      </c>
      <c r="B3865" s="163" t="s">
        <v>957</v>
      </c>
      <c r="C3865" s="163" t="s">
        <v>1135</v>
      </c>
      <c r="D3865" s="163" t="s">
        <v>2507</v>
      </c>
      <c r="E3865" s="164" t="n">
        <v>5000</v>
      </c>
      <c r="F3865" s="165" t="s">
        <v>8032</v>
      </c>
    </row>
    <row r="3866" customFormat="false" ht="15" hidden="false" customHeight="true" outlineLevel="0" collapsed="false">
      <c r="A3866" s="163" t="s">
        <v>3049</v>
      </c>
      <c r="B3866" s="163" t="s">
        <v>957</v>
      </c>
      <c r="C3866" s="163" t="s">
        <v>3354</v>
      </c>
      <c r="D3866" s="163" t="s">
        <v>1931</v>
      </c>
      <c r="E3866" s="164" t="n">
        <v>5000</v>
      </c>
      <c r="F3866" s="165" t="s">
        <v>3060</v>
      </c>
    </row>
    <row r="3867" customFormat="false" ht="15" hidden="false" customHeight="true" outlineLevel="0" collapsed="false">
      <c r="A3867" s="163" t="s">
        <v>3049</v>
      </c>
      <c r="B3867" s="163" t="s">
        <v>945</v>
      </c>
      <c r="C3867" s="163" t="s">
        <v>452</v>
      </c>
      <c r="D3867" s="163" t="s">
        <v>2102</v>
      </c>
      <c r="E3867" s="164" t="n">
        <v>11000</v>
      </c>
      <c r="F3867" s="165" t="s">
        <v>5134</v>
      </c>
    </row>
    <row r="3868" customFormat="false" ht="15" hidden="false" customHeight="true" outlineLevel="0" collapsed="false">
      <c r="A3868" s="163" t="s">
        <v>3049</v>
      </c>
      <c r="B3868" s="163" t="s">
        <v>945</v>
      </c>
      <c r="C3868" s="163" t="s">
        <v>4826</v>
      </c>
      <c r="D3868" s="163" t="s">
        <v>4827</v>
      </c>
      <c r="E3868" s="164" t="n">
        <v>10000</v>
      </c>
      <c r="F3868" s="165" t="s">
        <v>8033</v>
      </c>
    </row>
    <row r="3869" customFormat="false" ht="15" hidden="false" customHeight="true" outlineLevel="0" collapsed="false">
      <c r="A3869" s="163" t="s">
        <v>3049</v>
      </c>
      <c r="B3869" s="163" t="s">
        <v>945</v>
      </c>
      <c r="C3869" s="163" t="s">
        <v>6342</v>
      </c>
      <c r="D3869" s="163" t="s">
        <v>6343</v>
      </c>
      <c r="E3869" s="164" t="n">
        <v>9000</v>
      </c>
      <c r="F3869" s="165" t="s">
        <v>8034</v>
      </c>
    </row>
    <row r="3870" customFormat="false" ht="15" hidden="false" customHeight="true" outlineLevel="0" collapsed="false">
      <c r="A3870" s="163" t="s">
        <v>3049</v>
      </c>
      <c r="B3870" s="163" t="s">
        <v>945</v>
      </c>
      <c r="C3870" s="163" t="s">
        <v>8035</v>
      </c>
      <c r="D3870" s="163" t="s">
        <v>8036</v>
      </c>
      <c r="E3870" s="164" t="n">
        <v>5000</v>
      </c>
      <c r="F3870" s="165" t="s">
        <v>8037</v>
      </c>
    </row>
    <row r="3871" customFormat="false" ht="15" hidden="false" customHeight="true" outlineLevel="0" collapsed="false">
      <c r="A3871" s="163" t="s">
        <v>3049</v>
      </c>
      <c r="B3871" s="163" t="s">
        <v>945</v>
      </c>
      <c r="C3871" s="163" t="s">
        <v>7659</v>
      </c>
      <c r="D3871" s="163" t="s">
        <v>7660</v>
      </c>
      <c r="E3871" s="164" t="n">
        <v>5000</v>
      </c>
      <c r="F3871" s="165" t="s">
        <v>8038</v>
      </c>
    </row>
    <row r="3872" customFormat="false" ht="15" hidden="false" customHeight="true" outlineLevel="0" collapsed="false">
      <c r="A3872" s="163" t="s">
        <v>3049</v>
      </c>
      <c r="B3872" s="163" t="s">
        <v>945</v>
      </c>
      <c r="C3872" s="163" t="s">
        <v>8039</v>
      </c>
      <c r="D3872" s="163" t="s">
        <v>8040</v>
      </c>
      <c r="E3872" s="164" t="n">
        <v>5000</v>
      </c>
      <c r="F3872" s="165" t="s">
        <v>8041</v>
      </c>
    </row>
    <row r="3873" customFormat="false" ht="15" hidden="false" customHeight="true" outlineLevel="0" collapsed="false">
      <c r="A3873" s="163" t="s">
        <v>3049</v>
      </c>
      <c r="B3873" s="163" t="s">
        <v>945</v>
      </c>
      <c r="C3873" s="163" t="s">
        <v>8042</v>
      </c>
      <c r="D3873" s="163" t="s">
        <v>8043</v>
      </c>
      <c r="E3873" s="164" t="n">
        <v>5000</v>
      </c>
      <c r="F3873" s="165" t="s">
        <v>8044</v>
      </c>
    </row>
    <row r="3874" customFormat="false" ht="15" hidden="false" customHeight="true" outlineLevel="0" collapsed="false">
      <c r="A3874" s="163" t="s">
        <v>3049</v>
      </c>
      <c r="B3874" s="163" t="s">
        <v>3111</v>
      </c>
      <c r="C3874" s="163" t="s">
        <v>8042</v>
      </c>
      <c r="D3874" s="163" t="s">
        <v>8043</v>
      </c>
      <c r="E3874" s="164" t="n">
        <v>20000</v>
      </c>
      <c r="F3874" s="165" t="s">
        <v>8045</v>
      </c>
    </row>
    <row r="3875" customFormat="false" ht="15" hidden="false" customHeight="true" outlineLevel="0" collapsed="false">
      <c r="A3875" s="163" t="s">
        <v>3049</v>
      </c>
      <c r="B3875" s="163" t="s">
        <v>3111</v>
      </c>
      <c r="C3875" s="163" t="s">
        <v>4087</v>
      </c>
      <c r="D3875" s="163" t="s">
        <v>4088</v>
      </c>
      <c r="E3875" s="164" t="n">
        <v>15000</v>
      </c>
      <c r="F3875" s="165" t="s">
        <v>8046</v>
      </c>
    </row>
    <row r="3876" customFormat="false" ht="15" hidden="false" customHeight="true" outlineLevel="0" collapsed="false">
      <c r="A3876" s="163" t="s">
        <v>3049</v>
      </c>
      <c r="B3876" s="163" t="s">
        <v>3111</v>
      </c>
      <c r="C3876" s="163" t="s">
        <v>4060</v>
      </c>
      <c r="D3876" s="163" t="s">
        <v>4061</v>
      </c>
      <c r="E3876" s="164" t="n">
        <v>10000</v>
      </c>
      <c r="F3876" s="165" t="s">
        <v>8047</v>
      </c>
    </row>
    <row r="3877" customFormat="false" ht="15" hidden="false" customHeight="true" outlineLevel="0" collapsed="false">
      <c r="A3877" s="163" t="s">
        <v>3049</v>
      </c>
      <c r="B3877" s="163" t="s">
        <v>3111</v>
      </c>
      <c r="C3877" s="163" t="s">
        <v>3805</v>
      </c>
      <c r="D3877" s="163" t="s">
        <v>3806</v>
      </c>
      <c r="E3877" s="164" t="n">
        <v>10000</v>
      </c>
      <c r="F3877" s="165" t="s">
        <v>8048</v>
      </c>
    </row>
    <row r="3878" customFormat="false" ht="15" hidden="false" customHeight="true" outlineLevel="0" collapsed="false">
      <c r="A3878" s="163" t="s">
        <v>3049</v>
      </c>
      <c r="B3878" s="163" t="s">
        <v>3111</v>
      </c>
      <c r="C3878" s="163" t="s">
        <v>7690</v>
      </c>
      <c r="D3878" s="163" t="s">
        <v>7691</v>
      </c>
      <c r="E3878" s="164" t="n">
        <v>10000</v>
      </c>
      <c r="F3878" s="165" t="s">
        <v>8049</v>
      </c>
    </row>
    <row r="3879" customFormat="false" ht="15" hidden="false" customHeight="true" outlineLevel="0" collapsed="false">
      <c r="A3879" s="163" t="s">
        <v>3049</v>
      </c>
      <c r="B3879" s="163" t="s">
        <v>3111</v>
      </c>
      <c r="C3879" s="163" t="s">
        <v>8050</v>
      </c>
      <c r="D3879" s="163" t="s">
        <v>8051</v>
      </c>
      <c r="E3879" s="164" t="n">
        <v>10000</v>
      </c>
      <c r="F3879" s="165" t="s">
        <v>8052</v>
      </c>
    </row>
    <row r="3880" customFormat="false" ht="15" hidden="false" customHeight="true" outlineLevel="0" collapsed="false">
      <c r="A3880" s="163" t="s">
        <v>3049</v>
      </c>
      <c r="B3880" s="163" t="s">
        <v>3111</v>
      </c>
      <c r="C3880" s="163" t="s">
        <v>8053</v>
      </c>
      <c r="D3880" s="163" t="s">
        <v>8054</v>
      </c>
      <c r="E3880" s="164" t="n">
        <v>10000</v>
      </c>
      <c r="F3880" s="165" t="s">
        <v>8055</v>
      </c>
    </row>
    <row r="3881" customFormat="false" ht="15" hidden="false" customHeight="true" outlineLevel="0" collapsed="false">
      <c r="A3881" s="163" t="s">
        <v>3049</v>
      </c>
      <c r="B3881" s="163" t="s">
        <v>3111</v>
      </c>
      <c r="C3881" s="163" t="s">
        <v>8056</v>
      </c>
      <c r="D3881" s="163" t="s">
        <v>8057</v>
      </c>
      <c r="E3881" s="164" t="n">
        <v>10000</v>
      </c>
      <c r="F3881" s="165" t="s">
        <v>8058</v>
      </c>
    </row>
    <row r="3882" customFormat="false" ht="15" hidden="false" customHeight="true" outlineLevel="0" collapsed="false">
      <c r="A3882" s="163" t="s">
        <v>3049</v>
      </c>
      <c r="B3882" s="163" t="s">
        <v>3111</v>
      </c>
      <c r="C3882" s="163" t="s">
        <v>8059</v>
      </c>
      <c r="D3882" s="163" t="s">
        <v>8060</v>
      </c>
      <c r="E3882" s="164" t="n">
        <v>5000</v>
      </c>
      <c r="F3882" s="165" t="s">
        <v>8061</v>
      </c>
    </row>
    <row r="3883" customFormat="false" ht="15" hidden="false" customHeight="true" outlineLevel="0" collapsed="false">
      <c r="A3883" s="163" t="s">
        <v>3049</v>
      </c>
      <c r="B3883" s="163" t="s">
        <v>2037</v>
      </c>
      <c r="C3883" s="163" t="s">
        <v>4129</v>
      </c>
      <c r="D3883" s="163" t="s">
        <v>4130</v>
      </c>
      <c r="E3883" s="164" t="n">
        <v>10000</v>
      </c>
      <c r="F3883" s="165" t="s">
        <v>8062</v>
      </c>
    </row>
    <row r="3884" customFormat="false" ht="15" hidden="false" customHeight="true" outlineLevel="0" collapsed="false">
      <c r="A3884" s="163" t="s">
        <v>3049</v>
      </c>
      <c r="B3884" s="163" t="s">
        <v>2037</v>
      </c>
      <c r="C3884" s="163" t="s">
        <v>7299</v>
      </c>
      <c r="D3884" s="163" t="s">
        <v>7300</v>
      </c>
      <c r="E3884" s="164" t="n">
        <v>10000</v>
      </c>
      <c r="F3884" s="165" t="s">
        <v>8063</v>
      </c>
    </row>
    <row r="3885" customFormat="false" ht="15" hidden="false" customHeight="true" outlineLevel="0" collapsed="false">
      <c r="A3885" s="163" t="s">
        <v>3049</v>
      </c>
      <c r="B3885" s="163" t="s">
        <v>2037</v>
      </c>
      <c r="C3885" s="163" t="s">
        <v>4173</v>
      </c>
      <c r="D3885" s="163" t="s">
        <v>4174</v>
      </c>
      <c r="E3885" s="164" t="n">
        <v>5000</v>
      </c>
      <c r="F3885" s="165" t="s">
        <v>8064</v>
      </c>
    </row>
    <row r="3886" customFormat="false" ht="15" hidden="false" customHeight="true" outlineLevel="0" collapsed="false">
      <c r="A3886" s="163" t="s">
        <v>3049</v>
      </c>
      <c r="B3886" s="163" t="s">
        <v>894</v>
      </c>
      <c r="C3886" s="163" t="s">
        <v>4802</v>
      </c>
      <c r="D3886" s="163" t="s">
        <v>4803</v>
      </c>
      <c r="E3886" s="164" t="n">
        <v>50000</v>
      </c>
      <c r="F3886" s="165" t="s">
        <v>8065</v>
      </c>
    </row>
    <row r="3887" customFormat="false" ht="15" hidden="false" customHeight="true" outlineLevel="0" collapsed="false">
      <c r="A3887" s="163" t="s">
        <v>3049</v>
      </c>
      <c r="B3887" s="163" t="s">
        <v>894</v>
      </c>
      <c r="C3887" s="163" t="s">
        <v>8066</v>
      </c>
      <c r="D3887" s="163" t="s">
        <v>8067</v>
      </c>
      <c r="E3887" s="164" t="n">
        <v>15000</v>
      </c>
      <c r="F3887" s="165" t="s">
        <v>8068</v>
      </c>
    </row>
    <row r="3888" customFormat="false" ht="15" hidden="false" customHeight="true" outlineLevel="0" collapsed="false">
      <c r="A3888" s="163" t="s">
        <v>3049</v>
      </c>
      <c r="B3888" s="163" t="s">
        <v>894</v>
      </c>
      <c r="C3888" s="163" t="s">
        <v>7669</v>
      </c>
      <c r="D3888" s="163" t="s">
        <v>7670</v>
      </c>
      <c r="E3888" s="164" t="n">
        <v>12000</v>
      </c>
      <c r="F3888" s="165" t="s">
        <v>4804</v>
      </c>
    </row>
    <row r="3889" customFormat="false" ht="15" hidden="false" customHeight="true" outlineLevel="0" collapsed="false">
      <c r="A3889" s="163" t="s">
        <v>3049</v>
      </c>
      <c r="B3889" s="163" t="s">
        <v>894</v>
      </c>
      <c r="C3889" s="163" t="s">
        <v>7679</v>
      </c>
      <c r="D3889" s="163" t="s">
        <v>7680</v>
      </c>
      <c r="E3889" s="164" t="n">
        <v>10000</v>
      </c>
      <c r="F3889" s="165" t="s">
        <v>8069</v>
      </c>
    </row>
    <row r="3890" customFormat="false" ht="15" hidden="false" customHeight="true" outlineLevel="0" collapsed="false">
      <c r="A3890" s="163" t="s">
        <v>3049</v>
      </c>
      <c r="B3890" s="163" t="s">
        <v>894</v>
      </c>
      <c r="C3890" s="163" t="s">
        <v>6368</v>
      </c>
      <c r="D3890" s="163" t="s">
        <v>6369</v>
      </c>
      <c r="E3890" s="164" t="n">
        <v>10000</v>
      </c>
      <c r="F3890" s="165" t="s">
        <v>8070</v>
      </c>
    </row>
    <row r="3891" customFormat="false" ht="15" hidden="false" customHeight="true" outlineLevel="0" collapsed="false">
      <c r="A3891" s="163" t="s">
        <v>3049</v>
      </c>
      <c r="B3891" s="163" t="s">
        <v>894</v>
      </c>
      <c r="C3891" s="163" t="s">
        <v>7328</v>
      </c>
      <c r="D3891" s="163" t="s">
        <v>7329</v>
      </c>
      <c r="E3891" s="164" t="n">
        <v>7000</v>
      </c>
      <c r="F3891" s="165" t="s">
        <v>8071</v>
      </c>
    </row>
    <row r="3892" customFormat="false" ht="15" hidden="false" customHeight="true" outlineLevel="0" collapsed="false">
      <c r="A3892" s="163" t="s">
        <v>3049</v>
      </c>
      <c r="B3892" s="163" t="s">
        <v>894</v>
      </c>
      <c r="C3892" s="163" t="s">
        <v>5071</v>
      </c>
      <c r="D3892" s="163" t="s">
        <v>5072</v>
      </c>
      <c r="E3892" s="164" t="n">
        <v>6000</v>
      </c>
      <c r="F3892" s="165" t="s">
        <v>8072</v>
      </c>
    </row>
    <row r="3893" customFormat="false" ht="15" hidden="false" customHeight="true" outlineLevel="0" collapsed="false">
      <c r="A3893" s="163" t="s">
        <v>3049</v>
      </c>
      <c r="B3893" s="163" t="s">
        <v>894</v>
      </c>
      <c r="C3893" s="163" t="s">
        <v>8073</v>
      </c>
      <c r="D3893" s="163" t="s">
        <v>8074</v>
      </c>
      <c r="E3893" s="164" t="n">
        <v>5000</v>
      </c>
      <c r="F3893" s="165" t="s">
        <v>8075</v>
      </c>
    </row>
    <row r="3894" customFormat="false" ht="15" hidden="false" customHeight="true" outlineLevel="0" collapsed="false">
      <c r="A3894" s="163" t="s">
        <v>3049</v>
      </c>
      <c r="B3894" s="163" t="s">
        <v>894</v>
      </c>
      <c r="C3894" s="163" t="s">
        <v>260</v>
      </c>
      <c r="D3894" s="163" t="s">
        <v>2097</v>
      </c>
      <c r="E3894" s="164" t="n">
        <v>5000</v>
      </c>
      <c r="F3894" s="165" t="s">
        <v>8076</v>
      </c>
    </row>
    <row r="3895" customFormat="false" ht="15" hidden="false" customHeight="true" outlineLevel="0" collapsed="false">
      <c r="A3895" s="163" t="s">
        <v>3049</v>
      </c>
      <c r="B3895" s="163" t="s">
        <v>894</v>
      </c>
      <c r="C3895" s="163" t="s">
        <v>7059</v>
      </c>
      <c r="D3895" s="163" t="s">
        <v>7060</v>
      </c>
      <c r="E3895" s="164" t="n">
        <v>5000</v>
      </c>
      <c r="F3895" s="165" t="s">
        <v>8077</v>
      </c>
    </row>
    <row r="3896" customFormat="false" ht="15" hidden="false" customHeight="true" outlineLevel="0" collapsed="false">
      <c r="A3896" s="163" t="s">
        <v>3049</v>
      </c>
      <c r="B3896" s="163" t="s">
        <v>894</v>
      </c>
      <c r="C3896" s="163" t="s">
        <v>4216</v>
      </c>
      <c r="D3896" s="163" t="s">
        <v>4217</v>
      </c>
      <c r="E3896" s="164" t="n">
        <v>5000</v>
      </c>
      <c r="F3896" s="165" t="s">
        <v>8078</v>
      </c>
    </row>
    <row r="3897" customFormat="false" ht="15" hidden="false" customHeight="true" outlineLevel="0" collapsed="false">
      <c r="A3897" s="163" t="s">
        <v>3049</v>
      </c>
      <c r="B3897" s="163" t="s">
        <v>894</v>
      </c>
      <c r="C3897" s="163" t="s">
        <v>7721</v>
      </c>
      <c r="D3897" s="163" t="s">
        <v>1931</v>
      </c>
      <c r="E3897" s="164" t="n">
        <v>5000</v>
      </c>
      <c r="F3897" s="165" t="s">
        <v>4804</v>
      </c>
    </row>
    <row r="3898" customFormat="false" ht="15" hidden="false" customHeight="true" outlineLevel="0" collapsed="false">
      <c r="A3898" s="163" t="s">
        <v>3049</v>
      </c>
      <c r="B3898" s="163" t="s">
        <v>894</v>
      </c>
      <c r="C3898" s="163" t="s">
        <v>5327</v>
      </c>
      <c r="D3898" s="163" t="s">
        <v>5328</v>
      </c>
      <c r="E3898" s="164" t="n">
        <v>5000</v>
      </c>
      <c r="F3898" s="165" t="s">
        <v>8079</v>
      </c>
    </row>
    <row r="3899" customFormat="false" ht="15" hidden="false" customHeight="true" outlineLevel="0" collapsed="false">
      <c r="A3899" s="163" t="s">
        <v>3049</v>
      </c>
      <c r="B3899" s="163" t="s">
        <v>894</v>
      </c>
      <c r="C3899" s="163" t="s">
        <v>4103</v>
      </c>
      <c r="D3899" s="163" t="s">
        <v>4104</v>
      </c>
      <c r="E3899" s="164" t="n">
        <v>5000</v>
      </c>
      <c r="F3899" s="165" t="s">
        <v>8080</v>
      </c>
    </row>
    <row r="3900" customFormat="false" ht="15" hidden="false" customHeight="true" outlineLevel="0" collapsed="false">
      <c r="A3900" s="163" t="s">
        <v>3049</v>
      </c>
      <c r="B3900" s="163" t="s">
        <v>894</v>
      </c>
      <c r="C3900" s="163" t="s">
        <v>3116</v>
      </c>
      <c r="D3900" s="163" t="s">
        <v>3117</v>
      </c>
      <c r="E3900" s="164" t="n">
        <v>5000</v>
      </c>
      <c r="F3900" s="165" t="s">
        <v>8081</v>
      </c>
    </row>
    <row r="3901" customFormat="false" ht="15" hidden="false" customHeight="true" outlineLevel="0" collapsed="false">
      <c r="A3901" s="163" t="s">
        <v>3049</v>
      </c>
      <c r="B3901" s="163" t="s">
        <v>894</v>
      </c>
      <c r="C3901" s="163" t="s">
        <v>7723</v>
      </c>
      <c r="D3901" s="163" t="s">
        <v>1931</v>
      </c>
      <c r="E3901" s="164" t="n">
        <v>5000</v>
      </c>
      <c r="F3901" s="165" t="s">
        <v>4804</v>
      </c>
    </row>
    <row r="3902" customFormat="false" ht="15" hidden="false" customHeight="true" outlineLevel="0" collapsed="false">
      <c r="A3902" s="163" t="s">
        <v>3049</v>
      </c>
      <c r="B3902" s="163" t="s">
        <v>894</v>
      </c>
      <c r="C3902" s="163" t="s">
        <v>7621</v>
      </c>
      <c r="D3902" s="163" t="s">
        <v>7622</v>
      </c>
      <c r="E3902" s="164" t="n">
        <v>5000</v>
      </c>
      <c r="F3902" s="165" t="s">
        <v>8082</v>
      </c>
    </row>
    <row r="3903" customFormat="false" ht="15" hidden="false" customHeight="true" outlineLevel="0" collapsed="false">
      <c r="A3903" s="163" t="s">
        <v>3049</v>
      </c>
      <c r="B3903" s="163" t="s">
        <v>894</v>
      </c>
      <c r="C3903" s="163" t="s">
        <v>3771</v>
      </c>
      <c r="D3903" s="163" t="s">
        <v>3772</v>
      </c>
      <c r="E3903" s="164" t="n">
        <v>5000</v>
      </c>
      <c r="F3903" s="165" t="s">
        <v>8083</v>
      </c>
    </row>
    <row r="3904" customFormat="false" ht="15" hidden="false" customHeight="true" outlineLevel="0" collapsed="false">
      <c r="A3904" s="163" t="s">
        <v>3049</v>
      </c>
      <c r="B3904" s="163" t="s">
        <v>894</v>
      </c>
      <c r="C3904" s="163" t="s">
        <v>4160</v>
      </c>
      <c r="D3904" s="163" t="s">
        <v>4161</v>
      </c>
      <c r="E3904" s="164" t="n">
        <v>5000</v>
      </c>
      <c r="F3904" s="165" t="s">
        <v>8084</v>
      </c>
    </row>
    <row r="3905" customFormat="false" ht="15" hidden="false" customHeight="true" outlineLevel="0" collapsed="false">
      <c r="A3905" s="163" t="s">
        <v>3049</v>
      </c>
      <c r="B3905" s="163" t="s">
        <v>894</v>
      </c>
      <c r="C3905" s="163" t="s">
        <v>3309</v>
      </c>
      <c r="D3905" s="163" t="s">
        <v>3310</v>
      </c>
      <c r="E3905" s="164" t="n">
        <v>5000</v>
      </c>
      <c r="F3905" s="165" t="s">
        <v>8085</v>
      </c>
    </row>
    <row r="3906" customFormat="false" ht="15" hidden="false" customHeight="true" outlineLevel="0" collapsed="false">
      <c r="A3906" s="163" t="s">
        <v>3049</v>
      </c>
      <c r="B3906" s="163" t="s">
        <v>894</v>
      </c>
      <c r="C3906" s="163" t="s">
        <v>7644</v>
      </c>
      <c r="D3906" s="163" t="s">
        <v>7645</v>
      </c>
      <c r="E3906" s="164" t="n">
        <v>5000</v>
      </c>
      <c r="F3906" s="165" t="s">
        <v>8086</v>
      </c>
    </row>
    <row r="3907" customFormat="false" ht="15" hidden="false" customHeight="true" outlineLevel="0" collapsed="false">
      <c r="A3907" s="163" t="s">
        <v>3049</v>
      </c>
      <c r="B3907" s="163" t="s">
        <v>894</v>
      </c>
      <c r="C3907" s="163" t="s">
        <v>6376</v>
      </c>
      <c r="D3907" s="163" t="s">
        <v>6377</v>
      </c>
      <c r="E3907" s="164" t="n">
        <v>5000</v>
      </c>
      <c r="F3907" s="165" t="s">
        <v>8087</v>
      </c>
    </row>
    <row r="3908" customFormat="false" ht="15" hidden="false" customHeight="true" outlineLevel="0" collapsed="false">
      <c r="A3908" s="163" t="s">
        <v>3049</v>
      </c>
      <c r="B3908" s="163" t="s">
        <v>894</v>
      </c>
      <c r="C3908" s="163" t="s">
        <v>8088</v>
      </c>
      <c r="D3908" s="163" t="s">
        <v>8089</v>
      </c>
      <c r="E3908" s="164" t="n">
        <v>5000</v>
      </c>
      <c r="F3908" s="165" t="s">
        <v>8090</v>
      </c>
    </row>
    <row r="3909" customFormat="false" ht="15" hidden="false" customHeight="true" outlineLevel="0" collapsed="false">
      <c r="A3909" s="163" t="s">
        <v>3049</v>
      </c>
      <c r="B3909" s="163" t="s">
        <v>894</v>
      </c>
      <c r="C3909" s="163" t="s">
        <v>372</v>
      </c>
      <c r="D3909" s="163" t="s">
        <v>2692</v>
      </c>
      <c r="E3909" s="164" t="n">
        <v>5000</v>
      </c>
      <c r="F3909" s="165" t="s">
        <v>8091</v>
      </c>
    </row>
    <row r="3910" customFormat="false" ht="15" hidden="false" customHeight="true" outlineLevel="0" collapsed="false">
      <c r="A3910" s="163" t="s">
        <v>3049</v>
      </c>
      <c r="B3910" s="163" t="s">
        <v>894</v>
      </c>
      <c r="C3910" s="163" t="s">
        <v>7290</v>
      </c>
      <c r="D3910" s="163" t="s">
        <v>7291</v>
      </c>
      <c r="E3910" s="164" t="n">
        <v>5000</v>
      </c>
      <c r="F3910" s="165" t="s">
        <v>8092</v>
      </c>
    </row>
    <row r="3911" customFormat="false" ht="15" hidden="false" customHeight="true" outlineLevel="0" collapsed="false">
      <c r="A3911" s="163" t="s">
        <v>3049</v>
      </c>
      <c r="B3911" s="163" t="s">
        <v>894</v>
      </c>
      <c r="C3911" s="163" t="s">
        <v>7633</v>
      </c>
      <c r="D3911" s="163" t="s">
        <v>7634</v>
      </c>
      <c r="E3911" s="164" t="n">
        <v>5000</v>
      </c>
      <c r="F3911" s="165" t="s">
        <v>8093</v>
      </c>
    </row>
    <row r="3912" customFormat="false" ht="15" hidden="false" customHeight="true" outlineLevel="0" collapsed="false">
      <c r="A3912" s="163" t="s">
        <v>3049</v>
      </c>
      <c r="B3912" s="163" t="s">
        <v>894</v>
      </c>
      <c r="C3912" s="163" t="s">
        <v>8039</v>
      </c>
      <c r="D3912" s="163" t="s">
        <v>8040</v>
      </c>
      <c r="E3912" s="164" t="n">
        <v>5000</v>
      </c>
      <c r="F3912" s="165" t="s">
        <v>8094</v>
      </c>
    </row>
    <row r="3913" customFormat="false" ht="15" hidden="false" customHeight="true" outlineLevel="0" collapsed="false">
      <c r="A3913" s="163" t="s">
        <v>3049</v>
      </c>
      <c r="B3913" s="163" t="s">
        <v>894</v>
      </c>
      <c r="C3913" s="163" t="s">
        <v>8095</v>
      </c>
      <c r="D3913" s="163" t="s">
        <v>8096</v>
      </c>
      <c r="E3913" s="164" t="n">
        <v>5000</v>
      </c>
      <c r="F3913" s="165" t="s">
        <v>8097</v>
      </c>
    </row>
    <row r="3914" customFormat="false" ht="15" hidden="false" customHeight="true" outlineLevel="0" collapsed="false">
      <c r="A3914" s="163" t="s">
        <v>3049</v>
      </c>
      <c r="B3914" s="163" t="s">
        <v>894</v>
      </c>
      <c r="C3914" s="163" t="s">
        <v>8098</v>
      </c>
      <c r="D3914" s="163" t="s">
        <v>8099</v>
      </c>
      <c r="E3914" s="164" t="n">
        <v>5000</v>
      </c>
      <c r="F3914" s="165" t="s">
        <v>8100</v>
      </c>
    </row>
    <row r="3915" customFormat="false" ht="15" hidden="false" customHeight="true" outlineLevel="0" collapsed="false">
      <c r="A3915" s="163" t="s">
        <v>3049</v>
      </c>
      <c r="B3915" s="163" t="s">
        <v>894</v>
      </c>
      <c r="C3915" s="163" t="s">
        <v>4834</v>
      </c>
      <c r="D3915" s="163" t="s">
        <v>4835</v>
      </c>
      <c r="E3915" s="164" t="n">
        <v>5000</v>
      </c>
      <c r="F3915" s="165" t="s">
        <v>8101</v>
      </c>
    </row>
    <row r="3916" customFormat="false" ht="15" hidden="false" customHeight="true" outlineLevel="0" collapsed="false">
      <c r="A3916" s="163" t="s">
        <v>3049</v>
      </c>
      <c r="B3916" s="163" t="s">
        <v>894</v>
      </c>
      <c r="C3916" s="163" t="s">
        <v>4125</v>
      </c>
      <c r="D3916" s="163" t="s">
        <v>4126</v>
      </c>
      <c r="E3916" s="164" t="n">
        <v>5000</v>
      </c>
      <c r="F3916" s="165" t="s">
        <v>8102</v>
      </c>
    </row>
    <row r="3917" customFormat="false" ht="15" hidden="false" customHeight="true" outlineLevel="0" collapsed="false">
      <c r="A3917" s="163" t="s">
        <v>3049</v>
      </c>
      <c r="B3917" s="163" t="s">
        <v>894</v>
      </c>
      <c r="C3917" s="163" t="s">
        <v>8103</v>
      </c>
      <c r="D3917" s="163" t="s">
        <v>8104</v>
      </c>
      <c r="E3917" s="164" t="n">
        <v>5000</v>
      </c>
      <c r="F3917" s="165" t="s">
        <v>8105</v>
      </c>
    </row>
    <row r="3918" customFormat="false" ht="15" hidden="false" customHeight="true" outlineLevel="0" collapsed="false">
      <c r="A3918" s="163" t="s">
        <v>3049</v>
      </c>
      <c r="B3918" s="163" t="s">
        <v>894</v>
      </c>
      <c r="C3918" s="163" t="s">
        <v>6782</v>
      </c>
      <c r="D3918" s="163" t="s">
        <v>6783</v>
      </c>
      <c r="E3918" s="164" t="n">
        <v>5000</v>
      </c>
      <c r="F3918" s="165" t="s">
        <v>8106</v>
      </c>
    </row>
    <row r="3919" customFormat="false" ht="15" hidden="false" customHeight="true" outlineLevel="0" collapsed="false">
      <c r="A3919" s="163" t="s">
        <v>3049</v>
      </c>
      <c r="B3919" s="163" t="s">
        <v>894</v>
      </c>
      <c r="C3919" s="163" t="s">
        <v>7690</v>
      </c>
      <c r="D3919" s="163" t="s">
        <v>7691</v>
      </c>
      <c r="E3919" s="164" t="n">
        <v>5000</v>
      </c>
      <c r="F3919" s="165" t="s">
        <v>8107</v>
      </c>
    </row>
    <row r="3920" customFormat="false" ht="15" hidden="false" customHeight="true" outlineLevel="0" collapsed="false">
      <c r="A3920" s="163" t="s">
        <v>3049</v>
      </c>
      <c r="B3920" s="163" t="s">
        <v>894</v>
      </c>
      <c r="C3920" s="163" t="s">
        <v>8108</v>
      </c>
      <c r="D3920" s="163" t="s">
        <v>8109</v>
      </c>
      <c r="E3920" s="164" t="n">
        <v>5000</v>
      </c>
      <c r="F3920" s="165" t="s">
        <v>8110</v>
      </c>
    </row>
    <row r="3921" customFormat="false" ht="15" hidden="false" customHeight="true" outlineLevel="0" collapsed="false">
      <c r="A3921" s="163" t="s">
        <v>3049</v>
      </c>
      <c r="B3921" s="163" t="s">
        <v>894</v>
      </c>
      <c r="C3921" s="163" t="s">
        <v>8111</v>
      </c>
      <c r="D3921" s="163" t="s">
        <v>8112</v>
      </c>
      <c r="E3921" s="164" t="n">
        <v>5000</v>
      </c>
      <c r="F3921" s="165" t="s">
        <v>8113</v>
      </c>
    </row>
    <row r="3922" customFormat="false" ht="15" hidden="false" customHeight="true" outlineLevel="0" collapsed="false">
      <c r="A3922" s="163" t="s">
        <v>3049</v>
      </c>
      <c r="B3922" s="163" t="s">
        <v>894</v>
      </c>
      <c r="C3922" s="163" t="s">
        <v>4143</v>
      </c>
      <c r="D3922" s="163" t="s">
        <v>4144</v>
      </c>
      <c r="E3922" s="164" t="n">
        <v>5000</v>
      </c>
      <c r="F3922" s="165" t="s">
        <v>8114</v>
      </c>
    </row>
    <row r="3923" customFormat="false" ht="15" hidden="false" customHeight="true" outlineLevel="0" collapsed="false">
      <c r="A3923" s="163" t="s">
        <v>3049</v>
      </c>
      <c r="B3923" s="163" t="s">
        <v>894</v>
      </c>
      <c r="C3923" s="163" t="s">
        <v>4890</v>
      </c>
      <c r="D3923" s="163" t="s">
        <v>4891</v>
      </c>
      <c r="E3923" s="164" t="n">
        <v>5000</v>
      </c>
      <c r="F3923" s="165" t="s">
        <v>8115</v>
      </c>
    </row>
    <row r="3924" customFormat="false" ht="15" hidden="false" customHeight="true" outlineLevel="0" collapsed="false">
      <c r="A3924" s="163" t="s">
        <v>3049</v>
      </c>
      <c r="B3924" s="163" t="s">
        <v>894</v>
      </c>
      <c r="C3924" s="163" t="s">
        <v>8116</v>
      </c>
      <c r="D3924" s="163" t="s">
        <v>8117</v>
      </c>
      <c r="E3924" s="164" t="n">
        <v>5000</v>
      </c>
      <c r="F3924" s="165" t="s">
        <v>8118</v>
      </c>
    </row>
    <row r="3925" customFormat="false" ht="15" hidden="false" customHeight="true" outlineLevel="0" collapsed="false">
      <c r="A3925" s="163" t="s">
        <v>3049</v>
      </c>
      <c r="B3925" s="163" t="s">
        <v>894</v>
      </c>
      <c r="C3925" s="163" t="s">
        <v>7607</v>
      </c>
      <c r="D3925" s="163" t="s">
        <v>7608</v>
      </c>
      <c r="E3925" s="164" t="n">
        <v>5000</v>
      </c>
      <c r="F3925" s="165" t="s">
        <v>8119</v>
      </c>
    </row>
    <row r="3926" customFormat="false" ht="15" hidden="false" customHeight="true" outlineLevel="0" collapsed="false">
      <c r="A3926" s="163" t="s">
        <v>3049</v>
      </c>
      <c r="B3926" s="163" t="s">
        <v>894</v>
      </c>
      <c r="C3926" s="163" t="s">
        <v>240</v>
      </c>
      <c r="D3926" s="163" t="s">
        <v>2418</v>
      </c>
      <c r="E3926" s="164" t="n">
        <v>5000</v>
      </c>
      <c r="F3926" s="165" t="s">
        <v>8120</v>
      </c>
    </row>
    <row r="3927" customFormat="false" ht="15" hidden="false" customHeight="true" outlineLevel="0" collapsed="false">
      <c r="A3927" s="163" t="s">
        <v>3049</v>
      </c>
      <c r="B3927" s="163" t="s">
        <v>894</v>
      </c>
      <c r="C3927" s="163" t="s">
        <v>4931</v>
      </c>
      <c r="D3927" s="163" t="s">
        <v>4932</v>
      </c>
      <c r="E3927" s="164" t="n">
        <v>5000</v>
      </c>
      <c r="F3927" s="165" t="s">
        <v>8121</v>
      </c>
    </row>
    <row r="3928" customFormat="false" ht="15" hidden="false" customHeight="true" outlineLevel="0" collapsed="false">
      <c r="A3928" s="163" t="s">
        <v>3049</v>
      </c>
      <c r="B3928" s="163" t="s">
        <v>894</v>
      </c>
      <c r="C3928" s="163" t="s">
        <v>6912</v>
      </c>
      <c r="D3928" s="163" t="s">
        <v>6913</v>
      </c>
      <c r="E3928" s="164" t="n">
        <v>5000</v>
      </c>
      <c r="F3928" s="165" t="s">
        <v>8122</v>
      </c>
    </row>
    <row r="3929" customFormat="false" ht="15" hidden="false" customHeight="true" outlineLevel="0" collapsed="false">
      <c r="A3929" s="163" t="s">
        <v>3049</v>
      </c>
      <c r="B3929" s="163" t="s">
        <v>894</v>
      </c>
      <c r="C3929" s="163" t="s">
        <v>273</v>
      </c>
      <c r="D3929" s="163" t="s">
        <v>1891</v>
      </c>
      <c r="E3929" s="164" t="n">
        <v>5000</v>
      </c>
      <c r="F3929" s="165" t="s">
        <v>8123</v>
      </c>
    </row>
    <row r="3930" customFormat="false" ht="15" hidden="false" customHeight="true" outlineLevel="0" collapsed="false">
      <c r="A3930" s="163" t="s">
        <v>3049</v>
      </c>
      <c r="B3930" s="163" t="s">
        <v>894</v>
      </c>
      <c r="C3930" s="163" t="s">
        <v>8124</v>
      </c>
      <c r="D3930" s="163" t="s">
        <v>8125</v>
      </c>
      <c r="E3930" s="164" t="n">
        <v>5000</v>
      </c>
      <c r="F3930" s="165" t="s">
        <v>8126</v>
      </c>
    </row>
    <row r="3931" customFormat="false" ht="15" hidden="false" customHeight="true" outlineLevel="0" collapsed="false">
      <c r="A3931" s="163" t="s">
        <v>3049</v>
      </c>
      <c r="B3931" s="163" t="s">
        <v>894</v>
      </c>
      <c r="C3931" s="163" t="s">
        <v>3808</v>
      </c>
      <c r="D3931" s="163" t="s">
        <v>3809</v>
      </c>
      <c r="E3931" s="164" t="n">
        <v>5000</v>
      </c>
      <c r="F3931" s="165" t="s">
        <v>8127</v>
      </c>
    </row>
    <row r="3932" customFormat="false" ht="15" hidden="false" customHeight="true" outlineLevel="0" collapsed="false">
      <c r="A3932" s="163" t="s">
        <v>3049</v>
      </c>
      <c r="B3932" s="163" t="s">
        <v>894</v>
      </c>
      <c r="C3932" s="163" t="s">
        <v>7340</v>
      </c>
      <c r="D3932" s="163" t="s">
        <v>7341</v>
      </c>
      <c r="E3932" s="164" t="n">
        <v>5000</v>
      </c>
      <c r="F3932" s="165" t="s">
        <v>8128</v>
      </c>
    </row>
    <row r="3933" customFormat="false" ht="15" hidden="false" customHeight="true" outlineLevel="0" collapsed="false">
      <c r="A3933" s="163" t="s">
        <v>3049</v>
      </c>
      <c r="B3933" s="163" t="s">
        <v>894</v>
      </c>
      <c r="C3933" s="163" t="s">
        <v>4243</v>
      </c>
      <c r="D3933" s="163" t="s">
        <v>4244</v>
      </c>
      <c r="E3933" s="164" t="n">
        <v>5000</v>
      </c>
      <c r="F3933" s="165" t="s">
        <v>8129</v>
      </c>
    </row>
    <row r="3934" customFormat="false" ht="15" hidden="false" customHeight="true" outlineLevel="0" collapsed="false">
      <c r="A3934" s="163" t="s">
        <v>3049</v>
      </c>
      <c r="B3934" s="163" t="s">
        <v>894</v>
      </c>
      <c r="C3934" s="163" t="s">
        <v>7742</v>
      </c>
      <c r="D3934" s="163" t="s">
        <v>7743</v>
      </c>
      <c r="E3934" s="164" t="n">
        <v>5000</v>
      </c>
      <c r="F3934" s="165" t="s">
        <v>8130</v>
      </c>
    </row>
    <row r="3935" customFormat="false" ht="15" hidden="false" customHeight="true" outlineLevel="0" collapsed="false">
      <c r="A3935" s="163" t="s">
        <v>3049</v>
      </c>
      <c r="B3935" s="163" t="s">
        <v>894</v>
      </c>
      <c r="C3935" s="163" t="s">
        <v>8131</v>
      </c>
      <c r="D3935" s="163" t="s">
        <v>8132</v>
      </c>
      <c r="E3935" s="164" t="n">
        <v>5000</v>
      </c>
      <c r="F3935" s="165" t="s">
        <v>8133</v>
      </c>
    </row>
    <row r="3936" customFormat="false" ht="15" hidden="false" customHeight="true" outlineLevel="0" collapsed="false">
      <c r="A3936" s="163" t="s">
        <v>3049</v>
      </c>
      <c r="B3936" s="163" t="s">
        <v>894</v>
      </c>
      <c r="C3936" s="163" t="s">
        <v>4253</v>
      </c>
      <c r="D3936" s="163" t="s">
        <v>4254</v>
      </c>
      <c r="E3936" s="164" t="n">
        <v>5000</v>
      </c>
      <c r="F3936" s="165" t="s">
        <v>8134</v>
      </c>
    </row>
    <row r="3937" customFormat="false" ht="15" hidden="false" customHeight="true" outlineLevel="0" collapsed="false">
      <c r="A3937" s="163" t="s">
        <v>3049</v>
      </c>
      <c r="B3937" s="163" t="s">
        <v>894</v>
      </c>
      <c r="C3937" s="163" t="s">
        <v>4100</v>
      </c>
      <c r="D3937" s="163" t="s">
        <v>4101</v>
      </c>
      <c r="E3937" s="164" t="n">
        <v>5000</v>
      </c>
      <c r="F3937" s="165" t="s">
        <v>8135</v>
      </c>
    </row>
    <row r="3938" customFormat="false" ht="15" hidden="false" customHeight="true" outlineLevel="0" collapsed="false">
      <c r="A3938" s="163" t="s">
        <v>3049</v>
      </c>
      <c r="B3938" s="163" t="s">
        <v>894</v>
      </c>
      <c r="C3938" s="163" t="s">
        <v>5591</v>
      </c>
      <c r="D3938" s="163" t="s">
        <v>5592</v>
      </c>
      <c r="E3938" s="164" t="n">
        <v>5000</v>
      </c>
      <c r="F3938" s="165" t="s">
        <v>8136</v>
      </c>
    </row>
    <row r="3939" customFormat="false" ht="15" hidden="false" customHeight="true" outlineLevel="0" collapsed="false">
      <c r="A3939" s="163" t="s">
        <v>3049</v>
      </c>
      <c r="B3939" s="163" t="s">
        <v>894</v>
      </c>
      <c r="C3939" s="163" t="s">
        <v>4815</v>
      </c>
      <c r="D3939" s="163" t="s">
        <v>4816</v>
      </c>
      <c r="E3939" s="164" t="n">
        <v>5000</v>
      </c>
      <c r="F3939" s="165" t="s">
        <v>8137</v>
      </c>
    </row>
    <row r="3940" customFormat="false" ht="15" hidden="false" customHeight="true" outlineLevel="0" collapsed="false">
      <c r="A3940" s="163" t="s">
        <v>3049</v>
      </c>
      <c r="B3940" s="163" t="s">
        <v>894</v>
      </c>
      <c r="C3940" s="163" t="s">
        <v>925</v>
      </c>
      <c r="D3940" s="163" t="s">
        <v>1931</v>
      </c>
      <c r="E3940" s="164" t="n">
        <v>5000</v>
      </c>
      <c r="F3940" s="165" t="s">
        <v>8138</v>
      </c>
    </row>
    <row r="3941" customFormat="false" ht="15" hidden="false" customHeight="true" outlineLevel="0" collapsed="false">
      <c r="A3941" s="163" t="s">
        <v>3049</v>
      </c>
      <c r="B3941" s="163" t="s">
        <v>894</v>
      </c>
      <c r="C3941" s="163" t="s">
        <v>7650</v>
      </c>
      <c r="D3941" s="163" t="s">
        <v>7651</v>
      </c>
      <c r="E3941" s="164" t="n">
        <v>5000</v>
      </c>
      <c r="F3941" s="165" t="s">
        <v>8139</v>
      </c>
    </row>
    <row r="3942" customFormat="false" ht="15" hidden="false" customHeight="true" outlineLevel="0" collapsed="false">
      <c r="A3942" s="163" t="s">
        <v>3049</v>
      </c>
      <c r="B3942" s="163" t="s">
        <v>894</v>
      </c>
      <c r="C3942" s="163" t="s">
        <v>3835</v>
      </c>
      <c r="D3942" s="163" t="s">
        <v>3836</v>
      </c>
      <c r="E3942" s="164" t="n">
        <v>5000</v>
      </c>
      <c r="F3942" s="165" t="s">
        <v>8140</v>
      </c>
    </row>
    <row r="3943" customFormat="false" ht="15" hidden="false" customHeight="true" outlineLevel="0" collapsed="false">
      <c r="A3943" s="163" t="s">
        <v>3049</v>
      </c>
      <c r="B3943" s="163" t="s">
        <v>894</v>
      </c>
      <c r="C3943" s="163" t="s">
        <v>4769</v>
      </c>
      <c r="D3943" s="163" t="s">
        <v>4770</v>
      </c>
      <c r="E3943" s="164" t="n">
        <v>5000</v>
      </c>
      <c r="F3943" s="165" t="s">
        <v>8141</v>
      </c>
    </row>
    <row r="3944" customFormat="false" ht="15" hidden="false" customHeight="true" outlineLevel="0" collapsed="false">
      <c r="A3944" s="163" t="s">
        <v>3049</v>
      </c>
      <c r="B3944" s="163" t="s">
        <v>894</v>
      </c>
      <c r="C3944" s="163" t="s">
        <v>8142</v>
      </c>
      <c r="D3944" s="163" t="s">
        <v>8143</v>
      </c>
      <c r="E3944" s="164" t="n">
        <v>5000</v>
      </c>
      <c r="F3944" s="165" t="s">
        <v>8144</v>
      </c>
    </row>
    <row r="3945" customFormat="false" ht="15" hidden="false" customHeight="true" outlineLevel="0" collapsed="false">
      <c r="A3945" s="163" t="s">
        <v>3049</v>
      </c>
      <c r="B3945" s="163" t="s">
        <v>894</v>
      </c>
      <c r="C3945" s="163" t="s">
        <v>4841</v>
      </c>
      <c r="D3945" s="163" t="s">
        <v>4842</v>
      </c>
      <c r="E3945" s="164" t="n">
        <v>5000</v>
      </c>
      <c r="F3945" s="165" t="s">
        <v>8145</v>
      </c>
    </row>
    <row r="3946" customFormat="false" ht="15" hidden="false" customHeight="true" outlineLevel="0" collapsed="false">
      <c r="A3946" s="163" t="s">
        <v>3049</v>
      </c>
      <c r="B3946" s="163" t="s">
        <v>894</v>
      </c>
      <c r="C3946" s="163" t="s">
        <v>8146</v>
      </c>
      <c r="D3946" s="163" t="s">
        <v>8147</v>
      </c>
      <c r="E3946" s="164" t="n">
        <v>5000</v>
      </c>
      <c r="F3946" s="165" t="s">
        <v>8148</v>
      </c>
    </row>
    <row r="3947" customFormat="false" ht="15" hidden="false" customHeight="true" outlineLevel="0" collapsed="false">
      <c r="A3947" s="163" t="s">
        <v>3049</v>
      </c>
      <c r="B3947" s="163" t="s">
        <v>894</v>
      </c>
      <c r="C3947" s="163" t="s">
        <v>4056</v>
      </c>
      <c r="D3947" s="163" t="s">
        <v>4057</v>
      </c>
      <c r="E3947" s="164" t="n">
        <v>5000</v>
      </c>
      <c r="F3947" s="165" t="s">
        <v>8149</v>
      </c>
    </row>
    <row r="3948" customFormat="false" ht="15" hidden="false" customHeight="true" outlineLevel="0" collapsed="false">
      <c r="A3948" s="163" t="s">
        <v>3049</v>
      </c>
      <c r="B3948" s="163" t="s">
        <v>894</v>
      </c>
      <c r="C3948" s="163" t="s">
        <v>8150</v>
      </c>
      <c r="D3948" s="163" t="s">
        <v>8151</v>
      </c>
      <c r="E3948" s="164" t="n">
        <v>5000</v>
      </c>
      <c r="F3948" s="165" t="s">
        <v>8152</v>
      </c>
    </row>
    <row r="3949" customFormat="false" ht="15" hidden="false" customHeight="true" outlineLevel="0" collapsed="false">
      <c r="A3949" s="163" t="s">
        <v>3049</v>
      </c>
      <c r="B3949" s="163" t="s">
        <v>894</v>
      </c>
      <c r="C3949" s="163" t="s">
        <v>4143</v>
      </c>
      <c r="D3949" s="163" t="s">
        <v>4144</v>
      </c>
      <c r="E3949" s="164" t="n">
        <v>3000</v>
      </c>
      <c r="F3949" s="165" t="s">
        <v>8153</v>
      </c>
    </row>
    <row r="3950" customFormat="false" ht="15" hidden="false" customHeight="true" outlineLevel="0" collapsed="false">
      <c r="A3950" s="163" t="s">
        <v>3049</v>
      </c>
      <c r="B3950" s="163" t="s">
        <v>894</v>
      </c>
      <c r="C3950" s="163" t="s">
        <v>8116</v>
      </c>
      <c r="D3950" s="163" t="s">
        <v>8117</v>
      </c>
      <c r="E3950" s="164" t="n">
        <v>2000</v>
      </c>
      <c r="F3950" s="165" t="s">
        <v>8118</v>
      </c>
    </row>
    <row r="3951" customFormat="false" ht="15" hidden="false" customHeight="true" outlineLevel="0" collapsed="false">
      <c r="A3951" s="163" t="s">
        <v>3049</v>
      </c>
      <c r="B3951" s="163" t="s">
        <v>882</v>
      </c>
      <c r="C3951" s="163" t="s">
        <v>640</v>
      </c>
      <c r="D3951" s="163" t="s">
        <v>1931</v>
      </c>
      <c r="E3951" s="164" t="n">
        <v>140000</v>
      </c>
      <c r="F3951" s="165" t="s">
        <v>8154</v>
      </c>
    </row>
    <row r="3952" customFormat="false" ht="15" hidden="false" customHeight="true" outlineLevel="0" collapsed="false">
      <c r="A3952" s="163" t="s">
        <v>3049</v>
      </c>
      <c r="B3952" s="163" t="s">
        <v>882</v>
      </c>
      <c r="C3952" s="163" t="s">
        <v>2759</v>
      </c>
      <c r="D3952" s="163" t="s">
        <v>2760</v>
      </c>
      <c r="E3952" s="164" t="n">
        <v>140000</v>
      </c>
      <c r="F3952" s="165" t="s">
        <v>8155</v>
      </c>
    </row>
    <row r="3953" customFormat="false" ht="15" hidden="false" customHeight="true" outlineLevel="0" collapsed="false">
      <c r="A3953" s="163" t="s">
        <v>3049</v>
      </c>
      <c r="B3953" s="163" t="s">
        <v>2328</v>
      </c>
      <c r="C3953" s="163" t="s">
        <v>1233</v>
      </c>
      <c r="D3953" s="163" t="s">
        <v>2151</v>
      </c>
      <c r="E3953" s="164" t="n">
        <v>50000</v>
      </c>
      <c r="F3953" s="165" t="s">
        <v>8156</v>
      </c>
    </row>
    <row r="3954" customFormat="false" ht="15" hidden="false" customHeight="true" outlineLevel="0" collapsed="false">
      <c r="A3954" s="163" t="s">
        <v>3049</v>
      </c>
      <c r="B3954" s="163" t="s">
        <v>2342</v>
      </c>
      <c r="C3954" s="163" t="s">
        <v>197</v>
      </c>
      <c r="D3954" s="163" t="s">
        <v>1931</v>
      </c>
      <c r="E3954" s="164" t="n">
        <v>20000</v>
      </c>
      <c r="F3954" s="165" t="s">
        <v>8157</v>
      </c>
    </row>
    <row r="3955" customFormat="false" ht="15" hidden="false" customHeight="true" outlineLevel="0" collapsed="false">
      <c r="A3955" s="163" t="s">
        <v>3049</v>
      </c>
      <c r="B3955" s="163" t="s">
        <v>2342</v>
      </c>
      <c r="C3955" s="163" t="s">
        <v>8158</v>
      </c>
      <c r="D3955" s="163" t="s">
        <v>8159</v>
      </c>
      <c r="E3955" s="164" t="n">
        <v>20000</v>
      </c>
      <c r="F3955" s="165" t="s">
        <v>8160</v>
      </c>
    </row>
    <row r="3956" customFormat="false" ht="15" hidden="false" customHeight="true" outlineLevel="0" collapsed="false">
      <c r="A3956" s="163" t="s">
        <v>3049</v>
      </c>
      <c r="B3956" s="163" t="s">
        <v>2342</v>
      </c>
      <c r="C3956" s="163" t="s">
        <v>3956</v>
      </c>
      <c r="D3956" s="163" t="s">
        <v>3957</v>
      </c>
      <c r="E3956" s="164" t="n">
        <v>15000</v>
      </c>
      <c r="F3956" s="165" t="s">
        <v>8161</v>
      </c>
    </row>
    <row r="3957" customFormat="false" ht="15" hidden="false" customHeight="true" outlineLevel="0" collapsed="false">
      <c r="A3957" s="163" t="s">
        <v>3049</v>
      </c>
      <c r="B3957" s="163" t="s">
        <v>2342</v>
      </c>
      <c r="C3957" s="163" t="s">
        <v>8142</v>
      </c>
      <c r="D3957" s="163" t="s">
        <v>8143</v>
      </c>
      <c r="E3957" s="164" t="n">
        <v>10000</v>
      </c>
      <c r="F3957" s="165" t="s">
        <v>8162</v>
      </c>
    </row>
    <row r="3958" customFormat="false" ht="15" hidden="false" customHeight="true" outlineLevel="0" collapsed="false">
      <c r="A3958" s="163" t="s">
        <v>3049</v>
      </c>
      <c r="B3958" s="163" t="s">
        <v>2342</v>
      </c>
      <c r="C3958" s="163" t="s">
        <v>8163</v>
      </c>
      <c r="D3958" s="163" t="s">
        <v>8164</v>
      </c>
      <c r="E3958" s="164" t="n">
        <v>10000</v>
      </c>
      <c r="F3958" s="165" t="s">
        <v>8165</v>
      </c>
    </row>
    <row r="3959" customFormat="false" ht="15" hidden="false" customHeight="true" outlineLevel="0" collapsed="false">
      <c r="A3959" s="163" t="s">
        <v>3049</v>
      </c>
      <c r="B3959" s="163" t="s">
        <v>2342</v>
      </c>
      <c r="C3959" s="163" t="s">
        <v>4076</v>
      </c>
      <c r="D3959" s="163" t="s">
        <v>4077</v>
      </c>
      <c r="E3959" s="164" t="n">
        <v>5000</v>
      </c>
      <c r="F3959" s="165" t="s">
        <v>8166</v>
      </c>
    </row>
    <row r="3960" customFormat="false" ht="15" hidden="false" customHeight="true" outlineLevel="0" collapsed="false">
      <c r="A3960" s="163" t="s">
        <v>3049</v>
      </c>
      <c r="B3960" s="163" t="s">
        <v>2342</v>
      </c>
      <c r="C3960" s="163" t="s">
        <v>197</v>
      </c>
      <c r="D3960" s="163" t="s">
        <v>1931</v>
      </c>
      <c r="E3960" s="164" t="n">
        <v>5000</v>
      </c>
      <c r="F3960" s="165" t="s">
        <v>8157</v>
      </c>
    </row>
    <row r="3961" customFormat="false" ht="15" hidden="false" customHeight="true" outlineLevel="0" collapsed="false">
      <c r="A3961" s="163" t="s">
        <v>3049</v>
      </c>
      <c r="B3961" s="163" t="s">
        <v>2342</v>
      </c>
      <c r="C3961" s="163" t="s">
        <v>230</v>
      </c>
      <c r="D3961" s="163" t="s">
        <v>2077</v>
      </c>
      <c r="E3961" s="164" t="n">
        <v>5000</v>
      </c>
      <c r="F3961" s="165" t="s">
        <v>8167</v>
      </c>
    </row>
    <row r="3962" customFormat="false" ht="15" hidden="false" customHeight="true" outlineLevel="0" collapsed="false">
      <c r="A3962" s="163" t="s">
        <v>3049</v>
      </c>
      <c r="B3962" s="163" t="s">
        <v>2766</v>
      </c>
      <c r="C3962" s="163" t="s">
        <v>4097</v>
      </c>
      <c r="D3962" s="163" t="s">
        <v>4098</v>
      </c>
      <c r="E3962" s="164" t="n">
        <v>15000</v>
      </c>
      <c r="F3962" s="165" t="s">
        <v>8168</v>
      </c>
    </row>
    <row r="3963" customFormat="false" ht="15" hidden="false" customHeight="true" outlineLevel="0" collapsed="false">
      <c r="A3963" s="163" t="s">
        <v>3049</v>
      </c>
      <c r="B3963" s="163" t="s">
        <v>2766</v>
      </c>
      <c r="C3963" s="163" t="s">
        <v>4890</v>
      </c>
      <c r="D3963" s="163" t="s">
        <v>4891</v>
      </c>
      <c r="E3963" s="164" t="n">
        <v>15000</v>
      </c>
      <c r="F3963" s="165" t="s">
        <v>8169</v>
      </c>
    </row>
    <row r="3964" customFormat="false" ht="15" hidden="false" customHeight="true" outlineLevel="0" collapsed="false">
      <c r="A3964" s="163" t="s">
        <v>3049</v>
      </c>
      <c r="B3964" s="163" t="s">
        <v>1743</v>
      </c>
      <c r="C3964" s="163" t="s">
        <v>4322</v>
      </c>
      <c r="D3964" s="163" t="s">
        <v>4323</v>
      </c>
      <c r="E3964" s="164" t="n">
        <v>20000</v>
      </c>
      <c r="F3964" s="165" t="s">
        <v>8170</v>
      </c>
    </row>
    <row r="3965" customFormat="false" ht="15" hidden="false" customHeight="true" outlineLevel="0" collapsed="false">
      <c r="A3965" s="163" t="s">
        <v>3049</v>
      </c>
      <c r="B3965" s="163" t="s">
        <v>1743</v>
      </c>
      <c r="C3965" s="163" t="s">
        <v>8171</v>
      </c>
      <c r="D3965" s="163" t="s">
        <v>8172</v>
      </c>
      <c r="E3965" s="164" t="n">
        <v>20000</v>
      </c>
      <c r="F3965" s="165" t="s">
        <v>8173</v>
      </c>
    </row>
    <row r="3966" customFormat="false" ht="15" hidden="false" customHeight="true" outlineLevel="0" collapsed="false">
      <c r="A3966" s="163" t="s">
        <v>3049</v>
      </c>
      <c r="B3966" s="163" t="s">
        <v>1743</v>
      </c>
      <c r="C3966" s="163" t="s">
        <v>4005</v>
      </c>
      <c r="D3966" s="163" t="s">
        <v>4006</v>
      </c>
      <c r="E3966" s="164" t="n">
        <v>20000</v>
      </c>
      <c r="F3966" s="165" t="s">
        <v>8020</v>
      </c>
    </row>
    <row r="3967" customFormat="false" ht="15" hidden="false" customHeight="true" outlineLevel="0" collapsed="false">
      <c r="A3967" s="163" t="s">
        <v>3049</v>
      </c>
      <c r="B3967" s="163" t="s">
        <v>1743</v>
      </c>
      <c r="C3967" s="163" t="s">
        <v>7684</v>
      </c>
      <c r="D3967" s="163" t="s">
        <v>7685</v>
      </c>
      <c r="E3967" s="164" t="n">
        <v>15000</v>
      </c>
      <c r="F3967" s="165" t="s">
        <v>8174</v>
      </c>
    </row>
    <row r="3968" customFormat="false" ht="15" hidden="false" customHeight="true" outlineLevel="0" collapsed="false">
      <c r="A3968" s="163" t="s">
        <v>3049</v>
      </c>
      <c r="B3968" s="163" t="s">
        <v>1743</v>
      </c>
      <c r="C3968" s="163" t="s">
        <v>5087</v>
      </c>
      <c r="D3968" s="163" t="s">
        <v>5088</v>
      </c>
      <c r="E3968" s="164" t="n">
        <v>10000</v>
      </c>
      <c r="F3968" s="165" t="s">
        <v>8175</v>
      </c>
    </row>
    <row r="3969" customFormat="false" ht="15" hidden="false" customHeight="true" outlineLevel="0" collapsed="false">
      <c r="A3969" s="163" t="s">
        <v>3049</v>
      </c>
      <c r="B3969" s="163" t="s">
        <v>1743</v>
      </c>
      <c r="C3969" s="163" t="s">
        <v>4097</v>
      </c>
      <c r="D3969" s="163" t="s">
        <v>4098</v>
      </c>
      <c r="E3969" s="164" t="n">
        <v>10000</v>
      </c>
      <c r="F3969" s="165" t="s">
        <v>8176</v>
      </c>
    </row>
    <row r="3970" customFormat="false" ht="15" hidden="false" customHeight="true" outlineLevel="0" collapsed="false">
      <c r="A3970" s="163" t="s">
        <v>3049</v>
      </c>
      <c r="B3970" s="163" t="s">
        <v>1743</v>
      </c>
      <c r="C3970" s="163" t="s">
        <v>4100</v>
      </c>
      <c r="D3970" s="163" t="s">
        <v>4101</v>
      </c>
      <c r="E3970" s="164" t="n">
        <v>10000</v>
      </c>
      <c r="F3970" s="165" t="s">
        <v>8177</v>
      </c>
    </row>
    <row r="3971" customFormat="false" ht="15" hidden="false" customHeight="true" outlineLevel="0" collapsed="false">
      <c r="A3971" s="163" t="s">
        <v>3049</v>
      </c>
      <c r="B3971" s="163" t="s">
        <v>1743</v>
      </c>
      <c r="C3971" s="163" t="s">
        <v>4769</v>
      </c>
      <c r="D3971" s="163" t="s">
        <v>4770</v>
      </c>
      <c r="E3971" s="164" t="n">
        <v>10000</v>
      </c>
      <c r="F3971" s="165" t="s">
        <v>8178</v>
      </c>
    </row>
    <row r="3972" customFormat="false" ht="15" hidden="false" customHeight="true" outlineLevel="0" collapsed="false">
      <c r="A3972" s="163" t="s">
        <v>3049</v>
      </c>
      <c r="B3972" s="163" t="s">
        <v>1743</v>
      </c>
      <c r="C3972" s="163" t="s">
        <v>4420</v>
      </c>
      <c r="D3972" s="163" t="s">
        <v>4421</v>
      </c>
      <c r="E3972" s="164" t="n">
        <v>10000</v>
      </c>
      <c r="F3972" s="165" t="s">
        <v>8179</v>
      </c>
    </row>
    <row r="3973" customFormat="false" ht="15" hidden="false" customHeight="true" outlineLevel="0" collapsed="false">
      <c r="A3973" s="163" t="s">
        <v>3049</v>
      </c>
      <c r="B3973" s="163" t="s">
        <v>1743</v>
      </c>
      <c r="C3973" s="163" t="s">
        <v>7607</v>
      </c>
      <c r="D3973" s="163" t="s">
        <v>7608</v>
      </c>
      <c r="E3973" s="164" t="n">
        <v>10000</v>
      </c>
      <c r="F3973" s="165" t="s">
        <v>8180</v>
      </c>
    </row>
    <row r="3974" customFormat="false" ht="15" hidden="false" customHeight="true" outlineLevel="0" collapsed="false">
      <c r="A3974" s="163" t="s">
        <v>3049</v>
      </c>
      <c r="B3974" s="163" t="s">
        <v>1743</v>
      </c>
      <c r="C3974" s="163" t="s">
        <v>3805</v>
      </c>
      <c r="D3974" s="163" t="s">
        <v>3806</v>
      </c>
      <c r="E3974" s="164" t="n">
        <v>10000</v>
      </c>
      <c r="F3974" s="165" t="s">
        <v>8181</v>
      </c>
    </row>
    <row r="3975" customFormat="false" ht="15" hidden="false" customHeight="true" outlineLevel="0" collapsed="false">
      <c r="A3975" s="163" t="s">
        <v>3049</v>
      </c>
      <c r="B3975" s="163" t="s">
        <v>928</v>
      </c>
      <c r="C3975" s="163" t="s">
        <v>1159</v>
      </c>
      <c r="D3975" s="163" t="s">
        <v>1936</v>
      </c>
      <c r="E3975" s="164" t="n">
        <v>10000</v>
      </c>
      <c r="F3975" s="165" t="s">
        <v>8182</v>
      </c>
    </row>
    <row r="3976" customFormat="false" ht="15" hidden="false" customHeight="true" outlineLevel="0" collapsed="false">
      <c r="A3976" s="163" t="s">
        <v>3049</v>
      </c>
      <c r="B3976" s="163" t="s">
        <v>928</v>
      </c>
      <c r="C3976" s="163" t="s">
        <v>4081</v>
      </c>
      <c r="D3976" s="163" t="s">
        <v>4082</v>
      </c>
      <c r="E3976" s="164" t="n">
        <v>10000</v>
      </c>
      <c r="F3976" s="165" t="s">
        <v>8183</v>
      </c>
    </row>
    <row r="3977" customFormat="false" ht="15" hidden="false" customHeight="true" outlineLevel="0" collapsed="false">
      <c r="A3977" s="163" t="s">
        <v>3049</v>
      </c>
      <c r="B3977" s="163" t="s">
        <v>928</v>
      </c>
      <c r="C3977" s="163" t="s">
        <v>360</v>
      </c>
      <c r="D3977" s="163" t="s">
        <v>2685</v>
      </c>
      <c r="E3977" s="164" t="n">
        <v>10000</v>
      </c>
      <c r="F3977" s="165" t="s">
        <v>8184</v>
      </c>
    </row>
    <row r="3978" customFormat="false" ht="15" hidden="false" customHeight="true" outlineLevel="0" collapsed="false">
      <c r="A3978" s="163" t="s">
        <v>3049</v>
      </c>
      <c r="B3978" s="163" t="s">
        <v>928</v>
      </c>
      <c r="C3978" s="163" t="s">
        <v>4243</v>
      </c>
      <c r="D3978" s="163" t="s">
        <v>4244</v>
      </c>
      <c r="E3978" s="164" t="n">
        <v>9000</v>
      </c>
      <c r="F3978" s="165" t="s">
        <v>8185</v>
      </c>
    </row>
    <row r="3979" customFormat="false" ht="15" hidden="false" customHeight="true" outlineLevel="0" collapsed="false">
      <c r="A3979" s="163" t="s">
        <v>3049</v>
      </c>
      <c r="B3979" s="163" t="s">
        <v>928</v>
      </c>
      <c r="C3979" s="163" t="s">
        <v>7725</v>
      </c>
      <c r="D3979" s="163" t="s">
        <v>7726</v>
      </c>
      <c r="E3979" s="164" t="n">
        <v>8000</v>
      </c>
      <c r="F3979" s="165" t="s">
        <v>4804</v>
      </c>
    </row>
    <row r="3980" customFormat="false" ht="15" hidden="false" customHeight="true" outlineLevel="0" collapsed="false">
      <c r="A3980" s="163" t="s">
        <v>3049</v>
      </c>
      <c r="B3980" s="163" t="s">
        <v>928</v>
      </c>
      <c r="C3980" s="163" t="s">
        <v>7754</v>
      </c>
      <c r="D3980" s="163" t="s">
        <v>7755</v>
      </c>
      <c r="E3980" s="164" t="n">
        <v>6000</v>
      </c>
      <c r="F3980" s="165" t="s">
        <v>8186</v>
      </c>
    </row>
    <row r="3981" customFormat="false" ht="15" hidden="false" customHeight="true" outlineLevel="0" collapsed="false">
      <c r="A3981" s="163" t="s">
        <v>3049</v>
      </c>
      <c r="B3981" s="163" t="s">
        <v>928</v>
      </c>
      <c r="C3981" s="163" t="s">
        <v>3149</v>
      </c>
      <c r="D3981" s="163" t="s">
        <v>3150</v>
      </c>
      <c r="E3981" s="164" t="n">
        <v>6000</v>
      </c>
      <c r="F3981" s="165" t="s">
        <v>8187</v>
      </c>
    </row>
    <row r="3982" customFormat="false" ht="15" hidden="false" customHeight="true" outlineLevel="0" collapsed="false">
      <c r="A3982" s="163" t="s">
        <v>3049</v>
      </c>
      <c r="B3982" s="163" t="s">
        <v>928</v>
      </c>
      <c r="C3982" s="163" t="s">
        <v>6404</v>
      </c>
      <c r="D3982" s="163" t="s">
        <v>6405</v>
      </c>
      <c r="E3982" s="164" t="n">
        <v>6000</v>
      </c>
      <c r="F3982" s="165" t="s">
        <v>8188</v>
      </c>
    </row>
    <row r="3983" customFormat="false" ht="15" hidden="false" customHeight="true" outlineLevel="0" collapsed="false">
      <c r="A3983" s="163" t="s">
        <v>3049</v>
      </c>
      <c r="B3983" s="163" t="s">
        <v>928</v>
      </c>
      <c r="C3983" s="163" t="s">
        <v>535</v>
      </c>
      <c r="D3983" s="163" t="s">
        <v>2232</v>
      </c>
      <c r="E3983" s="164" t="n">
        <v>5000</v>
      </c>
      <c r="F3983" s="165" t="s">
        <v>8189</v>
      </c>
    </row>
    <row r="3984" customFormat="false" ht="15" hidden="false" customHeight="true" outlineLevel="0" collapsed="false">
      <c r="A3984" s="163" t="s">
        <v>3049</v>
      </c>
      <c r="B3984" s="163" t="s">
        <v>928</v>
      </c>
      <c r="C3984" s="163" t="s">
        <v>8190</v>
      </c>
      <c r="D3984" s="163" t="s">
        <v>8191</v>
      </c>
      <c r="E3984" s="164" t="n">
        <v>5000</v>
      </c>
      <c r="F3984" s="165" t="s">
        <v>4804</v>
      </c>
    </row>
    <row r="3985" customFormat="false" ht="15" hidden="false" customHeight="true" outlineLevel="0" collapsed="false">
      <c r="A3985" s="163" t="s">
        <v>3049</v>
      </c>
      <c r="B3985" s="163" t="s">
        <v>928</v>
      </c>
      <c r="C3985" s="163" t="s">
        <v>1199</v>
      </c>
      <c r="D3985" s="163" t="s">
        <v>1929</v>
      </c>
      <c r="E3985" s="164" t="n">
        <v>5000</v>
      </c>
      <c r="F3985" s="165" t="s">
        <v>4804</v>
      </c>
    </row>
    <row r="3986" customFormat="false" ht="15" hidden="false" customHeight="true" outlineLevel="0" collapsed="false">
      <c r="A3986" s="163" t="s">
        <v>3049</v>
      </c>
      <c r="B3986" s="163" t="s">
        <v>928</v>
      </c>
      <c r="C3986" s="163" t="s">
        <v>3425</v>
      </c>
      <c r="D3986" s="163" t="s">
        <v>3426</v>
      </c>
      <c r="E3986" s="164" t="n">
        <v>5000</v>
      </c>
      <c r="F3986" s="165" t="s">
        <v>8192</v>
      </c>
    </row>
    <row r="3987" customFormat="false" ht="15" hidden="false" customHeight="true" outlineLevel="0" collapsed="false">
      <c r="A3987" s="163" t="s">
        <v>3049</v>
      </c>
      <c r="B3987" s="163" t="s">
        <v>928</v>
      </c>
      <c r="C3987" s="163" t="s">
        <v>7362</v>
      </c>
      <c r="D3987" s="163" t="s">
        <v>7363</v>
      </c>
      <c r="E3987" s="164" t="n">
        <v>5000</v>
      </c>
      <c r="F3987" s="165" t="s">
        <v>8193</v>
      </c>
    </row>
    <row r="3988" customFormat="false" ht="15" hidden="false" customHeight="true" outlineLevel="0" collapsed="false">
      <c r="A3988" s="163" t="s">
        <v>3049</v>
      </c>
      <c r="B3988" s="163" t="s">
        <v>928</v>
      </c>
      <c r="C3988" s="163" t="s">
        <v>5116</v>
      </c>
      <c r="D3988" s="163" t="s">
        <v>5117</v>
      </c>
      <c r="E3988" s="164" t="n">
        <v>5000</v>
      </c>
      <c r="F3988" s="165" t="s">
        <v>8194</v>
      </c>
    </row>
    <row r="3989" customFormat="false" ht="15" hidden="false" customHeight="true" outlineLevel="0" collapsed="false">
      <c r="A3989" s="163" t="s">
        <v>3049</v>
      </c>
      <c r="B3989" s="163" t="s">
        <v>928</v>
      </c>
      <c r="C3989" s="163" t="s">
        <v>5100</v>
      </c>
      <c r="D3989" s="163" t="s">
        <v>5101</v>
      </c>
      <c r="E3989" s="164" t="n">
        <v>5000</v>
      </c>
      <c r="F3989" s="165" t="s">
        <v>8195</v>
      </c>
    </row>
    <row r="3990" customFormat="false" ht="15" hidden="false" customHeight="true" outlineLevel="0" collapsed="false">
      <c r="A3990" s="163" t="s">
        <v>3049</v>
      </c>
      <c r="B3990" s="163" t="s">
        <v>928</v>
      </c>
      <c r="C3990" s="163" t="s">
        <v>7445</v>
      </c>
      <c r="D3990" s="163" t="s">
        <v>7446</v>
      </c>
      <c r="E3990" s="164" t="n">
        <v>5000</v>
      </c>
      <c r="F3990" s="165" t="s">
        <v>8196</v>
      </c>
    </row>
    <row r="3991" customFormat="false" ht="15" hidden="false" customHeight="true" outlineLevel="0" collapsed="false">
      <c r="A3991" s="163" t="s">
        <v>3049</v>
      </c>
      <c r="B3991" s="163" t="s">
        <v>928</v>
      </c>
      <c r="C3991" s="163" t="s">
        <v>4047</v>
      </c>
      <c r="D3991" s="163" t="s">
        <v>4048</v>
      </c>
      <c r="E3991" s="164" t="n">
        <v>5000</v>
      </c>
      <c r="F3991" s="165" t="s">
        <v>8197</v>
      </c>
    </row>
    <row r="3992" customFormat="false" ht="15" hidden="false" customHeight="true" outlineLevel="0" collapsed="false">
      <c r="A3992" s="163" t="s">
        <v>3049</v>
      </c>
      <c r="B3992" s="163" t="s">
        <v>928</v>
      </c>
      <c r="C3992" s="163" t="s">
        <v>7744</v>
      </c>
      <c r="D3992" s="163" t="s">
        <v>7745</v>
      </c>
      <c r="E3992" s="164" t="n">
        <v>5000</v>
      </c>
      <c r="F3992" s="165" t="s">
        <v>4804</v>
      </c>
    </row>
    <row r="3993" customFormat="false" ht="15" hidden="false" customHeight="true" outlineLevel="0" collapsed="false">
      <c r="A3993" s="163" t="s">
        <v>3049</v>
      </c>
      <c r="B3993" s="163" t="s">
        <v>928</v>
      </c>
      <c r="C3993" s="163" t="s">
        <v>8042</v>
      </c>
      <c r="D3993" s="163" t="s">
        <v>8043</v>
      </c>
      <c r="E3993" s="164" t="n">
        <v>5000</v>
      </c>
      <c r="F3993" s="165" t="s">
        <v>8044</v>
      </c>
    </row>
    <row r="3994" customFormat="false" ht="15" hidden="false" customHeight="true" outlineLevel="0" collapsed="false">
      <c r="A3994" s="163" t="s">
        <v>3049</v>
      </c>
      <c r="B3994" s="163" t="s">
        <v>928</v>
      </c>
      <c r="C3994" s="163" t="s">
        <v>7671</v>
      </c>
      <c r="D3994" s="163" t="s">
        <v>7672</v>
      </c>
      <c r="E3994" s="164" t="n">
        <v>5000</v>
      </c>
      <c r="F3994" s="165" t="s">
        <v>8198</v>
      </c>
    </row>
    <row r="3995" customFormat="false" ht="15" hidden="false" customHeight="true" outlineLevel="0" collapsed="false">
      <c r="A3995" s="163" t="s">
        <v>3049</v>
      </c>
      <c r="B3995" s="163" t="s">
        <v>928</v>
      </c>
      <c r="C3995" s="163" t="s">
        <v>7028</v>
      </c>
      <c r="D3995" s="163" t="s">
        <v>7029</v>
      </c>
      <c r="E3995" s="164" t="n">
        <v>5000</v>
      </c>
      <c r="F3995" s="165" t="s">
        <v>4804</v>
      </c>
    </row>
    <row r="3996" customFormat="false" ht="15" hidden="false" customHeight="true" outlineLevel="0" collapsed="false">
      <c r="A3996" s="163" t="s">
        <v>3049</v>
      </c>
      <c r="B3996" s="163" t="s">
        <v>928</v>
      </c>
      <c r="C3996" s="163" t="s">
        <v>8199</v>
      </c>
      <c r="D3996" s="163" t="s">
        <v>8200</v>
      </c>
      <c r="E3996" s="164" t="n">
        <v>5000</v>
      </c>
      <c r="F3996" s="165" t="s">
        <v>8201</v>
      </c>
    </row>
    <row r="3997" customFormat="false" ht="15" hidden="false" customHeight="true" outlineLevel="0" collapsed="false">
      <c r="A3997" s="163" t="s">
        <v>3049</v>
      </c>
      <c r="B3997" s="163" t="s">
        <v>928</v>
      </c>
      <c r="C3997" s="163" t="s">
        <v>8202</v>
      </c>
      <c r="D3997" s="163" t="s">
        <v>8203</v>
      </c>
      <c r="E3997" s="164" t="n">
        <v>5000</v>
      </c>
      <c r="F3997" s="165" t="s">
        <v>8204</v>
      </c>
    </row>
    <row r="3998" customFormat="false" ht="15" hidden="false" customHeight="true" outlineLevel="0" collapsed="false">
      <c r="A3998" s="163" t="s">
        <v>3049</v>
      </c>
      <c r="B3998" s="163" t="s">
        <v>928</v>
      </c>
      <c r="C3998" s="163" t="s">
        <v>2167</v>
      </c>
      <c r="D3998" s="163" t="s">
        <v>1931</v>
      </c>
      <c r="E3998" s="164" t="n">
        <v>5000</v>
      </c>
      <c r="F3998" s="165" t="s">
        <v>3060</v>
      </c>
    </row>
    <row r="3999" customFormat="false" ht="15" hidden="false" customHeight="true" outlineLevel="0" collapsed="false">
      <c r="A3999" s="163" t="s">
        <v>3051</v>
      </c>
      <c r="B3999" s="163" t="s">
        <v>957</v>
      </c>
      <c r="C3999" s="163" t="s">
        <v>8205</v>
      </c>
      <c r="D3999" s="163" t="s">
        <v>8206</v>
      </c>
      <c r="E3999" s="164" t="n">
        <v>15000</v>
      </c>
      <c r="F3999" s="165" t="s">
        <v>8207</v>
      </c>
    </row>
    <row r="4000" customFormat="false" ht="15" hidden="false" customHeight="true" outlineLevel="0" collapsed="false">
      <c r="A4000" s="163" t="s">
        <v>3051</v>
      </c>
      <c r="B4000" s="163" t="s">
        <v>957</v>
      </c>
      <c r="C4000" s="163" t="s">
        <v>5973</v>
      </c>
      <c r="D4000" s="163" t="s">
        <v>5974</v>
      </c>
      <c r="E4000" s="164" t="n">
        <v>15000</v>
      </c>
      <c r="F4000" s="165" t="s">
        <v>8208</v>
      </c>
    </row>
    <row r="4001" customFormat="false" ht="15" hidden="false" customHeight="true" outlineLevel="0" collapsed="false">
      <c r="A4001" s="163" t="s">
        <v>3051</v>
      </c>
      <c r="B4001" s="163" t="s">
        <v>957</v>
      </c>
      <c r="C4001" s="163" t="s">
        <v>5786</v>
      </c>
      <c r="D4001" s="163" t="s">
        <v>5787</v>
      </c>
      <c r="E4001" s="164" t="n">
        <v>5000</v>
      </c>
      <c r="F4001" s="165" t="s">
        <v>8209</v>
      </c>
    </row>
    <row r="4002" customFormat="false" ht="15" hidden="false" customHeight="true" outlineLevel="0" collapsed="false">
      <c r="A4002" s="163" t="s">
        <v>3051</v>
      </c>
      <c r="B4002" s="163" t="s">
        <v>957</v>
      </c>
      <c r="C4002" s="163" t="s">
        <v>4904</v>
      </c>
      <c r="D4002" s="163" t="s">
        <v>4905</v>
      </c>
      <c r="E4002" s="164" t="n">
        <v>5000</v>
      </c>
      <c r="F4002" s="165" t="s">
        <v>8210</v>
      </c>
    </row>
    <row r="4003" customFormat="false" ht="15" hidden="false" customHeight="true" outlineLevel="0" collapsed="false">
      <c r="A4003" s="163" t="s">
        <v>3051</v>
      </c>
      <c r="B4003" s="163" t="s">
        <v>957</v>
      </c>
      <c r="C4003" s="163" t="s">
        <v>3088</v>
      </c>
      <c r="D4003" s="163" t="s">
        <v>3089</v>
      </c>
      <c r="E4003" s="164" t="n">
        <v>5000</v>
      </c>
      <c r="F4003" s="165" t="s">
        <v>8210</v>
      </c>
    </row>
    <row r="4004" customFormat="false" ht="15" hidden="false" customHeight="true" outlineLevel="0" collapsed="false">
      <c r="A4004" s="163" t="s">
        <v>3051</v>
      </c>
      <c r="B4004" s="163" t="s">
        <v>957</v>
      </c>
      <c r="C4004" s="163" t="s">
        <v>4628</v>
      </c>
      <c r="D4004" s="163" t="s">
        <v>4629</v>
      </c>
      <c r="E4004" s="164" t="n">
        <v>5000</v>
      </c>
      <c r="F4004" s="165" t="s">
        <v>8208</v>
      </c>
    </row>
    <row r="4005" customFormat="false" ht="15" hidden="false" customHeight="true" outlineLevel="0" collapsed="false">
      <c r="A4005" s="163" t="s">
        <v>3051</v>
      </c>
      <c r="B4005" s="163" t="s">
        <v>957</v>
      </c>
      <c r="C4005" s="163" t="s">
        <v>5965</v>
      </c>
      <c r="D4005" s="163" t="s">
        <v>5966</v>
      </c>
      <c r="E4005" s="164" t="n">
        <v>5000</v>
      </c>
      <c r="F4005" s="165" t="s">
        <v>5967</v>
      </c>
    </row>
    <row r="4006" customFormat="false" ht="15" hidden="false" customHeight="true" outlineLevel="0" collapsed="false">
      <c r="A4006" s="163" t="s">
        <v>3051</v>
      </c>
      <c r="B4006" s="163" t="s">
        <v>957</v>
      </c>
      <c r="C4006" s="163" t="s">
        <v>473</v>
      </c>
      <c r="D4006" s="163" t="s">
        <v>2764</v>
      </c>
      <c r="E4006" s="164" t="n">
        <v>5000</v>
      </c>
      <c r="F4006" s="165" t="s">
        <v>8211</v>
      </c>
    </row>
    <row r="4007" customFormat="false" ht="15" hidden="false" customHeight="true" outlineLevel="0" collapsed="false">
      <c r="A4007" s="163" t="s">
        <v>3051</v>
      </c>
      <c r="B4007" s="163" t="s">
        <v>957</v>
      </c>
      <c r="C4007" s="163" t="s">
        <v>8205</v>
      </c>
      <c r="D4007" s="163" t="s">
        <v>8206</v>
      </c>
      <c r="E4007" s="164" t="n">
        <v>5000</v>
      </c>
      <c r="F4007" s="165" t="s">
        <v>8212</v>
      </c>
    </row>
    <row r="4008" customFormat="false" ht="15" hidden="false" customHeight="true" outlineLevel="0" collapsed="false">
      <c r="A4008" s="163" t="s">
        <v>3051</v>
      </c>
      <c r="B4008" s="163" t="s">
        <v>957</v>
      </c>
      <c r="C4008" s="163" t="s">
        <v>4343</v>
      </c>
      <c r="D4008" s="163" t="s">
        <v>4344</v>
      </c>
      <c r="E4008" s="164" t="n">
        <v>5000</v>
      </c>
      <c r="F4008" s="165" t="s">
        <v>8208</v>
      </c>
    </row>
    <row r="4009" customFormat="false" ht="15" hidden="false" customHeight="true" outlineLevel="0" collapsed="false">
      <c r="A4009" s="163" t="s">
        <v>3051</v>
      </c>
      <c r="B4009" s="163" t="s">
        <v>957</v>
      </c>
      <c r="C4009" s="163" t="s">
        <v>4346</v>
      </c>
      <c r="D4009" s="163" t="s">
        <v>4347</v>
      </c>
      <c r="E4009" s="164" t="n">
        <v>5000</v>
      </c>
      <c r="F4009" s="165" t="s">
        <v>8208</v>
      </c>
    </row>
    <row r="4010" customFormat="false" ht="15" hidden="false" customHeight="true" outlineLevel="0" collapsed="false">
      <c r="A4010" s="163" t="s">
        <v>3051</v>
      </c>
      <c r="B4010" s="163" t="s">
        <v>957</v>
      </c>
      <c r="C4010" s="163" t="s">
        <v>5815</v>
      </c>
      <c r="D4010" s="163" t="s">
        <v>5816</v>
      </c>
      <c r="E4010" s="164" t="n">
        <v>5000</v>
      </c>
      <c r="F4010" s="165" t="s">
        <v>8208</v>
      </c>
    </row>
    <row r="4011" customFormat="false" ht="15" hidden="false" customHeight="true" outlineLevel="0" collapsed="false">
      <c r="A4011" s="163" t="s">
        <v>3051</v>
      </c>
      <c r="B4011" s="163" t="s">
        <v>957</v>
      </c>
      <c r="C4011" s="163" t="s">
        <v>4632</v>
      </c>
      <c r="D4011" s="163" t="s">
        <v>4633</v>
      </c>
      <c r="E4011" s="164" t="n">
        <v>5000</v>
      </c>
      <c r="F4011" s="165" t="s">
        <v>8213</v>
      </c>
    </row>
    <row r="4012" customFormat="false" ht="15" hidden="false" customHeight="true" outlineLevel="0" collapsed="false">
      <c r="A4012" s="163" t="s">
        <v>3051</v>
      </c>
      <c r="B4012" s="163" t="s">
        <v>957</v>
      </c>
      <c r="C4012" s="163" t="s">
        <v>3071</v>
      </c>
      <c r="D4012" s="163" t="s">
        <v>3072</v>
      </c>
      <c r="E4012" s="164" t="n">
        <v>5000</v>
      </c>
      <c r="F4012" s="165" t="s">
        <v>8208</v>
      </c>
    </row>
    <row r="4013" customFormat="false" ht="15" hidden="false" customHeight="true" outlineLevel="0" collapsed="false">
      <c r="A4013" s="163" t="s">
        <v>3051</v>
      </c>
      <c r="B4013" s="163" t="s">
        <v>957</v>
      </c>
      <c r="C4013" s="163" t="s">
        <v>3212</v>
      </c>
      <c r="D4013" s="163" t="s">
        <v>3213</v>
      </c>
      <c r="E4013" s="164" t="n">
        <v>5000</v>
      </c>
      <c r="F4013" s="165" t="s">
        <v>8214</v>
      </c>
    </row>
    <row r="4014" customFormat="false" ht="15" hidden="false" customHeight="true" outlineLevel="0" collapsed="false">
      <c r="A4014" s="163" t="s">
        <v>3051</v>
      </c>
      <c r="B4014" s="163" t="s">
        <v>957</v>
      </c>
      <c r="C4014" s="163" t="s">
        <v>1264</v>
      </c>
      <c r="D4014" s="163" t="s">
        <v>2227</v>
      </c>
      <c r="E4014" s="164" t="n">
        <v>5000</v>
      </c>
      <c r="F4014" s="165" t="s">
        <v>8208</v>
      </c>
    </row>
    <row r="4015" customFormat="false" ht="15" hidden="false" customHeight="true" outlineLevel="0" collapsed="false">
      <c r="A4015" s="163" t="s">
        <v>3051</v>
      </c>
      <c r="B4015" s="163" t="s">
        <v>957</v>
      </c>
      <c r="C4015" s="163" t="s">
        <v>3219</v>
      </c>
      <c r="D4015" s="163" t="s">
        <v>3220</v>
      </c>
      <c r="E4015" s="164" t="n">
        <v>5000</v>
      </c>
      <c r="F4015" s="165" t="s">
        <v>8215</v>
      </c>
    </row>
    <row r="4016" customFormat="false" ht="15" hidden="false" customHeight="true" outlineLevel="0" collapsed="false">
      <c r="A4016" s="163" t="s">
        <v>3051</v>
      </c>
      <c r="B4016" s="163" t="s">
        <v>957</v>
      </c>
      <c r="C4016" s="163" t="s">
        <v>4332</v>
      </c>
      <c r="D4016" s="163" t="s">
        <v>4333</v>
      </c>
      <c r="E4016" s="164" t="n">
        <v>5000</v>
      </c>
      <c r="F4016" s="165" t="s">
        <v>8216</v>
      </c>
    </row>
    <row r="4017" customFormat="false" ht="15" hidden="false" customHeight="true" outlineLevel="0" collapsed="false">
      <c r="A4017" s="163" t="s">
        <v>3051</v>
      </c>
      <c r="B4017" s="163" t="s">
        <v>945</v>
      </c>
      <c r="C4017" s="163" t="s">
        <v>4329</v>
      </c>
      <c r="D4017" s="163" t="s">
        <v>4330</v>
      </c>
      <c r="E4017" s="164" t="n">
        <v>10000</v>
      </c>
      <c r="F4017" s="165" t="s">
        <v>8217</v>
      </c>
    </row>
    <row r="4018" customFormat="false" ht="15" hidden="false" customHeight="true" outlineLevel="0" collapsed="false">
      <c r="A4018" s="163" t="s">
        <v>3051</v>
      </c>
      <c r="B4018" s="163" t="s">
        <v>945</v>
      </c>
      <c r="C4018" s="163" t="s">
        <v>962</v>
      </c>
      <c r="D4018" s="163" t="s">
        <v>7155</v>
      </c>
      <c r="E4018" s="164" t="n">
        <v>5000</v>
      </c>
      <c r="F4018" s="165" t="s">
        <v>8208</v>
      </c>
    </row>
    <row r="4019" customFormat="false" ht="15" hidden="false" customHeight="true" outlineLevel="0" collapsed="false">
      <c r="A4019" s="163" t="s">
        <v>3051</v>
      </c>
      <c r="B4019" s="163" t="s">
        <v>945</v>
      </c>
      <c r="C4019" s="163" t="s">
        <v>8218</v>
      </c>
      <c r="D4019" s="163" t="s">
        <v>8219</v>
      </c>
      <c r="E4019" s="164" t="n">
        <v>5000</v>
      </c>
      <c r="F4019" s="165" t="s">
        <v>8220</v>
      </c>
    </row>
    <row r="4020" customFormat="false" ht="15" hidden="false" customHeight="true" outlineLevel="0" collapsed="false">
      <c r="A4020" s="163" t="s">
        <v>3051</v>
      </c>
      <c r="B4020" s="163" t="s">
        <v>945</v>
      </c>
      <c r="C4020" s="163" t="s">
        <v>8221</v>
      </c>
      <c r="D4020" s="163" t="s">
        <v>8222</v>
      </c>
      <c r="E4020" s="164" t="n">
        <v>5000</v>
      </c>
      <c r="F4020" s="165" t="s">
        <v>8223</v>
      </c>
    </row>
    <row r="4021" customFormat="false" ht="15" hidden="false" customHeight="true" outlineLevel="0" collapsed="false">
      <c r="A4021" s="163" t="s">
        <v>3051</v>
      </c>
      <c r="B4021" s="163" t="s">
        <v>3111</v>
      </c>
      <c r="C4021" s="163" t="s">
        <v>240</v>
      </c>
      <c r="D4021" s="163" t="s">
        <v>2418</v>
      </c>
      <c r="E4021" s="164" t="n">
        <v>40000</v>
      </c>
      <c r="F4021" s="165" t="s">
        <v>8224</v>
      </c>
    </row>
    <row r="4022" customFormat="false" ht="15" hidden="false" customHeight="true" outlineLevel="0" collapsed="false">
      <c r="A4022" s="163" t="s">
        <v>3051</v>
      </c>
      <c r="B4022" s="163" t="s">
        <v>3111</v>
      </c>
      <c r="C4022" s="163" t="s">
        <v>3278</v>
      </c>
      <c r="D4022" s="163" t="s">
        <v>3279</v>
      </c>
      <c r="E4022" s="164" t="n">
        <v>10000</v>
      </c>
      <c r="F4022" s="165" t="s">
        <v>3060</v>
      </c>
    </row>
    <row r="4023" customFormat="false" ht="15" hidden="false" customHeight="true" outlineLevel="0" collapsed="false">
      <c r="A4023" s="163" t="s">
        <v>3051</v>
      </c>
      <c r="B4023" s="163" t="s">
        <v>3111</v>
      </c>
      <c r="C4023" s="163" t="s">
        <v>3319</v>
      </c>
      <c r="D4023" s="163" t="s">
        <v>3320</v>
      </c>
      <c r="E4023" s="164" t="n">
        <v>10000</v>
      </c>
      <c r="F4023" s="165" t="s">
        <v>8208</v>
      </c>
    </row>
    <row r="4024" customFormat="false" ht="15" hidden="false" customHeight="true" outlineLevel="0" collapsed="false">
      <c r="A4024" s="163" t="s">
        <v>3051</v>
      </c>
      <c r="B4024" s="163" t="s">
        <v>3111</v>
      </c>
      <c r="C4024" s="163" t="s">
        <v>5006</v>
      </c>
      <c r="D4024" s="163" t="s">
        <v>5007</v>
      </c>
      <c r="E4024" s="164" t="n">
        <v>10000</v>
      </c>
      <c r="F4024" s="165" t="s">
        <v>8225</v>
      </c>
    </row>
    <row r="4025" customFormat="false" ht="15" hidden="false" customHeight="true" outlineLevel="0" collapsed="false">
      <c r="A4025" s="163" t="s">
        <v>3051</v>
      </c>
      <c r="B4025" s="163" t="s">
        <v>3111</v>
      </c>
      <c r="C4025" s="163" t="s">
        <v>3334</v>
      </c>
      <c r="D4025" s="163" t="s">
        <v>3335</v>
      </c>
      <c r="E4025" s="164" t="n">
        <v>10000</v>
      </c>
      <c r="F4025" s="165" t="s">
        <v>8226</v>
      </c>
    </row>
    <row r="4026" customFormat="false" ht="15" hidden="false" customHeight="true" outlineLevel="0" collapsed="false">
      <c r="A4026" s="163" t="s">
        <v>3051</v>
      </c>
      <c r="B4026" s="163" t="s">
        <v>3111</v>
      </c>
      <c r="C4026" s="163" t="s">
        <v>1202</v>
      </c>
      <c r="D4026" s="163" t="s">
        <v>2693</v>
      </c>
      <c r="E4026" s="164" t="n">
        <v>10000</v>
      </c>
      <c r="F4026" s="165" t="s">
        <v>8227</v>
      </c>
    </row>
    <row r="4027" customFormat="false" ht="15" hidden="false" customHeight="true" outlineLevel="0" collapsed="false">
      <c r="A4027" s="163" t="s">
        <v>3051</v>
      </c>
      <c r="B4027" s="163" t="s">
        <v>3111</v>
      </c>
      <c r="C4027" s="163" t="s">
        <v>975</v>
      </c>
      <c r="D4027" s="163" t="s">
        <v>8228</v>
      </c>
      <c r="E4027" s="164" t="n">
        <v>10000</v>
      </c>
      <c r="F4027" s="165" t="s">
        <v>8208</v>
      </c>
    </row>
    <row r="4028" customFormat="false" ht="15" hidden="false" customHeight="true" outlineLevel="0" collapsed="false">
      <c r="A4028" s="163" t="s">
        <v>3051</v>
      </c>
      <c r="B4028" s="163" t="s">
        <v>894</v>
      </c>
      <c r="C4028" s="163" t="s">
        <v>8229</v>
      </c>
      <c r="D4028" s="163" t="s">
        <v>8230</v>
      </c>
      <c r="E4028" s="164" t="n">
        <v>30000</v>
      </c>
      <c r="F4028" s="165" t="s">
        <v>3060</v>
      </c>
    </row>
    <row r="4029" customFormat="false" ht="15" hidden="false" customHeight="true" outlineLevel="0" collapsed="false">
      <c r="A4029" s="163" t="s">
        <v>3051</v>
      </c>
      <c r="B4029" s="163" t="s">
        <v>894</v>
      </c>
      <c r="C4029" s="163" t="s">
        <v>2759</v>
      </c>
      <c r="D4029" s="163" t="s">
        <v>2760</v>
      </c>
      <c r="E4029" s="164" t="n">
        <v>20000</v>
      </c>
      <c r="F4029" s="165" t="s">
        <v>8231</v>
      </c>
    </row>
    <row r="4030" customFormat="false" ht="15" hidden="false" customHeight="true" outlineLevel="0" collapsed="false">
      <c r="A4030" s="163" t="s">
        <v>3051</v>
      </c>
      <c r="B4030" s="163" t="s">
        <v>894</v>
      </c>
      <c r="C4030" s="163" t="s">
        <v>8232</v>
      </c>
      <c r="D4030" s="163" t="s">
        <v>8233</v>
      </c>
      <c r="E4030" s="164" t="n">
        <v>10000</v>
      </c>
      <c r="F4030" s="165" t="s">
        <v>8234</v>
      </c>
    </row>
    <row r="4031" customFormat="false" ht="15" hidden="false" customHeight="true" outlineLevel="0" collapsed="false">
      <c r="A4031" s="163" t="s">
        <v>3051</v>
      </c>
      <c r="B4031" s="163" t="s">
        <v>894</v>
      </c>
      <c r="C4031" s="163" t="s">
        <v>5266</v>
      </c>
      <c r="D4031" s="163" t="s">
        <v>5267</v>
      </c>
      <c r="E4031" s="164" t="n">
        <v>8000</v>
      </c>
      <c r="F4031" s="165" t="s">
        <v>8235</v>
      </c>
    </row>
    <row r="4032" customFormat="false" ht="15" hidden="false" customHeight="true" outlineLevel="0" collapsed="false">
      <c r="A4032" s="163" t="s">
        <v>3051</v>
      </c>
      <c r="B4032" s="163" t="s">
        <v>894</v>
      </c>
      <c r="C4032" s="163" t="s">
        <v>974</v>
      </c>
      <c r="D4032" s="163" t="s">
        <v>1931</v>
      </c>
      <c r="E4032" s="164" t="n">
        <v>7000</v>
      </c>
      <c r="F4032" s="165" t="s">
        <v>8236</v>
      </c>
    </row>
    <row r="4033" customFormat="false" ht="15" hidden="false" customHeight="true" outlineLevel="0" collapsed="false">
      <c r="A4033" s="163" t="s">
        <v>3051</v>
      </c>
      <c r="B4033" s="163" t="s">
        <v>894</v>
      </c>
      <c r="C4033" s="163" t="s">
        <v>8237</v>
      </c>
      <c r="D4033" s="163" t="s">
        <v>8238</v>
      </c>
      <c r="E4033" s="164" t="n">
        <v>7000</v>
      </c>
      <c r="F4033" s="165" t="s">
        <v>3060</v>
      </c>
    </row>
    <row r="4034" customFormat="false" ht="15" hidden="false" customHeight="true" outlineLevel="0" collapsed="false">
      <c r="A4034" s="163" t="s">
        <v>3051</v>
      </c>
      <c r="B4034" s="163" t="s">
        <v>894</v>
      </c>
      <c r="C4034" s="163" t="s">
        <v>6117</v>
      </c>
      <c r="D4034" s="163" t="s">
        <v>1931</v>
      </c>
      <c r="E4034" s="164" t="n">
        <v>6000</v>
      </c>
      <c r="F4034" s="165" t="s">
        <v>8208</v>
      </c>
    </row>
    <row r="4035" customFormat="false" ht="15" hidden="false" customHeight="true" outlineLevel="0" collapsed="false">
      <c r="A4035" s="163" t="s">
        <v>3051</v>
      </c>
      <c r="B4035" s="163" t="s">
        <v>894</v>
      </c>
      <c r="C4035" s="163" t="s">
        <v>6098</v>
      </c>
      <c r="D4035" s="163" t="s">
        <v>1931</v>
      </c>
      <c r="E4035" s="164" t="n">
        <v>6000</v>
      </c>
      <c r="F4035" s="165" t="s">
        <v>8208</v>
      </c>
    </row>
    <row r="4036" customFormat="false" ht="15" hidden="false" customHeight="true" outlineLevel="0" collapsed="false">
      <c r="A4036" s="163" t="s">
        <v>3051</v>
      </c>
      <c r="B4036" s="163" t="s">
        <v>894</v>
      </c>
      <c r="C4036" s="163" t="s">
        <v>8239</v>
      </c>
      <c r="D4036" s="163" t="s">
        <v>1931</v>
      </c>
      <c r="E4036" s="164" t="n">
        <v>6000</v>
      </c>
      <c r="F4036" s="165" t="s">
        <v>8208</v>
      </c>
    </row>
    <row r="4037" customFormat="false" ht="15" hidden="false" customHeight="true" outlineLevel="0" collapsed="false">
      <c r="A4037" s="163" t="s">
        <v>3051</v>
      </c>
      <c r="B4037" s="163" t="s">
        <v>894</v>
      </c>
      <c r="C4037" s="163" t="s">
        <v>8240</v>
      </c>
      <c r="D4037" s="163" t="s">
        <v>8241</v>
      </c>
      <c r="E4037" s="164" t="n">
        <v>5000</v>
      </c>
      <c r="F4037" s="165" t="s">
        <v>8242</v>
      </c>
    </row>
    <row r="4038" customFormat="false" ht="15" hidden="false" customHeight="true" outlineLevel="0" collapsed="false">
      <c r="A4038" s="163" t="s">
        <v>3051</v>
      </c>
      <c r="B4038" s="163" t="s">
        <v>894</v>
      </c>
      <c r="C4038" s="163" t="s">
        <v>4540</v>
      </c>
      <c r="D4038" s="163" t="s">
        <v>4541</v>
      </c>
      <c r="E4038" s="164" t="n">
        <v>5000</v>
      </c>
      <c r="F4038" s="165" t="s">
        <v>8208</v>
      </c>
    </row>
    <row r="4039" customFormat="false" ht="15" hidden="false" customHeight="true" outlineLevel="0" collapsed="false">
      <c r="A4039" s="163" t="s">
        <v>3051</v>
      </c>
      <c r="B4039" s="163" t="s">
        <v>894</v>
      </c>
      <c r="C4039" s="163" t="s">
        <v>3188</v>
      </c>
      <c r="D4039" s="163" t="s">
        <v>3189</v>
      </c>
      <c r="E4039" s="164" t="n">
        <v>5000</v>
      </c>
      <c r="F4039" s="165" t="s">
        <v>8208</v>
      </c>
    </row>
    <row r="4040" customFormat="false" ht="15" hidden="false" customHeight="true" outlineLevel="0" collapsed="false">
      <c r="A4040" s="163" t="s">
        <v>3051</v>
      </c>
      <c r="B4040" s="163" t="s">
        <v>894</v>
      </c>
      <c r="C4040" s="163" t="s">
        <v>7821</v>
      </c>
      <c r="D4040" s="163" t="s">
        <v>7822</v>
      </c>
      <c r="E4040" s="164" t="n">
        <v>5000</v>
      </c>
      <c r="F4040" s="165" t="s">
        <v>8243</v>
      </c>
    </row>
    <row r="4041" customFormat="false" ht="15" hidden="false" customHeight="true" outlineLevel="0" collapsed="false">
      <c r="A4041" s="163" t="s">
        <v>3051</v>
      </c>
      <c r="B4041" s="163" t="s">
        <v>894</v>
      </c>
      <c r="C4041" s="163" t="s">
        <v>5858</v>
      </c>
      <c r="D4041" s="163" t="s">
        <v>5859</v>
      </c>
      <c r="E4041" s="164" t="n">
        <v>5000</v>
      </c>
      <c r="F4041" s="165" t="s">
        <v>8208</v>
      </c>
    </row>
    <row r="4042" customFormat="false" ht="15" hidden="false" customHeight="true" outlineLevel="0" collapsed="false">
      <c r="A4042" s="163" t="s">
        <v>3051</v>
      </c>
      <c r="B4042" s="163" t="s">
        <v>894</v>
      </c>
      <c r="C4042" s="163" t="s">
        <v>8244</v>
      </c>
      <c r="D4042" s="163" t="s">
        <v>8245</v>
      </c>
      <c r="E4042" s="164" t="n">
        <v>5000</v>
      </c>
      <c r="F4042" s="165" t="s">
        <v>8208</v>
      </c>
    </row>
    <row r="4043" customFormat="false" ht="15" hidden="false" customHeight="true" outlineLevel="0" collapsed="false">
      <c r="A4043" s="163" t="s">
        <v>3051</v>
      </c>
      <c r="B4043" s="163" t="s">
        <v>894</v>
      </c>
      <c r="C4043" s="163" t="s">
        <v>5479</v>
      </c>
      <c r="D4043" s="163" t="s">
        <v>5480</v>
      </c>
      <c r="E4043" s="164" t="n">
        <v>5000</v>
      </c>
      <c r="F4043" s="165" t="s">
        <v>8246</v>
      </c>
    </row>
    <row r="4044" customFormat="false" ht="15" hidden="false" customHeight="true" outlineLevel="0" collapsed="false">
      <c r="A4044" s="163" t="s">
        <v>3051</v>
      </c>
      <c r="B4044" s="163" t="s">
        <v>894</v>
      </c>
      <c r="C4044" s="163" t="s">
        <v>4623</v>
      </c>
      <c r="D4044" s="163" t="s">
        <v>4624</v>
      </c>
      <c r="E4044" s="164" t="n">
        <v>5000</v>
      </c>
      <c r="F4044" s="165" t="s">
        <v>8208</v>
      </c>
    </row>
    <row r="4045" customFormat="false" ht="15" hidden="false" customHeight="true" outlineLevel="0" collapsed="false">
      <c r="A4045" s="163" t="s">
        <v>3051</v>
      </c>
      <c r="B4045" s="163" t="s">
        <v>894</v>
      </c>
      <c r="C4045" s="163" t="s">
        <v>3102</v>
      </c>
      <c r="D4045" s="163" t="s">
        <v>3103</v>
      </c>
      <c r="E4045" s="164" t="n">
        <v>5000</v>
      </c>
      <c r="F4045" s="165" t="s">
        <v>8208</v>
      </c>
    </row>
    <row r="4046" customFormat="false" ht="15" hidden="false" customHeight="true" outlineLevel="0" collapsed="false">
      <c r="A4046" s="163" t="s">
        <v>3051</v>
      </c>
      <c r="B4046" s="163" t="s">
        <v>894</v>
      </c>
      <c r="C4046" s="163" t="s">
        <v>4597</v>
      </c>
      <c r="D4046" s="163" t="s">
        <v>4598</v>
      </c>
      <c r="E4046" s="164" t="n">
        <v>5000</v>
      </c>
      <c r="F4046" s="165" t="s">
        <v>8208</v>
      </c>
    </row>
    <row r="4047" customFormat="false" ht="15" hidden="false" customHeight="true" outlineLevel="0" collapsed="false">
      <c r="A4047" s="163" t="s">
        <v>3051</v>
      </c>
      <c r="B4047" s="163" t="s">
        <v>894</v>
      </c>
      <c r="C4047" s="163" t="s">
        <v>273</v>
      </c>
      <c r="D4047" s="163" t="s">
        <v>1891</v>
      </c>
      <c r="E4047" s="164" t="n">
        <v>5000</v>
      </c>
      <c r="F4047" s="165" t="s">
        <v>8208</v>
      </c>
    </row>
    <row r="4048" customFormat="false" ht="15" hidden="false" customHeight="true" outlineLevel="0" collapsed="false">
      <c r="A4048" s="163" t="s">
        <v>3051</v>
      </c>
      <c r="B4048" s="163" t="s">
        <v>894</v>
      </c>
      <c r="C4048" s="163" t="s">
        <v>3357</v>
      </c>
      <c r="D4048" s="163" t="s">
        <v>3358</v>
      </c>
      <c r="E4048" s="164" t="n">
        <v>5000</v>
      </c>
      <c r="F4048" s="165" t="s">
        <v>8208</v>
      </c>
    </row>
    <row r="4049" customFormat="false" ht="15" hidden="false" customHeight="true" outlineLevel="0" collapsed="false">
      <c r="A4049" s="163" t="s">
        <v>3051</v>
      </c>
      <c r="B4049" s="163" t="s">
        <v>894</v>
      </c>
      <c r="C4049" s="163" t="s">
        <v>7480</v>
      </c>
      <c r="D4049" s="163" t="s">
        <v>7481</v>
      </c>
      <c r="E4049" s="164" t="n">
        <v>5000</v>
      </c>
      <c r="F4049" s="165" t="s">
        <v>8247</v>
      </c>
    </row>
    <row r="4050" customFormat="false" ht="15" hidden="false" customHeight="true" outlineLevel="0" collapsed="false">
      <c r="A4050" s="163" t="s">
        <v>3051</v>
      </c>
      <c r="B4050" s="163" t="s">
        <v>894</v>
      </c>
      <c r="C4050" s="163" t="s">
        <v>8248</v>
      </c>
      <c r="D4050" s="163" t="s">
        <v>8249</v>
      </c>
      <c r="E4050" s="164" t="n">
        <v>5000</v>
      </c>
      <c r="F4050" s="165" t="s">
        <v>8208</v>
      </c>
    </row>
    <row r="4051" customFormat="false" ht="15" hidden="false" customHeight="true" outlineLevel="0" collapsed="false">
      <c r="A4051" s="163" t="s">
        <v>3051</v>
      </c>
      <c r="B4051" s="163" t="s">
        <v>894</v>
      </c>
      <c r="C4051" s="163" t="s">
        <v>921</v>
      </c>
      <c r="D4051" s="163" t="s">
        <v>7224</v>
      </c>
      <c r="E4051" s="164" t="n">
        <v>5000</v>
      </c>
      <c r="F4051" s="165" t="s">
        <v>8208</v>
      </c>
    </row>
    <row r="4052" customFormat="false" ht="15" hidden="false" customHeight="true" outlineLevel="0" collapsed="false">
      <c r="A4052" s="163" t="s">
        <v>3051</v>
      </c>
      <c r="B4052" s="163" t="s">
        <v>894</v>
      </c>
      <c r="C4052" s="163" t="s">
        <v>3099</v>
      </c>
      <c r="D4052" s="163" t="s">
        <v>3100</v>
      </c>
      <c r="E4052" s="164" t="n">
        <v>5000</v>
      </c>
      <c r="F4052" s="165" t="s">
        <v>8208</v>
      </c>
    </row>
    <row r="4053" customFormat="false" ht="15" hidden="false" customHeight="true" outlineLevel="0" collapsed="false">
      <c r="A4053" s="163" t="s">
        <v>3051</v>
      </c>
      <c r="B4053" s="163" t="s">
        <v>894</v>
      </c>
      <c r="C4053" s="163" t="s">
        <v>8250</v>
      </c>
      <c r="D4053" s="163" t="s">
        <v>8251</v>
      </c>
      <c r="E4053" s="164" t="n">
        <v>5000</v>
      </c>
      <c r="F4053" s="165" t="s">
        <v>8252</v>
      </c>
    </row>
    <row r="4054" customFormat="false" ht="15" hidden="false" customHeight="true" outlineLevel="0" collapsed="false">
      <c r="A4054" s="163" t="s">
        <v>3051</v>
      </c>
      <c r="B4054" s="163" t="s">
        <v>894</v>
      </c>
      <c r="C4054" s="163" t="s">
        <v>8253</v>
      </c>
      <c r="D4054" s="163" t="s">
        <v>8254</v>
      </c>
      <c r="E4054" s="164" t="n">
        <v>5000</v>
      </c>
      <c r="F4054" s="165" t="s">
        <v>8208</v>
      </c>
    </row>
    <row r="4055" customFormat="false" ht="15" hidden="false" customHeight="true" outlineLevel="0" collapsed="false">
      <c r="A4055" s="163" t="s">
        <v>3051</v>
      </c>
      <c r="B4055" s="163" t="s">
        <v>894</v>
      </c>
      <c r="C4055" s="163" t="s">
        <v>8255</v>
      </c>
      <c r="D4055" s="163" t="s">
        <v>8256</v>
      </c>
      <c r="E4055" s="164" t="n">
        <v>5000</v>
      </c>
      <c r="F4055" s="165" t="s">
        <v>8208</v>
      </c>
    </row>
    <row r="4056" customFormat="false" ht="15" hidden="false" customHeight="true" outlineLevel="0" collapsed="false">
      <c r="A4056" s="163" t="s">
        <v>3051</v>
      </c>
      <c r="B4056" s="163" t="s">
        <v>894</v>
      </c>
      <c r="C4056" s="163" t="s">
        <v>3260</v>
      </c>
      <c r="D4056" s="163" t="s">
        <v>3261</v>
      </c>
      <c r="E4056" s="164" t="n">
        <v>5000</v>
      </c>
      <c r="F4056" s="165" t="s">
        <v>8208</v>
      </c>
    </row>
    <row r="4057" customFormat="false" ht="15" hidden="false" customHeight="true" outlineLevel="0" collapsed="false">
      <c r="A4057" s="163" t="s">
        <v>3051</v>
      </c>
      <c r="B4057" s="163" t="s">
        <v>894</v>
      </c>
      <c r="C4057" s="163" t="s">
        <v>3222</v>
      </c>
      <c r="D4057" s="163" t="s">
        <v>3223</v>
      </c>
      <c r="E4057" s="164" t="n">
        <v>5000</v>
      </c>
      <c r="F4057" s="165" t="s">
        <v>8208</v>
      </c>
    </row>
    <row r="4058" customFormat="false" ht="15" hidden="false" customHeight="true" outlineLevel="0" collapsed="false">
      <c r="A4058" s="163" t="s">
        <v>3051</v>
      </c>
      <c r="B4058" s="163" t="s">
        <v>894</v>
      </c>
      <c r="C4058" s="163" t="s">
        <v>3114</v>
      </c>
      <c r="D4058" s="163" t="s">
        <v>3115</v>
      </c>
      <c r="E4058" s="164" t="n">
        <v>5000</v>
      </c>
      <c r="F4058" s="165" t="s">
        <v>8208</v>
      </c>
    </row>
    <row r="4059" customFormat="false" ht="15" hidden="false" customHeight="true" outlineLevel="0" collapsed="false">
      <c r="A4059" s="163" t="s">
        <v>3051</v>
      </c>
      <c r="B4059" s="163" t="s">
        <v>894</v>
      </c>
      <c r="C4059" s="163" t="s">
        <v>8257</v>
      </c>
      <c r="D4059" s="163" t="s">
        <v>8258</v>
      </c>
      <c r="E4059" s="164" t="n">
        <v>5000</v>
      </c>
      <c r="F4059" s="165" t="s">
        <v>8208</v>
      </c>
    </row>
    <row r="4060" customFormat="false" ht="15" hidden="false" customHeight="true" outlineLevel="0" collapsed="false">
      <c r="A4060" s="163" t="s">
        <v>3051</v>
      </c>
      <c r="B4060" s="163" t="s">
        <v>894</v>
      </c>
      <c r="C4060" s="163" t="s">
        <v>8259</v>
      </c>
      <c r="D4060" s="163" t="s">
        <v>8260</v>
      </c>
      <c r="E4060" s="164" t="n">
        <v>5000</v>
      </c>
      <c r="F4060" s="165" t="s">
        <v>8208</v>
      </c>
    </row>
    <row r="4061" customFormat="false" ht="15" hidden="false" customHeight="true" outlineLevel="0" collapsed="false">
      <c r="A4061" s="163" t="s">
        <v>3051</v>
      </c>
      <c r="B4061" s="163" t="s">
        <v>894</v>
      </c>
      <c r="C4061" s="163" t="s">
        <v>4735</v>
      </c>
      <c r="D4061" s="163" t="s">
        <v>4736</v>
      </c>
      <c r="E4061" s="164" t="n">
        <v>5000</v>
      </c>
      <c r="F4061" s="165" t="s">
        <v>8261</v>
      </c>
    </row>
    <row r="4062" customFormat="false" ht="15" hidden="false" customHeight="true" outlineLevel="0" collapsed="false">
      <c r="A4062" s="163" t="s">
        <v>3051</v>
      </c>
      <c r="B4062" s="163" t="s">
        <v>894</v>
      </c>
      <c r="C4062" s="163" t="s">
        <v>8262</v>
      </c>
      <c r="D4062" s="163" t="s">
        <v>8263</v>
      </c>
      <c r="E4062" s="164" t="n">
        <v>5000</v>
      </c>
      <c r="F4062" s="165" t="s">
        <v>8208</v>
      </c>
    </row>
    <row r="4063" customFormat="false" ht="15" hidden="false" customHeight="true" outlineLevel="0" collapsed="false">
      <c r="A4063" s="163" t="s">
        <v>3051</v>
      </c>
      <c r="B4063" s="163" t="s">
        <v>894</v>
      </c>
      <c r="C4063" s="163" t="s">
        <v>3210</v>
      </c>
      <c r="D4063" s="163" t="s">
        <v>3211</v>
      </c>
      <c r="E4063" s="164" t="n">
        <v>5000</v>
      </c>
      <c r="F4063" s="165" t="s">
        <v>8208</v>
      </c>
    </row>
    <row r="4064" customFormat="false" ht="15" hidden="false" customHeight="true" outlineLevel="0" collapsed="false">
      <c r="A4064" s="163" t="s">
        <v>3051</v>
      </c>
      <c r="B4064" s="163" t="s">
        <v>894</v>
      </c>
      <c r="C4064" s="163" t="s">
        <v>3133</v>
      </c>
      <c r="D4064" s="163" t="s">
        <v>3134</v>
      </c>
      <c r="E4064" s="164" t="n">
        <v>5000</v>
      </c>
      <c r="F4064" s="165" t="s">
        <v>8208</v>
      </c>
    </row>
    <row r="4065" customFormat="false" ht="15" hidden="false" customHeight="true" outlineLevel="0" collapsed="false">
      <c r="A4065" s="163" t="s">
        <v>3051</v>
      </c>
      <c r="B4065" s="163" t="s">
        <v>894</v>
      </c>
      <c r="C4065" s="163" t="s">
        <v>8264</v>
      </c>
      <c r="D4065" s="163" t="s">
        <v>8265</v>
      </c>
      <c r="E4065" s="164" t="n">
        <v>5000</v>
      </c>
      <c r="F4065" s="165" t="s">
        <v>8208</v>
      </c>
    </row>
    <row r="4066" customFormat="false" ht="15" hidden="false" customHeight="true" outlineLevel="0" collapsed="false">
      <c r="A4066" s="163" t="s">
        <v>3051</v>
      </c>
      <c r="B4066" s="163" t="s">
        <v>894</v>
      </c>
      <c r="C4066" s="163" t="s">
        <v>6627</v>
      </c>
      <c r="D4066" s="163" t="s">
        <v>6628</v>
      </c>
      <c r="E4066" s="164" t="n">
        <v>5000</v>
      </c>
      <c r="F4066" s="165" t="s">
        <v>8266</v>
      </c>
    </row>
    <row r="4067" customFormat="false" ht="15" hidden="false" customHeight="true" outlineLevel="0" collapsed="false">
      <c r="A4067" s="163" t="s">
        <v>3051</v>
      </c>
      <c r="B4067" s="163" t="s">
        <v>894</v>
      </c>
      <c r="C4067" s="163" t="s">
        <v>372</v>
      </c>
      <c r="D4067" s="163" t="s">
        <v>2692</v>
      </c>
      <c r="E4067" s="164" t="n">
        <v>5000</v>
      </c>
      <c r="F4067" s="165" t="s">
        <v>8208</v>
      </c>
    </row>
    <row r="4068" customFormat="false" ht="15" hidden="false" customHeight="true" outlineLevel="0" collapsed="false">
      <c r="A4068" s="163" t="s">
        <v>3051</v>
      </c>
      <c r="B4068" s="163" t="s">
        <v>894</v>
      </c>
      <c r="C4068" s="163" t="s">
        <v>4523</v>
      </c>
      <c r="D4068" s="163" t="s">
        <v>4524</v>
      </c>
      <c r="E4068" s="164" t="n">
        <v>5000</v>
      </c>
      <c r="F4068" s="165" t="s">
        <v>8267</v>
      </c>
    </row>
    <row r="4069" customFormat="false" ht="15" hidden="false" customHeight="true" outlineLevel="0" collapsed="false">
      <c r="A4069" s="163" t="s">
        <v>3051</v>
      </c>
      <c r="B4069" s="163" t="s">
        <v>894</v>
      </c>
      <c r="C4069" s="163" t="s">
        <v>1268</v>
      </c>
      <c r="D4069" s="163" t="s">
        <v>2426</v>
      </c>
      <c r="E4069" s="164" t="n">
        <v>5000</v>
      </c>
      <c r="F4069" s="165" t="s">
        <v>8208</v>
      </c>
    </row>
    <row r="4070" customFormat="false" ht="15" hidden="false" customHeight="true" outlineLevel="0" collapsed="false">
      <c r="A4070" s="163" t="s">
        <v>3051</v>
      </c>
      <c r="B4070" s="163" t="s">
        <v>894</v>
      </c>
      <c r="C4070" s="163" t="s">
        <v>4448</v>
      </c>
      <c r="D4070" s="163" t="s">
        <v>4449</v>
      </c>
      <c r="E4070" s="164" t="n">
        <v>5000</v>
      </c>
      <c r="F4070" s="165" t="s">
        <v>8208</v>
      </c>
    </row>
    <row r="4071" customFormat="false" ht="15" hidden="false" customHeight="true" outlineLevel="0" collapsed="false">
      <c r="A4071" s="163" t="s">
        <v>3051</v>
      </c>
      <c r="B4071" s="163" t="s">
        <v>894</v>
      </c>
      <c r="C4071" s="163" t="s">
        <v>8268</v>
      </c>
      <c r="D4071" s="163" t="s">
        <v>8269</v>
      </c>
      <c r="E4071" s="164" t="n">
        <v>5000</v>
      </c>
      <c r="F4071" s="165" t="s">
        <v>8270</v>
      </c>
    </row>
    <row r="4072" customFormat="false" ht="15" hidden="false" customHeight="true" outlineLevel="0" collapsed="false">
      <c r="A4072" s="163" t="s">
        <v>3051</v>
      </c>
      <c r="B4072" s="163" t="s">
        <v>894</v>
      </c>
      <c r="C4072" s="163" t="s">
        <v>4530</v>
      </c>
      <c r="D4072" s="163" t="s">
        <v>4531</v>
      </c>
      <c r="E4072" s="164" t="n">
        <v>5000</v>
      </c>
      <c r="F4072" s="165" t="s">
        <v>8271</v>
      </c>
    </row>
    <row r="4073" customFormat="false" ht="15" hidden="false" customHeight="true" outlineLevel="0" collapsed="false">
      <c r="A4073" s="163" t="s">
        <v>3051</v>
      </c>
      <c r="B4073" s="163" t="s">
        <v>894</v>
      </c>
      <c r="C4073" s="163" t="s">
        <v>8272</v>
      </c>
      <c r="D4073" s="163" t="s">
        <v>8273</v>
      </c>
      <c r="E4073" s="164" t="n">
        <v>5000</v>
      </c>
      <c r="F4073" s="165" t="s">
        <v>8208</v>
      </c>
    </row>
    <row r="4074" customFormat="false" ht="15" hidden="false" customHeight="true" outlineLevel="0" collapsed="false">
      <c r="A4074" s="163" t="s">
        <v>3051</v>
      </c>
      <c r="B4074" s="163" t="s">
        <v>894</v>
      </c>
      <c r="C4074" s="163" t="s">
        <v>5847</v>
      </c>
      <c r="D4074" s="163" t="s">
        <v>5848</v>
      </c>
      <c r="E4074" s="164" t="n">
        <v>5000</v>
      </c>
      <c r="F4074" s="165" t="s">
        <v>8208</v>
      </c>
    </row>
    <row r="4075" customFormat="false" ht="15" hidden="false" customHeight="true" outlineLevel="0" collapsed="false">
      <c r="A4075" s="163" t="s">
        <v>3051</v>
      </c>
      <c r="B4075" s="163" t="s">
        <v>894</v>
      </c>
      <c r="C4075" s="163" t="s">
        <v>8274</v>
      </c>
      <c r="D4075" s="163" t="s">
        <v>8275</v>
      </c>
      <c r="E4075" s="164" t="n">
        <v>5000</v>
      </c>
      <c r="F4075" s="165" t="s">
        <v>8208</v>
      </c>
    </row>
    <row r="4076" customFormat="false" ht="15" hidden="false" customHeight="true" outlineLevel="0" collapsed="false">
      <c r="A4076" s="163" t="s">
        <v>3051</v>
      </c>
      <c r="B4076" s="163" t="s">
        <v>894</v>
      </c>
      <c r="C4076" s="163" t="s">
        <v>6241</v>
      </c>
      <c r="D4076" s="163" t="s">
        <v>6242</v>
      </c>
      <c r="E4076" s="164" t="n">
        <v>5000</v>
      </c>
      <c r="F4076" s="165" t="s">
        <v>8208</v>
      </c>
    </row>
    <row r="4077" customFormat="false" ht="15" hidden="false" customHeight="true" outlineLevel="0" collapsed="false">
      <c r="A4077" s="163" t="s">
        <v>3051</v>
      </c>
      <c r="B4077" s="163" t="s">
        <v>894</v>
      </c>
      <c r="C4077" s="163" t="s">
        <v>3180</v>
      </c>
      <c r="D4077" s="163" t="s">
        <v>3181</v>
      </c>
      <c r="E4077" s="164" t="n">
        <v>5000</v>
      </c>
      <c r="F4077" s="165" t="s">
        <v>8208</v>
      </c>
    </row>
    <row r="4078" customFormat="false" ht="15" hidden="false" customHeight="true" outlineLevel="0" collapsed="false">
      <c r="A4078" s="163" t="s">
        <v>3051</v>
      </c>
      <c r="B4078" s="163" t="s">
        <v>894</v>
      </c>
      <c r="C4078" s="163" t="s">
        <v>5369</v>
      </c>
      <c r="D4078" s="163" t="s">
        <v>5370</v>
      </c>
      <c r="E4078" s="164" t="n">
        <v>5000</v>
      </c>
      <c r="F4078" s="165" t="s">
        <v>8208</v>
      </c>
    </row>
    <row r="4079" customFormat="false" ht="15" hidden="false" customHeight="true" outlineLevel="0" collapsed="false">
      <c r="A4079" s="163" t="s">
        <v>3051</v>
      </c>
      <c r="B4079" s="163" t="s">
        <v>894</v>
      </c>
      <c r="C4079" s="163" t="s">
        <v>4384</v>
      </c>
      <c r="D4079" s="163" t="s">
        <v>4385</v>
      </c>
      <c r="E4079" s="164" t="n">
        <v>5000</v>
      </c>
      <c r="F4079" s="165" t="s">
        <v>8208</v>
      </c>
    </row>
    <row r="4080" customFormat="false" ht="15" hidden="false" customHeight="true" outlineLevel="0" collapsed="false">
      <c r="A4080" s="163" t="s">
        <v>3051</v>
      </c>
      <c r="B4080" s="163" t="s">
        <v>894</v>
      </c>
      <c r="C4080" s="163" t="s">
        <v>8276</v>
      </c>
      <c r="D4080" s="163" t="s">
        <v>8277</v>
      </c>
      <c r="E4080" s="164" t="n">
        <v>5000</v>
      </c>
      <c r="F4080" s="165" t="s">
        <v>8208</v>
      </c>
    </row>
    <row r="4081" customFormat="false" ht="15" hidden="false" customHeight="true" outlineLevel="0" collapsed="false">
      <c r="A4081" s="163" t="s">
        <v>3051</v>
      </c>
      <c r="B4081" s="163" t="s">
        <v>894</v>
      </c>
      <c r="C4081" s="163" t="s">
        <v>4543</v>
      </c>
      <c r="D4081" s="163" t="s">
        <v>4544</v>
      </c>
      <c r="E4081" s="164" t="n">
        <v>5000</v>
      </c>
      <c r="F4081" s="165" t="s">
        <v>8278</v>
      </c>
    </row>
    <row r="4082" customFormat="false" ht="15" hidden="false" customHeight="true" outlineLevel="0" collapsed="false">
      <c r="A4082" s="163" t="s">
        <v>3051</v>
      </c>
      <c r="B4082" s="163" t="s">
        <v>894</v>
      </c>
      <c r="C4082" s="163" t="s">
        <v>4546</v>
      </c>
      <c r="D4082" s="163" t="s">
        <v>4547</v>
      </c>
      <c r="E4082" s="164" t="n">
        <v>5000</v>
      </c>
      <c r="F4082" s="165" t="s">
        <v>8279</v>
      </c>
    </row>
    <row r="4083" customFormat="false" ht="15" hidden="false" customHeight="true" outlineLevel="0" collapsed="false">
      <c r="A4083" s="163" t="s">
        <v>3051</v>
      </c>
      <c r="B4083" s="163" t="s">
        <v>894</v>
      </c>
      <c r="C4083" s="163" t="s">
        <v>8280</v>
      </c>
      <c r="D4083" s="163" t="s">
        <v>8281</v>
      </c>
      <c r="E4083" s="164" t="n">
        <v>5000</v>
      </c>
      <c r="F4083" s="165" t="s">
        <v>8282</v>
      </c>
    </row>
    <row r="4084" customFormat="false" ht="15" hidden="false" customHeight="true" outlineLevel="0" collapsed="false">
      <c r="A4084" s="163" t="s">
        <v>3051</v>
      </c>
      <c r="B4084" s="163" t="s">
        <v>894</v>
      </c>
      <c r="C4084" s="163" t="s">
        <v>473</v>
      </c>
      <c r="D4084" s="163" t="s">
        <v>2764</v>
      </c>
      <c r="E4084" s="164" t="n">
        <v>5000</v>
      </c>
      <c r="F4084" s="165" t="s">
        <v>4822</v>
      </c>
    </row>
    <row r="4085" customFormat="false" ht="15" hidden="false" customHeight="true" outlineLevel="0" collapsed="false">
      <c r="A4085" s="163" t="s">
        <v>3051</v>
      </c>
      <c r="B4085" s="163" t="s">
        <v>894</v>
      </c>
      <c r="C4085" s="163" t="s">
        <v>8283</v>
      </c>
      <c r="D4085" s="163" t="s">
        <v>8284</v>
      </c>
      <c r="E4085" s="164" t="n">
        <v>5000</v>
      </c>
      <c r="F4085" s="165" t="s">
        <v>8208</v>
      </c>
    </row>
    <row r="4086" customFormat="false" ht="15" hidden="false" customHeight="true" outlineLevel="0" collapsed="false">
      <c r="A4086" s="163" t="s">
        <v>3051</v>
      </c>
      <c r="B4086" s="163" t="s">
        <v>894</v>
      </c>
      <c r="C4086" s="163" t="s">
        <v>4193</v>
      </c>
      <c r="D4086" s="163" t="s">
        <v>4194</v>
      </c>
      <c r="E4086" s="164" t="n">
        <v>5000</v>
      </c>
      <c r="F4086" s="165" t="s">
        <v>8208</v>
      </c>
    </row>
    <row r="4087" customFormat="false" ht="15" hidden="false" customHeight="true" outlineLevel="0" collapsed="false">
      <c r="A4087" s="163" t="s">
        <v>3051</v>
      </c>
      <c r="B4087" s="163" t="s">
        <v>894</v>
      </c>
      <c r="C4087" s="163" t="s">
        <v>3116</v>
      </c>
      <c r="D4087" s="163" t="s">
        <v>3117</v>
      </c>
      <c r="E4087" s="164" t="n">
        <v>5000</v>
      </c>
      <c r="F4087" s="165" t="s">
        <v>8285</v>
      </c>
    </row>
    <row r="4088" customFormat="false" ht="15" hidden="false" customHeight="true" outlineLevel="0" collapsed="false">
      <c r="A4088" s="163" t="s">
        <v>3051</v>
      </c>
      <c r="B4088" s="163" t="s">
        <v>894</v>
      </c>
      <c r="C4088" s="163" t="s">
        <v>6947</v>
      </c>
      <c r="D4088" s="163" t="s">
        <v>6948</v>
      </c>
      <c r="E4088" s="164" t="n">
        <v>5000</v>
      </c>
      <c r="F4088" s="165" t="s">
        <v>8286</v>
      </c>
    </row>
    <row r="4089" customFormat="false" ht="15" hidden="false" customHeight="true" outlineLevel="0" collapsed="false">
      <c r="A4089" s="163" t="s">
        <v>3051</v>
      </c>
      <c r="B4089" s="163" t="s">
        <v>894</v>
      </c>
      <c r="C4089" s="163" t="s">
        <v>3371</v>
      </c>
      <c r="D4089" s="163" t="s">
        <v>1931</v>
      </c>
      <c r="E4089" s="164" t="n">
        <v>5000</v>
      </c>
      <c r="F4089" s="165" t="s">
        <v>8208</v>
      </c>
    </row>
    <row r="4090" customFormat="false" ht="15" hidden="false" customHeight="true" outlineLevel="0" collapsed="false">
      <c r="A4090" s="163" t="s">
        <v>3051</v>
      </c>
      <c r="B4090" s="163" t="s">
        <v>894</v>
      </c>
      <c r="C4090" s="163" t="s">
        <v>1193</v>
      </c>
      <c r="D4090" s="163" t="s">
        <v>2092</v>
      </c>
      <c r="E4090" s="164" t="n">
        <v>5000</v>
      </c>
      <c r="F4090" s="165" t="s">
        <v>8208</v>
      </c>
    </row>
    <row r="4091" customFormat="false" ht="15" hidden="false" customHeight="true" outlineLevel="0" collapsed="false">
      <c r="A4091" s="163" t="s">
        <v>3051</v>
      </c>
      <c r="B4091" s="163" t="s">
        <v>894</v>
      </c>
      <c r="C4091" s="163" t="s">
        <v>4173</v>
      </c>
      <c r="D4091" s="163" t="s">
        <v>4174</v>
      </c>
      <c r="E4091" s="164" t="n">
        <v>5000</v>
      </c>
      <c r="F4091" s="165" t="s">
        <v>8287</v>
      </c>
    </row>
    <row r="4092" customFormat="false" ht="15" hidden="false" customHeight="true" outlineLevel="0" collapsed="false">
      <c r="A4092" s="163" t="s">
        <v>3051</v>
      </c>
      <c r="B4092" s="163" t="s">
        <v>894</v>
      </c>
      <c r="C4092" s="163" t="s">
        <v>5327</v>
      </c>
      <c r="D4092" s="163" t="s">
        <v>5328</v>
      </c>
      <c r="E4092" s="164" t="n">
        <v>5000</v>
      </c>
      <c r="F4092" s="165" t="s">
        <v>3060</v>
      </c>
    </row>
    <row r="4093" customFormat="false" ht="15" hidden="false" customHeight="true" outlineLevel="0" collapsed="false">
      <c r="A4093" s="163" t="s">
        <v>3051</v>
      </c>
      <c r="B4093" s="163" t="s">
        <v>894</v>
      </c>
      <c r="C4093" s="163" t="s">
        <v>8288</v>
      </c>
      <c r="D4093" s="163" t="s">
        <v>8289</v>
      </c>
      <c r="E4093" s="164" t="n">
        <v>5000</v>
      </c>
      <c r="F4093" s="165" t="s">
        <v>8208</v>
      </c>
    </row>
    <row r="4094" customFormat="false" ht="15" hidden="false" customHeight="true" outlineLevel="0" collapsed="false">
      <c r="A4094" s="163" t="s">
        <v>3051</v>
      </c>
      <c r="B4094" s="163" t="s">
        <v>894</v>
      </c>
      <c r="C4094" s="163" t="s">
        <v>8290</v>
      </c>
      <c r="D4094" s="163" t="s">
        <v>8291</v>
      </c>
      <c r="E4094" s="164" t="n">
        <v>5000</v>
      </c>
      <c r="F4094" s="165" t="s">
        <v>8278</v>
      </c>
    </row>
    <row r="4095" customFormat="false" ht="15" hidden="false" customHeight="true" outlineLevel="0" collapsed="false">
      <c r="A4095" s="163" t="s">
        <v>3051</v>
      </c>
      <c r="B4095" s="163" t="s">
        <v>894</v>
      </c>
      <c r="C4095" s="163" t="s">
        <v>8292</v>
      </c>
      <c r="D4095" s="163" t="s">
        <v>8293</v>
      </c>
      <c r="E4095" s="164" t="n">
        <v>5000</v>
      </c>
      <c r="F4095" s="165" t="s">
        <v>8294</v>
      </c>
    </row>
    <row r="4096" customFormat="false" ht="15" hidden="false" customHeight="true" outlineLevel="0" collapsed="false">
      <c r="A4096" s="163" t="s">
        <v>3051</v>
      </c>
      <c r="B4096" s="163" t="s">
        <v>894</v>
      </c>
      <c r="C4096" s="163" t="s">
        <v>8295</v>
      </c>
      <c r="D4096" s="163" t="s">
        <v>8296</v>
      </c>
      <c r="E4096" s="164" t="n">
        <v>5000</v>
      </c>
      <c r="F4096" s="165" t="s">
        <v>8297</v>
      </c>
    </row>
    <row r="4097" customFormat="false" ht="15" hidden="false" customHeight="true" outlineLevel="0" collapsed="false">
      <c r="A4097" s="163" t="s">
        <v>3051</v>
      </c>
      <c r="B4097" s="163" t="s">
        <v>928</v>
      </c>
      <c r="C4097" s="163" t="s">
        <v>3063</v>
      </c>
      <c r="D4097" s="163" t="s">
        <v>3064</v>
      </c>
      <c r="E4097" s="164" t="n">
        <v>15000</v>
      </c>
      <c r="F4097" s="165" t="s">
        <v>8298</v>
      </c>
    </row>
    <row r="4098" customFormat="false" ht="15" hidden="false" customHeight="true" outlineLevel="0" collapsed="false">
      <c r="A4098" s="163" t="s">
        <v>3051</v>
      </c>
      <c r="B4098" s="163" t="s">
        <v>928</v>
      </c>
      <c r="C4098" s="163" t="s">
        <v>3317</v>
      </c>
      <c r="D4098" s="163" t="s">
        <v>3318</v>
      </c>
      <c r="E4098" s="164" t="n">
        <v>10000</v>
      </c>
      <c r="F4098" s="165" t="s">
        <v>8208</v>
      </c>
    </row>
    <row r="4099" customFormat="false" ht="15" hidden="false" customHeight="true" outlineLevel="0" collapsed="false">
      <c r="A4099" s="163" t="s">
        <v>3051</v>
      </c>
      <c r="B4099" s="163" t="s">
        <v>928</v>
      </c>
      <c r="C4099" s="163" t="s">
        <v>3141</v>
      </c>
      <c r="D4099" s="163" t="s">
        <v>3142</v>
      </c>
      <c r="E4099" s="164" t="n">
        <v>10000</v>
      </c>
      <c r="F4099" s="165" t="s">
        <v>3060</v>
      </c>
    </row>
    <row r="4100" customFormat="false" ht="15" hidden="false" customHeight="true" outlineLevel="0" collapsed="false">
      <c r="A4100" s="163" t="s">
        <v>3051</v>
      </c>
      <c r="B4100" s="163" t="s">
        <v>928</v>
      </c>
      <c r="C4100" s="163" t="s">
        <v>3243</v>
      </c>
      <c r="D4100" s="163" t="s">
        <v>3244</v>
      </c>
      <c r="E4100" s="164" t="n">
        <v>7000</v>
      </c>
      <c r="F4100" s="165" t="s">
        <v>8208</v>
      </c>
    </row>
    <row r="4101" customFormat="false" ht="15" hidden="false" customHeight="true" outlineLevel="0" collapsed="false">
      <c r="A4101" s="163" t="s">
        <v>3051</v>
      </c>
      <c r="B4101" s="163" t="s">
        <v>928</v>
      </c>
      <c r="C4101" s="163" t="s">
        <v>5965</v>
      </c>
      <c r="D4101" s="163" t="s">
        <v>5966</v>
      </c>
      <c r="E4101" s="164" t="n">
        <v>6000</v>
      </c>
      <c r="F4101" s="165" t="s">
        <v>8299</v>
      </c>
    </row>
    <row r="4102" customFormat="false" ht="15" hidden="false" customHeight="true" outlineLevel="0" collapsed="false">
      <c r="A4102" s="163" t="s">
        <v>3051</v>
      </c>
      <c r="B4102" s="163" t="s">
        <v>928</v>
      </c>
      <c r="C4102" s="163" t="s">
        <v>1159</v>
      </c>
      <c r="D4102" s="163" t="s">
        <v>1936</v>
      </c>
      <c r="E4102" s="164" t="n">
        <v>6000</v>
      </c>
      <c r="F4102" s="165" t="s">
        <v>8300</v>
      </c>
    </row>
    <row r="4103" customFormat="false" ht="15" hidden="false" customHeight="true" outlineLevel="0" collapsed="false">
      <c r="A4103" s="163" t="s">
        <v>3051</v>
      </c>
      <c r="B4103" s="163" t="s">
        <v>928</v>
      </c>
      <c r="C4103" s="163" t="s">
        <v>473</v>
      </c>
      <c r="D4103" s="163" t="s">
        <v>2764</v>
      </c>
      <c r="E4103" s="164" t="n">
        <v>6000</v>
      </c>
      <c r="F4103" s="165" t="s">
        <v>8301</v>
      </c>
    </row>
    <row r="4104" customFormat="false" ht="15" hidden="false" customHeight="true" outlineLevel="0" collapsed="false">
      <c r="A4104" s="163" t="s">
        <v>3051</v>
      </c>
      <c r="B4104" s="163" t="s">
        <v>928</v>
      </c>
      <c r="C4104" s="163" t="s">
        <v>3163</v>
      </c>
      <c r="D4104" s="163" t="s">
        <v>3164</v>
      </c>
      <c r="E4104" s="164" t="n">
        <v>5000</v>
      </c>
      <c r="F4104" s="165" t="s">
        <v>8302</v>
      </c>
    </row>
    <row r="4105" customFormat="false" ht="15" hidden="false" customHeight="true" outlineLevel="0" collapsed="false">
      <c r="A4105" s="163" t="s">
        <v>3051</v>
      </c>
      <c r="B4105" s="163" t="s">
        <v>928</v>
      </c>
      <c r="C4105" s="163" t="s">
        <v>4651</v>
      </c>
      <c r="D4105" s="163" t="s">
        <v>4652</v>
      </c>
      <c r="E4105" s="164" t="n">
        <v>5000</v>
      </c>
      <c r="F4105" s="165" t="s">
        <v>3060</v>
      </c>
    </row>
    <row r="4106" customFormat="false" ht="15" hidden="false" customHeight="true" outlineLevel="0" collapsed="false">
      <c r="A4106" s="163" t="s">
        <v>3051</v>
      </c>
      <c r="B4106" s="163" t="s">
        <v>928</v>
      </c>
      <c r="C4106" s="163" t="s">
        <v>7153</v>
      </c>
      <c r="D4106" s="163" t="s">
        <v>7154</v>
      </c>
      <c r="E4106" s="164" t="n">
        <v>5000</v>
      </c>
      <c r="F4106" s="165" t="s">
        <v>8208</v>
      </c>
    </row>
    <row r="4107" customFormat="false" ht="15" hidden="false" customHeight="true" outlineLevel="0" collapsed="false">
      <c r="A4107" s="163" t="s">
        <v>3051</v>
      </c>
      <c r="B4107" s="163" t="s">
        <v>928</v>
      </c>
      <c r="C4107" s="163" t="s">
        <v>8012</v>
      </c>
      <c r="D4107" s="163" t="s">
        <v>8013</v>
      </c>
      <c r="E4107" s="164" t="n">
        <v>5000</v>
      </c>
      <c r="F4107" s="165" t="s">
        <v>8303</v>
      </c>
    </row>
    <row r="4108" customFormat="false" ht="15" hidden="false" customHeight="true" outlineLevel="0" collapsed="false">
      <c r="A4108" s="163" t="s">
        <v>3051</v>
      </c>
      <c r="B4108" s="163" t="s">
        <v>928</v>
      </c>
      <c r="C4108" s="163" t="s">
        <v>7701</v>
      </c>
      <c r="D4108" s="163" t="s">
        <v>7702</v>
      </c>
      <c r="E4108" s="164" t="n">
        <v>5000</v>
      </c>
      <c r="F4108" s="165" t="s">
        <v>3060</v>
      </c>
    </row>
    <row r="4109" customFormat="false" ht="15" hidden="false" customHeight="true" outlineLevel="0" collapsed="false">
      <c r="A4109" s="163" t="s">
        <v>3051</v>
      </c>
      <c r="B4109" s="163" t="s">
        <v>928</v>
      </c>
      <c r="C4109" s="163" t="s">
        <v>3290</v>
      </c>
      <c r="D4109" s="163" t="s">
        <v>3291</v>
      </c>
      <c r="E4109" s="164" t="n">
        <v>5000</v>
      </c>
      <c r="F4109" s="165" t="s">
        <v>8208</v>
      </c>
    </row>
    <row r="4110" customFormat="false" ht="15" hidden="false" customHeight="true" outlineLevel="0" collapsed="false">
      <c r="A4110" s="163" t="s">
        <v>3051</v>
      </c>
      <c r="B4110" s="163" t="s">
        <v>928</v>
      </c>
      <c r="C4110" s="163" t="s">
        <v>7433</v>
      </c>
      <c r="D4110" s="163" t="s">
        <v>7434</v>
      </c>
      <c r="E4110" s="164" t="n">
        <v>5000</v>
      </c>
      <c r="F4110" s="165" t="s">
        <v>8208</v>
      </c>
    </row>
    <row r="4111" customFormat="false" ht="15" hidden="false" customHeight="true" outlineLevel="0" collapsed="false">
      <c r="A4111" s="163" t="s">
        <v>3051</v>
      </c>
      <c r="B4111" s="163" t="s">
        <v>928</v>
      </c>
      <c r="C4111" s="163" t="s">
        <v>7611</v>
      </c>
      <c r="D4111" s="163" t="s">
        <v>7612</v>
      </c>
      <c r="E4111" s="164" t="n">
        <v>5000</v>
      </c>
      <c r="F4111" s="165" t="s">
        <v>8208</v>
      </c>
    </row>
    <row r="4112" customFormat="false" ht="15" hidden="false" customHeight="true" outlineLevel="0" collapsed="false">
      <c r="A4112" s="163" t="s">
        <v>3051</v>
      </c>
      <c r="B4112" s="163" t="s">
        <v>928</v>
      </c>
      <c r="C4112" s="163" t="s">
        <v>8304</v>
      </c>
      <c r="D4112" s="163" t="s">
        <v>8305</v>
      </c>
      <c r="E4112" s="164" t="n">
        <v>5000</v>
      </c>
      <c r="F4112" s="165" t="s">
        <v>8208</v>
      </c>
    </row>
    <row r="4113" customFormat="false" ht="15" hidden="false" customHeight="true" outlineLevel="0" collapsed="false">
      <c r="A4113" s="163" t="s">
        <v>3051</v>
      </c>
      <c r="B4113" s="163" t="s">
        <v>928</v>
      </c>
      <c r="C4113" s="163" t="s">
        <v>8306</v>
      </c>
      <c r="D4113" s="163" t="s">
        <v>8307</v>
      </c>
      <c r="E4113" s="164" t="n">
        <v>5000</v>
      </c>
      <c r="F4113" s="165" t="s">
        <v>3060</v>
      </c>
    </row>
    <row r="4114" customFormat="false" ht="15" hidden="false" customHeight="true" outlineLevel="0" collapsed="false">
      <c r="A4114" s="163" t="s">
        <v>3051</v>
      </c>
      <c r="B4114" s="163" t="s">
        <v>928</v>
      </c>
      <c r="C4114" s="163" t="s">
        <v>3309</v>
      </c>
      <c r="D4114" s="163" t="s">
        <v>3310</v>
      </c>
      <c r="E4114" s="164" t="n">
        <v>5000</v>
      </c>
      <c r="F4114" s="165" t="s">
        <v>8208</v>
      </c>
    </row>
    <row r="4115" customFormat="false" ht="15" hidden="false" customHeight="true" outlineLevel="0" collapsed="false">
      <c r="A4115" s="163" t="s">
        <v>3051</v>
      </c>
      <c r="B4115" s="163" t="s">
        <v>928</v>
      </c>
      <c r="C4115" s="163" t="s">
        <v>8308</v>
      </c>
      <c r="D4115" s="163" t="s">
        <v>8309</v>
      </c>
      <c r="E4115" s="164" t="n">
        <v>5000</v>
      </c>
      <c r="F4115" s="165" t="s">
        <v>8310</v>
      </c>
    </row>
    <row r="4116" customFormat="false" ht="15" hidden="false" customHeight="true" outlineLevel="0" collapsed="false">
      <c r="A4116" s="163" t="s">
        <v>3051</v>
      </c>
      <c r="B4116" s="163" t="s">
        <v>928</v>
      </c>
      <c r="C4116" s="163" t="s">
        <v>8311</v>
      </c>
      <c r="D4116" s="163" t="s">
        <v>8312</v>
      </c>
      <c r="E4116" s="164" t="n">
        <v>5000</v>
      </c>
      <c r="F4116" s="165" t="s">
        <v>3060</v>
      </c>
    </row>
    <row r="4117" customFormat="false" ht="15" hidden="false" customHeight="true" outlineLevel="0" collapsed="false">
      <c r="A4117" s="163" t="s">
        <v>3051</v>
      </c>
      <c r="B4117" s="163" t="s">
        <v>928</v>
      </c>
      <c r="C4117" s="163" t="s">
        <v>3856</v>
      </c>
      <c r="D4117" s="163" t="s">
        <v>3857</v>
      </c>
      <c r="E4117" s="164" t="n">
        <v>5000</v>
      </c>
      <c r="F4117" s="165" t="s">
        <v>3060</v>
      </c>
    </row>
    <row r="4118" customFormat="false" ht="15" hidden="false" customHeight="true" outlineLevel="0" collapsed="false">
      <c r="A4118" s="163" t="s">
        <v>3051</v>
      </c>
      <c r="B4118" s="163" t="s">
        <v>928</v>
      </c>
      <c r="C4118" s="163" t="s">
        <v>4202</v>
      </c>
      <c r="D4118" s="163" t="s">
        <v>4203</v>
      </c>
      <c r="E4118" s="164" t="n">
        <v>5000</v>
      </c>
      <c r="F4118" s="165" t="s">
        <v>3060</v>
      </c>
    </row>
    <row r="4119" customFormat="false" ht="15" hidden="false" customHeight="true" outlineLevel="0" collapsed="false">
      <c r="A4119" s="163" t="s">
        <v>3051</v>
      </c>
      <c r="B4119" s="163" t="s">
        <v>928</v>
      </c>
      <c r="C4119" s="163" t="s">
        <v>4303</v>
      </c>
      <c r="D4119" s="163" t="s">
        <v>4304</v>
      </c>
      <c r="E4119" s="164" t="n">
        <v>5000</v>
      </c>
      <c r="F4119" s="165" t="s">
        <v>3060</v>
      </c>
    </row>
    <row r="4120" customFormat="false" ht="15" hidden="false" customHeight="true" outlineLevel="0" collapsed="false">
      <c r="A4120" s="163" t="s">
        <v>3051</v>
      </c>
      <c r="B4120" s="163" t="s">
        <v>928</v>
      </c>
      <c r="C4120" s="163" t="s">
        <v>4692</v>
      </c>
      <c r="D4120" s="163" t="s">
        <v>4693</v>
      </c>
      <c r="E4120" s="164" t="n">
        <v>5000</v>
      </c>
      <c r="F4120" s="165" t="s">
        <v>3060</v>
      </c>
    </row>
    <row r="4121" customFormat="false" ht="15" hidden="false" customHeight="true" outlineLevel="0" collapsed="false">
      <c r="A4121" s="163" t="s">
        <v>3051</v>
      </c>
      <c r="B4121" s="163" t="s">
        <v>928</v>
      </c>
      <c r="C4121" s="163" t="s">
        <v>3400</v>
      </c>
      <c r="D4121" s="163" t="s">
        <v>3401</v>
      </c>
      <c r="E4121" s="164" t="n">
        <v>5000</v>
      </c>
      <c r="F4121" s="165" t="s">
        <v>8208</v>
      </c>
    </row>
    <row r="4122" customFormat="false" ht="15" hidden="false" customHeight="true" outlineLevel="0" collapsed="false">
      <c r="A4122" s="163" t="s">
        <v>3054</v>
      </c>
      <c r="B4122" s="163" t="s">
        <v>3054</v>
      </c>
      <c r="C4122" s="163" t="s">
        <v>8313</v>
      </c>
      <c r="D4122" s="163" t="s">
        <v>8314</v>
      </c>
      <c r="E4122" s="164" t="n">
        <v>23750</v>
      </c>
      <c r="F4122" s="165" t="s">
        <v>8315</v>
      </c>
    </row>
    <row r="4123" customFormat="false" ht="15" hidden="false" customHeight="true" outlineLevel="0" collapsed="false">
      <c r="A4123" s="163" t="s">
        <v>3054</v>
      </c>
      <c r="B4123" s="163" t="s">
        <v>3054</v>
      </c>
      <c r="C4123" s="163" t="s">
        <v>4399</v>
      </c>
      <c r="D4123" s="163" t="s">
        <v>4400</v>
      </c>
      <c r="E4123" s="164" t="n">
        <v>23750</v>
      </c>
      <c r="F4123" s="165" t="s">
        <v>8316</v>
      </c>
    </row>
    <row r="4124" customFormat="false" ht="15" hidden="false" customHeight="true" outlineLevel="0" collapsed="false">
      <c r="A4124" s="163" t="s">
        <v>3054</v>
      </c>
      <c r="B4124" s="163" t="s">
        <v>3054</v>
      </c>
      <c r="C4124" s="163" t="s">
        <v>975</v>
      </c>
      <c r="D4124" s="163" t="s">
        <v>8228</v>
      </c>
      <c r="E4124" s="164" t="n">
        <v>23750</v>
      </c>
      <c r="F4124" s="165" t="s">
        <v>8317</v>
      </c>
    </row>
    <row r="4125" customFormat="false" ht="15" hidden="false" customHeight="true" outlineLevel="0" collapsed="false">
      <c r="A4125" s="163" t="s">
        <v>3054</v>
      </c>
      <c r="B4125" s="163" t="s">
        <v>3054</v>
      </c>
      <c r="C4125" s="163" t="s">
        <v>3125</v>
      </c>
      <c r="D4125" s="163" t="s">
        <v>3126</v>
      </c>
      <c r="E4125" s="164" t="n">
        <v>23750</v>
      </c>
      <c r="F4125" s="165" t="s">
        <v>8318</v>
      </c>
    </row>
    <row r="4126" customFormat="false" ht="15" hidden="false" customHeight="true" outlineLevel="0" collapsed="false">
      <c r="A4126" s="163" t="s">
        <v>3054</v>
      </c>
      <c r="B4126" s="163" t="s">
        <v>3054</v>
      </c>
      <c r="C4126" s="163" t="s">
        <v>5830</v>
      </c>
      <c r="D4126" s="163" t="s">
        <v>5831</v>
      </c>
      <c r="E4126" s="164" t="n">
        <v>23750</v>
      </c>
      <c r="F4126" s="165" t="s">
        <v>8319</v>
      </c>
    </row>
    <row r="4127" customFormat="false" ht="15" hidden="false" customHeight="true" outlineLevel="0" collapsed="false">
      <c r="A4127" s="163" t="s">
        <v>3054</v>
      </c>
      <c r="B4127" s="163" t="s">
        <v>3054</v>
      </c>
      <c r="C4127" s="163" t="s">
        <v>5837</v>
      </c>
      <c r="D4127" s="163" t="s">
        <v>5838</v>
      </c>
      <c r="E4127" s="164" t="n">
        <v>23750</v>
      </c>
      <c r="F4127" s="165" t="s">
        <v>8320</v>
      </c>
    </row>
    <row r="4128" customFormat="false" ht="15" hidden="false" customHeight="true" outlineLevel="0" collapsed="false">
      <c r="A4128" s="163" t="s">
        <v>3054</v>
      </c>
      <c r="B4128" s="163" t="s">
        <v>3054</v>
      </c>
      <c r="C4128" s="163" t="s">
        <v>8321</v>
      </c>
      <c r="D4128" s="163" t="s">
        <v>8322</v>
      </c>
      <c r="E4128" s="164" t="n">
        <v>23750</v>
      </c>
      <c r="F4128" s="165" t="s">
        <v>8323</v>
      </c>
    </row>
    <row r="4129" customFormat="false" ht="15" hidden="false" customHeight="true" outlineLevel="0" collapsed="false">
      <c r="A4129" s="163" t="s">
        <v>3054</v>
      </c>
      <c r="B4129" s="163" t="s">
        <v>3054</v>
      </c>
      <c r="C4129" s="163" t="s">
        <v>8324</v>
      </c>
      <c r="D4129" s="163" t="s">
        <v>8325</v>
      </c>
      <c r="E4129" s="164" t="n">
        <v>23750</v>
      </c>
      <c r="F4129" s="165" t="s">
        <v>8326</v>
      </c>
    </row>
    <row r="4130" customFormat="false" ht="15" hidden="false" customHeight="true" outlineLevel="0" collapsed="false">
      <c r="A4130" s="163" t="s">
        <v>3054</v>
      </c>
      <c r="B4130" s="163" t="s">
        <v>3054</v>
      </c>
      <c r="C4130" s="163" t="s">
        <v>3127</v>
      </c>
      <c r="D4130" s="163" t="s">
        <v>3128</v>
      </c>
      <c r="E4130" s="164" t="n">
        <v>23750</v>
      </c>
      <c r="F4130" s="165" t="s">
        <v>4825</v>
      </c>
    </row>
    <row r="4131" customFormat="false" ht="15" hidden="false" customHeight="true" outlineLevel="0" collapsed="false">
      <c r="A4131" s="163" t="s">
        <v>3054</v>
      </c>
      <c r="B4131" s="163" t="s">
        <v>3054</v>
      </c>
      <c r="C4131" s="163" t="s">
        <v>8327</v>
      </c>
      <c r="D4131" s="163" t="s">
        <v>8328</v>
      </c>
      <c r="E4131" s="164" t="n">
        <v>23750</v>
      </c>
      <c r="F4131" s="165" t="s">
        <v>8329</v>
      </c>
    </row>
    <row r="4132" customFormat="false" ht="15" hidden="false" customHeight="true" outlineLevel="0" collapsed="false">
      <c r="A4132" s="163" t="s">
        <v>3054</v>
      </c>
      <c r="B4132" s="163" t="s">
        <v>3054</v>
      </c>
      <c r="C4132" s="163" t="s">
        <v>5983</v>
      </c>
      <c r="D4132" s="163" t="s">
        <v>5984</v>
      </c>
      <c r="E4132" s="164" t="n">
        <v>23750</v>
      </c>
      <c r="F4132" s="165" t="s">
        <v>8330</v>
      </c>
    </row>
    <row r="4133" customFormat="false" ht="15" hidden="false" customHeight="true" outlineLevel="0" collapsed="false">
      <c r="A4133" s="163" t="s">
        <v>3054</v>
      </c>
      <c r="B4133" s="163" t="s">
        <v>3054</v>
      </c>
      <c r="C4133" s="163" t="s">
        <v>5183</v>
      </c>
      <c r="D4133" s="163" t="s">
        <v>5184</v>
      </c>
      <c r="E4133" s="164" t="n">
        <v>23750</v>
      </c>
      <c r="F4133" s="165" t="s">
        <v>8331</v>
      </c>
    </row>
    <row r="4134" customFormat="false" ht="15" hidden="false" customHeight="true" outlineLevel="0" collapsed="false">
      <c r="A4134" s="163" t="s">
        <v>3054</v>
      </c>
      <c r="B4134" s="163" t="s">
        <v>3054</v>
      </c>
      <c r="C4134" s="163" t="s">
        <v>8332</v>
      </c>
      <c r="D4134" s="163" t="s">
        <v>8333</v>
      </c>
      <c r="E4134" s="164" t="n">
        <v>23750</v>
      </c>
      <c r="F4134" s="165" t="s">
        <v>8334</v>
      </c>
    </row>
    <row r="4135" customFormat="false" ht="15" hidden="false" customHeight="true" outlineLevel="0" collapsed="false">
      <c r="A4135" s="163" t="s">
        <v>3054</v>
      </c>
      <c r="B4135" s="163" t="s">
        <v>3054</v>
      </c>
      <c r="C4135" s="163" t="s">
        <v>5962</v>
      </c>
      <c r="D4135" s="163" t="s">
        <v>5963</v>
      </c>
      <c r="E4135" s="164" t="n">
        <v>23750</v>
      </c>
      <c r="F4135" s="165" t="s">
        <v>8335</v>
      </c>
    </row>
    <row r="4136" customFormat="false" ht="15" hidden="false" customHeight="true" outlineLevel="0" collapsed="false">
      <c r="A4136" s="163" t="s">
        <v>3054</v>
      </c>
      <c r="B4136" s="163" t="s">
        <v>3054</v>
      </c>
      <c r="C4136" s="163" t="s">
        <v>8336</v>
      </c>
      <c r="D4136" s="163" t="s">
        <v>8337</v>
      </c>
      <c r="E4136" s="164" t="n">
        <v>23750</v>
      </c>
      <c r="F4136" s="165" t="s">
        <v>8338</v>
      </c>
    </row>
    <row r="4137" customFormat="false" ht="15" hidden="false" customHeight="true" outlineLevel="0" collapsed="false">
      <c r="A4137" s="163" t="s">
        <v>3054</v>
      </c>
      <c r="B4137" s="163" t="s">
        <v>3054</v>
      </c>
      <c r="C4137" s="163" t="s">
        <v>8339</v>
      </c>
      <c r="D4137" s="163" t="s">
        <v>8340</v>
      </c>
      <c r="E4137" s="164" t="n">
        <v>23750</v>
      </c>
      <c r="F4137" s="165" t="s">
        <v>8341</v>
      </c>
    </row>
    <row r="4138" customFormat="false" ht="15" hidden="false" customHeight="true" outlineLevel="0" collapsed="false">
      <c r="A4138" s="163" t="s">
        <v>3035</v>
      </c>
      <c r="B4138" s="163" t="s">
        <v>926</v>
      </c>
      <c r="C4138" s="163" t="s">
        <v>3334</v>
      </c>
      <c r="D4138" s="163" t="s">
        <v>3335</v>
      </c>
      <c r="E4138" s="164" t="n">
        <v>30000</v>
      </c>
      <c r="F4138" s="165" t="s">
        <v>8342</v>
      </c>
    </row>
    <row r="4139" customFormat="false" ht="15" hidden="false" customHeight="true" outlineLevel="0" collapsed="false">
      <c r="A4139" s="163" t="s">
        <v>3035</v>
      </c>
      <c r="B4139" s="163" t="s">
        <v>926</v>
      </c>
      <c r="C4139" s="163" t="s">
        <v>424</v>
      </c>
      <c r="D4139" s="163" t="s">
        <v>2630</v>
      </c>
      <c r="E4139" s="164" t="n">
        <v>20000</v>
      </c>
      <c r="F4139" s="165" t="s">
        <v>8343</v>
      </c>
    </row>
    <row r="4140" customFormat="false" ht="15" hidden="false" customHeight="true" outlineLevel="0" collapsed="false">
      <c r="A4140" s="163" t="s">
        <v>3035</v>
      </c>
      <c r="B4140" s="163" t="s">
        <v>926</v>
      </c>
      <c r="C4140" s="163" t="s">
        <v>8344</v>
      </c>
      <c r="D4140" s="163" t="s">
        <v>8345</v>
      </c>
      <c r="E4140" s="164" t="n">
        <v>20000</v>
      </c>
      <c r="F4140" s="165" t="s">
        <v>8346</v>
      </c>
    </row>
    <row r="4141" customFormat="false" ht="15" hidden="false" customHeight="true" outlineLevel="0" collapsed="false">
      <c r="A4141" s="163" t="s">
        <v>3035</v>
      </c>
      <c r="B4141" s="163" t="s">
        <v>926</v>
      </c>
      <c r="C4141" s="163" t="s">
        <v>4313</v>
      </c>
      <c r="D4141" s="163" t="s">
        <v>4314</v>
      </c>
      <c r="E4141" s="164" t="n">
        <v>10000</v>
      </c>
      <c r="F4141" s="165" t="s">
        <v>8347</v>
      </c>
    </row>
    <row r="4142" customFormat="false" ht="15" hidden="false" customHeight="true" outlineLevel="0" collapsed="false">
      <c r="A4142" s="163" t="s">
        <v>3035</v>
      </c>
      <c r="B4142" s="163" t="s">
        <v>926</v>
      </c>
      <c r="C4142" s="163" t="s">
        <v>5893</v>
      </c>
      <c r="D4142" s="163" t="s">
        <v>5894</v>
      </c>
      <c r="E4142" s="164" t="n">
        <v>10000</v>
      </c>
      <c r="F4142" s="165" t="s">
        <v>8348</v>
      </c>
    </row>
    <row r="4143" customFormat="false" ht="15" hidden="false" customHeight="true" outlineLevel="0" collapsed="false">
      <c r="A4143" s="163" t="s">
        <v>3035</v>
      </c>
      <c r="B4143" s="163" t="s">
        <v>926</v>
      </c>
      <c r="C4143" s="163" t="s">
        <v>197</v>
      </c>
      <c r="D4143" s="163" t="s">
        <v>1931</v>
      </c>
      <c r="E4143" s="164" t="n">
        <v>10000</v>
      </c>
      <c r="F4143" s="165" t="s">
        <v>8349</v>
      </c>
    </row>
    <row r="4144" customFormat="false" ht="15" hidden="false" customHeight="true" outlineLevel="0" collapsed="false">
      <c r="A4144" s="163" t="s">
        <v>3035</v>
      </c>
      <c r="B4144" s="163" t="s">
        <v>957</v>
      </c>
      <c r="C4144" s="163" t="s">
        <v>8350</v>
      </c>
      <c r="D4144" s="163" t="s">
        <v>8351</v>
      </c>
      <c r="E4144" s="164" t="n">
        <v>20000</v>
      </c>
      <c r="F4144" s="165" t="s">
        <v>8352</v>
      </c>
    </row>
    <row r="4145" customFormat="false" ht="15" hidden="false" customHeight="true" outlineLevel="0" collapsed="false">
      <c r="A4145" s="163" t="s">
        <v>3035</v>
      </c>
      <c r="B4145" s="163" t="s">
        <v>957</v>
      </c>
      <c r="C4145" s="163" t="s">
        <v>8350</v>
      </c>
      <c r="D4145" s="163" t="s">
        <v>8351</v>
      </c>
      <c r="E4145" s="164" t="n">
        <v>15000</v>
      </c>
      <c r="F4145" s="165" t="s">
        <v>8353</v>
      </c>
    </row>
    <row r="4146" customFormat="false" ht="15" hidden="false" customHeight="true" outlineLevel="0" collapsed="false">
      <c r="A4146" s="163" t="s">
        <v>3035</v>
      </c>
      <c r="B4146" s="163" t="s">
        <v>957</v>
      </c>
      <c r="C4146" s="163" t="s">
        <v>5997</v>
      </c>
      <c r="D4146" s="163" t="s">
        <v>5998</v>
      </c>
      <c r="E4146" s="164" t="n">
        <v>10000</v>
      </c>
      <c r="F4146" s="165" t="s">
        <v>8354</v>
      </c>
    </row>
    <row r="4147" customFormat="false" ht="15" hidden="false" customHeight="true" outlineLevel="0" collapsed="false">
      <c r="A4147" s="163" t="s">
        <v>3035</v>
      </c>
      <c r="B4147" s="163" t="s">
        <v>957</v>
      </c>
      <c r="C4147" s="163" t="s">
        <v>5997</v>
      </c>
      <c r="D4147" s="163" t="s">
        <v>5998</v>
      </c>
      <c r="E4147" s="164" t="n">
        <v>10000</v>
      </c>
      <c r="F4147" s="165" t="s">
        <v>8355</v>
      </c>
    </row>
    <row r="4148" customFormat="false" ht="15" hidden="false" customHeight="true" outlineLevel="0" collapsed="false">
      <c r="A4148" s="163" t="s">
        <v>3035</v>
      </c>
      <c r="B4148" s="163" t="s">
        <v>957</v>
      </c>
      <c r="C4148" s="163" t="s">
        <v>5983</v>
      </c>
      <c r="D4148" s="163" t="s">
        <v>5984</v>
      </c>
      <c r="E4148" s="164" t="n">
        <v>10000</v>
      </c>
      <c r="F4148" s="165" t="s">
        <v>8330</v>
      </c>
    </row>
    <row r="4149" customFormat="false" ht="15" hidden="false" customHeight="true" outlineLevel="0" collapsed="false">
      <c r="A4149" s="163" t="s">
        <v>3035</v>
      </c>
      <c r="B4149" s="163" t="s">
        <v>957</v>
      </c>
      <c r="C4149" s="163" t="s">
        <v>5965</v>
      </c>
      <c r="D4149" s="163" t="s">
        <v>5966</v>
      </c>
      <c r="E4149" s="164" t="n">
        <v>9000</v>
      </c>
      <c r="F4149" s="165" t="s">
        <v>8356</v>
      </c>
    </row>
    <row r="4150" customFormat="false" ht="15" hidden="false" customHeight="true" outlineLevel="0" collapsed="false">
      <c r="A4150" s="163" t="s">
        <v>3035</v>
      </c>
      <c r="B4150" s="163" t="s">
        <v>957</v>
      </c>
      <c r="C4150" s="163" t="s">
        <v>4346</v>
      </c>
      <c r="D4150" s="163" t="s">
        <v>4347</v>
      </c>
      <c r="E4150" s="164" t="n">
        <v>7500</v>
      </c>
      <c r="F4150" s="165" t="s">
        <v>8357</v>
      </c>
    </row>
    <row r="4151" customFormat="false" ht="15" hidden="false" customHeight="true" outlineLevel="0" collapsed="false">
      <c r="A4151" s="163" t="s">
        <v>3035</v>
      </c>
      <c r="B4151" s="163" t="s">
        <v>957</v>
      </c>
      <c r="C4151" s="163" t="s">
        <v>4346</v>
      </c>
      <c r="D4151" s="163" t="s">
        <v>4347</v>
      </c>
      <c r="E4151" s="164" t="n">
        <v>7500</v>
      </c>
      <c r="F4151" s="165" t="s">
        <v>8358</v>
      </c>
    </row>
    <row r="4152" customFormat="false" ht="15" hidden="false" customHeight="true" outlineLevel="0" collapsed="false">
      <c r="A4152" s="163" t="s">
        <v>3035</v>
      </c>
      <c r="B4152" s="163" t="s">
        <v>957</v>
      </c>
      <c r="C4152" s="163" t="s">
        <v>5976</v>
      </c>
      <c r="D4152" s="163" t="s">
        <v>5977</v>
      </c>
      <c r="E4152" s="164" t="n">
        <v>7000</v>
      </c>
      <c r="F4152" s="165" t="s">
        <v>8359</v>
      </c>
    </row>
    <row r="4153" customFormat="false" ht="15" hidden="false" customHeight="true" outlineLevel="0" collapsed="false">
      <c r="A4153" s="163" t="s">
        <v>3035</v>
      </c>
      <c r="B4153" s="163" t="s">
        <v>957</v>
      </c>
      <c r="C4153" s="163" t="s">
        <v>6048</v>
      </c>
      <c r="D4153" s="163" t="s">
        <v>6049</v>
      </c>
      <c r="E4153" s="164" t="n">
        <v>7000</v>
      </c>
      <c r="F4153" s="165" t="s">
        <v>8360</v>
      </c>
    </row>
    <row r="4154" customFormat="false" ht="15" hidden="false" customHeight="true" outlineLevel="0" collapsed="false">
      <c r="A4154" s="163" t="s">
        <v>3035</v>
      </c>
      <c r="B4154" s="163" t="s">
        <v>957</v>
      </c>
      <c r="C4154" s="163" t="s">
        <v>3766</v>
      </c>
      <c r="D4154" s="163" t="s">
        <v>3767</v>
      </c>
      <c r="E4154" s="164" t="n">
        <v>5000</v>
      </c>
      <c r="F4154" s="165" t="s">
        <v>8361</v>
      </c>
    </row>
    <row r="4155" customFormat="false" ht="15" hidden="false" customHeight="true" outlineLevel="0" collapsed="false">
      <c r="A4155" s="163" t="s">
        <v>3035</v>
      </c>
      <c r="B4155" s="163" t="s">
        <v>957</v>
      </c>
      <c r="C4155" s="163" t="s">
        <v>4628</v>
      </c>
      <c r="D4155" s="163" t="s">
        <v>4629</v>
      </c>
      <c r="E4155" s="164" t="n">
        <v>2000</v>
      </c>
      <c r="F4155" s="165" t="s">
        <v>8362</v>
      </c>
    </row>
    <row r="4156" customFormat="false" ht="15" hidden="false" customHeight="true" outlineLevel="0" collapsed="false">
      <c r="A4156" s="163" t="s">
        <v>3035</v>
      </c>
      <c r="B4156" s="163" t="s">
        <v>945</v>
      </c>
      <c r="C4156" s="163" t="s">
        <v>8363</v>
      </c>
      <c r="D4156" s="163" t="s">
        <v>8364</v>
      </c>
      <c r="E4156" s="164" t="n">
        <v>10000</v>
      </c>
      <c r="F4156" s="165" t="s">
        <v>8365</v>
      </c>
    </row>
    <row r="4157" customFormat="false" ht="15" hidden="false" customHeight="true" outlineLevel="0" collapsed="false">
      <c r="A4157" s="163" t="s">
        <v>3035</v>
      </c>
      <c r="B4157" s="163" t="s">
        <v>945</v>
      </c>
      <c r="C4157" s="163" t="s">
        <v>1268</v>
      </c>
      <c r="D4157" s="163" t="s">
        <v>2426</v>
      </c>
      <c r="E4157" s="164" t="n">
        <v>5000</v>
      </c>
      <c r="F4157" s="165" t="s">
        <v>8366</v>
      </c>
    </row>
    <row r="4158" customFormat="false" ht="15" hidden="false" customHeight="true" outlineLevel="0" collapsed="false">
      <c r="A4158" s="163" t="s">
        <v>3035</v>
      </c>
      <c r="B4158" s="163" t="s">
        <v>945</v>
      </c>
      <c r="C4158" s="163" t="s">
        <v>8367</v>
      </c>
      <c r="D4158" s="163" t="s">
        <v>8368</v>
      </c>
      <c r="E4158" s="164" t="n">
        <v>5000</v>
      </c>
      <c r="F4158" s="165" t="s">
        <v>8369</v>
      </c>
    </row>
    <row r="4159" customFormat="false" ht="15" hidden="false" customHeight="true" outlineLevel="0" collapsed="false">
      <c r="A4159" s="163" t="s">
        <v>3035</v>
      </c>
      <c r="B4159" s="163" t="s">
        <v>945</v>
      </c>
      <c r="C4159" s="163" t="s">
        <v>7480</v>
      </c>
      <c r="D4159" s="163" t="s">
        <v>7481</v>
      </c>
      <c r="E4159" s="164" t="n">
        <v>5000</v>
      </c>
      <c r="F4159" s="165" t="s">
        <v>8370</v>
      </c>
    </row>
    <row r="4160" customFormat="false" ht="15" hidden="false" customHeight="true" outlineLevel="0" collapsed="false">
      <c r="A4160" s="163" t="s">
        <v>3035</v>
      </c>
      <c r="B4160" s="163" t="s">
        <v>945</v>
      </c>
      <c r="C4160" s="163" t="s">
        <v>5979</v>
      </c>
      <c r="D4160" s="163" t="s">
        <v>5980</v>
      </c>
      <c r="E4160" s="164" t="n">
        <v>5000</v>
      </c>
      <c r="F4160" s="165" t="s">
        <v>8371</v>
      </c>
    </row>
    <row r="4161" customFormat="false" ht="15" hidden="false" customHeight="true" outlineLevel="0" collapsed="false">
      <c r="A4161" s="163" t="s">
        <v>3035</v>
      </c>
      <c r="B4161" s="163" t="s">
        <v>945</v>
      </c>
      <c r="C4161" s="163" t="s">
        <v>8372</v>
      </c>
      <c r="D4161" s="163" t="s">
        <v>8373</v>
      </c>
      <c r="E4161" s="164" t="n">
        <v>5000</v>
      </c>
      <c r="F4161" s="165" t="s">
        <v>8374</v>
      </c>
    </row>
    <row r="4162" customFormat="false" ht="15" hidden="false" customHeight="true" outlineLevel="0" collapsed="false">
      <c r="A4162" s="163" t="s">
        <v>3035</v>
      </c>
      <c r="B4162" s="163" t="s">
        <v>945</v>
      </c>
      <c r="C4162" s="163" t="s">
        <v>6033</v>
      </c>
      <c r="D4162" s="163" t="s">
        <v>6034</v>
      </c>
      <c r="E4162" s="164" t="n">
        <v>5000</v>
      </c>
      <c r="F4162" s="165" t="s">
        <v>3060</v>
      </c>
    </row>
    <row r="4163" customFormat="false" ht="15" hidden="false" customHeight="true" outlineLevel="0" collapsed="false">
      <c r="A4163" s="163" t="s">
        <v>3035</v>
      </c>
      <c r="B4163" s="163" t="s">
        <v>945</v>
      </c>
      <c r="C4163" s="163" t="s">
        <v>5183</v>
      </c>
      <c r="D4163" s="163" t="s">
        <v>5184</v>
      </c>
      <c r="E4163" s="164" t="n">
        <v>5000</v>
      </c>
      <c r="F4163" s="165" t="s">
        <v>8375</v>
      </c>
    </row>
    <row r="4164" customFormat="false" ht="15" hidden="false" customHeight="true" outlineLevel="0" collapsed="false">
      <c r="A4164" s="163" t="s">
        <v>3035</v>
      </c>
      <c r="B4164" s="163" t="s">
        <v>945</v>
      </c>
      <c r="C4164" s="163" t="s">
        <v>3276</v>
      </c>
      <c r="D4164" s="163" t="s">
        <v>3277</v>
      </c>
      <c r="E4164" s="164" t="n">
        <v>5000</v>
      </c>
      <c r="F4164" s="165" t="s">
        <v>8376</v>
      </c>
    </row>
    <row r="4165" customFormat="false" ht="15" hidden="false" customHeight="true" outlineLevel="0" collapsed="false">
      <c r="A4165" s="163" t="s">
        <v>3035</v>
      </c>
      <c r="B4165" s="163" t="s">
        <v>3111</v>
      </c>
      <c r="C4165" s="163" t="s">
        <v>8377</v>
      </c>
      <c r="D4165" s="163" t="s">
        <v>8378</v>
      </c>
      <c r="E4165" s="164" t="n">
        <v>15000</v>
      </c>
      <c r="F4165" s="165" t="s">
        <v>8379</v>
      </c>
    </row>
    <row r="4166" customFormat="false" ht="15" hidden="false" customHeight="true" outlineLevel="0" collapsed="false">
      <c r="A4166" s="163" t="s">
        <v>3035</v>
      </c>
      <c r="B4166" s="163" t="s">
        <v>3111</v>
      </c>
      <c r="C4166" s="163" t="s">
        <v>8380</v>
      </c>
      <c r="D4166" s="163" t="s">
        <v>8381</v>
      </c>
      <c r="E4166" s="164" t="n">
        <v>15000</v>
      </c>
      <c r="F4166" s="165" t="s">
        <v>8382</v>
      </c>
    </row>
    <row r="4167" customFormat="false" ht="15" hidden="false" customHeight="true" outlineLevel="0" collapsed="false">
      <c r="A4167" s="163" t="s">
        <v>3035</v>
      </c>
      <c r="B4167" s="163" t="s">
        <v>3111</v>
      </c>
      <c r="C4167" s="163" t="s">
        <v>8383</v>
      </c>
      <c r="D4167" s="163" t="s">
        <v>8384</v>
      </c>
      <c r="E4167" s="164" t="n">
        <v>10000</v>
      </c>
      <c r="F4167" s="165" t="s">
        <v>8385</v>
      </c>
    </row>
    <row r="4168" customFormat="false" ht="15" hidden="false" customHeight="true" outlineLevel="0" collapsed="false">
      <c r="A4168" s="163" t="s">
        <v>3035</v>
      </c>
      <c r="B4168" s="163" t="s">
        <v>3111</v>
      </c>
      <c r="C4168" s="163" t="s">
        <v>893</v>
      </c>
      <c r="D4168" s="163" t="s">
        <v>1931</v>
      </c>
      <c r="E4168" s="164" t="n">
        <v>10000</v>
      </c>
      <c r="F4168" s="165" t="s">
        <v>8386</v>
      </c>
    </row>
    <row r="4169" customFormat="false" ht="15" hidden="false" customHeight="true" outlineLevel="0" collapsed="false">
      <c r="A4169" s="163" t="s">
        <v>3035</v>
      </c>
      <c r="B4169" s="163" t="s">
        <v>3111</v>
      </c>
      <c r="C4169" s="163" t="s">
        <v>8387</v>
      </c>
      <c r="D4169" s="163" t="s">
        <v>8388</v>
      </c>
      <c r="E4169" s="164" t="n">
        <v>10000</v>
      </c>
      <c r="F4169" s="165" t="s">
        <v>8389</v>
      </c>
    </row>
    <row r="4170" customFormat="false" ht="15" hidden="false" customHeight="true" outlineLevel="0" collapsed="false">
      <c r="A4170" s="163" t="s">
        <v>3035</v>
      </c>
      <c r="B4170" s="163" t="s">
        <v>3111</v>
      </c>
      <c r="C4170" s="163" t="s">
        <v>8390</v>
      </c>
      <c r="D4170" s="163" t="s">
        <v>8391</v>
      </c>
      <c r="E4170" s="164" t="n">
        <v>10000</v>
      </c>
      <c r="F4170" s="165" t="s">
        <v>8392</v>
      </c>
    </row>
    <row r="4171" customFormat="false" ht="15" hidden="false" customHeight="true" outlineLevel="0" collapsed="false">
      <c r="A4171" s="163" t="s">
        <v>3035</v>
      </c>
      <c r="B4171" s="163" t="s">
        <v>3111</v>
      </c>
      <c r="C4171" s="163" t="s">
        <v>5968</v>
      </c>
      <c r="D4171" s="163" t="s">
        <v>5969</v>
      </c>
      <c r="E4171" s="164" t="n">
        <v>10000</v>
      </c>
      <c r="F4171" s="165" t="s">
        <v>8393</v>
      </c>
    </row>
    <row r="4172" customFormat="false" ht="15" hidden="false" customHeight="true" outlineLevel="0" collapsed="false">
      <c r="A4172" s="163" t="s">
        <v>3035</v>
      </c>
      <c r="B4172" s="163" t="s">
        <v>3111</v>
      </c>
      <c r="C4172" s="163" t="s">
        <v>8394</v>
      </c>
      <c r="D4172" s="163" t="s">
        <v>8395</v>
      </c>
      <c r="E4172" s="164" t="n">
        <v>10000</v>
      </c>
      <c r="F4172" s="165" t="s">
        <v>3060</v>
      </c>
    </row>
    <row r="4173" customFormat="false" ht="15" hidden="false" customHeight="true" outlineLevel="0" collapsed="false">
      <c r="A4173" s="163" t="s">
        <v>3035</v>
      </c>
      <c r="B4173" s="163" t="s">
        <v>3111</v>
      </c>
      <c r="C4173" s="163" t="s">
        <v>974</v>
      </c>
      <c r="D4173" s="163" t="s">
        <v>1931</v>
      </c>
      <c r="E4173" s="164" t="n">
        <v>7000</v>
      </c>
      <c r="F4173" s="165" t="s">
        <v>8396</v>
      </c>
    </row>
    <row r="4174" customFormat="false" ht="15" hidden="false" customHeight="true" outlineLevel="0" collapsed="false">
      <c r="A4174" s="163" t="s">
        <v>3035</v>
      </c>
      <c r="B4174" s="163" t="s">
        <v>3111</v>
      </c>
      <c r="C4174" s="163" t="s">
        <v>197</v>
      </c>
      <c r="D4174" s="163" t="s">
        <v>1931</v>
      </c>
      <c r="E4174" s="164" t="n">
        <v>3000</v>
      </c>
      <c r="F4174" s="165" t="s">
        <v>8349</v>
      </c>
    </row>
    <row r="4175" customFormat="false" ht="15" hidden="false" customHeight="true" outlineLevel="0" collapsed="false">
      <c r="A4175" s="163" t="s">
        <v>3035</v>
      </c>
      <c r="B4175" s="163" t="s">
        <v>1938</v>
      </c>
      <c r="C4175" s="163" t="s">
        <v>3243</v>
      </c>
      <c r="D4175" s="163" t="s">
        <v>3244</v>
      </c>
      <c r="E4175" s="164" t="n">
        <v>20000</v>
      </c>
      <c r="F4175" s="165" t="s">
        <v>8397</v>
      </c>
    </row>
    <row r="4176" customFormat="false" ht="15" hidden="false" customHeight="true" outlineLevel="0" collapsed="false">
      <c r="A4176" s="163" t="s">
        <v>3035</v>
      </c>
      <c r="B4176" s="163" t="s">
        <v>1938</v>
      </c>
      <c r="C4176" s="163" t="s">
        <v>3139</v>
      </c>
      <c r="D4176" s="163" t="s">
        <v>3140</v>
      </c>
      <c r="E4176" s="164" t="n">
        <v>20000</v>
      </c>
      <c r="F4176" s="165" t="s">
        <v>8398</v>
      </c>
    </row>
    <row r="4177" customFormat="false" ht="15" hidden="false" customHeight="true" outlineLevel="0" collapsed="false">
      <c r="A4177" s="163" t="s">
        <v>3035</v>
      </c>
      <c r="B4177" s="163" t="s">
        <v>1938</v>
      </c>
      <c r="C4177" s="163" t="s">
        <v>5968</v>
      </c>
      <c r="D4177" s="163" t="s">
        <v>5969</v>
      </c>
      <c r="E4177" s="164" t="n">
        <v>20000</v>
      </c>
      <c r="F4177" s="165" t="s">
        <v>8399</v>
      </c>
    </row>
    <row r="4178" customFormat="false" ht="15" hidden="false" customHeight="true" outlineLevel="0" collapsed="false">
      <c r="A4178" s="163" t="s">
        <v>3035</v>
      </c>
      <c r="B4178" s="163" t="s">
        <v>1938</v>
      </c>
      <c r="C4178" s="163" t="s">
        <v>8372</v>
      </c>
      <c r="D4178" s="163" t="s">
        <v>8373</v>
      </c>
      <c r="E4178" s="164" t="n">
        <v>20000</v>
      </c>
      <c r="F4178" s="165" t="s">
        <v>8400</v>
      </c>
    </row>
    <row r="4179" customFormat="false" ht="15" hidden="false" customHeight="true" outlineLevel="0" collapsed="false">
      <c r="A4179" s="163" t="s">
        <v>3035</v>
      </c>
      <c r="B4179" s="163" t="s">
        <v>1938</v>
      </c>
      <c r="C4179" s="163" t="s">
        <v>332</v>
      </c>
      <c r="D4179" s="163" t="s">
        <v>2673</v>
      </c>
      <c r="E4179" s="164" t="n">
        <v>20000</v>
      </c>
      <c r="F4179" s="165" t="s">
        <v>8401</v>
      </c>
    </row>
    <row r="4180" customFormat="false" ht="15" hidden="false" customHeight="true" outlineLevel="0" collapsed="false">
      <c r="A4180" s="163" t="s">
        <v>3035</v>
      </c>
      <c r="B4180" s="163" t="s">
        <v>1938</v>
      </c>
      <c r="C4180" s="163" t="s">
        <v>8402</v>
      </c>
      <c r="D4180" s="163" t="s">
        <v>8403</v>
      </c>
      <c r="E4180" s="164" t="n">
        <v>20000</v>
      </c>
      <c r="F4180" s="165" t="s">
        <v>8404</v>
      </c>
    </row>
    <row r="4181" customFormat="false" ht="15" hidden="false" customHeight="true" outlineLevel="0" collapsed="false">
      <c r="A4181" s="163" t="s">
        <v>3035</v>
      </c>
      <c r="B4181" s="163" t="s">
        <v>1938</v>
      </c>
      <c r="C4181" s="163" t="s">
        <v>6594</v>
      </c>
      <c r="D4181" s="163" t="s">
        <v>6595</v>
      </c>
      <c r="E4181" s="164" t="n">
        <v>20000</v>
      </c>
      <c r="F4181" s="165" t="s">
        <v>8405</v>
      </c>
    </row>
    <row r="4182" customFormat="false" ht="15" hidden="false" customHeight="true" outlineLevel="0" collapsed="false">
      <c r="A4182" s="163" t="s">
        <v>3035</v>
      </c>
      <c r="B4182" s="163" t="s">
        <v>1938</v>
      </c>
      <c r="C4182" s="163" t="s">
        <v>3145</v>
      </c>
      <c r="D4182" s="163" t="s">
        <v>3146</v>
      </c>
      <c r="E4182" s="164" t="n">
        <v>20000</v>
      </c>
      <c r="F4182" s="165" t="s">
        <v>8398</v>
      </c>
    </row>
    <row r="4183" customFormat="false" ht="15" hidden="false" customHeight="true" outlineLevel="0" collapsed="false">
      <c r="A4183" s="163" t="s">
        <v>3035</v>
      </c>
      <c r="B4183" s="163" t="s">
        <v>1938</v>
      </c>
      <c r="C4183" s="163" t="s">
        <v>8406</v>
      </c>
      <c r="D4183" s="163" t="s">
        <v>8407</v>
      </c>
      <c r="E4183" s="164" t="n">
        <v>20000</v>
      </c>
      <c r="F4183" s="165" t="s">
        <v>8399</v>
      </c>
    </row>
    <row r="4184" customFormat="false" ht="15" hidden="false" customHeight="true" outlineLevel="0" collapsed="false">
      <c r="A4184" s="163" t="s">
        <v>3035</v>
      </c>
      <c r="B4184" s="163" t="s">
        <v>1938</v>
      </c>
      <c r="C4184" s="163" t="s">
        <v>6203</v>
      </c>
      <c r="D4184" s="163" t="s">
        <v>6204</v>
      </c>
      <c r="E4184" s="164" t="n">
        <v>20000</v>
      </c>
      <c r="F4184" s="165" t="s">
        <v>6007</v>
      </c>
    </row>
    <row r="4185" customFormat="false" ht="15" hidden="false" customHeight="true" outlineLevel="0" collapsed="false">
      <c r="A4185" s="163" t="s">
        <v>3035</v>
      </c>
      <c r="B4185" s="163" t="s">
        <v>1938</v>
      </c>
      <c r="C4185" s="163" t="s">
        <v>4411</v>
      </c>
      <c r="D4185" s="163" t="s">
        <v>4412</v>
      </c>
      <c r="E4185" s="164" t="n">
        <v>20000</v>
      </c>
      <c r="F4185" s="165" t="s">
        <v>8397</v>
      </c>
    </row>
    <row r="4186" customFormat="false" ht="15" hidden="false" customHeight="true" outlineLevel="0" collapsed="false">
      <c r="A4186" s="163" t="s">
        <v>3035</v>
      </c>
      <c r="B4186" s="163" t="s">
        <v>1938</v>
      </c>
      <c r="C4186" s="163" t="s">
        <v>5183</v>
      </c>
      <c r="D4186" s="163" t="s">
        <v>5184</v>
      </c>
      <c r="E4186" s="164" t="n">
        <v>20000</v>
      </c>
      <c r="F4186" s="165" t="s">
        <v>6007</v>
      </c>
    </row>
    <row r="4187" customFormat="false" ht="15" hidden="false" customHeight="true" outlineLevel="0" collapsed="false">
      <c r="A4187" s="163" t="s">
        <v>3035</v>
      </c>
      <c r="B4187" s="163" t="s">
        <v>1938</v>
      </c>
      <c r="C4187" s="163" t="s">
        <v>6462</v>
      </c>
      <c r="D4187" s="163" t="s">
        <v>6463</v>
      </c>
      <c r="E4187" s="164" t="n">
        <v>20000</v>
      </c>
      <c r="F4187" s="165" t="s">
        <v>8408</v>
      </c>
    </row>
    <row r="4188" customFormat="false" ht="15" hidden="false" customHeight="true" outlineLevel="0" collapsed="false">
      <c r="A4188" s="163" t="s">
        <v>3035</v>
      </c>
      <c r="B4188" s="163" t="s">
        <v>1938</v>
      </c>
      <c r="C4188" s="163" t="s">
        <v>353</v>
      </c>
      <c r="D4188" s="163" t="s">
        <v>2667</v>
      </c>
      <c r="E4188" s="164" t="n">
        <v>20000</v>
      </c>
      <c r="F4188" s="165" t="s">
        <v>8409</v>
      </c>
    </row>
    <row r="4189" customFormat="false" ht="15" hidden="false" customHeight="true" outlineLevel="0" collapsed="false">
      <c r="A4189" s="163" t="s">
        <v>3035</v>
      </c>
      <c r="B4189" s="163" t="s">
        <v>1938</v>
      </c>
      <c r="C4189" s="163" t="s">
        <v>3141</v>
      </c>
      <c r="D4189" s="163" t="s">
        <v>3142</v>
      </c>
      <c r="E4189" s="164" t="n">
        <v>20000</v>
      </c>
      <c r="F4189" s="165" t="s">
        <v>8410</v>
      </c>
    </row>
    <row r="4190" customFormat="false" ht="15" hidden="false" customHeight="true" outlineLevel="0" collapsed="false">
      <c r="A4190" s="163" t="s">
        <v>3035</v>
      </c>
      <c r="B4190" s="163" t="s">
        <v>1938</v>
      </c>
      <c r="C4190" s="163" t="s">
        <v>3377</v>
      </c>
      <c r="D4190" s="163" t="s">
        <v>3378</v>
      </c>
      <c r="E4190" s="164" t="n">
        <v>20000</v>
      </c>
      <c r="F4190" s="165" t="s">
        <v>8411</v>
      </c>
    </row>
    <row r="4191" customFormat="false" ht="15" hidden="false" customHeight="true" outlineLevel="0" collapsed="false">
      <c r="A4191" s="163" t="s">
        <v>3035</v>
      </c>
      <c r="B4191" s="163" t="s">
        <v>1938</v>
      </c>
      <c r="C4191" s="163" t="s">
        <v>6200</v>
      </c>
      <c r="D4191" s="163" t="s">
        <v>6201</v>
      </c>
      <c r="E4191" s="164" t="n">
        <v>20000</v>
      </c>
      <c r="F4191" s="165" t="s">
        <v>8412</v>
      </c>
    </row>
    <row r="4192" customFormat="false" ht="15" hidden="false" customHeight="true" outlineLevel="0" collapsed="false">
      <c r="A4192" s="163" t="s">
        <v>3035</v>
      </c>
      <c r="B4192" s="163" t="s">
        <v>691</v>
      </c>
      <c r="C4192" s="163" t="s">
        <v>6019</v>
      </c>
      <c r="D4192" s="163" t="s">
        <v>6020</v>
      </c>
      <c r="E4192" s="164" t="n">
        <v>15000</v>
      </c>
      <c r="F4192" s="165" t="s">
        <v>8413</v>
      </c>
    </row>
    <row r="4193" customFormat="false" ht="15" hidden="false" customHeight="true" outlineLevel="0" collapsed="false">
      <c r="A4193" s="163" t="s">
        <v>3035</v>
      </c>
      <c r="B4193" s="163" t="s">
        <v>691</v>
      </c>
      <c r="C4193" s="163" t="s">
        <v>6680</v>
      </c>
      <c r="D4193" s="163" t="s">
        <v>6681</v>
      </c>
      <c r="E4193" s="164" t="n">
        <v>15000</v>
      </c>
      <c r="F4193" s="165" t="s">
        <v>8414</v>
      </c>
    </row>
    <row r="4194" customFormat="false" ht="15" hidden="false" customHeight="true" outlineLevel="0" collapsed="false">
      <c r="A4194" s="163" t="s">
        <v>3035</v>
      </c>
      <c r="B4194" s="163" t="s">
        <v>691</v>
      </c>
      <c r="C4194" s="163" t="s">
        <v>8415</v>
      </c>
      <c r="D4194" s="163" t="s">
        <v>8416</v>
      </c>
      <c r="E4194" s="164" t="n">
        <v>14000</v>
      </c>
      <c r="F4194" s="165" t="s">
        <v>8417</v>
      </c>
    </row>
    <row r="4195" customFormat="false" ht="15" hidden="false" customHeight="true" outlineLevel="0" collapsed="false">
      <c r="A4195" s="163" t="s">
        <v>3035</v>
      </c>
      <c r="B4195" s="163" t="s">
        <v>691</v>
      </c>
      <c r="C4195" s="163" t="s">
        <v>8418</v>
      </c>
      <c r="D4195" s="163" t="s">
        <v>8419</v>
      </c>
      <c r="E4195" s="164" t="n">
        <v>14000</v>
      </c>
      <c r="F4195" s="165" t="s">
        <v>8420</v>
      </c>
    </row>
    <row r="4196" customFormat="false" ht="15" hidden="false" customHeight="true" outlineLevel="0" collapsed="false">
      <c r="A4196" s="163" t="s">
        <v>3035</v>
      </c>
      <c r="B4196" s="163" t="s">
        <v>691</v>
      </c>
      <c r="C4196" s="163" t="s">
        <v>260</v>
      </c>
      <c r="D4196" s="163" t="s">
        <v>2097</v>
      </c>
      <c r="E4196" s="164" t="n">
        <v>10000</v>
      </c>
      <c r="F4196" s="165" t="s">
        <v>8421</v>
      </c>
    </row>
    <row r="4197" customFormat="false" ht="15" hidden="false" customHeight="true" outlineLevel="0" collapsed="false">
      <c r="A4197" s="163" t="s">
        <v>3035</v>
      </c>
      <c r="B4197" s="163" t="s">
        <v>691</v>
      </c>
      <c r="C4197" s="163" t="s">
        <v>8422</v>
      </c>
      <c r="D4197" s="163" t="s">
        <v>8423</v>
      </c>
      <c r="E4197" s="164" t="n">
        <v>10000</v>
      </c>
      <c r="F4197" s="165" t="s">
        <v>8424</v>
      </c>
    </row>
    <row r="4198" customFormat="false" ht="15" hidden="false" customHeight="true" outlineLevel="0" collapsed="false">
      <c r="A4198" s="163" t="s">
        <v>3035</v>
      </c>
      <c r="B4198" s="163" t="s">
        <v>691</v>
      </c>
      <c r="C4198" s="163" t="s">
        <v>6594</v>
      </c>
      <c r="D4198" s="163" t="s">
        <v>6595</v>
      </c>
      <c r="E4198" s="164" t="n">
        <v>10000</v>
      </c>
      <c r="F4198" s="165" t="s">
        <v>8425</v>
      </c>
    </row>
    <row r="4199" customFormat="false" ht="15" hidden="false" customHeight="true" outlineLevel="0" collapsed="false">
      <c r="A4199" s="163" t="s">
        <v>3035</v>
      </c>
      <c r="B4199" s="163" t="s">
        <v>691</v>
      </c>
      <c r="C4199" s="163" t="s">
        <v>395</v>
      </c>
      <c r="D4199" s="163" t="s">
        <v>2196</v>
      </c>
      <c r="E4199" s="164" t="n">
        <v>10000</v>
      </c>
      <c r="F4199" s="165" t="s">
        <v>8426</v>
      </c>
    </row>
    <row r="4200" customFormat="false" ht="15" hidden="false" customHeight="true" outlineLevel="0" collapsed="false">
      <c r="A4200" s="163" t="s">
        <v>3035</v>
      </c>
      <c r="B4200" s="163" t="s">
        <v>691</v>
      </c>
      <c r="C4200" s="163" t="s">
        <v>5290</v>
      </c>
      <c r="D4200" s="163" t="s">
        <v>5291</v>
      </c>
      <c r="E4200" s="164" t="n">
        <v>9000</v>
      </c>
      <c r="F4200" s="165" t="s">
        <v>5292</v>
      </c>
    </row>
    <row r="4201" customFormat="false" ht="15" hidden="false" customHeight="true" outlineLevel="0" collapsed="false">
      <c r="A4201" s="163" t="s">
        <v>3035</v>
      </c>
      <c r="B4201" s="163" t="s">
        <v>691</v>
      </c>
      <c r="C4201" s="163" t="s">
        <v>8380</v>
      </c>
      <c r="D4201" s="163" t="s">
        <v>8381</v>
      </c>
      <c r="E4201" s="164" t="n">
        <v>9000</v>
      </c>
      <c r="F4201" s="165" t="s">
        <v>8427</v>
      </c>
    </row>
    <row r="4202" customFormat="false" ht="15" hidden="false" customHeight="true" outlineLevel="0" collapsed="false">
      <c r="A4202" s="163" t="s">
        <v>3035</v>
      </c>
      <c r="B4202" s="163" t="s">
        <v>691</v>
      </c>
      <c r="C4202" s="163" t="s">
        <v>8218</v>
      </c>
      <c r="D4202" s="163" t="s">
        <v>8219</v>
      </c>
      <c r="E4202" s="164" t="n">
        <v>9000</v>
      </c>
      <c r="F4202" s="165" t="s">
        <v>8428</v>
      </c>
    </row>
    <row r="4203" customFormat="false" ht="15" hidden="false" customHeight="true" outlineLevel="0" collapsed="false">
      <c r="A4203" s="163" t="s">
        <v>3035</v>
      </c>
      <c r="B4203" s="163" t="s">
        <v>691</v>
      </c>
      <c r="C4203" s="163" t="s">
        <v>8429</v>
      </c>
      <c r="D4203" s="163" t="s">
        <v>8430</v>
      </c>
      <c r="E4203" s="164" t="n">
        <v>5000</v>
      </c>
      <c r="F4203" s="165" t="s">
        <v>8431</v>
      </c>
    </row>
    <row r="4204" customFormat="false" ht="15" hidden="false" customHeight="true" outlineLevel="0" collapsed="false">
      <c r="A4204" s="163" t="s">
        <v>3035</v>
      </c>
      <c r="B4204" s="163" t="s">
        <v>691</v>
      </c>
      <c r="C4204" s="163" t="s">
        <v>8429</v>
      </c>
      <c r="D4204" s="163" t="s">
        <v>8430</v>
      </c>
      <c r="E4204" s="164" t="n">
        <v>5000</v>
      </c>
      <c r="F4204" s="165" t="s">
        <v>8432</v>
      </c>
    </row>
    <row r="4205" customFormat="false" ht="15" hidden="false" customHeight="true" outlineLevel="0" collapsed="false">
      <c r="A4205" s="163" t="s">
        <v>3035</v>
      </c>
      <c r="B4205" s="163" t="s">
        <v>691</v>
      </c>
      <c r="C4205" s="163" t="s">
        <v>7710</v>
      </c>
      <c r="D4205" s="163" t="s">
        <v>7711</v>
      </c>
      <c r="E4205" s="164" t="n">
        <v>5000</v>
      </c>
      <c r="F4205" s="165" t="s">
        <v>8433</v>
      </c>
    </row>
    <row r="4206" customFormat="false" ht="15" hidden="false" customHeight="true" outlineLevel="0" collapsed="false">
      <c r="A4206" s="163" t="s">
        <v>3035</v>
      </c>
      <c r="B4206" s="163" t="s">
        <v>691</v>
      </c>
      <c r="C4206" s="163" t="s">
        <v>8434</v>
      </c>
      <c r="D4206" s="163" t="s">
        <v>8435</v>
      </c>
      <c r="E4206" s="164" t="n">
        <v>5000</v>
      </c>
      <c r="F4206" s="165" t="s">
        <v>8436</v>
      </c>
    </row>
    <row r="4207" customFormat="false" ht="15" hidden="false" customHeight="true" outlineLevel="0" collapsed="false">
      <c r="A4207" s="163" t="s">
        <v>3035</v>
      </c>
      <c r="B4207" s="163" t="s">
        <v>2027</v>
      </c>
      <c r="C4207" s="163" t="s">
        <v>6462</v>
      </c>
      <c r="D4207" s="163" t="s">
        <v>6463</v>
      </c>
      <c r="E4207" s="164" t="n">
        <v>20000</v>
      </c>
      <c r="F4207" s="165" t="s">
        <v>8437</v>
      </c>
    </row>
    <row r="4208" customFormat="false" ht="15" hidden="false" customHeight="true" outlineLevel="0" collapsed="false">
      <c r="A4208" s="163" t="s">
        <v>3035</v>
      </c>
      <c r="B4208" s="163" t="s">
        <v>2027</v>
      </c>
      <c r="C4208" s="163" t="s">
        <v>4427</v>
      </c>
      <c r="D4208" s="163" t="s">
        <v>4428</v>
      </c>
      <c r="E4208" s="164" t="n">
        <v>20000</v>
      </c>
      <c r="F4208" s="165" t="s">
        <v>8438</v>
      </c>
    </row>
    <row r="4209" customFormat="false" ht="15" hidden="false" customHeight="true" outlineLevel="0" collapsed="false">
      <c r="A4209" s="163" t="s">
        <v>3035</v>
      </c>
      <c r="B4209" s="163" t="s">
        <v>2027</v>
      </c>
      <c r="C4209" s="163" t="s">
        <v>5983</v>
      </c>
      <c r="D4209" s="163" t="s">
        <v>5984</v>
      </c>
      <c r="E4209" s="164" t="n">
        <v>20000</v>
      </c>
      <c r="F4209" s="165" t="s">
        <v>8439</v>
      </c>
    </row>
    <row r="4210" customFormat="false" ht="15" hidden="false" customHeight="true" outlineLevel="0" collapsed="false">
      <c r="A4210" s="163" t="s">
        <v>3035</v>
      </c>
      <c r="B4210" s="163" t="s">
        <v>2027</v>
      </c>
      <c r="C4210" s="163" t="s">
        <v>4166</v>
      </c>
      <c r="D4210" s="163" t="s">
        <v>4167</v>
      </c>
      <c r="E4210" s="164" t="n">
        <v>20000</v>
      </c>
      <c r="F4210" s="165" t="s">
        <v>8440</v>
      </c>
    </row>
    <row r="4211" customFormat="false" ht="15" hidden="false" customHeight="true" outlineLevel="0" collapsed="false">
      <c r="A4211" s="163" t="s">
        <v>3035</v>
      </c>
      <c r="B4211" s="163" t="s">
        <v>2027</v>
      </c>
      <c r="C4211" s="163" t="s">
        <v>4420</v>
      </c>
      <c r="D4211" s="163" t="s">
        <v>4421</v>
      </c>
      <c r="E4211" s="164" t="n">
        <v>10000</v>
      </c>
      <c r="F4211" s="165" t="s">
        <v>7286</v>
      </c>
    </row>
    <row r="4212" customFormat="false" ht="15" hidden="false" customHeight="true" outlineLevel="0" collapsed="false">
      <c r="A4212" s="163" t="s">
        <v>3035</v>
      </c>
      <c r="B4212" s="163" t="s">
        <v>2037</v>
      </c>
      <c r="C4212" s="163" t="s">
        <v>8350</v>
      </c>
      <c r="D4212" s="163" t="s">
        <v>8351</v>
      </c>
      <c r="E4212" s="164" t="n">
        <v>40000</v>
      </c>
      <c r="F4212" s="165" t="s">
        <v>8441</v>
      </c>
    </row>
    <row r="4213" customFormat="false" ht="15" hidden="false" customHeight="true" outlineLevel="0" collapsed="false">
      <c r="A4213" s="163" t="s">
        <v>3035</v>
      </c>
      <c r="B4213" s="163" t="s">
        <v>2037</v>
      </c>
      <c r="C4213" s="163" t="s">
        <v>8442</v>
      </c>
      <c r="D4213" s="163" t="s">
        <v>8443</v>
      </c>
      <c r="E4213" s="164" t="n">
        <v>20000</v>
      </c>
      <c r="F4213" s="165" t="s">
        <v>8444</v>
      </c>
    </row>
    <row r="4214" customFormat="false" ht="15" hidden="false" customHeight="true" outlineLevel="0" collapsed="false">
      <c r="A4214" s="163" t="s">
        <v>3035</v>
      </c>
      <c r="B4214" s="163" t="s">
        <v>2037</v>
      </c>
      <c r="C4214" s="163" t="s">
        <v>5968</v>
      </c>
      <c r="D4214" s="163" t="s">
        <v>5969</v>
      </c>
      <c r="E4214" s="164" t="n">
        <v>15000</v>
      </c>
      <c r="F4214" s="165" t="s">
        <v>8445</v>
      </c>
    </row>
    <row r="4215" customFormat="false" ht="15" hidden="false" customHeight="true" outlineLevel="0" collapsed="false">
      <c r="A4215" s="163" t="s">
        <v>3035</v>
      </c>
      <c r="B4215" s="163" t="s">
        <v>2037</v>
      </c>
      <c r="C4215" s="163" t="s">
        <v>7485</v>
      </c>
      <c r="D4215" s="163" t="s">
        <v>7486</v>
      </c>
      <c r="E4215" s="164" t="n">
        <v>11000</v>
      </c>
      <c r="F4215" s="165" t="s">
        <v>8446</v>
      </c>
    </row>
    <row r="4216" customFormat="false" ht="15" hidden="false" customHeight="true" outlineLevel="0" collapsed="false">
      <c r="A4216" s="163" t="s">
        <v>3035</v>
      </c>
      <c r="B4216" s="163" t="s">
        <v>2037</v>
      </c>
      <c r="C4216" s="163" t="s">
        <v>8447</v>
      </c>
      <c r="D4216" s="163" t="s">
        <v>8448</v>
      </c>
      <c r="E4216" s="164" t="n">
        <v>10000</v>
      </c>
      <c r="F4216" s="165" t="s">
        <v>8449</v>
      </c>
    </row>
    <row r="4217" customFormat="false" ht="15" hidden="false" customHeight="true" outlineLevel="0" collapsed="false">
      <c r="A4217" s="163" t="s">
        <v>3035</v>
      </c>
      <c r="B4217" s="163" t="s">
        <v>2037</v>
      </c>
      <c r="C4217" s="163" t="s">
        <v>3771</v>
      </c>
      <c r="D4217" s="163" t="s">
        <v>3772</v>
      </c>
      <c r="E4217" s="164" t="n">
        <v>7000</v>
      </c>
      <c r="F4217" s="165" t="s">
        <v>8450</v>
      </c>
    </row>
    <row r="4218" customFormat="false" ht="15" hidden="false" customHeight="true" outlineLevel="0" collapsed="false">
      <c r="A4218" s="163" t="s">
        <v>3035</v>
      </c>
      <c r="B4218" s="163" t="s">
        <v>2037</v>
      </c>
      <c r="C4218" s="163" t="s">
        <v>5205</v>
      </c>
      <c r="D4218" s="163" t="s">
        <v>5206</v>
      </c>
      <c r="E4218" s="164" t="n">
        <v>5000</v>
      </c>
      <c r="F4218" s="165" t="s">
        <v>5205</v>
      </c>
    </row>
    <row r="4219" customFormat="false" ht="15" hidden="false" customHeight="true" outlineLevel="0" collapsed="false">
      <c r="A4219" s="163" t="s">
        <v>3035</v>
      </c>
      <c r="B4219" s="163" t="s">
        <v>2037</v>
      </c>
      <c r="C4219" s="163" t="s">
        <v>8451</v>
      </c>
      <c r="D4219" s="163" t="s">
        <v>8452</v>
      </c>
      <c r="E4219" s="164" t="n">
        <v>5000</v>
      </c>
      <c r="F4219" s="165" t="s">
        <v>8453</v>
      </c>
    </row>
    <row r="4220" customFormat="false" ht="15" hidden="false" customHeight="true" outlineLevel="0" collapsed="false">
      <c r="A4220" s="163" t="s">
        <v>3035</v>
      </c>
      <c r="B4220" s="163" t="s">
        <v>2037</v>
      </c>
      <c r="C4220" s="163" t="s">
        <v>3799</v>
      </c>
      <c r="D4220" s="163" t="s">
        <v>3800</v>
      </c>
      <c r="E4220" s="164" t="n">
        <v>5000</v>
      </c>
      <c r="F4220" s="165" t="s">
        <v>8454</v>
      </c>
    </row>
    <row r="4221" customFormat="false" ht="15" hidden="false" customHeight="true" outlineLevel="0" collapsed="false">
      <c r="A4221" s="163" t="s">
        <v>3035</v>
      </c>
      <c r="B4221" s="163" t="s">
        <v>2037</v>
      </c>
      <c r="C4221" s="163" t="s">
        <v>8455</v>
      </c>
      <c r="D4221" s="163" t="s">
        <v>8456</v>
      </c>
      <c r="E4221" s="164" t="n">
        <v>5000</v>
      </c>
      <c r="F4221" s="165" t="s">
        <v>8457</v>
      </c>
    </row>
    <row r="4222" customFormat="false" ht="15" hidden="false" customHeight="true" outlineLevel="0" collapsed="false">
      <c r="A4222" s="163" t="s">
        <v>3035</v>
      </c>
      <c r="B4222" s="163" t="s">
        <v>2037</v>
      </c>
      <c r="C4222" s="163" t="s">
        <v>4173</v>
      </c>
      <c r="D4222" s="163" t="s">
        <v>4174</v>
      </c>
      <c r="E4222" s="164" t="n">
        <v>5000</v>
      </c>
      <c r="F4222" s="165" t="s">
        <v>8458</v>
      </c>
    </row>
    <row r="4223" customFormat="false" ht="15" hidden="false" customHeight="true" outlineLevel="0" collapsed="false">
      <c r="A4223" s="163" t="s">
        <v>3035</v>
      </c>
      <c r="B4223" s="163" t="s">
        <v>2037</v>
      </c>
      <c r="C4223" s="163" t="s">
        <v>4363</v>
      </c>
      <c r="D4223" s="163" t="s">
        <v>4364</v>
      </c>
      <c r="E4223" s="164" t="n">
        <v>5000</v>
      </c>
      <c r="F4223" s="165" t="s">
        <v>8459</v>
      </c>
    </row>
    <row r="4224" customFormat="false" ht="15" hidden="false" customHeight="true" outlineLevel="0" collapsed="false">
      <c r="A4224" s="163" t="s">
        <v>3035</v>
      </c>
      <c r="B4224" s="163" t="s">
        <v>894</v>
      </c>
      <c r="C4224" s="163" t="s">
        <v>3400</v>
      </c>
      <c r="D4224" s="163" t="s">
        <v>3401</v>
      </c>
      <c r="E4224" s="164" t="n">
        <v>13000</v>
      </c>
      <c r="F4224" s="165" t="s">
        <v>8460</v>
      </c>
    </row>
    <row r="4225" customFormat="false" ht="15" hidden="false" customHeight="true" outlineLevel="0" collapsed="false">
      <c r="A4225" s="163" t="s">
        <v>3035</v>
      </c>
      <c r="B4225" s="163" t="s">
        <v>894</v>
      </c>
      <c r="C4225" s="163" t="s">
        <v>8461</v>
      </c>
      <c r="D4225" s="163" t="s">
        <v>8462</v>
      </c>
      <c r="E4225" s="164" t="n">
        <v>10000</v>
      </c>
      <c r="F4225" s="165" t="s">
        <v>8459</v>
      </c>
    </row>
    <row r="4226" customFormat="false" ht="15" hidden="false" customHeight="true" outlineLevel="0" collapsed="false">
      <c r="A4226" s="163" t="s">
        <v>3035</v>
      </c>
      <c r="B4226" s="163" t="s">
        <v>894</v>
      </c>
      <c r="C4226" s="163" t="s">
        <v>452</v>
      </c>
      <c r="D4226" s="163" t="s">
        <v>1931</v>
      </c>
      <c r="E4226" s="164" t="n">
        <v>9000</v>
      </c>
      <c r="F4226" s="165" t="s">
        <v>8463</v>
      </c>
    </row>
    <row r="4227" customFormat="false" ht="15" hidden="false" customHeight="true" outlineLevel="0" collapsed="false">
      <c r="A4227" s="163" t="s">
        <v>3035</v>
      </c>
      <c r="B4227" s="163" t="s">
        <v>894</v>
      </c>
      <c r="C4227" s="163" t="s">
        <v>4166</v>
      </c>
      <c r="D4227" s="163" t="s">
        <v>4167</v>
      </c>
      <c r="E4227" s="164" t="n">
        <v>8000</v>
      </c>
      <c r="F4227" s="165" t="s">
        <v>8459</v>
      </c>
    </row>
    <row r="4228" customFormat="false" ht="15" hidden="false" customHeight="true" outlineLevel="0" collapsed="false">
      <c r="A4228" s="163" t="s">
        <v>3035</v>
      </c>
      <c r="B4228" s="163" t="s">
        <v>894</v>
      </c>
      <c r="C4228" s="163" t="s">
        <v>8464</v>
      </c>
      <c r="D4228" s="163" t="s">
        <v>8465</v>
      </c>
      <c r="E4228" s="164" t="n">
        <v>8000</v>
      </c>
      <c r="F4228" s="165" t="s">
        <v>8459</v>
      </c>
    </row>
    <row r="4229" customFormat="false" ht="15" hidden="false" customHeight="true" outlineLevel="0" collapsed="false">
      <c r="A4229" s="163" t="s">
        <v>3035</v>
      </c>
      <c r="B4229" s="163" t="s">
        <v>894</v>
      </c>
      <c r="C4229" s="163" t="s">
        <v>8466</v>
      </c>
      <c r="D4229" s="163" t="s">
        <v>8467</v>
      </c>
      <c r="E4229" s="164" t="n">
        <v>7500</v>
      </c>
      <c r="F4229" s="165" t="s">
        <v>8468</v>
      </c>
    </row>
    <row r="4230" customFormat="false" ht="15" hidden="false" customHeight="true" outlineLevel="0" collapsed="false">
      <c r="A4230" s="163" t="s">
        <v>3035</v>
      </c>
      <c r="B4230" s="163" t="s">
        <v>894</v>
      </c>
      <c r="C4230" s="163" t="s">
        <v>6048</v>
      </c>
      <c r="D4230" s="163" t="s">
        <v>6049</v>
      </c>
      <c r="E4230" s="164" t="n">
        <v>7500</v>
      </c>
      <c r="F4230" s="165" t="s">
        <v>8459</v>
      </c>
    </row>
    <row r="4231" customFormat="false" ht="15" hidden="false" customHeight="true" outlineLevel="0" collapsed="false">
      <c r="A4231" s="163" t="s">
        <v>3035</v>
      </c>
      <c r="B4231" s="163" t="s">
        <v>894</v>
      </c>
      <c r="C4231" s="163" t="s">
        <v>8469</v>
      </c>
      <c r="D4231" s="163" t="s">
        <v>8470</v>
      </c>
      <c r="E4231" s="164" t="n">
        <v>7000</v>
      </c>
      <c r="F4231" s="165" t="s">
        <v>8471</v>
      </c>
    </row>
    <row r="4232" customFormat="false" ht="15" hidden="false" customHeight="true" outlineLevel="0" collapsed="false">
      <c r="A4232" s="163" t="s">
        <v>3035</v>
      </c>
      <c r="B4232" s="163" t="s">
        <v>894</v>
      </c>
      <c r="C4232" s="163" t="s">
        <v>5968</v>
      </c>
      <c r="D4232" s="163" t="s">
        <v>5969</v>
      </c>
      <c r="E4232" s="164" t="n">
        <v>7000</v>
      </c>
      <c r="F4232" s="165" t="s">
        <v>8472</v>
      </c>
    </row>
    <row r="4233" customFormat="false" ht="15" hidden="false" customHeight="true" outlineLevel="0" collapsed="false">
      <c r="A4233" s="163" t="s">
        <v>3035</v>
      </c>
      <c r="B4233" s="163" t="s">
        <v>894</v>
      </c>
      <c r="C4233" s="163" t="s">
        <v>8473</v>
      </c>
      <c r="D4233" s="163" t="s">
        <v>8474</v>
      </c>
      <c r="E4233" s="164" t="n">
        <v>7000</v>
      </c>
      <c r="F4233" s="165" t="s">
        <v>8475</v>
      </c>
    </row>
    <row r="4234" customFormat="false" ht="15" hidden="false" customHeight="true" outlineLevel="0" collapsed="false">
      <c r="A4234" s="163" t="s">
        <v>3035</v>
      </c>
      <c r="B4234" s="163" t="s">
        <v>894</v>
      </c>
      <c r="C4234" s="163" t="s">
        <v>8476</v>
      </c>
      <c r="D4234" s="163" t="s">
        <v>8477</v>
      </c>
      <c r="E4234" s="164" t="n">
        <v>7000</v>
      </c>
      <c r="F4234" s="165" t="s">
        <v>8478</v>
      </c>
    </row>
    <row r="4235" customFormat="false" ht="15" hidden="false" customHeight="true" outlineLevel="0" collapsed="false">
      <c r="A4235" s="163" t="s">
        <v>3035</v>
      </c>
      <c r="B4235" s="163" t="s">
        <v>894</v>
      </c>
      <c r="C4235" s="163" t="s">
        <v>8479</v>
      </c>
      <c r="D4235" s="163" t="s">
        <v>8480</v>
      </c>
      <c r="E4235" s="164" t="n">
        <v>7000</v>
      </c>
      <c r="F4235" s="165" t="s">
        <v>3060</v>
      </c>
    </row>
    <row r="4236" customFormat="false" ht="15" hidden="false" customHeight="true" outlineLevel="0" collapsed="false">
      <c r="A4236" s="163" t="s">
        <v>3035</v>
      </c>
      <c r="B4236" s="163" t="s">
        <v>894</v>
      </c>
      <c r="C4236" s="163" t="s">
        <v>8380</v>
      </c>
      <c r="D4236" s="163" t="s">
        <v>8381</v>
      </c>
      <c r="E4236" s="164" t="n">
        <v>7000</v>
      </c>
      <c r="F4236" s="165" t="s">
        <v>3060</v>
      </c>
    </row>
    <row r="4237" customFormat="false" ht="15" hidden="false" customHeight="true" outlineLevel="0" collapsed="false">
      <c r="A4237" s="163" t="s">
        <v>3035</v>
      </c>
      <c r="B4237" s="163" t="s">
        <v>894</v>
      </c>
      <c r="C4237" s="163" t="s">
        <v>8434</v>
      </c>
      <c r="D4237" s="163" t="s">
        <v>8435</v>
      </c>
      <c r="E4237" s="164" t="n">
        <v>6000</v>
      </c>
      <c r="F4237" s="165" t="s">
        <v>8481</v>
      </c>
    </row>
    <row r="4238" customFormat="false" ht="15" hidden="false" customHeight="true" outlineLevel="0" collapsed="false">
      <c r="A4238" s="163" t="s">
        <v>3035</v>
      </c>
      <c r="B4238" s="163" t="s">
        <v>894</v>
      </c>
      <c r="C4238" s="163" t="s">
        <v>4191</v>
      </c>
      <c r="D4238" s="163" t="s">
        <v>4192</v>
      </c>
      <c r="E4238" s="164" t="n">
        <v>6000</v>
      </c>
      <c r="F4238" s="165" t="s">
        <v>8459</v>
      </c>
    </row>
    <row r="4239" customFormat="false" ht="15" hidden="false" customHeight="true" outlineLevel="0" collapsed="false">
      <c r="A4239" s="163" t="s">
        <v>3035</v>
      </c>
      <c r="B4239" s="163" t="s">
        <v>894</v>
      </c>
      <c r="C4239" s="163" t="s">
        <v>8482</v>
      </c>
      <c r="D4239" s="163" t="s">
        <v>1931</v>
      </c>
      <c r="E4239" s="164" t="n">
        <v>6000</v>
      </c>
      <c r="F4239" s="165" t="s">
        <v>8482</v>
      </c>
    </row>
    <row r="4240" customFormat="false" ht="15" hidden="false" customHeight="true" outlineLevel="0" collapsed="false">
      <c r="A4240" s="163" t="s">
        <v>3035</v>
      </c>
      <c r="B4240" s="163" t="s">
        <v>894</v>
      </c>
      <c r="C4240" s="163" t="s">
        <v>925</v>
      </c>
      <c r="D4240" s="163" t="s">
        <v>1931</v>
      </c>
      <c r="E4240" s="164" t="n">
        <v>6000</v>
      </c>
      <c r="F4240" s="165" t="s">
        <v>8483</v>
      </c>
    </row>
    <row r="4241" customFormat="false" ht="15" hidden="false" customHeight="true" outlineLevel="0" collapsed="false">
      <c r="A4241" s="163" t="s">
        <v>3035</v>
      </c>
      <c r="B4241" s="163" t="s">
        <v>894</v>
      </c>
      <c r="C4241" s="163" t="s">
        <v>8484</v>
      </c>
      <c r="D4241" s="163" t="s">
        <v>8485</v>
      </c>
      <c r="E4241" s="164" t="n">
        <v>5000</v>
      </c>
      <c r="F4241" s="165" t="s">
        <v>8486</v>
      </c>
    </row>
    <row r="4242" customFormat="false" ht="15" hidden="false" customHeight="true" outlineLevel="0" collapsed="false">
      <c r="A4242" s="163" t="s">
        <v>3035</v>
      </c>
      <c r="B4242" s="163" t="s">
        <v>894</v>
      </c>
      <c r="C4242" s="163" t="s">
        <v>8240</v>
      </c>
      <c r="D4242" s="163" t="s">
        <v>8241</v>
      </c>
      <c r="E4242" s="164" t="n">
        <v>5000</v>
      </c>
      <c r="F4242" s="165" t="s">
        <v>8487</v>
      </c>
    </row>
    <row r="4243" customFormat="false" ht="15" hidden="false" customHeight="true" outlineLevel="0" collapsed="false">
      <c r="A4243" s="163" t="s">
        <v>3035</v>
      </c>
      <c r="B4243" s="163" t="s">
        <v>894</v>
      </c>
      <c r="C4243" s="163" t="s">
        <v>4488</v>
      </c>
      <c r="D4243" s="163" t="s">
        <v>4489</v>
      </c>
      <c r="E4243" s="164" t="n">
        <v>5000</v>
      </c>
      <c r="F4243" s="165" t="s">
        <v>8488</v>
      </c>
    </row>
    <row r="4244" customFormat="false" ht="15" hidden="false" customHeight="true" outlineLevel="0" collapsed="false">
      <c r="A4244" s="163" t="s">
        <v>3035</v>
      </c>
      <c r="B4244" s="163" t="s">
        <v>894</v>
      </c>
      <c r="C4244" s="163" t="s">
        <v>8489</v>
      </c>
      <c r="D4244" s="163" t="s">
        <v>8490</v>
      </c>
      <c r="E4244" s="164" t="n">
        <v>5000</v>
      </c>
      <c r="F4244" s="165" t="s">
        <v>8491</v>
      </c>
    </row>
    <row r="4245" customFormat="false" ht="15" hidden="false" customHeight="true" outlineLevel="0" collapsed="false">
      <c r="A4245" s="163" t="s">
        <v>3035</v>
      </c>
      <c r="B4245" s="163" t="s">
        <v>894</v>
      </c>
      <c r="C4245" s="163" t="s">
        <v>8492</v>
      </c>
      <c r="D4245" s="163" t="s">
        <v>8493</v>
      </c>
      <c r="E4245" s="164" t="n">
        <v>5000</v>
      </c>
      <c r="F4245" s="165" t="s">
        <v>8494</v>
      </c>
    </row>
    <row r="4246" customFormat="false" ht="15" hidden="false" customHeight="true" outlineLevel="0" collapsed="false">
      <c r="A4246" s="163" t="s">
        <v>3035</v>
      </c>
      <c r="B4246" s="163" t="s">
        <v>894</v>
      </c>
      <c r="C4246" s="163" t="s">
        <v>4494</v>
      </c>
      <c r="D4246" s="163" t="s">
        <v>4495</v>
      </c>
      <c r="E4246" s="164" t="n">
        <v>5000</v>
      </c>
      <c r="F4246" s="165" t="s">
        <v>8459</v>
      </c>
    </row>
    <row r="4247" customFormat="false" ht="15" hidden="false" customHeight="true" outlineLevel="0" collapsed="false">
      <c r="A4247" s="163" t="s">
        <v>3035</v>
      </c>
      <c r="B4247" s="163" t="s">
        <v>894</v>
      </c>
      <c r="C4247" s="163" t="s">
        <v>8495</v>
      </c>
      <c r="D4247" s="163" t="s">
        <v>8496</v>
      </c>
      <c r="E4247" s="164" t="n">
        <v>5000</v>
      </c>
      <c r="F4247" s="165" t="s">
        <v>8497</v>
      </c>
    </row>
    <row r="4248" customFormat="false" ht="15" hidden="false" customHeight="true" outlineLevel="0" collapsed="false">
      <c r="A4248" s="163" t="s">
        <v>3035</v>
      </c>
      <c r="B4248" s="163" t="s">
        <v>894</v>
      </c>
      <c r="C4248" s="163" t="s">
        <v>8498</v>
      </c>
      <c r="D4248" s="163" t="s">
        <v>8499</v>
      </c>
      <c r="E4248" s="164" t="n">
        <v>5000</v>
      </c>
      <c r="F4248" s="165" t="s">
        <v>8500</v>
      </c>
    </row>
    <row r="4249" customFormat="false" ht="15" hidden="false" customHeight="true" outlineLevel="0" collapsed="false">
      <c r="A4249" s="163" t="s">
        <v>3035</v>
      </c>
      <c r="B4249" s="163" t="s">
        <v>894</v>
      </c>
      <c r="C4249" s="163" t="s">
        <v>8501</v>
      </c>
      <c r="D4249" s="163" t="s">
        <v>8502</v>
      </c>
      <c r="E4249" s="164" t="n">
        <v>5000</v>
      </c>
      <c r="F4249" s="165" t="s">
        <v>8503</v>
      </c>
    </row>
    <row r="4250" customFormat="false" ht="15" hidden="false" customHeight="true" outlineLevel="0" collapsed="false">
      <c r="A4250" s="163" t="s">
        <v>3035</v>
      </c>
      <c r="B4250" s="163" t="s">
        <v>894</v>
      </c>
      <c r="C4250" s="163" t="s">
        <v>8504</v>
      </c>
      <c r="D4250" s="163" t="s">
        <v>8505</v>
      </c>
      <c r="E4250" s="164" t="n">
        <v>5000</v>
      </c>
      <c r="F4250" s="165" t="s">
        <v>8506</v>
      </c>
    </row>
    <row r="4251" customFormat="false" ht="15" hidden="false" customHeight="true" outlineLevel="0" collapsed="false">
      <c r="A4251" s="163" t="s">
        <v>3035</v>
      </c>
      <c r="B4251" s="163" t="s">
        <v>894</v>
      </c>
      <c r="C4251" s="163" t="s">
        <v>8507</v>
      </c>
      <c r="D4251" s="163" t="s">
        <v>8508</v>
      </c>
      <c r="E4251" s="164" t="n">
        <v>5000</v>
      </c>
      <c r="F4251" s="165" t="s">
        <v>8509</v>
      </c>
    </row>
    <row r="4252" customFormat="false" ht="15" hidden="false" customHeight="true" outlineLevel="0" collapsed="false">
      <c r="A4252" s="163" t="s">
        <v>3035</v>
      </c>
      <c r="B4252" s="163" t="s">
        <v>894</v>
      </c>
      <c r="C4252" s="163" t="s">
        <v>8510</v>
      </c>
      <c r="D4252" s="163" t="s">
        <v>8511</v>
      </c>
      <c r="E4252" s="164" t="n">
        <v>5000</v>
      </c>
      <c r="F4252" s="165" t="s">
        <v>8459</v>
      </c>
    </row>
    <row r="4253" customFormat="false" ht="15" hidden="false" customHeight="true" outlineLevel="0" collapsed="false">
      <c r="A4253" s="163" t="s">
        <v>3035</v>
      </c>
      <c r="B4253" s="163" t="s">
        <v>894</v>
      </c>
      <c r="C4253" s="163" t="s">
        <v>273</v>
      </c>
      <c r="D4253" s="163" t="s">
        <v>1891</v>
      </c>
      <c r="E4253" s="164" t="n">
        <v>5000</v>
      </c>
      <c r="F4253" s="165" t="s">
        <v>8512</v>
      </c>
    </row>
    <row r="4254" customFormat="false" ht="15" hidden="false" customHeight="true" outlineLevel="0" collapsed="false">
      <c r="A4254" s="163" t="s">
        <v>3035</v>
      </c>
      <c r="B4254" s="163" t="s">
        <v>894</v>
      </c>
      <c r="C4254" s="163" t="s">
        <v>6759</v>
      </c>
      <c r="D4254" s="163" t="s">
        <v>6760</v>
      </c>
      <c r="E4254" s="164" t="n">
        <v>5000</v>
      </c>
      <c r="F4254" s="165" t="s">
        <v>8513</v>
      </c>
    </row>
    <row r="4255" customFormat="false" ht="15" hidden="false" customHeight="true" outlineLevel="0" collapsed="false">
      <c r="A4255" s="163" t="s">
        <v>3035</v>
      </c>
      <c r="B4255" s="163" t="s">
        <v>894</v>
      </c>
      <c r="C4255" s="163" t="s">
        <v>5957</v>
      </c>
      <c r="D4255" s="163" t="s">
        <v>5958</v>
      </c>
      <c r="E4255" s="164" t="n">
        <v>5000</v>
      </c>
      <c r="F4255" s="165" t="s">
        <v>8514</v>
      </c>
    </row>
    <row r="4256" customFormat="false" ht="15" hidden="false" customHeight="true" outlineLevel="0" collapsed="false">
      <c r="A4256" s="163" t="s">
        <v>3035</v>
      </c>
      <c r="B4256" s="163" t="s">
        <v>894</v>
      </c>
      <c r="C4256" s="163" t="s">
        <v>5965</v>
      </c>
      <c r="D4256" s="163" t="s">
        <v>5966</v>
      </c>
      <c r="E4256" s="164" t="n">
        <v>5000</v>
      </c>
      <c r="F4256" s="165" t="s">
        <v>8515</v>
      </c>
    </row>
    <row r="4257" customFormat="false" ht="15" hidden="false" customHeight="true" outlineLevel="0" collapsed="false">
      <c r="A4257" s="163" t="s">
        <v>3035</v>
      </c>
      <c r="B4257" s="163" t="s">
        <v>894</v>
      </c>
      <c r="C4257" s="163" t="s">
        <v>8516</v>
      </c>
      <c r="D4257" s="163" t="s">
        <v>8517</v>
      </c>
      <c r="E4257" s="164" t="n">
        <v>5000</v>
      </c>
      <c r="F4257" s="165" t="s">
        <v>8459</v>
      </c>
    </row>
    <row r="4258" customFormat="false" ht="15" hidden="false" customHeight="true" outlineLevel="0" collapsed="false">
      <c r="A4258" s="163" t="s">
        <v>3035</v>
      </c>
      <c r="B4258" s="163" t="s">
        <v>894</v>
      </c>
      <c r="C4258" s="163" t="s">
        <v>6088</v>
      </c>
      <c r="D4258" s="163" t="s">
        <v>6089</v>
      </c>
      <c r="E4258" s="164" t="n">
        <v>5000</v>
      </c>
      <c r="F4258" s="165" t="s">
        <v>8518</v>
      </c>
    </row>
    <row r="4259" customFormat="false" ht="15" hidden="false" customHeight="true" outlineLevel="0" collapsed="false">
      <c r="A4259" s="163" t="s">
        <v>3035</v>
      </c>
      <c r="B4259" s="163" t="s">
        <v>894</v>
      </c>
      <c r="C4259" s="163" t="s">
        <v>5968</v>
      </c>
      <c r="D4259" s="163" t="s">
        <v>5969</v>
      </c>
      <c r="E4259" s="164" t="n">
        <v>5000</v>
      </c>
      <c r="F4259" s="165" t="s">
        <v>8519</v>
      </c>
    </row>
    <row r="4260" customFormat="false" ht="15" hidden="false" customHeight="true" outlineLevel="0" collapsed="false">
      <c r="A4260" s="163" t="s">
        <v>3035</v>
      </c>
      <c r="B4260" s="163" t="s">
        <v>894</v>
      </c>
      <c r="C4260" s="163" t="s">
        <v>8520</v>
      </c>
      <c r="D4260" s="163" t="s">
        <v>8521</v>
      </c>
      <c r="E4260" s="164" t="n">
        <v>5000</v>
      </c>
      <c r="F4260" s="165" t="s">
        <v>8522</v>
      </c>
    </row>
    <row r="4261" customFormat="false" ht="15" hidden="false" customHeight="true" outlineLevel="0" collapsed="false">
      <c r="A4261" s="163" t="s">
        <v>3035</v>
      </c>
      <c r="B4261" s="163" t="s">
        <v>894</v>
      </c>
      <c r="C4261" s="163" t="s">
        <v>8259</v>
      </c>
      <c r="D4261" s="163" t="s">
        <v>8260</v>
      </c>
      <c r="E4261" s="164" t="n">
        <v>5000</v>
      </c>
      <c r="F4261" s="165" t="s">
        <v>8523</v>
      </c>
    </row>
    <row r="4262" customFormat="false" ht="15" hidden="false" customHeight="true" outlineLevel="0" collapsed="false">
      <c r="A4262" s="163" t="s">
        <v>3035</v>
      </c>
      <c r="B4262" s="163" t="s">
        <v>894</v>
      </c>
      <c r="C4262" s="163" t="s">
        <v>6022</v>
      </c>
      <c r="D4262" s="163" t="s">
        <v>6023</v>
      </c>
      <c r="E4262" s="164" t="n">
        <v>5000</v>
      </c>
      <c r="F4262" s="165" t="s">
        <v>8524</v>
      </c>
    </row>
    <row r="4263" customFormat="false" ht="15" hidden="false" customHeight="true" outlineLevel="0" collapsed="false">
      <c r="A4263" s="163" t="s">
        <v>3035</v>
      </c>
      <c r="B4263" s="163" t="s">
        <v>894</v>
      </c>
      <c r="C4263" s="163" t="s">
        <v>8525</v>
      </c>
      <c r="D4263" s="163" t="s">
        <v>8526</v>
      </c>
      <c r="E4263" s="164" t="n">
        <v>5000</v>
      </c>
      <c r="F4263" s="165" t="s">
        <v>8527</v>
      </c>
    </row>
    <row r="4264" customFormat="false" ht="15" hidden="false" customHeight="true" outlineLevel="0" collapsed="false">
      <c r="A4264" s="163" t="s">
        <v>3035</v>
      </c>
      <c r="B4264" s="163" t="s">
        <v>894</v>
      </c>
      <c r="C4264" s="163" t="s">
        <v>6116</v>
      </c>
      <c r="D4264" s="163" t="s">
        <v>1931</v>
      </c>
      <c r="E4264" s="164" t="n">
        <v>5000</v>
      </c>
      <c r="F4264" s="165" t="s">
        <v>6116</v>
      </c>
    </row>
    <row r="4265" customFormat="false" ht="15" hidden="false" customHeight="true" outlineLevel="0" collapsed="false">
      <c r="A4265" s="163" t="s">
        <v>3035</v>
      </c>
      <c r="B4265" s="163" t="s">
        <v>894</v>
      </c>
      <c r="C4265" s="163" t="s">
        <v>6096</v>
      </c>
      <c r="D4265" s="163" t="s">
        <v>1931</v>
      </c>
      <c r="E4265" s="164" t="n">
        <v>5000</v>
      </c>
      <c r="F4265" s="165" t="s">
        <v>6096</v>
      </c>
    </row>
    <row r="4266" customFormat="false" ht="15" hidden="false" customHeight="true" outlineLevel="0" collapsed="false">
      <c r="A4266" s="163" t="s">
        <v>3035</v>
      </c>
      <c r="B4266" s="163" t="s">
        <v>894</v>
      </c>
      <c r="C4266" s="163" t="s">
        <v>4448</v>
      </c>
      <c r="D4266" s="163" t="s">
        <v>4449</v>
      </c>
      <c r="E4266" s="164" t="n">
        <v>5000</v>
      </c>
      <c r="F4266" s="165" t="s">
        <v>8459</v>
      </c>
    </row>
    <row r="4267" customFormat="false" ht="15" hidden="false" customHeight="true" outlineLevel="0" collapsed="false">
      <c r="A4267" s="163" t="s">
        <v>3035</v>
      </c>
      <c r="B4267" s="163" t="s">
        <v>894</v>
      </c>
      <c r="C4267" s="163" t="s">
        <v>8272</v>
      </c>
      <c r="D4267" s="163" t="s">
        <v>8273</v>
      </c>
      <c r="E4267" s="164" t="n">
        <v>5000</v>
      </c>
      <c r="F4267" s="165" t="s">
        <v>8528</v>
      </c>
    </row>
    <row r="4268" customFormat="false" ht="15" hidden="false" customHeight="true" outlineLevel="0" collapsed="false">
      <c r="A4268" s="163" t="s">
        <v>3035</v>
      </c>
      <c r="B4268" s="163" t="s">
        <v>894</v>
      </c>
      <c r="C4268" s="163" t="s">
        <v>8274</v>
      </c>
      <c r="D4268" s="163" t="s">
        <v>8275</v>
      </c>
      <c r="E4268" s="164" t="n">
        <v>5000</v>
      </c>
      <c r="F4268" s="165" t="s">
        <v>8529</v>
      </c>
    </row>
    <row r="4269" customFormat="false" ht="15" hidden="false" customHeight="true" outlineLevel="0" collapsed="false">
      <c r="A4269" s="163" t="s">
        <v>3035</v>
      </c>
      <c r="B4269" s="163" t="s">
        <v>894</v>
      </c>
      <c r="C4269" s="163" t="s">
        <v>925</v>
      </c>
      <c r="D4269" s="163" t="s">
        <v>1931</v>
      </c>
      <c r="E4269" s="164" t="n">
        <v>5000</v>
      </c>
      <c r="F4269" s="165" t="s">
        <v>8530</v>
      </c>
    </row>
    <row r="4270" customFormat="false" ht="15" hidden="false" customHeight="true" outlineLevel="0" collapsed="false">
      <c r="A4270" s="163" t="s">
        <v>3035</v>
      </c>
      <c r="B4270" s="163" t="s">
        <v>894</v>
      </c>
      <c r="C4270" s="163" t="s">
        <v>925</v>
      </c>
      <c r="D4270" s="163" t="s">
        <v>1931</v>
      </c>
      <c r="E4270" s="164" t="n">
        <v>5000</v>
      </c>
      <c r="F4270" s="165" t="s">
        <v>8531</v>
      </c>
    </row>
    <row r="4271" customFormat="false" ht="15" hidden="false" customHeight="true" outlineLevel="0" collapsed="false">
      <c r="A4271" s="163" t="s">
        <v>3035</v>
      </c>
      <c r="B4271" s="163" t="s">
        <v>894</v>
      </c>
      <c r="C4271" s="163" t="s">
        <v>925</v>
      </c>
      <c r="D4271" s="163" t="s">
        <v>1931</v>
      </c>
      <c r="E4271" s="164" t="n">
        <v>5000</v>
      </c>
      <c r="F4271" s="165" t="s">
        <v>8532</v>
      </c>
    </row>
    <row r="4272" customFormat="false" ht="15" hidden="false" customHeight="true" outlineLevel="0" collapsed="false">
      <c r="A4272" s="163" t="s">
        <v>3035</v>
      </c>
      <c r="B4272" s="163" t="s">
        <v>894</v>
      </c>
      <c r="C4272" s="163" t="s">
        <v>8533</v>
      </c>
      <c r="D4272" s="163" t="s">
        <v>8534</v>
      </c>
      <c r="E4272" s="164" t="n">
        <v>5000</v>
      </c>
      <c r="F4272" s="165" t="s">
        <v>8535</v>
      </c>
    </row>
    <row r="4273" customFormat="false" ht="15" hidden="false" customHeight="true" outlineLevel="0" collapsed="false">
      <c r="A4273" s="163" t="s">
        <v>3035</v>
      </c>
      <c r="B4273" s="163" t="s">
        <v>894</v>
      </c>
      <c r="C4273" s="163" t="s">
        <v>8536</v>
      </c>
      <c r="D4273" s="163" t="s">
        <v>8537</v>
      </c>
      <c r="E4273" s="164" t="n">
        <v>5000</v>
      </c>
      <c r="F4273" s="165" t="s">
        <v>8459</v>
      </c>
    </row>
    <row r="4274" customFormat="false" ht="15" hidden="false" customHeight="true" outlineLevel="0" collapsed="false">
      <c r="A4274" s="163" t="s">
        <v>3035</v>
      </c>
      <c r="B4274" s="163" t="s">
        <v>894</v>
      </c>
      <c r="C4274" s="163" t="s">
        <v>4546</v>
      </c>
      <c r="D4274" s="163" t="s">
        <v>4547</v>
      </c>
      <c r="E4274" s="164" t="n">
        <v>5000</v>
      </c>
      <c r="F4274" s="165" t="s">
        <v>8538</v>
      </c>
    </row>
    <row r="4275" customFormat="false" ht="15" hidden="false" customHeight="true" outlineLevel="0" collapsed="false">
      <c r="A4275" s="163" t="s">
        <v>3035</v>
      </c>
      <c r="B4275" s="163" t="s">
        <v>894</v>
      </c>
      <c r="C4275" s="163" t="s">
        <v>8406</v>
      </c>
      <c r="D4275" s="163" t="s">
        <v>8407</v>
      </c>
      <c r="E4275" s="164" t="n">
        <v>5000</v>
      </c>
      <c r="F4275" s="165" t="s">
        <v>8539</v>
      </c>
    </row>
    <row r="4276" customFormat="false" ht="15" hidden="false" customHeight="true" outlineLevel="0" collapsed="false">
      <c r="A4276" s="163" t="s">
        <v>3035</v>
      </c>
      <c r="B4276" s="163" t="s">
        <v>894</v>
      </c>
      <c r="C4276" s="163" t="s">
        <v>8540</v>
      </c>
      <c r="D4276" s="163" t="s">
        <v>8541</v>
      </c>
      <c r="E4276" s="164" t="n">
        <v>5000</v>
      </c>
      <c r="F4276" s="165" t="s">
        <v>3060</v>
      </c>
    </row>
    <row r="4277" customFormat="false" ht="15" hidden="false" customHeight="true" outlineLevel="0" collapsed="false">
      <c r="A4277" s="163" t="s">
        <v>3035</v>
      </c>
      <c r="B4277" s="163" t="s">
        <v>894</v>
      </c>
      <c r="C4277" s="163" t="s">
        <v>3395</v>
      </c>
      <c r="D4277" s="163" t="s">
        <v>3396</v>
      </c>
      <c r="E4277" s="164" t="n">
        <v>5000</v>
      </c>
      <c r="F4277" s="165" t="s">
        <v>8542</v>
      </c>
    </row>
    <row r="4278" customFormat="false" ht="15" hidden="false" customHeight="true" outlineLevel="0" collapsed="false">
      <c r="A4278" s="163" t="s">
        <v>3035</v>
      </c>
      <c r="B4278" s="163" t="s">
        <v>894</v>
      </c>
      <c r="C4278" s="163" t="s">
        <v>5511</v>
      </c>
      <c r="D4278" s="163" t="s">
        <v>5512</v>
      </c>
      <c r="E4278" s="164" t="n">
        <v>5000</v>
      </c>
      <c r="F4278" s="165" t="s">
        <v>8543</v>
      </c>
    </row>
    <row r="4279" customFormat="false" ht="15" hidden="false" customHeight="true" outlineLevel="0" collapsed="false">
      <c r="A4279" s="163" t="s">
        <v>3035</v>
      </c>
      <c r="B4279" s="163" t="s">
        <v>894</v>
      </c>
      <c r="C4279" s="163" t="s">
        <v>4411</v>
      </c>
      <c r="D4279" s="163" t="s">
        <v>4412</v>
      </c>
      <c r="E4279" s="164" t="n">
        <v>5000</v>
      </c>
      <c r="F4279" s="165" t="s">
        <v>8544</v>
      </c>
    </row>
    <row r="4280" customFormat="false" ht="15" hidden="false" customHeight="true" outlineLevel="0" collapsed="false">
      <c r="A4280" s="163" t="s">
        <v>3035</v>
      </c>
      <c r="B4280" s="163" t="s">
        <v>894</v>
      </c>
      <c r="C4280" s="163" t="s">
        <v>8545</v>
      </c>
      <c r="D4280" s="163" t="s">
        <v>8546</v>
      </c>
      <c r="E4280" s="164" t="n">
        <v>5000</v>
      </c>
      <c r="F4280" s="165" t="s">
        <v>8547</v>
      </c>
    </row>
    <row r="4281" customFormat="false" ht="15" hidden="false" customHeight="true" outlineLevel="0" collapsed="false">
      <c r="A4281" s="163" t="s">
        <v>3035</v>
      </c>
      <c r="B4281" s="163" t="s">
        <v>894</v>
      </c>
      <c r="C4281" s="163" t="s">
        <v>8548</v>
      </c>
      <c r="D4281" s="163" t="s">
        <v>8549</v>
      </c>
      <c r="E4281" s="164" t="n">
        <v>5000</v>
      </c>
      <c r="F4281" s="165" t="s">
        <v>8459</v>
      </c>
    </row>
    <row r="4282" customFormat="false" ht="15" hidden="false" customHeight="true" outlineLevel="0" collapsed="false">
      <c r="A4282" s="163" t="s">
        <v>3035</v>
      </c>
      <c r="B4282" s="163" t="s">
        <v>894</v>
      </c>
      <c r="C4282" s="163" t="s">
        <v>5183</v>
      </c>
      <c r="D4282" s="163" t="s">
        <v>5184</v>
      </c>
      <c r="E4282" s="164" t="n">
        <v>5000</v>
      </c>
      <c r="F4282" s="165" t="s">
        <v>8331</v>
      </c>
    </row>
    <row r="4283" customFormat="false" ht="15" hidden="false" customHeight="true" outlineLevel="0" collapsed="false">
      <c r="A4283" s="163" t="s">
        <v>3035</v>
      </c>
      <c r="B4283" s="163" t="s">
        <v>894</v>
      </c>
      <c r="C4283" s="163" t="s">
        <v>3933</v>
      </c>
      <c r="D4283" s="163" t="s">
        <v>3934</v>
      </c>
      <c r="E4283" s="164" t="n">
        <v>5000</v>
      </c>
      <c r="F4283" s="165" t="s">
        <v>8550</v>
      </c>
    </row>
    <row r="4284" customFormat="false" ht="15" hidden="false" customHeight="true" outlineLevel="0" collapsed="false">
      <c r="A4284" s="163" t="s">
        <v>3035</v>
      </c>
      <c r="B4284" s="163" t="s">
        <v>894</v>
      </c>
      <c r="C4284" s="163" t="s">
        <v>1264</v>
      </c>
      <c r="D4284" s="163" t="s">
        <v>2227</v>
      </c>
      <c r="E4284" s="164" t="n">
        <v>5000</v>
      </c>
      <c r="F4284" s="165" t="s">
        <v>8551</v>
      </c>
    </row>
    <row r="4285" customFormat="false" ht="15" hidden="false" customHeight="true" outlineLevel="0" collapsed="false">
      <c r="A4285" s="163" t="s">
        <v>3035</v>
      </c>
      <c r="B4285" s="163" t="s">
        <v>894</v>
      </c>
      <c r="C4285" s="163" t="s">
        <v>1159</v>
      </c>
      <c r="D4285" s="163" t="s">
        <v>1936</v>
      </c>
      <c r="E4285" s="164" t="n">
        <v>5000</v>
      </c>
      <c r="F4285" s="165" t="s">
        <v>8552</v>
      </c>
    </row>
    <row r="4286" customFormat="false" ht="15" hidden="false" customHeight="true" outlineLevel="0" collapsed="false">
      <c r="A4286" s="163" t="s">
        <v>3035</v>
      </c>
      <c r="B4286" s="163" t="s">
        <v>894</v>
      </c>
      <c r="C4286" s="163" t="s">
        <v>8553</v>
      </c>
      <c r="D4286" s="163" t="s">
        <v>8554</v>
      </c>
      <c r="E4286" s="164" t="n">
        <v>5000</v>
      </c>
      <c r="F4286" s="165" t="s">
        <v>8459</v>
      </c>
    </row>
    <row r="4287" customFormat="false" ht="15" hidden="false" customHeight="true" outlineLevel="0" collapsed="false">
      <c r="A4287" s="163" t="s">
        <v>3035</v>
      </c>
      <c r="B4287" s="163" t="s">
        <v>894</v>
      </c>
      <c r="C4287" s="163" t="s">
        <v>8555</v>
      </c>
      <c r="D4287" s="163" t="s">
        <v>8556</v>
      </c>
      <c r="E4287" s="164" t="n">
        <v>5000</v>
      </c>
      <c r="F4287" s="165" t="s">
        <v>8557</v>
      </c>
    </row>
    <row r="4288" customFormat="false" ht="15" hidden="false" customHeight="true" outlineLevel="0" collapsed="false">
      <c r="A4288" s="163" t="s">
        <v>3035</v>
      </c>
      <c r="B4288" s="163" t="s">
        <v>894</v>
      </c>
      <c r="C4288" s="163" t="s">
        <v>8377</v>
      </c>
      <c r="D4288" s="163" t="s">
        <v>8378</v>
      </c>
      <c r="E4288" s="164" t="n">
        <v>5000</v>
      </c>
      <c r="F4288" s="165" t="s">
        <v>8558</v>
      </c>
    </row>
    <row r="4289" customFormat="false" ht="15" hidden="false" customHeight="true" outlineLevel="0" collapsed="false">
      <c r="A4289" s="163" t="s">
        <v>3035</v>
      </c>
      <c r="B4289" s="163" t="s">
        <v>894</v>
      </c>
      <c r="C4289" s="163" t="s">
        <v>197</v>
      </c>
      <c r="D4289" s="163" t="s">
        <v>1931</v>
      </c>
      <c r="E4289" s="164" t="n">
        <v>5000</v>
      </c>
      <c r="F4289" s="165" t="s">
        <v>8349</v>
      </c>
    </row>
    <row r="4290" customFormat="false" ht="15" hidden="false" customHeight="true" outlineLevel="0" collapsed="false">
      <c r="A4290" s="163" t="s">
        <v>3035</v>
      </c>
      <c r="B4290" s="163" t="s">
        <v>894</v>
      </c>
      <c r="C4290" s="163" t="s">
        <v>925</v>
      </c>
      <c r="D4290" s="163" t="s">
        <v>1931</v>
      </c>
      <c r="E4290" s="164" t="n">
        <v>4000</v>
      </c>
      <c r="F4290" s="165" t="s">
        <v>8559</v>
      </c>
    </row>
    <row r="4291" customFormat="false" ht="15" hidden="false" customHeight="true" outlineLevel="0" collapsed="false">
      <c r="A4291" s="163" t="s">
        <v>3035</v>
      </c>
      <c r="B4291" s="163" t="s">
        <v>894</v>
      </c>
      <c r="C4291" s="163" t="s">
        <v>925</v>
      </c>
      <c r="D4291" s="163" t="s">
        <v>1931</v>
      </c>
      <c r="E4291" s="164" t="n">
        <v>4000</v>
      </c>
      <c r="F4291" s="165" t="s">
        <v>8560</v>
      </c>
    </row>
    <row r="4292" customFormat="false" ht="15" hidden="false" customHeight="true" outlineLevel="0" collapsed="false">
      <c r="A4292" s="163" t="s">
        <v>3035</v>
      </c>
      <c r="B4292" s="163" t="s">
        <v>894</v>
      </c>
      <c r="C4292" s="163" t="s">
        <v>4628</v>
      </c>
      <c r="D4292" s="163" t="s">
        <v>4629</v>
      </c>
      <c r="E4292" s="164" t="n">
        <v>3000</v>
      </c>
      <c r="F4292" s="165" t="s">
        <v>8362</v>
      </c>
    </row>
    <row r="4293" customFormat="false" ht="15" hidden="false" customHeight="true" outlineLevel="0" collapsed="false">
      <c r="A4293" s="163" t="s">
        <v>3035</v>
      </c>
      <c r="B4293" s="163" t="s">
        <v>894</v>
      </c>
      <c r="C4293" s="163" t="s">
        <v>925</v>
      </c>
      <c r="D4293" s="163" t="s">
        <v>1931</v>
      </c>
      <c r="E4293" s="164" t="n">
        <v>3000</v>
      </c>
      <c r="F4293" s="165" t="s">
        <v>8561</v>
      </c>
    </row>
    <row r="4294" customFormat="false" ht="15" hidden="false" customHeight="true" outlineLevel="0" collapsed="false">
      <c r="A4294" s="163" t="s">
        <v>3035</v>
      </c>
      <c r="B4294" s="163" t="s">
        <v>894</v>
      </c>
      <c r="C4294" s="163" t="s">
        <v>925</v>
      </c>
      <c r="D4294" s="163" t="s">
        <v>1931</v>
      </c>
      <c r="E4294" s="164" t="n">
        <v>2500</v>
      </c>
      <c r="F4294" s="165" t="s">
        <v>8562</v>
      </c>
    </row>
    <row r="4295" customFormat="false" ht="15" hidden="false" customHeight="true" outlineLevel="0" collapsed="false">
      <c r="A4295" s="163" t="s">
        <v>3035</v>
      </c>
      <c r="B4295" s="163" t="s">
        <v>894</v>
      </c>
      <c r="C4295" s="163" t="s">
        <v>925</v>
      </c>
      <c r="D4295" s="163" t="s">
        <v>1931</v>
      </c>
      <c r="E4295" s="164" t="n">
        <v>2500</v>
      </c>
      <c r="F4295" s="165" t="s">
        <v>8563</v>
      </c>
    </row>
    <row r="4296" customFormat="false" ht="15" hidden="false" customHeight="true" outlineLevel="0" collapsed="false">
      <c r="A4296" s="163" t="s">
        <v>3035</v>
      </c>
      <c r="B4296" s="163" t="s">
        <v>894</v>
      </c>
      <c r="C4296" s="163" t="s">
        <v>925</v>
      </c>
      <c r="D4296" s="163" t="s">
        <v>1931</v>
      </c>
      <c r="E4296" s="164" t="n">
        <v>2500</v>
      </c>
      <c r="F4296" s="165" t="s">
        <v>8564</v>
      </c>
    </row>
    <row r="4297" customFormat="false" ht="15" hidden="false" customHeight="true" outlineLevel="0" collapsed="false">
      <c r="A4297" s="163" t="s">
        <v>3035</v>
      </c>
      <c r="B4297" s="163" t="s">
        <v>894</v>
      </c>
      <c r="C4297" s="163" t="s">
        <v>925</v>
      </c>
      <c r="D4297" s="163" t="s">
        <v>1931</v>
      </c>
      <c r="E4297" s="164" t="n">
        <v>2500</v>
      </c>
      <c r="F4297" s="165" t="s">
        <v>8565</v>
      </c>
    </row>
    <row r="4298" customFormat="false" ht="15" hidden="false" customHeight="true" outlineLevel="0" collapsed="false">
      <c r="A4298" s="163" t="s">
        <v>3035</v>
      </c>
      <c r="B4298" s="163" t="s">
        <v>894</v>
      </c>
      <c r="C4298" s="163" t="s">
        <v>6164</v>
      </c>
      <c r="D4298" s="163" t="s">
        <v>6165</v>
      </c>
      <c r="E4298" s="164" t="n">
        <v>2000</v>
      </c>
      <c r="F4298" s="165" t="s">
        <v>8459</v>
      </c>
    </row>
    <row r="4299" customFormat="false" ht="15" hidden="false" customHeight="true" outlineLevel="0" collapsed="false">
      <c r="A4299" s="163" t="s">
        <v>3035</v>
      </c>
      <c r="B4299" s="163" t="s">
        <v>882</v>
      </c>
      <c r="C4299" s="163" t="s">
        <v>2759</v>
      </c>
      <c r="D4299" s="163" t="s">
        <v>2760</v>
      </c>
      <c r="E4299" s="164" t="n">
        <v>167000</v>
      </c>
      <c r="F4299" s="165" t="s">
        <v>8566</v>
      </c>
    </row>
    <row r="4300" customFormat="false" ht="15" hidden="false" customHeight="true" outlineLevel="0" collapsed="false">
      <c r="A4300" s="163" t="s">
        <v>3035</v>
      </c>
      <c r="B4300" s="163" t="s">
        <v>882</v>
      </c>
      <c r="C4300" s="163" t="s">
        <v>197</v>
      </c>
      <c r="D4300" s="163" t="s">
        <v>1931</v>
      </c>
      <c r="E4300" s="164" t="n">
        <v>23000</v>
      </c>
      <c r="F4300" s="165" t="s">
        <v>8349</v>
      </c>
    </row>
    <row r="4301" customFormat="false" ht="15" hidden="false" customHeight="true" outlineLevel="0" collapsed="false">
      <c r="A4301" s="163" t="s">
        <v>3035</v>
      </c>
      <c r="B4301" s="163" t="s">
        <v>882</v>
      </c>
      <c r="C4301" s="163" t="s">
        <v>4591</v>
      </c>
      <c r="D4301" s="163" t="s">
        <v>4592</v>
      </c>
      <c r="E4301" s="164" t="n">
        <v>20000</v>
      </c>
      <c r="F4301" s="165" t="s">
        <v>8567</v>
      </c>
    </row>
    <row r="4302" customFormat="false" ht="15" hidden="false" customHeight="true" outlineLevel="0" collapsed="false">
      <c r="A4302" s="163" t="s">
        <v>3035</v>
      </c>
      <c r="B4302" s="163" t="s">
        <v>882</v>
      </c>
      <c r="C4302" s="163" t="s">
        <v>640</v>
      </c>
      <c r="D4302" s="163" t="s">
        <v>1931</v>
      </c>
      <c r="E4302" s="164" t="n">
        <v>15000</v>
      </c>
      <c r="F4302" s="165" t="s">
        <v>8568</v>
      </c>
    </row>
    <row r="4303" customFormat="false" ht="15" hidden="false" customHeight="true" outlineLevel="0" collapsed="false">
      <c r="A4303" s="163" t="s">
        <v>3035</v>
      </c>
      <c r="B4303" s="163" t="s">
        <v>882</v>
      </c>
      <c r="C4303" s="163" t="s">
        <v>3709</v>
      </c>
      <c r="D4303" s="163" t="s">
        <v>3710</v>
      </c>
      <c r="E4303" s="164" t="n">
        <v>15000</v>
      </c>
      <c r="F4303" s="165" t="s">
        <v>8569</v>
      </c>
    </row>
    <row r="4304" customFormat="false" ht="15" hidden="false" customHeight="true" outlineLevel="0" collapsed="false">
      <c r="A4304" s="163" t="s">
        <v>3035</v>
      </c>
      <c r="B4304" s="163" t="s">
        <v>882</v>
      </c>
      <c r="C4304" s="163" t="s">
        <v>8504</v>
      </c>
      <c r="D4304" s="163" t="s">
        <v>8505</v>
      </c>
      <c r="E4304" s="164" t="n">
        <v>10000</v>
      </c>
      <c r="F4304" s="165" t="s">
        <v>8459</v>
      </c>
    </row>
    <row r="4305" customFormat="false" ht="15" hidden="false" customHeight="true" outlineLevel="0" collapsed="false">
      <c r="A4305" s="163" t="s">
        <v>3035</v>
      </c>
      <c r="B4305" s="163" t="s">
        <v>882</v>
      </c>
      <c r="C4305" s="163" t="s">
        <v>3334</v>
      </c>
      <c r="D4305" s="163" t="s">
        <v>3335</v>
      </c>
      <c r="E4305" s="164" t="n">
        <v>10000</v>
      </c>
      <c r="F4305" s="165" t="s">
        <v>8570</v>
      </c>
    </row>
    <row r="4306" customFormat="false" ht="15" hidden="false" customHeight="true" outlineLevel="0" collapsed="false">
      <c r="A4306" s="163" t="s">
        <v>3035</v>
      </c>
      <c r="B4306" s="163" t="s">
        <v>882</v>
      </c>
      <c r="C4306" s="163" t="s">
        <v>3063</v>
      </c>
      <c r="D4306" s="163" t="s">
        <v>3064</v>
      </c>
      <c r="E4306" s="164" t="n">
        <v>10000</v>
      </c>
      <c r="F4306" s="165" t="s">
        <v>8459</v>
      </c>
    </row>
    <row r="4307" customFormat="false" ht="15" hidden="false" customHeight="true" outlineLevel="0" collapsed="false">
      <c r="A4307" s="163" t="s">
        <v>3035</v>
      </c>
      <c r="B4307" s="163" t="s">
        <v>882</v>
      </c>
      <c r="C4307" s="163" t="s">
        <v>8473</v>
      </c>
      <c r="D4307" s="163" t="s">
        <v>8474</v>
      </c>
      <c r="E4307" s="164" t="n">
        <v>10000</v>
      </c>
      <c r="F4307" s="165" t="s">
        <v>8459</v>
      </c>
    </row>
    <row r="4308" customFormat="false" ht="15" hidden="false" customHeight="true" outlineLevel="0" collapsed="false">
      <c r="A4308" s="163" t="s">
        <v>3035</v>
      </c>
      <c r="B4308" s="163" t="s">
        <v>2328</v>
      </c>
      <c r="C4308" s="163" t="s">
        <v>8464</v>
      </c>
      <c r="D4308" s="163" t="s">
        <v>8465</v>
      </c>
      <c r="E4308" s="164" t="n">
        <v>20000</v>
      </c>
      <c r="F4308" s="165" t="s">
        <v>8571</v>
      </c>
    </row>
    <row r="4309" customFormat="false" ht="15" hidden="false" customHeight="true" outlineLevel="0" collapsed="false">
      <c r="A4309" s="163" t="s">
        <v>3035</v>
      </c>
      <c r="B4309" s="163" t="s">
        <v>2328</v>
      </c>
      <c r="C4309" s="163" t="s">
        <v>8383</v>
      </c>
      <c r="D4309" s="163" t="s">
        <v>8384</v>
      </c>
      <c r="E4309" s="164" t="n">
        <v>10000</v>
      </c>
      <c r="F4309" s="165" t="s">
        <v>8385</v>
      </c>
    </row>
    <row r="4310" customFormat="false" ht="15" hidden="false" customHeight="true" outlineLevel="0" collapsed="false">
      <c r="A4310" s="163" t="s">
        <v>3035</v>
      </c>
      <c r="B4310" s="163" t="s">
        <v>2328</v>
      </c>
      <c r="C4310" s="163" t="s">
        <v>5968</v>
      </c>
      <c r="D4310" s="163" t="s">
        <v>5969</v>
      </c>
      <c r="E4310" s="164" t="n">
        <v>10000</v>
      </c>
      <c r="F4310" s="165" t="s">
        <v>8572</v>
      </c>
    </row>
    <row r="4311" customFormat="false" ht="15" hidden="false" customHeight="true" outlineLevel="0" collapsed="false">
      <c r="A4311" s="163" t="s">
        <v>3035</v>
      </c>
      <c r="B4311" s="163" t="s">
        <v>2328</v>
      </c>
      <c r="C4311" s="163" t="s">
        <v>8402</v>
      </c>
      <c r="D4311" s="163" t="s">
        <v>8403</v>
      </c>
      <c r="E4311" s="164" t="n">
        <v>10000</v>
      </c>
      <c r="F4311" s="165" t="s">
        <v>8573</v>
      </c>
    </row>
    <row r="4312" customFormat="false" ht="15" hidden="false" customHeight="true" outlineLevel="0" collapsed="false">
      <c r="A4312" s="163" t="s">
        <v>3035</v>
      </c>
      <c r="B4312" s="163" t="s">
        <v>2342</v>
      </c>
      <c r="C4312" s="163" t="s">
        <v>3063</v>
      </c>
      <c r="D4312" s="163" t="s">
        <v>3064</v>
      </c>
      <c r="E4312" s="164" t="n">
        <v>20000</v>
      </c>
      <c r="F4312" s="165" t="s">
        <v>8574</v>
      </c>
    </row>
    <row r="4313" customFormat="false" ht="15" hidden="false" customHeight="true" outlineLevel="0" collapsed="false">
      <c r="A4313" s="163" t="s">
        <v>3035</v>
      </c>
      <c r="B4313" s="163" t="s">
        <v>2342</v>
      </c>
      <c r="C4313" s="163" t="s">
        <v>2759</v>
      </c>
      <c r="D4313" s="163" t="s">
        <v>2760</v>
      </c>
      <c r="E4313" s="164" t="n">
        <v>15000</v>
      </c>
      <c r="F4313" s="165" t="s">
        <v>8575</v>
      </c>
    </row>
    <row r="4314" customFormat="false" ht="15" hidden="false" customHeight="true" outlineLevel="0" collapsed="false">
      <c r="A4314" s="163" t="s">
        <v>3035</v>
      </c>
      <c r="B4314" s="163" t="s">
        <v>2342</v>
      </c>
      <c r="C4314" s="163" t="s">
        <v>4591</v>
      </c>
      <c r="D4314" s="163" t="s">
        <v>4592</v>
      </c>
      <c r="E4314" s="164" t="n">
        <v>15000</v>
      </c>
      <c r="F4314" s="165" t="s">
        <v>8576</v>
      </c>
    </row>
    <row r="4315" customFormat="false" ht="15" hidden="false" customHeight="true" outlineLevel="0" collapsed="false">
      <c r="A4315" s="163" t="s">
        <v>3035</v>
      </c>
      <c r="B4315" s="163" t="s">
        <v>2342</v>
      </c>
      <c r="C4315" s="163" t="s">
        <v>3709</v>
      </c>
      <c r="D4315" s="163" t="s">
        <v>3710</v>
      </c>
      <c r="E4315" s="164" t="n">
        <v>10000</v>
      </c>
      <c r="F4315" s="165" t="s">
        <v>8577</v>
      </c>
    </row>
    <row r="4316" customFormat="false" ht="15" hidden="false" customHeight="true" outlineLevel="0" collapsed="false">
      <c r="A4316" s="163" t="s">
        <v>3035</v>
      </c>
      <c r="B4316" s="163" t="s">
        <v>2342</v>
      </c>
      <c r="C4316" s="163" t="s">
        <v>8578</v>
      </c>
      <c r="D4316" s="163" t="s">
        <v>8579</v>
      </c>
      <c r="E4316" s="164" t="n">
        <v>10000</v>
      </c>
      <c r="F4316" s="165" t="s">
        <v>8580</v>
      </c>
    </row>
    <row r="4317" customFormat="false" ht="15" hidden="false" customHeight="true" outlineLevel="0" collapsed="false">
      <c r="A4317" s="163" t="s">
        <v>3035</v>
      </c>
      <c r="B4317" s="163" t="s">
        <v>2342</v>
      </c>
      <c r="C4317" s="163" t="s">
        <v>8581</v>
      </c>
      <c r="D4317" s="163" t="s">
        <v>8582</v>
      </c>
      <c r="E4317" s="164" t="n">
        <v>8000</v>
      </c>
      <c r="F4317" s="165" t="s">
        <v>8583</v>
      </c>
    </row>
    <row r="4318" customFormat="false" ht="15" hidden="false" customHeight="true" outlineLevel="0" collapsed="false">
      <c r="A4318" s="163" t="s">
        <v>3035</v>
      </c>
      <c r="B4318" s="163" t="s">
        <v>2342</v>
      </c>
      <c r="C4318" s="163" t="s">
        <v>8584</v>
      </c>
      <c r="D4318" s="163" t="s">
        <v>8585</v>
      </c>
      <c r="E4318" s="164" t="n">
        <v>6000</v>
      </c>
      <c r="F4318" s="165" t="s">
        <v>8586</v>
      </c>
    </row>
    <row r="4319" customFormat="false" ht="15" hidden="false" customHeight="true" outlineLevel="0" collapsed="false">
      <c r="A4319" s="163" t="s">
        <v>3035</v>
      </c>
      <c r="B4319" s="163" t="s">
        <v>2342</v>
      </c>
      <c r="C4319" s="163" t="s">
        <v>8587</v>
      </c>
      <c r="D4319" s="163" t="s">
        <v>8588</v>
      </c>
      <c r="E4319" s="164" t="n">
        <v>5000</v>
      </c>
      <c r="F4319" s="165" t="s">
        <v>8459</v>
      </c>
    </row>
    <row r="4320" customFormat="false" ht="15" hidden="false" customHeight="true" outlineLevel="0" collapsed="false">
      <c r="A4320" s="163" t="s">
        <v>3035</v>
      </c>
      <c r="B4320" s="163" t="s">
        <v>2342</v>
      </c>
      <c r="C4320" s="163" t="s">
        <v>197</v>
      </c>
      <c r="D4320" s="163" t="s">
        <v>1931</v>
      </c>
      <c r="E4320" s="164" t="n">
        <v>1000</v>
      </c>
      <c r="F4320" s="165" t="s">
        <v>8589</v>
      </c>
    </row>
    <row r="4321" customFormat="false" ht="15" hidden="false" customHeight="true" outlineLevel="0" collapsed="false">
      <c r="A4321" s="163" t="s">
        <v>3035</v>
      </c>
      <c r="B4321" s="163" t="s">
        <v>1743</v>
      </c>
      <c r="C4321" s="163" t="s">
        <v>8350</v>
      </c>
      <c r="D4321" s="163" t="s">
        <v>8351</v>
      </c>
      <c r="E4321" s="164" t="n">
        <v>50000</v>
      </c>
      <c r="F4321" s="165" t="s">
        <v>8459</v>
      </c>
    </row>
    <row r="4322" customFormat="false" ht="15" hidden="false" customHeight="true" outlineLevel="0" collapsed="false">
      <c r="A4322" s="163" t="s">
        <v>3035</v>
      </c>
      <c r="B4322" s="163" t="s">
        <v>1743</v>
      </c>
      <c r="C4322" s="163" t="s">
        <v>5976</v>
      </c>
      <c r="D4322" s="163" t="s">
        <v>5977</v>
      </c>
      <c r="E4322" s="164" t="n">
        <v>15000</v>
      </c>
      <c r="F4322" s="165" t="s">
        <v>8590</v>
      </c>
    </row>
    <row r="4323" customFormat="false" ht="15" hidden="false" customHeight="true" outlineLevel="0" collapsed="false">
      <c r="A4323" s="163" t="s">
        <v>3035</v>
      </c>
      <c r="B4323" s="163" t="s">
        <v>1743</v>
      </c>
      <c r="C4323" s="163" t="s">
        <v>6048</v>
      </c>
      <c r="D4323" s="163" t="s">
        <v>6049</v>
      </c>
      <c r="E4323" s="164" t="n">
        <v>12000</v>
      </c>
      <c r="F4323" s="165" t="s">
        <v>8591</v>
      </c>
    </row>
    <row r="4324" customFormat="false" ht="15" hidden="false" customHeight="true" outlineLevel="0" collapsed="false">
      <c r="A4324" s="163" t="s">
        <v>3035</v>
      </c>
      <c r="B4324" s="163" t="s">
        <v>1743</v>
      </c>
      <c r="C4324" s="163" t="s">
        <v>8592</v>
      </c>
      <c r="D4324" s="163" t="s">
        <v>8593</v>
      </c>
      <c r="E4324" s="164" t="n">
        <v>10000</v>
      </c>
      <c r="F4324" s="165" t="s">
        <v>8594</v>
      </c>
    </row>
    <row r="4325" customFormat="false" ht="15" hidden="false" customHeight="true" outlineLevel="0" collapsed="false">
      <c r="A4325" s="163" t="s">
        <v>3035</v>
      </c>
      <c r="B4325" s="163" t="s">
        <v>1743</v>
      </c>
      <c r="C4325" s="163" t="s">
        <v>5965</v>
      </c>
      <c r="D4325" s="163" t="s">
        <v>5966</v>
      </c>
      <c r="E4325" s="164" t="n">
        <v>10000</v>
      </c>
      <c r="F4325" s="165" t="s">
        <v>8356</v>
      </c>
    </row>
    <row r="4326" customFormat="false" ht="15" hidden="false" customHeight="true" outlineLevel="0" collapsed="false">
      <c r="A4326" s="163" t="s">
        <v>3035</v>
      </c>
      <c r="B4326" s="163" t="s">
        <v>1743</v>
      </c>
      <c r="C4326" s="163" t="s">
        <v>5997</v>
      </c>
      <c r="D4326" s="163" t="s">
        <v>5998</v>
      </c>
      <c r="E4326" s="164" t="n">
        <v>10000</v>
      </c>
      <c r="F4326" s="165" t="s">
        <v>8354</v>
      </c>
    </row>
    <row r="4327" customFormat="false" ht="15" hidden="false" customHeight="true" outlineLevel="0" collapsed="false">
      <c r="A4327" s="163" t="s">
        <v>3035</v>
      </c>
      <c r="B4327" s="163" t="s">
        <v>1743</v>
      </c>
      <c r="C4327" s="163" t="s">
        <v>6048</v>
      </c>
      <c r="D4327" s="163" t="s">
        <v>6049</v>
      </c>
      <c r="E4327" s="164" t="n">
        <v>10000</v>
      </c>
      <c r="F4327" s="165" t="s">
        <v>8595</v>
      </c>
    </row>
    <row r="4328" customFormat="false" ht="15" hidden="false" customHeight="true" outlineLevel="0" collapsed="false">
      <c r="A4328" s="163" t="s">
        <v>3035</v>
      </c>
      <c r="B4328" s="163" t="s">
        <v>1743</v>
      </c>
      <c r="C4328" s="163" t="s">
        <v>5983</v>
      </c>
      <c r="D4328" s="163" t="s">
        <v>5984</v>
      </c>
      <c r="E4328" s="164" t="n">
        <v>10000</v>
      </c>
      <c r="F4328" s="165" t="s">
        <v>8596</v>
      </c>
    </row>
    <row r="4329" customFormat="false" ht="15" hidden="false" customHeight="true" outlineLevel="0" collapsed="false">
      <c r="A4329" s="163" t="s">
        <v>3035</v>
      </c>
      <c r="B4329" s="163" t="s">
        <v>1743</v>
      </c>
      <c r="C4329" s="163" t="s">
        <v>5968</v>
      </c>
      <c r="D4329" s="163" t="s">
        <v>5969</v>
      </c>
      <c r="E4329" s="164" t="n">
        <v>9000</v>
      </c>
      <c r="F4329" s="165" t="s">
        <v>8597</v>
      </c>
    </row>
    <row r="4330" customFormat="false" ht="15" hidden="false" customHeight="true" outlineLevel="0" collapsed="false">
      <c r="A4330" s="163" t="s">
        <v>3035</v>
      </c>
      <c r="B4330" s="163" t="s">
        <v>1743</v>
      </c>
      <c r="C4330" s="163" t="s">
        <v>5981</v>
      </c>
      <c r="D4330" s="163" t="s">
        <v>5982</v>
      </c>
      <c r="E4330" s="164" t="n">
        <v>9000</v>
      </c>
      <c r="F4330" s="165" t="s">
        <v>8459</v>
      </c>
    </row>
    <row r="4331" customFormat="false" ht="15" hidden="false" customHeight="true" outlineLevel="0" collapsed="false">
      <c r="A4331" s="163" t="s">
        <v>3035</v>
      </c>
      <c r="B4331" s="163" t="s">
        <v>1743</v>
      </c>
      <c r="C4331" s="163" t="s">
        <v>5968</v>
      </c>
      <c r="D4331" s="163" t="s">
        <v>5969</v>
      </c>
      <c r="E4331" s="164" t="n">
        <v>5000</v>
      </c>
      <c r="F4331" s="165" t="s">
        <v>8598</v>
      </c>
    </row>
    <row r="4332" customFormat="false" ht="15" hidden="false" customHeight="true" outlineLevel="0" collapsed="false">
      <c r="A4332" s="163" t="s">
        <v>3035</v>
      </c>
      <c r="B4332" s="163" t="s">
        <v>928</v>
      </c>
      <c r="C4332" s="163" t="s">
        <v>8592</v>
      </c>
      <c r="D4332" s="163" t="s">
        <v>8593</v>
      </c>
      <c r="E4332" s="164" t="n">
        <v>18000</v>
      </c>
      <c r="F4332" s="165" t="s">
        <v>8599</v>
      </c>
    </row>
    <row r="4333" customFormat="false" ht="15" hidden="false" customHeight="true" outlineLevel="0" collapsed="false">
      <c r="A4333" s="163" t="s">
        <v>3035</v>
      </c>
      <c r="B4333" s="163" t="s">
        <v>928</v>
      </c>
      <c r="C4333" s="163" t="s">
        <v>6154</v>
      </c>
      <c r="D4333" s="163" t="s">
        <v>6155</v>
      </c>
      <c r="E4333" s="164" t="n">
        <v>11000</v>
      </c>
      <c r="F4333" s="165" t="s">
        <v>8600</v>
      </c>
    </row>
    <row r="4334" customFormat="false" ht="15" hidden="false" customHeight="true" outlineLevel="0" collapsed="false">
      <c r="A4334" s="163" t="s">
        <v>3035</v>
      </c>
      <c r="B4334" s="163" t="s">
        <v>928</v>
      </c>
      <c r="C4334" s="163" t="s">
        <v>962</v>
      </c>
      <c r="D4334" s="163" t="s">
        <v>7155</v>
      </c>
      <c r="E4334" s="164" t="n">
        <v>9000</v>
      </c>
      <c r="F4334" s="165" t="s">
        <v>8601</v>
      </c>
    </row>
    <row r="4335" customFormat="false" ht="15" hidden="false" customHeight="true" outlineLevel="0" collapsed="false">
      <c r="A4335" s="163" t="s">
        <v>3035</v>
      </c>
      <c r="B4335" s="163" t="s">
        <v>928</v>
      </c>
      <c r="C4335" s="163" t="s">
        <v>8350</v>
      </c>
      <c r="D4335" s="163" t="s">
        <v>8351</v>
      </c>
      <c r="E4335" s="164" t="n">
        <v>9000</v>
      </c>
      <c r="F4335" s="165" t="s">
        <v>8602</v>
      </c>
    </row>
    <row r="4336" customFormat="false" ht="15" hidden="false" customHeight="true" outlineLevel="0" collapsed="false">
      <c r="A4336" s="163" t="s">
        <v>3035</v>
      </c>
      <c r="B4336" s="163" t="s">
        <v>928</v>
      </c>
      <c r="C4336" s="163" t="s">
        <v>5968</v>
      </c>
      <c r="D4336" s="163" t="s">
        <v>5969</v>
      </c>
      <c r="E4336" s="164" t="n">
        <v>7000</v>
      </c>
      <c r="F4336" s="165" t="s">
        <v>8603</v>
      </c>
    </row>
    <row r="4337" customFormat="false" ht="15" hidden="false" customHeight="true" outlineLevel="0" collapsed="false">
      <c r="A4337" s="163" t="s">
        <v>3035</v>
      </c>
      <c r="B4337" s="163" t="s">
        <v>928</v>
      </c>
      <c r="C4337" s="163" t="s">
        <v>8604</v>
      </c>
      <c r="D4337" s="163" t="s">
        <v>8605</v>
      </c>
      <c r="E4337" s="164" t="n">
        <v>6000</v>
      </c>
      <c r="F4337" s="165" t="s">
        <v>8459</v>
      </c>
    </row>
    <row r="4338" customFormat="false" ht="15" hidden="false" customHeight="true" outlineLevel="0" collapsed="false">
      <c r="A4338" s="163" t="s">
        <v>3035</v>
      </c>
      <c r="B4338" s="163" t="s">
        <v>928</v>
      </c>
      <c r="C4338" s="163" t="s">
        <v>8606</v>
      </c>
      <c r="D4338" s="163" t="s">
        <v>8607</v>
      </c>
      <c r="E4338" s="164" t="n">
        <v>6000</v>
      </c>
      <c r="F4338" s="165" t="s">
        <v>8608</v>
      </c>
    </row>
    <row r="4339" customFormat="false" ht="15" hidden="false" customHeight="true" outlineLevel="0" collapsed="false">
      <c r="A4339" s="163" t="s">
        <v>3035</v>
      </c>
      <c r="B4339" s="163" t="s">
        <v>928</v>
      </c>
      <c r="C4339" s="163" t="s">
        <v>8609</v>
      </c>
      <c r="D4339" s="163" t="s">
        <v>8610</v>
      </c>
      <c r="E4339" s="164" t="n">
        <v>6000</v>
      </c>
      <c r="F4339" s="165" t="s">
        <v>8611</v>
      </c>
    </row>
    <row r="4340" customFormat="false" ht="15" hidden="false" customHeight="true" outlineLevel="0" collapsed="false">
      <c r="A4340" s="163" t="s">
        <v>3035</v>
      </c>
      <c r="B4340" s="163" t="s">
        <v>928</v>
      </c>
      <c r="C4340" s="163" t="s">
        <v>7583</v>
      </c>
      <c r="D4340" s="163" t="s">
        <v>7584</v>
      </c>
      <c r="E4340" s="164" t="n">
        <v>5000</v>
      </c>
      <c r="F4340" s="165" t="s">
        <v>8612</v>
      </c>
    </row>
    <row r="4341" customFormat="false" ht="15" hidden="false" customHeight="true" outlineLevel="0" collapsed="false">
      <c r="A4341" s="163" t="s">
        <v>3035</v>
      </c>
      <c r="B4341" s="163" t="s">
        <v>928</v>
      </c>
      <c r="C4341" s="163" t="s">
        <v>5142</v>
      </c>
      <c r="D4341" s="163" t="s">
        <v>5143</v>
      </c>
      <c r="E4341" s="164" t="n">
        <v>5000</v>
      </c>
      <c r="F4341" s="165" t="s">
        <v>8613</v>
      </c>
    </row>
    <row r="4342" customFormat="false" ht="15" hidden="false" customHeight="true" outlineLevel="0" collapsed="false">
      <c r="A4342" s="163" t="s">
        <v>3035</v>
      </c>
      <c r="B4342" s="163" t="s">
        <v>928</v>
      </c>
      <c r="C4342" s="163" t="s">
        <v>7742</v>
      </c>
      <c r="D4342" s="163" t="s">
        <v>7743</v>
      </c>
      <c r="E4342" s="164" t="n">
        <v>5000</v>
      </c>
      <c r="F4342" s="165" t="s">
        <v>8614</v>
      </c>
    </row>
    <row r="4343" customFormat="false" ht="15" hidden="false" customHeight="true" outlineLevel="0" collapsed="false">
      <c r="A4343" s="163" t="s">
        <v>3035</v>
      </c>
      <c r="B4343" s="163" t="s">
        <v>928</v>
      </c>
      <c r="C4343" s="163" t="s">
        <v>8615</v>
      </c>
      <c r="D4343" s="163" t="s">
        <v>8616</v>
      </c>
      <c r="E4343" s="164" t="n">
        <v>5000</v>
      </c>
      <c r="F4343" s="165" t="s">
        <v>8459</v>
      </c>
    </row>
    <row r="4344" customFormat="false" ht="15" hidden="false" customHeight="true" outlineLevel="0" collapsed="false">
      <c r="A4344" s="163" t="s">
        <v>3035</v>
      </c>
      <c r="B4344" s="163" t="s">
        <v>928</v>
      </c>
      <c r="C4344" s="163" t="s">
        <v>3108</v>
      </c>
      <c r="D4344" s="163" t="s">
        <v>3109</v>
      </c>
      <c r="E4344" s="164" t="n">
        <v>5000</v>
      </c>
      <c r="F4344" s="165" t="s">
        <v>8617</v>
      </c>
    </row>
    <row r="4345" customFormat="false" ht="15" hidden="false" customHeight="true" outlineLevel="0" collapsed="false">
      <c r="A4345" s="163" t="s">
        <v>3035</v>
      </c>
      <c r="B4345" s="163" t="s">
        <v>928</v>
      </c>
      <c r="C4345" s="163" t="s">
        <v>4047</v>
      </c>
      <c r="D4345" s="163" t="s">
        <v>4048</v>
      </c>
      <c r="E4345" s="164" t="n">
        <v>5000</v>
      </c>
      <c r="F4345" s="165" t="s">
        <v>8618</v>
      </c>
    </row>
    <row r="4346" customFormat="false" ht="15" hidden="false" customHeight="true" outlineLevel="0" collapsed="false">
      <c r="A4346" s="163" t="s">
        <v>3035</v>
      </c>
      <c r="B4346" s="163" t="s">
        <v>928</v>
      </c>
      <c r="C4346" s="163" t="s">
        <v>3317</v>
      </c>
      <c r="D4346" s="163" t="s">
        <v>3318</v>
      </c>
      <c r="E4346" s="164" t="n">
        <v>5000</v>
      </c>
      <c r="F4346" s="165" t="s">
        <v>8459</v>
      </c>
    </row>
    <row r="4347" customFormat="false" ht="15" hidden="false" customHeight="true" outlineLevel="0" collapsed="false">
      <c r="A4347" s="163" t="s">
        <v>3035</v>
      </c>
      <c r="B4347" s="163" t="s">
        <v>928</v>
      </c>
      <c r="C4347" s="163" t="s">
        <v>4112</v>
      </c>
      <c r="D4347" s="163" t="s">
        <v>4113</v>
      </c>
      <c r="E4347" s="164" t="n">
        <v>5000</v>
      </c>
      <c r="F4347" s="165" t="s">
        <v>8619</v>
      </c>
    </row>
    <row r="4348" customFormat="false" ht="15" hidden="false" customHeight="true" outlineLevel="0" collapsed="false">
      <c r="A4348" s="163" t="s">
        <v>3035</v>
      </c>
      <c r="B4348" s="163" t="s">
        <v>928</v>
      </c>
      <c r="C4348" s="163" t="s">
        <v>6157</v>
      </c>
      <c r="D4348" s="163" t="s">
        <v>6158</v>
      </c>
      <c r="E4348" s="164" t="n">
        <v>5000</v>
      </c>
      <c r="F4348" s="165" t="s">
        <v>8620</v>
      </c>
    </row>
    <row r="4349" customFormat="false" ht="15" hidden="false" customHeight="true" outlineLevel="0" collapsed="false">
      <c r="A4349" s="163" t="s">
        <v>3035</v>
      </c>
      <c r="B4349" s="163" t="s">
        <v>928</v>
      </c>
      <c r="C4349" s="163" t="s">
        <v>5968</v>
      </c>
      <c r="D4349" s="163" t="s">
        <v>5969</v>
      </c>
      <c r="E4349" s="164" t="n">
        <v>5000</v>
      </c>
      <c r="F4349" s="165" t="s">
        <v>8621</v>
      </c>
    </row>
    <row r="4350" customFormat="false" ht="15" hidden="false" customHeight="true" outlineLevel="0" collapsed="false">
      <c r="A4350" s="163" t="s">
        <v>3035</v>
      </c>
      <c r="B4350" s="163" t="s">
        <v>928</v>
      </c>
      <c r="C4350" s="163" t="s">
        <v>3315</v>
      </c>
      <c r="D4350" s="163" t="s">
        <v>3316</v>
      </c>
      <c r="E4350" s="164" t="n">
        <v>5000</v>
      </c>
      <c r="F4350" s="165" t="s">
        <v>8622</v>
      </c>
    </row>
    <row r="4351" customFormat="false" ht="15" hidden="false" customHeight="true" outlineLevel="0" collapsed="false">
      <c r="A4351" s="163" t="s">
        <v>3035</v>
      </c>
      <c r="B4351" s="163" t="s">
        <v>928</v>
      </c>
      <c r="C4351" s="163" t="s">
        <v>4427</v>
      </c>
      <c r="D4351" s="163" t="s">
        <v>4428</v>
      </c>
      <c r="E4351" s="164" t="n">
        <v>5000</v>
      </c>
      <c r="F4351" s="165" t="s">
        <v>8623</v>
      </c>
    </row>
    <row r="4352" customFormat="false" ht="15" hidden="false" customHeight="true" outlineLevel="0" collapsed="false">
      <c r="A4352" s="163" t="s">
        <v>3035</v>
      </c>
      <c r="B4352" s="163" t="s">
        <v>928</v>
      </c>
      <c r="C4352" s="163" t="s">
        <v>6166</v>
      </c>
      <c r="D4352" s="163" t="s">
        <v>6167</v>
      </c>
      <c r="E4352" s="164" t="n">
        <v>5000</v>
      </c>
      <c r="F4352" s="165" t="s">
        <v>8624</v>
      </c>
    </row>
    <row r="4353" customFormat="false" ht="15" hidden="false" customHeight="true" outlineLevel="0" collapsed="false">
      <c r="A4353" s="163" t="s">
        <v>3035</v>
      </c>
      <c r="B4353" s="163" t="s">
        <v>928</v>
      </c>
      <c r="C4353" s="163" t="s">
        <v>4318</v>
      </c>
      <c r="D4353" s="163" t="s">
        <v>4319</v>
      </c>
      <c r="E4353" s="164" t="n">
        <v>5000</v>
      </c>
      <c r="F4353" s="165" t="s">
        <v>8625</v>
      </c>
    </row>
    <row r="4354" customFormat="false" ht="15" hidden="false" customHeight="true" outlineLevel="0" collapsed="false">
      <c r="A4354" s="163" t="s">
        <v>3035</v>
      </c>
      <c r="B4354" s="163" t="s">
        <v>928</v>
      </c>
      <c r="C4354" s="163" t="s">
        <v>1219</v>
      </c>
      <c r="D4354" s="163" t="s">
        <v>2135</v>
      </c>
      <c r="E4354" s="164" t="n">
        <v>5000</v>
      </c>
      <c r="F4354" s="165" t="s">
        <v>8626</v>
      </c>
    </row>
    <row r="4355" customFormat="false" ht="15" hidden="false" customHeight="true" outlineLevel="0" collapsed="false">
      <c r="A4355" s="163" t="s">
        <v>3035</v>
      </c>
      <c r="B4355" s="163" t="s">
        <v>928</v>
      </c>
      <c r="C4355" s="163" t="s">
        <v>6164</v>
      </c>
      <c r="D4355" s="163" t="s">
        <v>6165</v>
      </c>
      <c r="E4355" s="164" t="n">
        <v>3000</v>
      </c>
      <c r="F4355" s="165" t="s">
        <v>8459</v>
      </c>
    </row>
    <row r="4356" customFormat="false" ht="15" hidden="false" customHeight="true" outlineLevel="0" collapsed="false">
      <c r="A4356" s="163" t="s">
        <v>3044</v>
      </c>
      <c r="B4356" s="163" t="s">
        <v>926</v>
      </c>
      <c r="C4356" s="163" t="s">
        <v>8627</v>
      </c>
      <c r="D4356" s="163" t="s">
        <v>8628</v>
      </c>
      <c r="E4356" s="164" t="n">
        <v>20000</v>
      </c>
      <c r="F4356" s="165" t="s">
        <v>8629</v>
      </c>
    </row>
    <row r="4357" customFormat="false" ht="15" hidden="false" customHeight="true" outlineLevel="0" collapsed="false">
      <c r="A4357" s="163" t="s">
        <v>3044</v>
      </c>
      <c r="B4357" s="163" t="s">
        <v>926</v>
      </c>
      <c r="C4357" s="163" t="s">
        <v>6705</v>
      </c>
      <c r="D4357" s="163" t="s">
        <v>6706</v>
      </c>
      <c r="E4357" s="164" t="n">
        <v>10000</v>
      </c>
      <c r="F4357" s="165" t="s">
        <v>8630</v>
      </c>
    </row>
    <row r="4358" customFormat="false" ht="15" hidden="false" customHeight="true" outlineLevel="0" collapsed="false">
      <c r="A4358" s="163" t="s">
        <v>3044</v>
      </c>
      <c r="B4358" s="163" t="s">
        <v>926</v>
      </c>
      <c r="C4358" s="163" t="s">
        <v>6705</v>
      </c>
      <c r="D4358" s="163" t="s">
        <v>6706</v>
      </c>
      <c r="E4358" s="164" t="n">
        <v>10000</v>
      </c>
      <c r="F4358" s="165" t="s">
        <v>8631</v>
      </c>
    </row>
    <row r="4359" customFormat="false" ht="15" hidden="false" customHeight="true" outlineLevel="0" collapsed="false">
      <c r="A4359" s="163" t="s">
        <v>3044</v>
      </c>
      <c r="B4359" s="163" t="s">
        <v>926</v>
      </c>
      <c r="C4359" s="163" t="s">
        <v>3334</v>
      </c>
      <c r="D4359" s="163" t="s">
        <v>3335</v>
      </c>
      <c r="E4359" s="164" t="n">
        <v>10000</v>
      </c>
      <c r="F4359" s="165" t="s">
        <v>8632</v>
      </c>
    </row>
    <row r="4360" customFormat="false" ht="15" hidden="false" customHeight="true" outlineLevel="0" collapsed="false">
      <c r="A4360" s="163" t="s">
        <v>3044</v>
      </c>
      <c r="B4360" s="163" t="s">
        <v>926</v>
      </c>
      <c r="C4360" s="163" t="s">
        <v>3334</v>
      </c>
      <c r="D4360" s="163" t="s">
        <v>3335</v>
      </c>
      <c r="E4360" s="164" t="n">
        <v>10000</v>
      </c>
      <c r="F4360" s="165" t="s">
        <v>8633</v>
      </c>
    </row>
    <row r="4361" customFormat="false" ht="15" hidden="false" customHeight="true" outlineLevel="0" collapsed="false">
      <c r="A4361" s="163" t="s">
        <v>3044</v>
      </c>
      <c r="B4361" s="163" t="s">
        <v>926</v>
      </c>
      <c r="C4361" s="163" t="s">
        <v>4591</v>
      </c>
      <c r="D4361" s="163" t="s">
        <v>4592</v>
      </c>
      <c r="E4361" s="164" t="n">
        <v>10000</v>
      </c>
      <c r="F4361" s="165" t="s">
        <v>8634</v>
      </c>
    </row>
    <row r="4362" customFormat="false" ht="15" hidden="false" customHeight="true" outlineLevel="0" collapsed="false">
      <c r="A4362" s="163" t="s">
        <v>3044</v>
      </c>
      <c r="B4362" s="163" t="s">
        <v>926</v>
      </c>
      <c r="C4362" s="163" t="s">
        <v>8635</v>
      </c>
      <c r="D4362" s="163" t="s">
        <v>8636</v>
      </c>
      <c r="E4362" s="164" t="n">
        <v>10000</v>
      </c>
      <c r="F4362" s="165" t="s">
        <v>8637</v>
      </c>
    </row>
    <row r="4363" customFormat="false" ht="15" hidden="false" customHeight="true" outlineLevel="0" collapsed="false">
      <c r="A4363" s="163" t="s">
        <v>3044</v>
      </c>
      <c r="B4363" s="163" t="s">
        <v>926</v>
      </c>
      <c r="C4363" s="163" t="s">
        <v>3406</v>
      </c>
      <c r="D4363" s="163" t="s">
        <v>3407</v>
      </c>
      <c r="E4363" s="164" t="n">
        <v>10000</v>
      </c>
      <c r="F4363" s="165" t="s">
        <v>8638</v>
      </c>
    </row>
    <row r="4364" customFormat="false" ht="15" hidden="false" customHeight="true" outlineLevel="0" collapsed="false">
      <c r="A4364" s="163" t="s">
        <v>3044</v>
      </c>
      <c r="B4364" s="163" t="s">
        <v>926</v>
      </c>
      <c r="C4364" s="163" t="s">
        <v>3406</v>
      </c>
      <c r="D4364" s="163" t="s">
        <v>3407</v>
      </c>
      <c r="E4364" s="164" t="n">
        <v>10000</v>
      </c>
      <c r="F4364" s="165" t="s">
        <v>8638</v>
      </c>
    </row>
    <row r="4365" customFormat="false" ht="15" hidden="false" customHeight="true" outlineLevel="0" collapsed="false">
      <c r="A4365" s="163" t="s">
        <v>3044</v>
      </c>
      <c r="B4365" s="163" t="s">
        <v>957</v>
      </c>
      <c r="C4365" s="163" t="s">
        <v>8639</v>
      </c>
      <c r="D4365" s="163" t="s">
        <v>8640</v>
      </c>
      <c r="E4365" s="164" t="n">
        <v>39000</v>
      </c>
      <c r="F4365" s="165" t="s">
        <v>8641</v>
      </c>
    </row>
    <row r="4366" customFormat="false" ht="15" hidden="false" customHeight="true" outlineLevel="0" collapsed="false">
      <c r="A4366" s="163" t="s">
        <v>3044</v>
      </c>
      <c r="B4366" s="163" t="s">
        <v>957</v>
      </c>
      <c r="C4366" s="163" t="s">
        <v>6692</v>
      </c>
      <c r="D4366" s="163" t="s">
        <v>6693</v>
      </c>
      <c r="E4366" s="164" t="n">
        <v>29000</v>
      </c>
      <c r="F4366" s="165" t="s">
        <v>8642</v>
      </c>
    </row>
    <row r="4367" customFormat="false" ht="15" hidden="false" customHeight="true" outlineLevel="0" collapsed="false">
      <c r="A4367" s="163" t="s">
        <v>3044</v>
      </c>
      <c r="B4367" s="163" t="s">
        <v>957</v>
      </c>
      <c r="C4367" s="163" t="s">
        <v>3567</v>
      </c>
      <c r="D4367" s="163" t="s">
        <v>3568</v>
      </c>
      <c r="E4367" s="164" t="n">
        <v>5000</v>
      </c>
      <c r="F4367" s="165" t="s">
        <v>8643</v>
      </c>
    </row>
    <row r="4368" customFormat="false" ht="15" hidden="false" customHeight="true" outlineLevel="0" collapsed="false">
      <c r="A4368" s="163" t="s">
        <v>3044</v>
      </c>
      <c r="B4368" s="163" t="s">
        <v>957</v>
      </c>
      <c r="C4368" s="163" t="s">
        <v>3567</v>
      </c>
      <c r="D4368" s="163" t="s">
        <v>3568</v>
      </c>
      <c r="E4368" s="164" t="n">
        <v>5000</v>
      </c>
      <c r="F4368" s="165" t="s">
        <v>8643</v>
      </c>
    </row>
    <row r="4369" customFormat="false" ht="15" hidden="false" customHeight="true" outlineLevel="0" collapsed="false">
      <c r="A4369" s="163" t="s">
        <v>3044</v>
      </c>
      <c r="B4369" s="163" t="s">
        <v>957</v>
      </c>
      <c r="C4369" s="163" t="s">
        <v>4017</v>
      </c>
      <c r="D4369" s="163" t="s">
        <v>4018</v>
      </c>
      <c r="E4369" s="164" t="n">
        <v>5000</v>
      </c>
      <c r="F4369" s="165" t="s">
        <v>8644</v>
      </c>
    </row>
    <row r="4370" customFormat="false" ht="15" hidden="false" customHeight="true" outlineLevel="0" collapsed="false">
      <c r="A4370" s="163" t="s">
        <v>3044</v>
      </c>
      <c r="B4370" s="163" t="s">
        <v>957</v>
      </c>
      <c r="C4370" s="163" t="s">
        <v>4420</v>
      </c>
      <c r="D4370" s="163" t="s">
        <v>4421</v>
      </c>
      <c r="E4370" s="164" t="n">
        <v>5000</v>
      </c>
      <c r="F4370" s="165" t="s">
        <v>8643</v>
      </c>
    </row>
    <row r="4371" customFormat="false" ht="15" hidden="false" customHeight="true" outlineLevel="0" collapsed="false">
      <c r="A4371" s="163" t="s">
        <v>3044</v>
      </c>
      <c r="B4371" s="163" t="s">
        <v>957</v>
      </c>
      <c r="C4371" s="163" t="s">
        <v>8645</v>
      </c>
      <c r="D4371" s="163" t="s">
        <v>8646</v>
      </c>
      <c r="E4371" s="164" t="n">
        <v>5000</v>
      </c>
      <c r="F4371" s="165" t="s">
        <v>8647</v>
      </c>
    </row>
    <row r="4372" customFormat="false" ht="15" hidden="false" customHeight="true" outlineLevel="0" collapsed="false">
      <c r="A4372" s="163" t="s">
        <v>3044</v>
      </c>
      <c r="B4372" s="163" t="s">
        <v>957</v>
      </c>
      <c r="C4372" s="163" t="s">
        <v>6692</v>
      </c>
      <c r="D4372" s="163" t="s">
        <v>6693</v>
      </c>
      <c r="E4372" s="164" t="n">
        <v>5000</v>
      </c>
      <c r="F4372" s="165" t="s">
        <v>8648</v>
      </c>
    </row>
    <row r="4373" customFormat="false" ht="15" hidden="false" customHeight="true" outlineLevel="0" collapsed="false">
      <c r="A4373" s="163" t="s">
        <v>3044</v>
      </c>
      <c r="B4373" s="163" t="s">
        <v>957</v>
      </c>
      <c r="C4373" s="163" t="s">
        <v>8639</v>
      </c>
      <c r="D4373" s="163" t="s">
        <v>8640</v>
      </c>
      <c r="E4373" s="164" t="n">
        <v>5000</v>
      </c>
      <c r="F4373" s="165" t="s">
        <v>8649</v>
      </c>
    </row>
    <row r="4374" customFormat="false" ht="15" hidden="false" customHeight="true" outlineLevel="0" collapsed="false">
      <c r="A4374" s="163" t="s">
        <v>3044</v>
      </c>
      <c r="B4374" s="163" t="s">
        <v>957</v>
      </c>
      <c r="C4374" s="163" t="s">
        <v>8639</v>
      </c>
      <c r="D4374" s="163" t="s">
        <v>8640</v>
      </c>
      <c r="E4374" s="164" t="n">
        <v>5000</v>
      </c>
      <c r="F4374" s="165" t="s">
        <v>8650</v>
      </c>
    </row>
    <row r="4375" customFormat="false" ht="15" hidden="false" customHeight="true" outlineLevel="0" collapsed="false">
      <c r="A4375" s="163" t="s">
        <v>3044</v>
      </c>
      <c r="B4375" s="163" t="s">
        <v>957</v>
      </c>
      <c r="C4375" s="163" t="s">
        <v>6692</v>
      </c>
      <c r="D4375" s="163" t="s">
        <v>6693</v>
      </c>
      <c r="E4375" s="164" t="n">
        <v>1000</v>
      </c>
      <c r="F4375" s="165" t="s">
        <v>8651</v>
      </c>
    </row>
    <row r="4376" customFormat="false" ht="15" hidden="false" customHeight="true" outlineLevel="0" collapsed="false">
      <c r="A4376" s="163" t="s">
        <v>3044</v>
      </c>
      <c r="B4376" s="163" t="s">
        <v>957</v>
      </c>
      <c r="C4376" s="163" t="s">
        <v>8639</v>
      </c>
      <c r="D4376" s="163" t="s">
        <v>8640</v>
      </c>
      <c r="E4376" s="164" t="n">
        <v>1000</v>
      </c>
      <c r="F4376" s="165" t="s">
        <v>8652</v>
      </c>
    </row>
    <row r="4377" customFormat="false" ht="15" hidden="false" customHeight="true" outlineLevel="0" collapsed="false">
      <c r="A4377" s="163" t="s">
        <v>3044</v>
      </c>
      <c r="B4377" s="163" t="s">
        <v>945</v>
      </c>
      <c r="C4377" s="163" t="s">
        <v>925</v>
      </c>
      <c r="D4377" s="163" t="s">
        <v>1931</v>
      </c>
      <c r="E4377" s="164" t="n">
        <v>20000</v>
      </c>
      <c r="F4377" s="165" t="s">
        <v>8653</v>
      </c>
    </row>
    <row r="4378" customFormat="false" ht="15" hidden="false" customHeight="true" outlineLevel="0" collapsed="false">
      <c r="A4378" s="163" t="s">
        <v>3044</v>
      </c>
      <c r="B4378" s="163" t="s">
        <v>945</v>
      </c>
      <c r="C4378" s="163" t="s">
        <v>925</v>
      </c>
      <c r="D4378" s="163" t="s">
        <v>1931</v>
      </c>
      <c r="E4378" s="164" t="n">
        <v>14000</v>
      </c>
      <c r="F4378" s="165" t="s">
        <v>8654</v>
      </c>
    </row>
    <row r="4379" customFormat="false" ht="15" hidden="false" customHeight="true" outlineLevel="0" collapsed="false">
      <c r="A4379" s="163" t="s">
        <v>3044</v>
      </c>
      <c r="B4379" s="163" t="s">
        <v>945</v>
      </c>
      <c r="C4379" s="163" t="s">
        <v>925</v>
      </c>
      <c r="D4379" s="163" t="s">
        <v>1931</v>
      </c>
      <c r="E4379" s="164" t="n">
        <v>10000</v>
      </c>
      <c r="F4379" s="165" t="s">
        <v>8655</v>
      </c>
    </row>
    <row r="4380" customFormat="false" ht="15" hidden="false" customHeight="true" outlineLevel="0" collapsed="false">
      <c r="A4380" s="163" t="s">
        <v>3044</v>
      </c>
      <c r="B4380" s="163" t="s">
        <v>945</v>
      </c>
      <c r="C4380" s="163" t="s">
        <v>925</v>
      </c>
      <c r="D4380" s="163" t="s">
        <v>1931</v>
      </c>
      <c r="E4380" s="164" t="n">
        <v>5000</v>
      </c>
      <c r="F4380" s="165" t="s">
        <v>8656</v>
      </c>
    </row>
    <row r="4381" customFormat="false" ht="15" hidden="false" customHeight="true" outlineLevel="0" collapsed="false">
      <c r="A4381" s="163" t="s">
        <v>3044</v>
      </c>
      <c r="B4381" s="163" t="s">
        <v>945</v>
      </c>
      <c r="C4381" s="163" t="s">
        <v>925</v>
      </c>
      <c r="D4381" s="163" t="s">
        <v>1931</v>
      </c>
      <c r="E4381" s="164" t="n">
        <v>5000</v>
      </c>
      <c r="F4381" s="165" t="s">
        <v>8657</v>
      </c>
    </row>
    <row r="4382" customFormat="false" ht="15" hidden="false" customHeight="true" outlineLevel="0" collapsed="false">
      <c r="A4382" s="163" t="s">
        <v>3044</v>
      </c>
      <c r="B4382" s="163" t="s">
        <v>945</v>
      </c>
      <c r="C4382" s="163" t="s">
        <v>4763</v>
      </c>
      <c r="D4382" s="163" t="s">
        <v>4764</v>
      </c>
      <c r="E4382" s="164" t="n">
        <v>5000</v>
      </c>
      <c r="F4382" s="165" t="s">
        <v>3060</v>
      </c>
    </row>
    <row r="4383" customFormat="false" ht="15" hidden="false" customHeight="true" outlineLevel="0" collapsed="false">
      <c r="A4383" s="163" t="s">
        <v>3044</v>
      </c>
      <c r="B4383" s="163" t="s">
        <v>945</v>
      </c>
      <c r="C4383" s="163" t="s">
        <v>925</v>
      </c>
      <c r="D4383" s="163" t="s">
        <v>1931</v>
      </c>
      <c r="E4383" s="164" t="n">
        <v>5000</v>
      </c>
      <c r="F4383" s="165" t="s">
        <v>8658</v>
      </c>
    </row>
    <row r="4384" customFormat="false" ht="15" hidden="false" customHeight="true" outlineLevel="0" collapsed="false">
      <c r="A4384" s="163" t="s">
        <v>3044</v>
      </c>
      <c r="B4384" s="163" t="s">
        <v>945</v>
      </c>
      <c r="C4384" s="163" t="s">
        <v>925</v>
      </c>
      <c r="D4384" s="163" t="s">
        <v>1931</v>
      </c>
      <c r="E4384" s="164" t="n">
        <v>3000</v>
      </c>
      <c r="F4384" s="165" t="s">
        <v>8659</v>
      </c>
    </row>
    <row r="4385" customFormat="false" ht="15" hidden="false" customHeight="true" outlineLevel="0" collapsed="false">
      <c r="A4385" s="163" t="s">
        <v>3044</v>
      </c>
      <c r="B4385" s="163" t="s">
        <v>945</v>
      </c>
      <c r="C4385" s="163" t="s">
        <v>925</v>
      </c>
      <c r="D4385" s="163" t="s">
        <v>1931</v>
      </c>
      <c r="E4385" s="164" t="n">
        <v>3000</v>
      </c>
      <c r="F4385" s="165" t="s">
        <v>8660</v>
      </c>
    </row>
    <row r="4386" customFormat="false" ht="15" hidden="false" customHeight="true" outlineLevel="0" collapsed="false">
      <c r="A4386" s="163" t="s">
        <v>3044</v>
      </c>
      <c r="B4386" s="163" t="s">
        <v>945</v>
      </c>
      <c r="C4386" s="163" t="s">
        <v>925</v>
      </c>
      <c r="D4386" s="163" t="s">
        <v>1931</v>
      </c>
      <c r="E4386" s="164" t="n">
        <v>3000</v>
      </c>
      <c r="F4386" s="165" t="s">
        <v>8661</v>
      </c>
    </row>
    <row r="4387" customFormat="false" ht="15" hidden="false" customHeight="true" outlineLevel="0" collapsed="false">
      <c r="A4387" s="163" t="s">
        <v>3044</v>
      </c>
      <c r="B4387" s="163" t="s">
        <v>945</v>
      </c>
      <c r="C4387" s="163" t="s">
        <v>925</v>
      </c>
      <c r="D4387" s="163" t="s">
        <v>1931</v>
      </c>
      <c r="E4387" s="164" t="n">
        <v>1000</v>
      </c>
      <c r="F4387" s="165" t="s">
        <v>8662</v>
      </c>
    </row>
    <row r="4388" customFormat="false" ht="15" hidden="false" customHeight="true" outlineLevel="0" collapsed="false">
      <c r="A4388" s="163" t="s">
        <v>3044</v>
      </c>
      <c r="B4388" s="163" t="s">
        <v>945</v>
      </c>
      <c r="C4388" s="163" t="s">
        <v>925</v>
      </c>
      <c r="D4388" s="163" t="s">
        <v>1931</v>
      </c>
      <c r="E4388" s="164" t="n">
        <v>1000</v>
      </c>
      <c r="F4388" s="165" t="s">
        <v>8663</v>
      </c>
    </row>
    <row r="4389" customFormat="false" ht="15" hidden="false" customHeight="true" outlineLevel="0" collapsed="false">
      <c r="A4389" s="163" t="s">
        <v>3044</v>
      </c>
      <c r="B4389" s="163" t="s">
        <v>3111</v>
      </c>
      <c r="C4389" s="163" t="s">
        <v>7413</v>
      </c>
      <c r="D4389" s="163" t="s">
        <v>7414</v>
      </c>
      <c r="E4389" s="164" t="n">
        <v>15000</v>
      </c>
      <c r="F4389" s="165" t="s">
        <v>8664</v>
      </c>
    </row>
    <row r="4390" customFormat="false" ht="15" hidden="false" customHeight="true" outlineLevel="0" collapsed="false">
      <c r="A4390" s="163" t="s">
        <v>3044</v>
      </c>
      <c r="B4390" s="163" t="s">
        <v>3111</v>
      </c>
      <c r="C4390" s="163" t="s">
        <v>2167</v>
      </c>
      <c r="D4390" s="163" t="s">
        <v>1931</v>
      </c>
      <c r="E4390" s="164" t="n">
        <v>15000</v>
      </c>
      <c r="F4390" s="165" t="s">
        <v>3060</v>
      </c>
    </row>
    <row r="4391" customFormat="false" ht="15" hidden="false" customHeight="true" outlineLevel="0" collapsed="false">
      <c r="A4391" s="163" t="s">
        <v>3044</v>
      </c>
      <c r="B4391" s="163" t="s">
        <v>3111</v>
      </c>
      <c r="C4391" s="163" t="s">
        <v>8665</v>
      </c>
      <c r="D4391" s="163" t="s">
        <v>8666</v>
      </c>
      <c r="E4391" s="164" t="n">
        <v>10000</v>
      </c>
      <c r="F4391" s="165" t="s">
        <v>8638</v>
      </c>
    </row>
    <row r="4392" customFormat="false" ht="15" hidden="false" customHeight="true" outlineLevel="0" collapsed="false">
      <c r="A4392" s="163" t="s">
        <v>3044</v>
      </c>
      <c r="B4392" s="163" t="s">
        <v>3111</v>
      </c>
      <c r="C4392" s="163" t="s">
        <v>8667</v>
      </c>
      <c r="D4392" s="163" t="s">
        <v>8668</v>
      </c>
      <c r="E4392" s="164" t="n">
        <v>10000</v>
      </c>
      <c r="F4392" s="165" t="s">
        <v>8638</v>
      </c>
    </row>
    <row r="4393" customFormat="false" ht="15" hidden="false" customHeight="true" outlineLevel="0" collapsed="false">
      <c r="A4393" s="163" t="s">
        <v>3044</v>
      </c>
      <c r="B4393" s="163" t="s">
        <v>3111</v>
      </c>
      <c r="C4393" s="163" t="s">
        <v>8669</v>
      </c>
      <c r="D4393" s="163" t="s">
        <v>8670</v>
      </c>
      <c r="E4393" s="164" t="n">
        <v>10000</v>
      </c>
      <c r="F4393" s="165" t="s">
        <v>8638</v>
      </c>
    </row>
    <row r="4394" customFormat="false" ht="15" hidden="false" customHeight="true" outlineLevel="0" collapsed="false">
      <c r="A4394" s="163" t="s">
        <v>3044</v>
      </c>
      <c r="B4394" s="163" t="s">
        <v>3111</v>
      </c>
      <c r="C4394" s="163" t="s">
        <v>4008</v>
      </c>
      <c r="D4394" s="163" t="s">
        <v>4009</v>
      </c>
      <c r="E4394" s="164" t="n">
        <v>10000</v>
      </c>
      <c r="F4394" s="165" t="s">
        <v>8671</v>
      </c>
    </row>
    <row r="4395" customFormat="false" ht="15" hidden="false" customHeight="true" outlineLevel="0" collapsed="false">
      <c r="A4395" s="163" t="s">
        <v>3044</v>
      </c>
      <c r="B4395" s="163" t="s">
        <v>3111</v>
      </c>
      <c r="C4395" s="163" t="s">
        <v>8672</v>
      </c>
      <c r="D4395" s="163" t="s">
        <v>8673</v>
      </c>
      <c r="E4395" s="164" t="n">
        <v>10000</v>
      </c>
      <c r="F4395" s="165" t="s">
        <v>8638</v>
      </c>
    </row>
    <row r="4396" customFormat="false" ht="15" hidden="false" customHeight="true" outlineLevel="0" collapsed="false">
      <c r="A4396" s="163" t="s">
        <v>3044</v>
      </c>
      <c r="B4396" s="163" t="s">
        <v>3111</v>
      </c>
      <c r="C4396" s="163" t="s">
        <v>4848</v>
      </c>
      <c r="D4396" s="163" t="s">
        <v>4849</v>
      </c>
      <c r="E4396" s="164" t="n">
        <v>10000</v>
      </c>
      <c r="F4396" s="165" t="s">
        <v>8674</v>
      </c>
    </row>
    <row r="4397" customFormat="false" ht="15" hidden="false" customHeight="true" outlineLevel="0" collapsed="false">
      <c r="A4397" s="163" t="s">
        <v>3044</v>
      </c>
      <c r="B4397" s="163" t="s">
        <v>3111</v>
      </c>
      <c r="C4397" s="163" t="s">
        <v>8672</v>
      </c>
      <c r="D4397" s="163" t="s">
        <v>8673</v>
      </c>
      <c r="E4397" s="164" t="n">
        <v>10000</v>
      </c>
      <c r="F4397" s="165" t="s">
        <v>8675</v>
      </c>
    </row>
    <row r="4398" customFormat="false" ht="15" hidden="false" customHeight="true" outlineLevel="0" collapsed="false">
      <c r="A4398" s="163" t="s">
        <v>3044</v>
      </c>
      <c r="B4398" s="163" t="s">
        <v>1938</v>
      </c>
      <c r="C4398" s="163" t="s">
        <v>3137</v>
      </c>
      <c r="D4398" s="163" t="s">
        <v>3138</v>
      </c>
      <c r="E4398" s="164" t="n">
        <v>20000</v>
      </c>
      <c r="F4398" s="165" t="s">
        <v>8676</v>
      </c>
    </row>
    <row r="4399" customFormat="false" ht="15" hidden="false" customHeight="true" outlineLevel="0" collapsed="false">
      <c r="A4399" s="163" t="s">
        <v>3044</v>
      </c>
      <c r="B4399" s="163" t="s">
        <v>1938</v>
      </c>
      <c r="C4399" s="163" t="s">
        <v>4087</v>
      </c>
      <c r="D4399" s="163" t="s">
        <v>4088</v>
      </c>
      <c r="E4399" s="164" t="n">
        <v>20000</v>
      </c>
      <c r="F4399" s="165" t="s">
        <v>8677</v>
      </c>
    </row>
    <row r="4400" customFormat="false" ht="15" hidden="false" customHeight="true" outlineLevel="0" collapsed="false">
      <c r="A4400" s="163" t="s">
        <v>3044</v>
      </c>
      <c r="B4400" s="163" t="s">
        <v>1938</v>
      </c>
      <c r="C4400" s="163" t="s">
        <v>4087</v>
      </c>
      <c r="D4400" s="163" t="s">
        <v>4088</v>
      </c>
      <c r="E4400" s="164" t="n">
        <v>20000</v>
      </c>
      <c r="F4400" s="165" t="s">
        <v>8678</v>
      </c>
    </row>
    <row r="4401" customFormat="false" ht="15" hidden="false" customHeight="true" outlineLevel="0" collapsed="false">
      <c r="A4401" s="163" t="s">
        <v>3044</v>
      </c>
      <c r="B4401" s="163" t="s">
        <v>1938</v>
      </c>
      <c r="C4401" s="163" t="s">
        <v>4815</v>
      </c>
      <c r="D4401" s="163" t="s">
        <v>4816</v>
      </c>
      <c r="E4401" s="164" t="n">
        <v>20000</v>
      </c>
      <c r="F4401" s="165" t="s">
        <v>8677</v>
      </c>
    </row>
    <row r="4402" customFormat="false" ht="15" hidden="false" customHeight="true" outlineLevel="0" collapsed="false">
      <c r="A4402" s="163" t="s">
        <v>3044</v>
      </c>
      <c r="B4402" s="163" t="s">
        <v>1938</v>
      </c>
      <c r="C4402" s="163" t="s">
        <v>4815</v>
      </c>
      <c r="D4402" s="163" t="s">
        <v>4816</v>
      </c>
      <c r="E4402" s="164" t="n">
        <v>20000</v>
      </c>
      <c r="F4402" s="165" t="s">
        <v>8679</v>
      </c>
    </row>
    <row r="4403" customFormat="false" ht="15" hidden="false" customHeight="true" outlineLevel="0" collapsed="false">
      <c r="A4403" s="163" t="s">
        <v>3044</v>
      </c>
      <c r="B4403" s="163" t="s">
        <v>1938</v>
      </c>
      <c r="C4403" s="163" t="s">
        <v>8422</v>
      </c>
      <c r="D4403" s="163" t="s">
        <v>8423</v>
      </c>
      <c r="E4403" s="164" t="n">
        <v>20000</v>
      </c>
      <c r="F4403" s="165" t="s">
        <v>8680</v>
      </c>
    </row>
    <row r="4404" customFormat="false" ht="15" hidden="false" customHeight="true" outlineLevel="0" collapsed="false">
      <c r="A4404" s="163" t="s">
        <v>3044</v>
      </c>
      <c r="B4404" s="163" t="s">
        <v>1938</v>
      </c>
      <c r="C4404" s="163" t="s">
        <v>8422</v>
      </c>
      <c r="D4404" s="163" t="s">
        <v>8423</v>
      </c>
      <c r="E4404" s="164" t="n">
        <v>20000</v>
      </c>
      <c r="F4404" s="165" t="s">
        <v>8681</v>
      </c>
    </row>
    <row r="4405" customFormat="false" ht="15" hidden="false" customHeight="true" outlineLevel="0" collapsed="false">
      <c r="A4405" s="163" t="s">
        <v>3044</v>
      </c>
      <c r="B4405" s="163" t="s">
        <v>1938</v>
      </c>
      <c r="C4405" s="163" t="s">
        <v>4530</v>
      </c>
      <c r="D4405" s="163" t="s">
        <v>4531</v>
      </c>
      <c r="E4405" s="164" t="n">
        <v>20000</v>
      </c>
      <c r="F4405" s="165" t="s">
        <v>8682</v>
      </c>
    </row>
    <row r="4406" customFormat="false" ht="15" hidden="false" customHeight="true" outlineLevel="0" collapsed="false">
      <c r="A4406" s="163" t="s">
        <v>3044</v>
      </c>
      <c r="B4406" s="163" t="s">
        <v>1938</v>
      </c>
      <c r="C4406" s="163" t="s">
        <v>4530</v>
      </c>
      <c r="D4406" s="163" t="s">
        <v>4531</v>
      </c>
      <c r="E4406" s="164" t="n">
        <v>20000</v>
      </c>
      <c r="F4406" s="165" t="s">
        <v>8683</v>
      </c>
    </row>
    <row r="4407" customFormat="false" ht="15" hidden="false" customHeight="true" outlineLevel="0" collapsed="false">
      <c r="A4407" s="163" t="s">
        <v>3044</v>
      </c>
      <c r="B4407" s="163" t="s">
        <v>1938</v>
      </c>
      <c r="C4407" s="163" t="s">
        <v>4648</v>
      </c>
      <c r="D4407" s="163" t="s">
        <v>4649</v>
      </c>
      <c r="E4407" s="164" t="n">
        <v>20000</v>
      </c>
      <c r="F4407" s="165" t="s">
        <v>8684</v>
      </c>
    </row>
    <row r="4408" customFormat="false" ht="15" hidden="false" customHeight="true" outlineLevel="0" collapsed="false">
      <c r="A4408" s="163" t="s">
        <v>3044</v>
      </c>
      <c r="B4408" s="163" t="s">
        <v>1938</v>
      </c>
      <c r="C4408" s="163" t="s">
        <v>4648</v>
      </c>
      <c r="D4408" s="163" t="s">
        <v>4649</v>
      </c>
      <c r="E4408" s="164" t="n">
        <v>20000</v>
      </c>
      <c r="F4408" s="165" t="s">
        <v>8685</v>
      </c>
    </row>
    <row r="4409" customFormat="false" ht="15" hidden="false" customHeight="true" outlineLevel="0" collapsed="false">
      <c r="A4409" s="163" t="s">
        <v>3044</v>
      </c>
      <c r="B4409" s="163" t="s">
        <v>691</v>
      </c>
      <c r="C4409" s="163" t="s">
        <v>4815</v>
      </c>
      <c r="D4409" s="163" t="s">
        <v>4816</v>
      </c>
      <c r="E4409" s="164" t="n">
        <v>50000</v>
      </c>
      <c r="F4409" s="165" t="s">
        <v>8686</v>
      </c>
    </row>
    <row r="4410" customFormat="false" ht="15" hidden="false" customHeight="true" outlineLevel="0" collapsed="false">
      <c r="A4410" s="163" t="s">
        <v>3044</v>
      </c>
      <c r="B4410" s="163" t="s">
        <v>691</v>
      </c>
      <c r="C4410" s="163" t="s">
        <v>7199</v>
      </c>
      <c r="D4410" s="163" t="s">
        <v>7200</v>
      </c>
      <c r="E4410" s="164" t="n">
        <v>20000</v>
      </c>
      <c r="F4410" s="165" t="s">
        <v>8638</v>
      </c>
    </row>
    <row r="4411" customFormat="false" ht="15" hidden="false" customHeight="true" outlineLevel="0" collapsed="false">
      <c r="A4411" s="163" t="s">
        <v>3044</v>
      </c>
      <c r="B4411" s="163" t="s">
        <v>691</v>
      </c>
      <c r="C4411" s="163" t="s">
        <v>7426</v>
      </c>
      <c r="D4411" s="163" t="s">
        <v>7427</v>
      </c>
      <c r="E4411" s="164" t="n">
        <v>20000</v>
      </c>
      <c r="F4411" s="165" t="s">
        <v>8638</v>
      </c>
    </row>
    <row r="4412" customFormat="false" ht="15" hidden="false" customHeight="true" outlineLevel="0" collapsed="false">
      <c r="A4412" s="163" t="s">
        <v>3044</v>
      </c>
      <c r="B4412" s="163" t="s">
        <v>2027</v>
      </c>
      <c r="C4412" s="163" t="s">
        <v>3317</v>
      </c>
      <c r="D4412" s="163" t="s">
        <v>3318</v>
      </c>
      <c r="E4412" s="164" t="n">
        <v>20000</v>
      </c>
      <c r="F4412" s="165" t="s">
        <v>8638</v>
      </c>
    </row>
    <row r="4413" customFormat="false" ht="15" hidden="false" customHeight="true" outlineLevel="0" collapsed="false">
      <c r="A4413" s="163" t="s">
        <v>3044</v>
      </c>
      <c r="B4413" s="163" t="s">
        <v>2027</v>
      </c>
      <c r="C4413" s="163" t="s">
        <v>4112</v>
      </c>
      <c r="D4413" s="163" t="s">
        <v>4113</v>
      </c>
      <c r="E4413" s="164" t="n">
        <v>20000</v>
      </c>
      <c r="F4413" s="165" t="s">
        <v>8687</v>
      </c>
    </row>
    <row r="4414" customFormat="false" ht="15" hidden="false" customHeight="true" outlineLevel="0" collapsed="false">
      <c r="A4414" s="163" t="s">
        <v>3044</v>
      </c>
      <c r="B4414" s="163" t="s">
        <v>2027</v>
      </c>
      <c r="C4414" s="163" t="s">
        <v>893</v>
      </c>
      <c r="D4414" s="163" t="s">
        <v>1931</v>
      </c>
      <c r="E4414" s="164" t="n">
        <v>10000</v>
      </c>
      <c r="F4414" s="165" t="s">
        <v>8688</v>
      </c>
    </row>
    <row r="4415" customFormat="false" ht="15" hidden="false" customHeight="true" outlineLevel="0" collapsed="false">
      <c r="A4415" s="163" t="s">
        <v>3044</v>
      </c>
      <c r="B4415" s="163" t="s">
        <v>2027</v>
      </c>
      <c r="C4415" s="163" t="s">
        <v>4017</v>
      </c>
      <c r="D4415" s="163" t="s">
        <v>4018</v>
      </c>
      <c r="E4415" s="164" t="n">
        <v>10000</v>
      </c>
      <c r="F4415" s="165" t="s">
        <v>8689</v>
      </c>
    </row>
    <row r="4416" customFormat="false" ht="15" hidden="false" customHeight="true" outlineLevel="0" collapsed="false">
      <c r="A4416" s="163" t="s">
        <v>3044</v>
      </c>
      <c r="B4416" s="163" t="s">
        <v>2027</v>
      </c>
      <c r="C4416" s="163" t="s">
        <v>6692</v>
      </c>
      <c r="D4416" s="163" t="s">
        <v>6693</v>
      </c>
      <c r="E4416" s="164" t="n">
        <v>10000</v>
      </c>
      <c r="F4416" s="165" t="s">
        <v>8690</v>
      </c>
    </row>
    <row r="4417" customFormat="false" ht="15" hidden="false" customHeight="true" outlineLevel="0" collapsed="false">
      <c r="A4417" s="163" t="s">
        <v>3044</v>
      </c>
      <c r="B4417" s="163" t="s">
        <v>2037</v>
      </c>
      <c r="C4417" s="163" t="s">
        <v>7287</v>
      </c>
      <c r="D4417" s="163" t="s">
        <v>7288</v>
      </c>
      <c r="E4417" s="164" t="n">
        <v>50000</v>
      </c>
      <c r="F4417" s="165" t="s">
        <v>8638</v>
      </c>
    </row>
    <row r="4418" customFormat="false" ht="15" hidden="false" customHeight="true" outlineLevel="0" collapsed="false">
      <c r="A4418" s="163" t="s">
        <v>3044</v>
      </c>
      <c r="B4418" s="163" t="s">
        <v>2037</v>
      </c>
      <c r="C4418" s="163" t="s">
        <v>7413</v>
      </c>
      <c r="D4418" s="163" t="s">
        <v>7414</v>
      </c>
      <c r="E4418" s="164" t="n">
        <v>25000</v>
      </c>
      <c r="F4418" s="165" t="s">
        <v>8664</v>
      </c>
    </row>
    <row r="4419" customFormat="false" ht="15" hidden="false" customHeight="true" outlineLevel="0" collapsed="false">
      <c r="A4419" s="163" t="s">
        <v>3044</v>
      </c>
      <c r="B4419" s="163" t="s">
        <v>2037</v>
      </c>
      <c r="C4419" s="163" t="s">
        <v>8691</v>
      </c>
      <c r="D4419" s="163" t="s">
        <v>8692</v>
      </c>
      <c r="E4419" s="164" t="n">
        <v>15000</v>
      </c>
      <c r="F4419" s="165" t="s">
        <v>8693</v>
      </c>
    </row>
    <row r="4420" customFormat="false" ht="15" hidden="false" customHeight="true" outlineLevel="0" collapsed="false">
      <c r="A4420" s="163" t="s">
        <v>3044</v>
      </c>
      <c r="B4420" s="163" t="s">
        <v>2037</v>
      </c>
      <c r="C4420" s="163" t="s">
        <v>1860</v>
      </c>
      <c r="D4420" s="163" t="s">
        <v>1861</v>
      </c>
      <c r="E4420" s="164" t="n">
        <v>15000</v>
      </c>
      <c r="F4420" s="165" t="s">
        <v>8638</v>
      </c>
    </row>
    <row r="4421" customFormat="false" ht="15" hidden="false" customHeight="true" outlineLevel="0" collapsed="false">
      <c r="A4421" s="163" t="s">
        <v>3044</v>
      </c>
      <c r="B4421" s="163" t="s">
        <v>2037</v>
      </c>
      <c r="C4421" s="163" t="s">
        <v>3771</v>
      </c>
      <c r="D4421" s="163" t="s">
        <v>3772</v>
      </c>
      <c r="E4421" s="164" t="n">
        <v>15000</v>
      </c>
      <c r="F4421" s="165" t="s">
        <v>8664</v>
      </c>
    </row>
    <row r="4422" customFormat="false" ht="15" hidden="false" customHeight="true" outlineLevel="0" collapsed="false">
      <c r="A4422" s="163" t="s">
        <v>3044</v>
      </c>
      <c r="B4422" s="163" t="s">
        <v>2037</v>
      </c>
      <c r="C4422" s="163" t="s">
        <v>6743</v>
      </c>
      <c r="D4422" s="163" t="s">
        <v>6744</v>
      </c>
      <c r="E4422" s="164" t="n">
        <v>15000</v>
      </c>
      <c r="F4422" s="165" t="s">
        <v>8693</v>
      </c>
    </row>
    <row r="4423" customFormat="false" ht="15" hidden="false" customHeight="true" outlineLevel="0" collapsed="false">
      <c r="A4423" s="163" t="s">
        <v>3044</v>
      </c>
      <c r="B4423" s="163" t="s">
        <v>2037</v>
      </c>
      <c r="C4423" s="163" t="s">
        <v>4076</v>
      </c>
      <c r="D4423" s="163" t="s">
        <v>4077</v>
      </c>
      <c r="E4423" s="164" t="n">
        <v>10000</v>
      </c>
      <c r="F4423" s="165" t="s">
        <v>8694</v>
      </c>
    </row>
    <row r="4424" customFormat="false" ht="15" hidden="false" customHeight="true" outlineLevel="0" collapsed="false">
      <c r="A4424" s="163" t="s">
        <v>3044</v>
      </c>
      <c r="B4424" s="163" t="s">
        <v>2037</v>
      </c>
      <c r="C4424" s="163" t="s">
        <v>3451</v>
      </c>
      <c r="D4424" s="163" t="s">
        <v>3452</v>
      </c>
      <c r="E4424" s="164" t="n">
        <v>10000</v>
      </c>
      <c r="F4424" s="165" t="s">
        <v>8664</v>
      </c>
    </row>
    <row r="4425" customFormat="false" ht="15" hidden="false" customHeight="true" outlineLevel="0" collapsed="false">
      <c r="A4425" s="163" t="s">
        <v>3044</v>
      </c>
      <c r="B4425" s="163" t="s">
        <v>2037</v>
      </c>
      <c r="C4425" s="163" t="s">
        <v>7028</v>
      </c>
      <c r="D4425" s="163" t="s">
        <v>7029</v>
      </c>
      <c r="E4425" s="164" t="n">
        <v>10000</v>
      </c>
      <c r="F4425" s="165" t="s">
        <v>8638</v>
      </c>
    </row>
    <row r="4426" customFormat="false" ht="15" hidden="false" customHeight="true" outlineLevel="0" collapsed="false">
      <c r="A4426" s="163" t="s">
        <v>3044</v>
      </c>
      <c r="B4426" s="163" t="s">
        <v>2037</v>
      </c>
      <c r="C4426" s="163" t="s">
        <v>6947</v>
      </c>
      <c r="D4426" s="163" t="s">
        <v>6948</v>
      </c>
      <c r="E4426" s="164" t="n">
        <v>10000</v>
      </c>
      <c r="F4426" s="165" t="s">
        <v>8638</v>
      </c>
    </row>
    <row r="4427" customFormat="false" ht="15" hidden="false" customHeight="true" outlineLevel="0" collapsed="false">
      <c r="A4427" s="163" t="s">
        <v>3044</v>
      </c>
      <c r="B4427" s="163" t="s">
        <v>2037</v>
      </c>
      <c r="C4427" s="163" t="s">
        <v>6945</v>
      </c>
      <c r="D4427" s="163" t="s">
        <v>6946</v>
      </c>
      <c r="E4427" s="164" t="n">
        <v>5000</v>
      </c>
      <c r="F4427" s="165" t="s">
        <v>8693</v>
      </c>
    </row>
    <row r="4428" customFormat="false" ht="15" hidden="false" customHeight="true" outlineLevel="0" collapsed="false">
      <c r="A4428" s="163" t="s">
        <v>3044</v>
      </c>
      <c r="B4428" s="163" t="s">
        <v>894</v>
      </c>
      <c r="C4428" s="163" t="s">
        <v>8672</v>
      </c>
      <c r="D4428" s="163" t="s">
        <v>8673</v>
      </c>
      <c r="E4428" s="164" t="n">
        <v>100000</v>
      </c>
      <c r="F4428" s="165" t="s">
        <v>8638</v>
      </c>
    </row>
    <row r="4429" customFormat="false" ht="15" hidden="false" customHeight="true" outlineLevel="0" collapsed="false">
      <c r="A4429" s="163" t="s">
        <v>3044</v>
      </c>
      <c r="B4429" s="163" t="s">
        <v>894</v>
      </c>
      <c r="C4429" s="163" t="s">
        <v>7271</v>
      </c>
      <c r="D4429" s="163" t="s">
        <v>7272</v>
      </c>
      <c r="E4429" s="164" t="n">
        <v>45000</v>
      </c>
      <c r="F4429" s="165" t="s">
        <v>8695</v>
      </c>
    </row>
    <row r="4430" customFormat="false" ht="15" hidden="false" customHeight="true" outlineLevel="0" collapsed="false">
      <c r="A4430" s="163" t="s">
        <v>3044</v>
      </c>
      <c r="B4430" s="163" t="s">
        <v>894</v>
      </c>
      <c r="C4430" s="163" t="s">
        <v>4087</v>
      </c>
      <c r="D4430" s="163" t="s">
        <v>4088</v>
      </c>
      <c r="E4430" s="164" t="n">
        <v>30000</v>
      </c>
      <c r="F4430" s="165" t="s">
        <v>8696</v>
      </c>
    </row>
    <row r="4431" customFormat="false" ht="15" hidden="false" customHeight="true" outlineLevel="0" collapsed="false">
      <c r="A4431" s="163" t="s">
        <v>3044</v>
      </c>
      <c r="B4431" s="163" t="s">
        <v>894</v>
      </c>
      <c r="C4431" s="163" t="s">
        <v>4771</v>
      </c>
      <c r="D4431" s="163" t="s">
        <v>4772</v>
      </c>
      <c r="E4431" s="164" t="n">
        <v>20000</v>
      </c>
      <c r="F4431" s="165" t="s">
        <v>4765</v>
      </c>
    </row>
    <row r="4432" customFormat="false" ht="15" hidden="false" customHeight="true" outlineLevel="0" collapsed="false">
      <c r="A4432" s="163" t="s">
        <v>3044</v>
      </c>
      <c r="B4432" s="163" t="s">
        <v>894</v>
      </c>
      <c r="C4432" s="163" t="s">
        <v>481</v>
      </c>
      <c r="D4432" s="163" t="s">
        <v>2411</v>
      </c>
      <c r="E4432" s="164" t="n">
        <v>20000</v>
      </c>
      <c r="F4432" s="165" t="s">
        <v>8697</v>
      </c>
    </row>
    <row r="4433" customFormat="false" ht="15" hidden="false" customHeight="true" outlineLevel="0" collapsed="false">
      <c r="A4433" s="163" t="s">
        <v>3044</v>
      </c>
      <c r="B4433" s="163" t="s">
        <v>894</v>
      </c>
      <c r="C4433" s="163" t="s">
        <v>6368</v>
      </c>
      <c r="D4433" s="163" t="s">
        <v>6369</v>
      </c>
      <c r="E4433" s="164" t="n">
        <v>20000</v>
      </c>
      <c r="F4433" s="165" t="s">
        <v>8698</v>
      </c>
    </row>
    <row r="4434" customFormat="false" ht="15" hidden="false" customHeight="true" outlineLevel="0" collapsed="false">
      <c r="A4434" s="163" t="s">
        <v>3044</v>
      </c>
      <c r="B4434" s="163" t="s">
        <v>894</v>
      </c>
      <c r="C4434" s="163" t="s">
        <v>8627</v>
      </c>
      <c r="D4434" s="163" t="s">
        <v>8628</v>
      </c>
      <c r="E4434" s="164" t="n">
        <v>15000</v>
      </c>
      <c r="F4434" s="165" t="s">
        <v>8699</v>
      </c>
    </row>
    <row r="4435" customFormat="false" ht="15" hidden="false" customHeight="true" outlineLevel="0" collapsed="false">
      <c r="A4435" s="163" t="s">
        <v>3044</v>
      </c>
      <c r="B4435" s="163" t="s">
        <v>894</v>
      </c>
      <c r="C4435" s="163" t="s">
        <v>8665</v>
      </c>
      <c r="D4435" s="163" t="s">
        <v>8666</v>
      </c>
      <c r="E4435" s="164" t="n">
        <v>10000</v>
      </c>
      <c r="F4435" s="165" t="s">
        <v>8638</v>
      </c>
    </row>
    <row r="4436" customFormat="false" ht="15" hidden="false" customHeight="true" outlineLevel="0" collapsed="false">
      <c r="A4436" s="163" t="s">
        <v>3044</v>
      </c>
      <c r="B4436" s="163" t="s">
        <v>894</v>
      </c>
      <c r="C4436" s="163" t="s">
        <v>4777</v>
      </c>
      <c r="D4436" s="163" t="s">
        <v>4778</v>
      </c>
      <c r="E4436" s="164" t="n">
        <v>10000</v>
      </c>
      <c r="F4436" s="165" t="s">
        <v>8700</v>
      </c>
    </row>
    <row r="4437" customFormat="false" ht="15" hidden="false" customHeight="true" outlineLevel="0" collapsed="false">
      <c r="A4437" s="163" t="s">
        <v>3044</v>
      </c>
      <c r="B4437" s="163" t="s">
        <v>894</v>
      </c>
      <c r="C4437" s="163" t="s">
        <v>4815</v>
      </c>
      <c r="D4437" s="163" t="s">
        <v>4816</v>
      </c>
      <c r="E4437" s="164" t="n">
        <v>10000</v>
      </c>
      <c r="F4437" s="165" t="s">
        <v>8638</v>
      </c>
    </row>
    <row r="4438" customFormat="false" ht="15" hidden="false" customHeight="true" outlineLevel="0" collapsed="false">
      <c r="A4438" s="163" t="s">
        <v>3044</v>
      </c>
      <c r="B4438" s="163" t="s">
        <v>894</v>
      </c>
      <c r="C4438" s="163" t="s">
        <v>4815</v>
      </c>
      <c r="D4438" s="163" t="s">
        <v>4816</v>
      </c>
      <c r="E4438" s="164" t="n">
        <v>10000</v>
      </c>
      <c r="F4438" s="165" t="s">
        <v>8701</v>
      </c>
    </row>
    <row r="4439" customFormat="false" ht="15" hidden="false" customHeight="true" outlineLevel="0" collapsed="false">
      <c r="A4439" s="163" t="s">
        <v>3044</v>
      </c>
      <c r="B4439" s="163" t="s">
        <v>894</v>
      </c>
      <c r="C4439" s="163" t="s">
        <v>7276</v>
      </c>
      <c r="D4439" s="163" t="s">
        <v>7277</v>
      </c>
      <c r="E4439" s="164" t="n">
        <v>10000</v>
      </c>
      <c r="F4439" s="165" t="s">
        <v>8638</v>
      </c>
    </row>
    <row r="4440" customFormat="false" ht="15" hidden="false" customHeight="true" outlineLevel="0" collapsed="false">
      <c r="A4440" s="163" t="s">
        <v>3044</v>
      </c>
      <c r="B4440" s="163" t="s">
        <v>894</v>
      </c>
      <c r="C4440" s="163" t="s">
        <v>8702</v>
      </c>
      <c r="D4440" s="163" t="s">
        <v>8703</v>
      </c>
      <c r="E4440" s="164" t="n">
        <v>10000</v>
      </c>
      <c r="F4440" s="165" t="s">
        <v>8638</v>
      </c>
    </row>
    <row r="4441" customFormat="false" ht="15" hidden="false" customHeight="true" outlineLevel="0" collapsed="false">
      <c r="A4441" s="163" t="s">
        <v>3044</v>
      </c>
      <c r="B4441" s="163" t="s">
        <v>894</v>
      </c>
      <c r="C4441" s="163" t="s">
        <v>7426</v>
      </c>
      <c r="D4441" s="163" t="s">
        <v>7427</v>
      </c>
      <c r="E4441" s="164" t="n">
        <v>10000</v>
      </c>
      <c r="F4441" s="165" t="s">
        <v>8704</v>
      </c>
    </row>
    <row r="4442" customFormat="false" ht="15" hidden="false" customHeight="true" outlineLevel="0" collapsed="false">
      <c r="A4442" s="163" t="s">
        <v>3044</v>
      </c>
      <c r="B4442" s="163" t="s">
        <v>894</v>
      </c>
      <c r="C4442" s="163" t="s">
        <v>372</v>
      </c>
      <c r="D4442" s="163" t="s">
        <v>2692</v>
      </c>
      <c r="E4442" s="164" t="n">
        <v>10000</v>
      </c>
      <c r="F4442" s="165" t="s">
        <v>8705</v>
      </c>
    </row>
    <row r="4443" customFormat="false" ht="15" hidden="false" customHeight="true" outlineLevel="0" collapsed="false">
      <c r="A4443" s="163" t="s">
        <v>3044</v>
      </c>
      <c r="B4443" s="163" t="s">
        <v>894</v>
      </c>
      <c r="C4443" s="163" t="s">
        <v>8706</v>
      </c>
      <c r="D4443" s="163" t="s">
        <v>8707</v>
      </c>
      <c r="E4443" s="164" t="n">
        <v>10000</v>
      </c>
      <c r="F4443" s="165" t="s">
        <v>8708</v>
      </c>
    </row>
    <row r="4444" customFormat="false" ht="15" hidden="false" customHeight="true" outlineLevel="0" collapsed="false">
      <c r="A4444" s="163" t="s">
        <v>3044</v>
      </c>
      <c r="B4444" s="163" t="s">
        <v>894</v>
      </c>
      <c r="C4444" s="163" t="s">
        <v>1169</v>
      </c>
      <c r="D4444" s="163" t="s">
        <v>2801</v>
      </c>
      <c r="E4444" s="164" t="n">
        <v>10000</v>
      </c>
      <c r="F4444" s="165" t="s">
        <v>8638</v>
      </c>
    </row>
    <row r="4445" customFormat="false" ht="15" hidden="false" customHeight="true" outlineLevel="0" collapsed="false">
      <c r="A4445" s="163" t="s">
        <v>3044</v>
      </c>
      <c r="B4445" s="163" t="s">
        <v>894</v>
      </c>
      <c r="C4445" s="163" t="s">
        <v>4848</v>
      </c>
      <c r="D4445" s="163" t="s">
        <v>4849</v>
      </c>
      <c r="E4445" s="164" t="n">
        <v>10000</v>
      </c>
      <c r="F4445" s="165" t="s">
        <v>8709</v>
      </c>
    </row>
    <row r="4446" customFormat="false" ht="15" hidden="false" customHeight="true" outlineLevel="0" collapsed="false">
      <c r="A4446" s="163" t="s">
        <v>3044</v>
      </c>
      <c r="B4446" s="163" t="s">
        <v>894</v>
      </c>
      <c r="C4446" s="163" t="s">
        <v>3137</v>
      </c>
      <c r="D4446" s="163" t="s">
        <v>3138</v>
      </c>
      <c r="E4446" s="164" t="n">
        <v>5000</v>
      </c>
      <c r="F4446" s="165" t="s">
        <v>8638</v>
      </c>
    </row>
    <row r="4447" customFormat="false" ht="15" hidden="false" customHeight="true" outlineLevel="0" collapsed="false">
      <c r="A4447" s="163" t="s">
        <v>3044</v>
      </c>
      <c r="B4447" s="163" t="s">
        <v>894</v>
      </c>
      <c r="C4447" s="163" t="s">
        <v>1233</v>
      </c>
      <c r="D4447" s="163" t="s">
        <v>2151</v>
      </c>
      <c r="E4447" s="164" t="n">
        <v>5000</v>
      </c>
      <c r="F4447" s="165" t="s">
        <v>8638</v>
      </c>
    </row>
    <row r="4448" customFormat="false" ht="15" hidden="false" customHeight="true" outlineLevel="0" collapsed="false">
      <c r="A4448" s="163" t="s">
        <v>3044</v>
      </c>
      <c r="B4448" s="163" t="s">
        <v>894</v>
      </c>
      <c r="C4448" s="163" t="s">
        <v>4866</v>
      </c>
      <c r="D4448" s="163" t="s">
        <v>4867</v>
      </c>
      <c r="E4448" s="164" t="n">
        <v>5000</v>
      </c>
      <c r="F4448" s="165" t="s">
        <v>8710</v>
      </c>
    </row>
    <row r="4449" customFormat="false" ht="15" hidden="false" customHeight="true" outlineLevel="0" collapsed="false">
      <c r="A4449" s="163" t="s">
        <v>3044</v>
      </c>
      <c r="B4449" s="163" t="s">
        <v>894</v>
      </c>
      <c r="C4449" s="163" t="s">
        <v>4866</v>
      </c>
      <c r="D4449" s="163" t="s">
        <v>4867</v>
      </c>
      <c r="E4449" s="164" t="n">
        <v>5000</v>
      </c>
      <c r="F4449" s="165" t="s">
        <v>8711</v>
      </c>
    </row>
    <row r="4450" customFormat="false" ht="15" hidden="false" customHeight="true" outlineLevel="0" collapsed="false">
      <c r="A4450" s="163" t="s">
        <v>3044</v>
      </c>
      <c r="B4450" s="163" t="s">
        <v>894</v>
      </c>
      <c r="C4450" s="163" t="s">
        <v>8712</v>
      </c>
      <c r="D4450" s="163" t="s">
        <v>8713</v>
      </c>
      <c r="E4450" s="164" t="n">
        <v>5000</v>
      </c>
      <c r="F4450" s="165" t="s">
        <v>8714</v>
      </c>
    </row>
    <row r="4451" customFormat="false" ht="15" hidden="false" customHeight="true" outlineLevel="0" collapsed="false">
      <c r="A4451" s="163" t="s">
        <v>3044</v>
      </c>
      <c r="B4451" s="163" t="s">
        <v>894</v>
      </c>
      <c r="C4451" s="163" t="s">
        <v>4226</v>
      </c>
      <c r="D4451" s="163" t="s">
        <v>4227</v>
      </c>
      <c r="E4451" s="164" t="n">
        <v>5000</v>
      </c>
      <c r="F4451" s="165" t="s">
        <v>8715</v>
      </c>
    </row>
    <row r="4452" customFormat="false" ht="15" hidden="false" customHeight="true" outlineLevel="0" collapsed="false">
      <c r="A4452" s="163" t="s">
        <v>3044</v>
      </c>
      <c r="B4452" s="163" t="s">
        <v>894</v>
      </c>
      <c r="C4452" s="163" t="s">
        <v>4648</v>
      </c>
      <c r="D4452" s="163" t="s">
        <v>4649</v>
      </c>
      <c r="E4452" s="164" t="n">
        <v>5000</v>
      </c>
      <c r="F4452" s="165" t="s">
        <v>8716</v>
      </c>
    </row>
    <row r="4453" customFormat="false" ht="15" hidden="false" customHeight="true" outlineLevel="0" collapsed="false">
      <c r="A4453" s="163" t="s">
        <v>3044</v>
      </c>
      <c r="B4453" s="163" t="s">
        <v>894</v>
      </c>
      <c r="C4453" s="163" t="s">
        <v>3808</v>
      </c>
      <c r="D4453" s="163" t="s">
        <v>3809</v>
      </c>
      <c r="E4453" s="164" t="n">
        <v>5000</v>
      </c>
      <c r="F4453" s="165" t="s">
        <v>8638</v>
      </c>
    </row>
    <row r="4454" customFormat="false" ht="15" hidden="false" customHeight="true" outlineLevel="0" collapsed="false">
      <c r="A4454" s="163" t="s">
        <v>3044</v>
      </c>
      <c r="B4454" s="163" t="s">
        <v>882</v>
      </c>
      <c r="C4454" s="163" t="s">
        <v>640</v>
      </c>
      <c r="D4454" s="163" t="s">
        <v>1931</v>
      </c>
      <c r="E4454" s="164" t="n">
        <v>50000</v>
      </c>
      <c r="F4454" s="165" t="s">
        <v>8638</v>
      </c>
    </row>
    <row r="4455" customFormat="false" ht="15" hidden="false" customHeight="true" outlineLevel="0" collapsed="false">
      <c r="A4455" s="163" t="s">
        <v>3044</v>
      </c>
      <c r="B4455" s="163" t="s">
        <v>882</v>
      </c>
      <c r="C4455" s="163" t="s">
        <v>8717</v>
      </c>
      <c r="D4455" s="163" t="s">
        <v>8718</v>
      </c>
      <c r="E4455" s="164" t="n">
        <v>40000</v>
      </c>
      <c r="F4455" s="165" t="s">
        <v>8719</v>
      </c>
    </row>
    <row r="4456" customFormat="false" ht="15" hidden="false" customHeight="true" outlineLevel="0" collapsed="false">
      <c r="A4456" s="163" t="s">
        <v>3044</v>
      </c>
      <c r="B4456" s="163" t="s">
        <v>882</v>
      </c>
      <c r="C4456" s="163" t="s">
        <v>273</v>
      </c>
      <c r="D4456" s="163" t="s">
        <v>1891</v>
      </c>
      <c r="E4456" s="164" t="n">
        <v>30000</v>
      </c>
      <c r="F4456" s="165" t="s">
        <v>8638</v>
      </c>
    </row>
    <row r="4457" customFormat="false" ht="15" hidden="false" customHeight="true" outlineLevel="0" collapsed="false">
      <c r="A4457" s="163" t="s">
        <v>3044</v>
      </c>
      <c r="B4457" s="163" t="s">
        <v>882</v>
      </c>
      <c r="C4457" s="163" t="s">
        <v>8720</v>
      </c>
      <c r="D4457" s="163" t="s">
        <v>8721</v>
      </c>
      <c r="E4457" s="164" t="n">
        <v>25000</v>
      </c>
      <c r="F4457" s="165" t="s">
        <v>8722</v>
      </c>
    </row>
    <row r="4458" customFormat="false" ht="15" hidden="false" customHeight="true" outlineLevel="0" collapsed="false">
      <c r="A4458" s="163" t="s">
        <v>3044</v>
      </c>
      <c r="B4458" s="163" t="s">
        <v>882</v>
      </c>
      <c r="C4458" s="163" t="s">
        <v>8723</v>
      </c>
      <c r="D4458" s="163" t="s">
        <v>8724</v>
      </c>
      <c r="E4458" s="164" t="n">
        <v>20000</v>
      </c>
      <c r="F4458" s="165" t="s">
        <v>8725</v>
      </c>
    </row>
    <row r="4459" customFormat="false" ht="15" hidden="false" customHeight="true" outlineLevel="0" collapsed="false">
      <c r="A4459" s="163" t="s">
        <v>3044</v>
      </c>
      <c r="B4459" s="163" t="s">
        <v>882</v>
      </c>
      <c r="C4459" s="163" t="s">
        <v>4735</v>
      </c>
      <c r="D4459" s="163" t="s">
        <v>4736</v>
      </c>
      <c r="E4459" s="164" t="n">
        <v>20000</v>
      </c>
      <c r="F4459" s="165" t="s">
        <v>8726</v>
      </c>
    </row>
    <row r="4460" customFormat="false" ht="15" hidden="false" customHeight="true" outlineLevel="0" collapsed="false">
      <c r="A4460" s="163" t="s">
        <v>3044</v>
      </c>
      <c r="B4460" s="163" t="s">
        <v>882</v>
      </c>
      <c r="C4460" s="163" t="s">
        <v>5343</v>
      </c>
      <c r="D4460" s="163" t="s">
        <v>5344</v>
      </c>
      <c r="E4460" s="164" t="n">
        <v>20000</v>
      </c>
      <c r="F4460" s="165" t="s">
        <v>8727</v>
      </c>
    </row>
    <row r="4461" customFormat="false" ht="15" hidden="false" customHeight="true" outlineLevel="0" collapsed="false">
      <c r="A4461" s="163" t="s">
        <v>3044</v>
      </c>
      <c r="B4461" s="163" t="s">
        <v>882</v>
      </c>
      <c r="C4461" s="163" t="s">
        <v>3939</v>
      </c>
      <c r="D4461" s="163" t="s">
        <v>3940</v>
      </c>
      <c r="E4461" s="164" t="n">
        <v>10000</v>
      </c>
      <c r="F4461" s="165" t="s">
        <v>8728</v>
      </c>
    </row>
    <row r="4462" customFormat="false" ht="15" hidden="false" customHeight="true" outlineLevel="0" collapsed="false">
      <c r="A4462" s="163" t="s">
        <v>3044</v>
      </c>
      <c r="B4462" s="163" t="s">
        <v>882</v>
      </c>
      <c r="C4462" s="163" t="s">
        <v>240</v>
      </c>
      <c r="D4462" s="163" t="s">
        <v>2418</v>
      </c>
      <c r="E4462" s="164" t="n">
        <v>10000</v>
      </c>
      <c r="F4462" s="165" t="s">
        <v>8638</v>
      </c>
    </row>
    <row r="4463" customFormat="false" ht="15" hidden="false" customHeight="true" outlineLevel="0" collapsed="false">
      <c r="A4463" s="163" t="s">
        <v>3044</v>
      </c>
      <c r="B4463" s="163" t="s">
        <v>2328</v>
      </c>
      <c r="C4463" s="163" t="s">
        <v>8717</v>
      </c>
      <c r="D4463" s="163" t="s">
        <v>8718</v>
      </c>
      <c r="E4463" s="164" t="n">
        <v>30000</v>
      </c>
      <c r="F4463" s="165" t="s">
        <v>8729</v>
      </c>
    </row>
    <row r="4464" customFormat="false" ht="15" hidden="false" customHeight="true" outlineLevel="0" collapsed="false">
      <c r="A4464" s="163" t="s">
        <v>3044</v>
      </c>
      <c r="B4464" s="163" t="s">
        <v>2328</v>
      </c>
      <c r="C4464" s="163" t="s">
        <v>8730</v>
      </c>
      <c r="D4464" s="163" t="s">
        <v>8731</v>
      </c>
      <c r="E4464" s="164" t="n">
        <v>20000</v>
      </c>
      <c r="F4464" s="165" t="s">
        <v>8732</v>
      </c>
    </row>
    <row r="4465" customFormat="false" ht="15" hidden="false" customHeight="true" outlineLevel="0" collapsed="false">
      <c r="A4465" s="163" t="s">
        <v>3044</v>
      </c>
      <c r="B4465" s="163" t="s">
        <v>1743</v>
      </c>
      <c r="C4465" s="163" t="s">
        <v>1169</v>
      </c>
      <c r="D4465" s="163" t="s">
        <v>2801</v>
      </c>
      <c r="E4465" s="164" t="n">
        <v>30000</v>
      </c>
      <c r="F4465" s="165" t="s">
        <v>8690</v>
      </c>
    </row>
    <row r="4466" customFormat="false" ht="15" hidden="false" customHeight="true" outlineLevel="0" collapsed="false">
      <c r="A4466" s="163" t="s">
        <v>3044</v>
      </c>
      <c r="B4466" s="163" t="s">
        <v>1743</v>
      </c>
      <c r="C4466" s="163" t="s">
        <v>3567</v>
      </c>
      <c r="D4466" s="163" t="s">
        <v>3568</v>
      </c>
      <c r="E4466" s="164" t="n">
        <v>10000</v>
      </c>
      <c r="F4466" s="165" t="s">
        <v>8643</v>
      </c>
    </row>
    <row r="4467" customFormat="false" ht="15" hidden="false" customHeight="true" outlineLevel="0" collapsed="false">
      <c r="A4467" s="163" t="s">
        <v>3044</v>
      </c>
      <c r="B4467" s="163" t="s">
        <v>1743</v>
      </c>
      <c r="C4467" s="163" t="s">
        <v>4017</v>
      </c>
      <c r="D4467" s="163" t="s">
        <v>4018</v>
      </c>
      <c r="E4467" s="164" t="n">
        <v>10000</v>
      </c>
      <c r="F4467" s="165" t="s">
        <v>8733</v>
      </c>
    </row>
    <row r="4468" customFormat="false" ht="15" hidden="false" customHeight="true" outlineLevel="0" collapsed="false">
      <c r="A4468" s="163" t="s">
        <v>3044</v>
      </c>
      <c r="B4468" s="163" t="s">
        <v>1743</v>
      </c>
      <c r="C4468" s="163" t="s">
        <v>4017</v>
      </c>
      <c r="D4468" s="163" t="s">
        <v>4018</v>
      </c>
      <c r="E4468" s="164" t="n">
        <v>10000</v>
      </c>
      <c r="F4468" s="165" t="s">
        <v>8644</v>
      </c>
    </row>
    <row r="4469" customFormat="false" ht="15" hidden="false" customHeight="true" outlineLevel="0" collapsed="false">
      <c r="A4469" s="163" t="s">
        <v>3044</v>
      </c>
      <c r="B4469" s="163" t="s">
        <v>1743</v>
      </c>
      <c r="C4469" s="163" t="s">
        <v>1169</v>
      </c>
      <c r="D4469" s="163" t="s">
        <v>2801</v>
      </c>
      <c r="E4469" s="164" t="n">
        <v>10000</v>
      </c>
      <c r="F4469" s="165" t="s">
        <v>8649</v>
      </c>
    </row>
    <row r="4470" customFormat="false" ht="15" hidden="false" customHeight="true" outlineLevel="0" collapsed="false">
      <c r="A4470" s="163" t="s">
        <v>3044</v>
      </c>
      <c r="B4470" s="163" t="s">
        <v>1743</v>
      </c>
      <c r="C4470" s="163" t="s">
        <v>8639</v>
      </c>
      <c r="D4470" s="163" t="s">
        <v>8640</v>
      </c>
      <c r="E4470" s="164" t="n">
        <v>10000</v>
      </c>
      <c r="F4470" s="165" t="s">
        <v>8650</v>
      </c>
    </row>
    <row r="4471" customFormat="false" ht="15" hidden="false" customHeight="true" outlineLevel="0" collapsed="false">
      <c r="A4471" s="163" t="s">
        <v>3044</v>
      </c>
      <c r="B4471" s="163" t="s">
        <v>928</v>
      </c>
      <c r="C4471" s="163" t="s">
        <v>2167</v>
      </c>
      <c r="D4471" s="163" t="s">
        <v>1931</v>
      </c>
      <c r="E4471" s="164" t="n">
        <v>20000</v>
      </c>
      <c r="F4471" s="165" t="s">
        <v>3060</v>
      </c>
    </row>
    <row r="4472" customFormat="false" ht="15" hidden="false" customHeight="true" outlineLevel="0" collapsed="false">
      <c r="A4472" s="163" t="s">
        <v>3044</v>
      </c>
      <c r="B4472" s="163" t="s">
        <v>928</v>
      </c>
      <c r="C4472" s="163" t="s">
        <v>3317</v>
      </c>
      <c r="D4472" s="163" t="s">
        <v>3318</v>
      </c>
      <c r="E4472" s="164" t="n">
        <v>15000</v>
      </c>
      <c r="F4472" s="165" t="s">
        <v>8638</v>
      </c>
    </row>
    <row r="4473" customFormat="false" ht="15" hidden="false" customHeight="true" outlineLevel="0" collapsed="false">
      <c r="A4473" s="163" t="s">
        <v>3044</v>
      </c>
      <c r="B4473" s="163" t="s">
        <v>928</v>
      </c>
      <c r="C4473" s="163" t="s">
        <v>481</v>
      </c>
      <c r="D4473" s="163" t="s">
        <v>2411</v>
      </c>
      <c r="E4473" s="164" t="n">
        <v>15000</v>
      </c>
      <c r="F4473" s="165" t="s">
        <v>8734</v>
      </c>
    </row>
    <row r="4474" customFormat="false" ht="15" hidden="false" customHeight="true" outlineLevel="0" collapsed="false">
      <c r="A4474" s="163" t="s">
        <v>3044</v>
      </c>
      <c r="B4474" s="163" t="s">
        <v>928</v>
      </c>
      <c r="C4474" s="163" t="s">
        <v>4848</v>
      </c>
      <c r="D4474" s="163" t="s">
        <v>4849</v>
      </c>
      <c r="E4474" s="164" t="n">
        <v>10000</v>
      </c>
      <c r="F4474" s="165" t="s">
        <v>8638</v>
      </c>
    </row>
    <row r="4475" customFormat="false" ht="15" hidden="false" customHeight="true" outlineLevel="0" collapsed="false">
      <c r="A4475" s="163" t="s">
        <v>3044</v>
      </c>
      <c r="B4475" s="163" t="s">
        <v>928</v>
      </c>
      <c r="C4475" s="163" t="s">
        <v>4269</v>
      </c>
      <c r="D4475" s="163" t="s">
        <v>4270</v>
      </c>
      <c r="E4475" s="164" t="n">
        <v>10000</v>
      </c>
      <c r="F4475" s="165" t="s">
        <v>8638</v>
      </c>
    </row>
    <row r="4476" customFormat="false" ht="15" hidden="false" customHeight="true" outlineLevel="0" collapsed="false">
      <c r="A4476" s="163" t="s">
        <v>3044</v>
      </c>
      <c r="B4476" s="163" t="s">
        <v>928</v>
      </c>
      <c r="C4476" s="163" t="s">
        <v>8735</v>
      </c>
      <c r="D4476" s="163" t="s">
        <v>8736</v>
      </c>
      <c r="E4476" s="164" t="n">
        <v>10000</v>
      </c>
      <c r="F4476" s="165" t="s">
        <v>8638</v>
      </c>
    </row>
    <row r="4477" customFormat="false" ht="15" hidden="false" customHeight="true" outlineLevel="0" collapsed="false">
      <c r="A4477" s="163" t="s">
        <v>3044</v>
      </c>
      <c r="B4477" s="163" t="s">
        <v>928</v>
      </c>
      <c r="C4477" s="163" t="s">
        <v>4287</v>
      </c>
      <c r="D4477" s="163" t="s">
        <v>4288</v>
      </c>
      <c r="E4477" s="164" t="n">
        <v>10000</v>
      </c>
      <c r="F4477" s="165" t="s">
        <v>8638</v>
      </c>
    </row>
    <row r="4478" customFormat="false" ht="15" hidden="false" customHeight="true" outlineLevel="0" collapsed="false">
      <c r="A4478" s="163" t="s">
        <v>3044</v>
      </c>
      <c r="B4478" s="163" t="s">
        <v>928</v>
      </c>
      <c r="C4478" s="163" t="s">
        <v>8702</v>
      </c>
      <c r="D4478" s="163" t="s">
        <v>8703</v>
      </c>
      <c r="E4478" s="164" t="n">
        <v>10000</v>
      </c>
      <c r="F4478" s="165" t="s">
        <v>8638</v>
      </c>
    </row>
    <row r="4479" customFormat="false" ht="15" hidden="false" customHeight="true" outlineLevel="0" collapsed="false">
      <c r="A4479" s="163" t="s">
        <v>3044</v>
      </c>
      <c r="B4479" s="163" t="s">
        <v>928</v>
      </c>
      <c r="C4479" s="163" t="s">
        <v>4669</v>
      </c>
      <c r="D4479" s="163" t="s">
        <v>4670</v>
      </c>
      <c r="E4479" s="164" t="n">
        <v>10000</v>
      </c>
      <c r="F4479" s="165" t="s">
        <v>8638</v>
      </c>
    </row>
    <row r="4480" customFormat="false" ht="15" hidden="false" customHeight="true" outlineLevel="0" collapsed="false">
      <c r="A4480" s="163" t="s">
        <v>3044</v>
      </c>
      <c r="B4480" s="163" t="s">
        <v>928</v>
      </c>
      <c r="C4480" s="163" t="s">
        <v>4777</v>
      </c>
      <c r="D4480" s="163" t="s">
        <v>4778</v>
      </c>
      <c r="E4480" s="164" t="n">
        <v>10000</v>
      </c>
      <c r="F4480" s="165" t="s">
        <v>8737</v>
      </c>
    </row>
    <row r="4481" customFormat="false" ht="15" hidden="false" customHeight="true" outlineLevel="0" collapsed="false">
      <c r="A4481" s="163" t="s">
        <v>3044</v>
      </c>
      <c r="B4481" s="163" t="s">
        <v>928</v>
      </c>
      <c r="C4481" s="163" t="s">
        <v>360</v>
      </c>
      <c r="D4481" s="163" t="s">
        <v>2685</v>
      </c>
      <c r="E4481" s="164" t="n">
        <v>5000</v>
      </c>
      <c r="F4481" s="165" t="s">
        <v>8738</v>
      </c>
    </row>
    <row r="4482" customFormat="false" ht="15" hidden="false" customHeight="true" outlineLevel="0" collapsed="false">
      <c r="A4482" s="163" t="s">
        <v>3044</v>
      </c>
      <c r="B4482" s="163" t="s">
        <v>928</v>
      </c>
      <c r="C4482" s="163" t="s">
        <v>8739</v>
      </c>
      <c r="D4482" s="163" t="s">
        <v>8740</v>
      </c>
      <c r="E4482" s="164" t="n">
        <v>5000</v>
      </c>
      <c r="F4482" s="165" t="s">
        <v>8741</v>
      </c>
    </row>
    <row r="4483" customFormat="false" ht="15" hidden="false" customHeight="true" outlineLevel="0" collapsed="false">
      <c r="A4483" s="163" t="s">
        <v>3044</v>
      </c>
      <c r="B4483" s="163" t="s">
        <v>928</v>
      </c>
      <c r="C4483" s="163" t="s">
        <v>8742</v>
      </c>
      <c r="D4483" s="163" t="s">
        <v>8743</v>
      </c>
      <c r="E4483" s="164" t="n">
        <v>5000</v>
      </c>
      <c r="F4483" s="165" t="s">
        <v>8638</v>
      </c>
    </row>
    <row r="4484" customFormat="false" ht="15" hidden="false" customHeight="true" outlineLevel="0" collapsed="false">
      <c r="A4484" s="163" t="s">
        <v>3044</v>
      </c>
      <c r="B4484" s="163" t="s">
        <v>928</v>
      </c>
      <c r="C4484" s="163" t="s">
        <v>3989</v>
      </c>
      <c r="D4484" s="163" t="s">
        <v>3990</v>
      </c>
      <c r="E4484" s="164" t="n">
        <v>5000</v>
      </c>
      <c r="F4484" s="165" t="s">
        <v>8638</v>
      </c>
    </row>
    <row r="4485" customFormat="false" ht="15" hidden="false" customHeight="true" outlineLevel="0" collapsed="false">
      <c r="A4485" s="163" t="s">
        <v>3044</v>
      </c>
      <c r="B4485" s="163" t="s">
        <v>928</v>
      </c>
      <c r="C4485" s="163" t="s">
        <v>8744</v>
      </c>
      <c r="D4485" s="163" t="s">
        <v>8745</v>
      </c>
      <c r="E4485" s="164" t="n">
        <v>5000</v>
      </c>
      <c r="F4485" s="165" t="s">
        <v>8638</v>
      </c>
    </row>
    <row r="4486" customFormat="false" ht="15" hidden="false" customHeight="true" outlineLevel="0" collapsed="false">
      <c r="A4486" s="163" t="s">
        <v>3044</v>
      </c>
      <c r="B4486" s="163" t="s">
        <v>928</v>
      </c>
      <c r="C4486" s="163" t="s">
        <v>8746</v>
      </c>
      <c r="D4486" s="163" t="s">
        <v>8747</v>
      </c>
      <c r="E4486" s="164" t="n">
        <v>5000</v>
      </c>
      <c r="F4486" s="165" t="s">
        <v>3060</v>
      </c>
    </row>
    <row r="4487" customFormat="false" ht="15" hidden="false" customHeight="true" outlineLevel="0" collapsed="false">
      <c r="A4487" s="163" t="s">
        <v>3034</v>
      </c>
      <c r="B4487" s="163" t="s">
        <v>926</v>
      </c>
      <c r="C4487" s="163" t="s">
        <v>3334</v>
      </c>
      <c r="D4487" s="163" t="s">
        <v>3335</v>
      </c>
      <c r="E4487" s="164" t="n">
        <v>40000</v>
      </c>
      <c r="F4487" s="165" t="s">
        <v>3060</v>
      </c>
    </row>
    <row r="4488" customFormat="false" ht="15" hidden="false" customHeight="true" outlineLevel="0" collapsed="false">
      <c r="A4488" s="163" t="s">
        <v>3034</v>
      </c>
      <c r="B4488" s="163" t="s">
        <v>926</v>
      </c>
      <c r="C4488" s="163" t="s">
        <v>8748</v>
      </c>
      <c r="D4488" s="163" t="s">
        <v>8749</v>
      </c>
      <c r="E4488" s="164" t="n">
        <v>20000</v>
      </c>
      <c r="F4488" s="165" t="s">
        <v>3060</v>
      </c>
    </row>
    <row r="4489" customFormat="false" ht="15" hidden="false" customHeight="true" outlineLevel="0" collapsed="false">
      <c r="A4489" s="163" t="s">
        <v>3034</v>
      </c>
      <c r="B4489" s="163" t="s">
        <v>926</v>
      </c>
      <c r="C4489" s="163" t="s">
        <v>3063</v>
      </c>
      <c r="D4489" s="163" t="s">
        <v>3064</v>
      </c>
      <c r="E4489" s="164" t="n">
        <v>20000</v>
      </c>
      <c r="F4489" s="165" t="s">
        <v>3060</v>
      </c>
    </row>
    <row r="4490" customFormat="false" ht="15" hidden="false" customHeight="true" outlineLevel="0" collapsed="false">
      <c r="A4490" s="163" t="s">
        <v>3034</v>
      </c>
      <c r="B4490" s="163" t="s">
        <v>926</v>
      </c>
      <c r="C4490" s="163" t="s">
        <v>3061</v>
      </c>
      <c r="D4490" s="163" t="s">
        <v>3062</v>
      </c>
      <c r="E4490" s="164" t="n">
        <v>10000</v>
      </c>
      <c r="F4490" s="165" t="s">
        <v>3060</v>
      </c>
    </row>
    <row r="4491" customFormat="false" ht="15" hidden="false" customHeight="true" outlineLevel="0" collapsed="false">
      <c r="A4491" s="163" t="s">
        <v>3034</v>
      </c>
      <c r="B4491" s="163" t="s">
        <v>926</v>
      </c>
      <c r="C4491" s="163" t="s">
        <v>3145</v>
      </c>
      <c r="D4491" s="163" t="s">
        <v>3146</v>
      </c>
      <c r="E4491" s="164" t="n">
        <v>10000</v>
      </c>
      <c r="F4491" s="165" t="s">
        <v>3060</v>
      </c>
    </row>
    <row r="4492" customFormat="false" ht="15" hidden="false" customHeight="true" outlineLevel="0" collapsed="false">
      <c r="A4492" s="163" t="s">
        <v>3034</v>
      </c>
      <c r="B4492" s="163" t="s">
        <v>957</v>
      </c>
      <c r="C4492" s="163" t="s">
        <v>8205</v>
      </c>
      <c r="D4492" s="163" t="s">
        <v>8206</v>
      </c>
      <c r="E4492" s="164" t="n">
        <v>17500</v>
      </c>
      <c r="F4492" s="165" t="s">
        <v>8750</v>
      </c>
    </row>
    <row r="4493" customFormat="false" ht="15" hidden="false" customHeight="true" outlineLevel="0" collapsed="false">
      <c r="A4493" s="163" t="s">
        <v>3034</v>
      </c>
      <c r="B4493" s="163" t="s">
        <v>957</v>
      </c>
      <c r="C4493" s="163" t="s">
        <v>4332</v>
      </c>
      <c r="D4493" s="163" t="s">
        <v>4333</v>
      </c>
      <c r="E4493" s="164" t="n">
        <v>11500</v>
      </c>
      <c r="F4493" s="165" t="s">
        <v>8751</v>
      </c>
    </row>
    <row r="4494" customFormat="false" ht="15" hidden="false" customHeight="true" outlineLevel="0" collapsed="false">
      <c r="A4494" s="163" t="s">
        <v>3034</v>
      </c>
      <c r="B4494" s="163" t="s">
        <v>957</v>
      </c>
      <c r="C4494" s="163" t="s">
        <v>4632</v>
      </c>
      <c r="D4494" s="163" t="s">
        <v>4633</v>
      </c>
      <c r="E4494" s="164" t="n">
        <v>10000</v>
      </c>
      <c r="F4494" s="165" t="s">
        <v>8752</v>
      </c>
    </row>
    <row r="4495" customFormat="false" ht="15" hidden="false" customHeight="true" outlineLevel="0" collapsed="false">
      <c r="A4495" s="163" t="s">
        <v>3034</v>
      </c>
      <c r="B4495" s="163" t="s">
        <v>957</v>
      </c>
      <c r="C4495" s="163" t="s">
        <v>4420</v>
      </c>
      <c r="D4495" s="163" t="s">
        <v>4421</v>
      </c>
      <c r="E4495" s="164" t="n">
        <v>10000</v>
      </c>
      <c r="F4495" s="165" t="s">
        <v>8752</v>
      </c>
    </row>
    <row r="4496" customFormat="false" ht="15" hidden="false" customHeight="true" outlineLevel="0" collapsed="false">
      <c r="A4496" s="163" t="s">
        <v>3034</v>
      </c>
      <c r="B4496" s="163" t="s">
        <v>957</v>
      </c>
      <c r="C4496" s="163" t="s">
        <v>4346</v>
      </c>
      <c r="D4496" s="163" t="s">
        <v>4347</v>
      </c>
      <c r="E4496" s="164" t="n">
        <v>10000</v>
      </c>
      <c r="F4496" s="165" t="s">
        <v>8753</v>
      </c>
    </row>
    <row r="4497" customFormat="false" ht="15" hidden="false" customHeight="true" outlineLevel="0" collapsed="false">
      <c r="A4497" s="163" t="s">
        <v>3034</v>
      </c>
      <c r="B4497" s="163" t="s">
        <v>957</v>
      </c>
      <c r="C4497" s="163" t="s">
        <v>1264</v>
      </c>
      <c r="D4497" s="163" t="s">
        <v>2227</v>
      </c>
      <c r="E4497" s="164" t="n">
        <v>8000</v>
      </c>
      <c r="F4497" s="165" t="s">
        <v>8752</v>
      </c>
    </row>
    <row r="4498" customFormat="false" ht="15" hidden="false" customHeight="true" outlineLevel="0" collapsed="false">
      <c r="A4498" s="163" t="s">
        <v>3034</v>
      </c>
      <c r="B4498" s="163" t="s">
        <v>957</v>
      </c>
      <c r="C4498" s="163" t="s">
        <v>3114</v>
      </c>
      <c r="D4498" s="163" t="s">
        <v>3115</v>
      </c>
      <c r="E4498" s="164" t="n">
        <v>7500</v>
      </c>
      <c r="F4498" s="165" t="s">
        <v>8754</v>
      </c>
    </row>
    <row r="4499" customFormat="false" ht="15" hidden="false" customHeight="true" outlineLevel="0" collapsed="false">
      <c r="A4499" s="163" t="s">
        <v>3034</v>
      </c>
      <c r="B4499" s="163" t="s">
        <v>957</v>
      </c>
      <c r="C4499" s="163" t="s">
        <v>3114</v>
      </c>
      <c r="D4499" s="163" t="s">
        <v>3115</v>
      </c>
      <c r="E4499" s="164" t="n">
        <v>7500</v>
      </c>
      <c r="F4499" s="165" t="s">
        <v>8755</v>
      </c>
    </row>
    <row r="4500" customFormat="false" ht="15" hidden="false" customHeight="true" outlineLevel="0" collapsed="false">
      <c r="A4500" s="163" t="s">
        <v>3034</v>
      </c>
      <c r="B4500" s="163" t="s">
        <v>957</v>
      </c>
      <c r="C4500" s="163" t="s">
        <v>3085</v>
      </c>
      <c r="D4500" s="163" t="s">
        <v>3086</v>
      </c>
      <c r="E4500" s="164" t="n">
        <v>7000</v>
      </c>
      <c r="F4500" s="165" t="s">
        <v>8756</v>
      </c>
    </row>
    <row r="4501" customFormat="false" ht="15" hidden="false" customHeight="true" outlineLevel="0" collapsed="false">
      <c r="A4501" s="163" t="s">
        <v>3034</v>
      </c>
      <c r="B4501" s="163" t="s">
        <v>957</v>
      </c>
      <c r="C4501" s="163" t="s">
        <v>5786</v>
      </c>
      <c r="D4501" s="163" t="s">
        <v>5787</v>
      </c>
      <c r="E4501" s="164" t="n">
        <v>6000</v>
      </c>
      <c r="F4501" s="165" t="s">
        <v>8757</v>
      </c>
    </row>
    <row r="4502" customFormat="false" ht="15" hidden="false" customHeight="true" outlineLevel="0" collapsed="false">
      <c r="A4502" s="163" t="s">
        <v>3034</v>
      </c>
      <c r="B4502" s="163" t="s">
        <v>957</v>
      </c>
      <c r="C4502" s="163" t="s">
        <v>3219</v>
      </c>
      <c r="D4502" s="163" t="s">
        <v>3220</v>
      </c>
      <c r="E4502" s="164" t="n">
        <v>5000</v>
      </c>
      <c r="F4502" s="165" t="s">
        <v>8758</v>
      </c>
    </row>
    <row r="4503" customFormat="false" ht="15" hidden="false" customHeight="true" outlineLevel="0" collapsed="false">
      <c r="A4503" s="163" t="s">
        <v>3034</v>
      </c>
      <c r="B4503" s="163" t="s">
        <v>957</v>
      </c>
      <c r="C4503" s="163" t="s">
        <v>4904</v>
      </c>
      <c r="D4503" s="163" t="s">
        <v>4905</v>
      </c>
      <c r="E4503" s="164" t="n">
        <v>5000</v>
      </c>
      <c r="F4503" s="165" t="s">
        <v>3060</v>
      </c>
    </row>
    <row r="4504" customFormat="false" ht="15" hidden="false" customHeight="true" outlineLevel="0" collapsed="false">
      <c r="A4504" s="163" t="s">
        <v>3034</v>
      </c>
      <c r="B4504" s="163" t="s">
        <v>957</v>
      </c>
      <c r="C4504" s="163" t="s">
        <v>8205</v>
      </c>
      <c r="D4504" s="163" t="s">
        <v>8206</v>
      </c>
      <c r="E4504" s="164" t="n">
        <v>5000</v>
      </c>
      <c r="F4504" s="165" t="s">
        <v>8759</v>
      </c>
    </row>
    <row r="4505" customFormat="false" ht="15" hidden="false" customHeight="true" outlineLevel="0" collapsed="false">
      <c r="A4505" s="163" t="s">
        <v>3034</v>
      </c>
      <c r="B4505" s="163" t="s">
        <v>945</v>
      </c>
      <c r="C4505" s="163" t="s">
        <v>3180</v>
      </c>
      <c r="D4505" s="163" t="s">
        <v>3181</v>
      </c>
      <c r="E4505" s="164" t="n">
        <v>5000</v>
      </c>
      <c r="F4505" s="165" t="s">
        <v>8752</v>
      </c>
    </row>
    <row r="4506" customFormat="false" ht="15" hidden="false" customHeight="true" outlineLevel="0" collapsed="false">
      <c r="A4506" s="163" t="s">
        <v>3034</v>
      </c>
      <c r="B4506" s="163" t="s">
        <v>945</v>
      </c>
      <c r="C4506" s="163" t="s">
        <v>4749</v>
      </c>
      <c r="D4506" s="163" t="s">
        <v>4750</v>
      </c>
      <c r="E4506" s="164" t="n">
        <v>5000</v>
      </c>
      <c r="F4506" s="165" t="s">
        <v>8752</v>
      </c>
    </row>
    <row r="4507" customFormat="false" ht="15" hidden="false" customHeight="true" outlineLevel="0" collapsed="false">
      <c r="A4507" s="163" t="s">
        <v>3034</v>
      </c>
      <c r="B4507" s="163" t="s">
        <v>945</v>
      </c>
      <c r="C4507" s="163" t="s">
        <v>5812</v>
      </c>
      <c r="D4507" s="163" t="s">
        <v>5813</v>
      </c>
      <c r="E4507" s="164" t="n">
        <v>5000</v>
      </c>
      <c r="F4507" s="165" t="s">
        <v>8752</v>
      </c>
    </row>
    <row r="4508" customFormat="false" ht="15" hidden="false" customHeight="true" outlineLevel="0" collapsed="false">
      <c r="A4508" s="163" t="s">
        <v>3034</v>
      </c>
      <c r="B4508" s="163" t="s">
        <v>945</v>
      </c>
      <c r="C4508" s="163" t="s">
        <v>925</v>
      </c>
      <c r="D4508" s="163" t="s">
        <v>1931</v>
      </c>
      <c r="E4508" s="164" t="n">
        <v>5000</v>
      </c>
      <c r="F4508" s="165" t="s">
        <v>5918</v>
      </c>
    </row>
    <row r="4509" customFormat="false" ht="15" hidden="false" customHeight="true" outlineLevel="0" collapsed="false">
      <c r="A4509" s="163" t="s">
        <v>3034</v>
      </c>
      <c r="B4509" s="163" t="s">
        <v>945</v>
      </c>
      <c r="C4509" s="163" t="s">
        <v>925</v>
      </c>
      <c r="D4509" s="163" t="s">
        <v>1931</v>
      </c>
      <c r="E4509" s="164" t="n">
        <v>2500</v>
      </c>
      <c r="F4509" s="165" t="s">
        <v>8760</v>
      </c>
    </row>
    <row r="4510" customFormat="false" ht="15" hidden="false" customHeight="true" outlineLevel="0" collapsed="false">
      <c r="A4510" s="163" t="s">
        <v>3034</v>
      </c>
      <c r="B4510" s="163" t="s">
        <v>945</v>
      </c>
      <c r="C4510" s="163" t="s">
        <v>925</v>
      </c>
      <c r="D4510" s="163" t="s">
        <v>1931</v>
      </c>
      <c r="E4510" s="164" t="n">
        <v>2500</v>
      </c>
      <c r="F4510" s="165" t="s">
        <v>8761</v>
      </c>
    </row>
    <row r="4511" customFormat="false" ht="15" hidden="false" customHeight="true" outlineLevel="0" collapsed="false">
      <c r="A4511" s="163" t="s">
        <v>3034</v>
      </c>
      <c r="B4511" s="163" t="s">
        <v>3111</v>
      </c>
      <c r="C4511" s="163" t="s">
        <v>8255</v>
      </c>
      <c r="D4511" s="163" t="s">
        <v>8256</v>
      </c>
      <c r="E4511" s="164" t="n">
        <v>15000</v>
      </c>
      <c r="F4511" s="165" t="s">
        <v>8752</v>
      </c>
    </row>
    <row r="4512" customFormat="false" ht="15" hidden="false" customHeight="true" outlineLevel="0" collapsed="false">
      <c r="A4512" s="163" t="s">
        <v>3034</v>
      </c>
      <c r="B4512" s="163" t="s">
        <v>3111</v>
      </c>
      <c r="C4512" s="163" t="s">
        <v>4714</v>
      </c>
      <c r="D4512" s="163" t="s">
        <v>4715</v>
      </c>
      <c r="E4512" s="164" t="n">
        <v>15000</v>
      </c>
      <c r="F4512" s="165" t="s">
        <v>8752</v>
      </c>
    </row>
    <row r="4513" customFormat="false" ht="15" hidden="false" customHeight="true" outlineLevel="0" collapsed="false">
      <c r="A4513" s="163" t="s">
        <v>3034</v>
      </c>
      <c r="B4513" s="163" t="s">
        <v>3111</v>
      </c>
      <c r="C4513" s="163" t="s">
        <v>4287</v>
      </c>
      <c r="D4513" s="163" t="s">
        <v>4288</v>
      </c>
      <c r="E4513" s="164" t="n">
        <v>10000</v>
      </c>
      <c r="F4513" s="165" t="s">
        <v>8762</v>
      </c>
    </row>
    <row r="4514" customFormat="false" ht="15" hidden="false" customHeight="true" outlineLevel="0" collapsed="false">
      <c r="A4514" s="163" t="s">
        <v>3034</v>
      </c>
      <c r="B4514" s="163" t="s">
        <v>3111</v>
      </c>
      <c r="C4514" s="163" t="s">
        <v>3163</v>
      </c>
      <c r="D4514" s="163" t="s">
        <v>3164</v>
      </c>
      <c r="E4514" s="164" t="n">
        <v>10000</v>
      </c>
      <c r="F4514" s="165" t="s">
        <v>8763</v>
      </c>
    </row>
    <row r="4515" customFormat="false" ht="15" hidden="false" customHeight="true" outlineLevel="0" collapsed="false">
      <c r="A4515" s="163" t="s">
        <v>3034</v>
      </c>
      <c r="B4515" s="163" t="s">
        <v>3111</v>
      </c>
      <c r="C4515" s="163" t="s">
        <v>5327</v>
      </c>
      <c r="D4515" s="163" t="s">
        <v>5328</v>
      </c>
      <c r="E4515" s="164" t="n">
        <v>10000</v>
      </c>
      <c r="F4515" s="165" t="s">
        <v>3060</v>
      </c>
    </row>
    <row r="4516" customFormat="false" ht="15" hidden="false" customHeight="true" outlineLevel="0" collapsed="false">
      <c r="A4516" s="163" t="s">
        <v>3034</v>
      </c>
      <c r="B4516" s="163" t="s">
        <v>3111</v>
      </c>
      <c r="C4516" s="163" t="s">
        <v>395</v>
      </c>
      <c r="D4516" s="163" t="s">
        <v>2196</v>
      </c>
      <c r="E4516" s="164" t="n">
        <v>10000</v>
      </c>
      <c r="F4516" s="165" t="s">
        <v>3060</v>
      </c>
    </row>
    <row r="4517" customFormat="false" ht="15" hidden="false" customHeight="true" outlineLevel="0" collapsed="false">
      <c r="A4517" s="163" t="s">
        <v>3034</v>
      </c>
      <c r="B4517" s="163" t="s">
        <v>3111</v>
      </c>
      <c r="C4517" s="163" t="s">
        <v>4628</v>
      </c>
      <c r="D4517" s="163" t="s">
        <v>4629</v>
      </c>
      <c r="E4517" s="164" t="n">
        <v>10000</v>
      </c>
      <c r="F4517" s="165" t="s">
        <v>3060</v>
      </c>
    </row>
    <row r="4518" customFormat="false" ht="15" hidden="false" customHeight="true" outlineLevel="0" collapsed="false">
      <c r="A4518" s="163" t="s">
        <v>3034</v>
      </c>
      <c r="B4518" s="163" t="s">
        <v>3111</v>
      </c>
      <c r="C4518" s="163" t="s">
        <v>7542</v>
      </c>
      <c r="D4518" s="163" t="s">
        <v>7543</v>
      </c>
      <c r="E4518" s="164" t="n">
        <v>10000</v>
      </c>
      <c r="F4518" s="165" t="s">
        <v>8752</v>
      </c>
    </row>
    <row r="4519" customFormat="false" ht="15" hidden="false" customHeight="true" outlineLevel="0" collapsed="false">
      <c r="A4519" s="163" t="s">
        <v>3034</v>
      </c>
      <c r="B4519" s="163" t="s">
        <v>3111</v>
      </c>
      <c r="C4519" s="163" t="s">
        <v>5071</v>
      </c>
      <c r="D4519" s="163" t="s">
        <v>5072</v>
      </c>
      <c r="E4519" s="164" t="n">
        <v>10000</v>
      </c>
      <c r="F4519" s="165" t="s">
        <v>3060</v>
      </c>
    </row>
    <row r="4520" customFormat="false" ht="15" hidden="false" customHeight="true" outlineLevel="0" collapsed="false">
      <c r="A4520" s="163" t="s">
        <v>3034</v>
      </c>
      <c r="B4520" s="163" t="s">
        <v>1938</v>
      </c>
      <c r="C4520" s="163" t="s">
        <v>3139</v>
      </c>
      <c r="D4520" s="163" t="s">
        <v>3140</v>
      </c>
      <c r="E4520" s="164" t="n">
        <v>20000</v>
      </c>
      <c r="F4520" s="165" t="s">
        <v>3060</v>
      </c>
    </row>
    <row r="4521" customFormat="false" ht="15" hidden="false" customHeight="true" outlineLevel="0" collapsed="false">
      <c r="A4521" s="163" t="s">
        <v>3034</v>
      </c>
      <c r="B4521" s="163" t="s">
        <v>1938</v>
      </c>
      <c r="C4521" s="163" t="s">
        <v>6462</v>
      </c>
      <c r="D4521" s="163" t="s">
        <v>6463</v>
      </c>
      <c r="E4521" s="164" t="n">
        <v>20000</v>
      </c>
      <c r="F4521" s="165" t="s">
        <v>3060</v>
      </c>
    </row>
    <row r="4522" customFormat="false" ht="15" hidden="false" customHeight="true" outlineLevel="0" collapsed="false">
      <c r="A4522" s="163" t="s">
        <v>3034</v>
      </c>
      <c r="B4522" s="163" t="s">
        <v>1938</v>
      </c>
      <c r="C4522" s="163" t="s">
        <v>8764</v>
      </c>
      <c r="D4522" s="163" t="s">
        <v>8765</v>
      </c>
      <c r="E4522" s="164" t="n">
        <v>20000</v>
      </c>
      <c r="F4522" s="165" t="s">
        <v>3060</v>
      </c>
    </row>
    <row r="4523" customFormat="false" ht="15" hidden="false" customHeight="true" outlineLevel="0" collapsed="false">
      <c r="A4523" s="163" t="s">
        <v>3034</v>
      </c>
      <c r="B4523" s="163" t="s">
        <v>1938</v>
      </c>
      <c r="C4523" s="163" t="s">
        <v>6200</v>
      </c>
      <c r="D4523" s="163" t="s">
        <v>6201</v>
      </c>
      <c r="E4523" s="164" t="n">
        <v>20000</v>
      </c>
      <c r="F4523" s="165" t="s">
        <v>3060</v>
      </c>
    </row>
    <row r="4524" customFormat="false" ht="15" hidden="false" customHeight="true" outlineLevel="0" collapsed="false">
      <c r="A4524" s="163" t="s">
        <v>3034</v>
      </c>
      <c r="B4524" s="163" t="s">
        <v>1938</v>
      </c>
      <c r="C4524" s="163" t="s">
        <v>6203</v>
      </c>
      <c r="D4524" s="163" t="s">
        <v>6204</v>
      </c>
      <c r="E4524" s="164" t="n">
        <v>20000</v>
      </c>
      <c r="F4524" s="165" t="s">
        <v>3060</v>
      </c>
    </row>
    <row r="4525" customFormat="false" ht="15" hidden="false" customHeight="true" outlineLevel="0" collapsed="false">
      <c r="A4525" s="163" t="s">
        <v>3034</v>
      </c>
      <c r="B4525" s="163" t="s">
        <v>1938</v>
      </c>
      <c r="C4525" s="163" t="s">
        <v>431</v>
      </c>
      <c r="D4525" s="163" t="s">
        <v>2678</v>
      </c>
      <c r="E4525" s="164" t="n">
        <v>20000</v>
      </c>
      <c r="F4525" s="165" t="s">
        <v>3060</v>
      </c>
    </row>
    <row r="4526" customFormat="false" ht="15" hidden="false" customHeight="true" outlineLevel="0" collapsed="false">
      <c r="A4526" s="163" t="s">
        <v>3034</v>
      </c>
      <c r="B4526" s="163" t="s">
        <v>1938</v>
      </c>
      <c r="C4526" s="163" t="s">
        <v>3831</v>
      </c>
      <c r="D4526" s="163" t="s">
        <v>3832</v>
      </c>
      <c r="E4526" s="164" t="n">
        <v>20000</v>
      </c>
      <c r="F4526" s="165" t="s">
        <v>3060</v>
      </c>
    </row>
    <row r="4527" customFormat="false" ht="15" hidden="false" customHeight="true" outlineLevel="0" collapsed="false">
      <c r="A4527" s="163" t="s">
        <v>3034</v>
      </c>
      <c r="B4527" s="163" t="s">
        <v>1938</v>
      </c>
      <c r="C4527" s="163" t="s">
        <v>8766</v>
      </c>
      <c r="D4527" s="163" t="s">
        <v>8767</v>
      </c>
      <c r="E4527" s="164" t="n">
        <v>20000</v>
      </c>
      <c r="F4527" s="165" t="s">
        <v>3060</v>
      </c>
    </row>
    <row r="4528" customFormat="false" ht="15" hidden="false" customHeight="true" outlineLevel="0" collapsed="false">
      <c r="A4528" s="163" t="s">
        <v>3034</v>
      </c>
      <c r="B4528" s="163" t="s">
        <v>1938</v>
      </c>
      <c r="C4528" s="163" t="s">
        <v>4303</v>
      </c>
      <c r="D4528" s="163" t="s">
        <v>4304</v>
      </c>
      <c r="E4528" s="164" t="n">
        <v>20000</v>
      </c>
      <c r="F4528" s="165" t="s">
        <v>3060</v>
      </c>
    </row>
    <row r="4529" customFormat="false" ht="15" hidden="false" customHeight="true" outlineLevel="0" collapsed="false">
      <c r="A4529" s="163" t="s">
        <v>3034</v>
      </c>
      <c r="B4529" s="163" t="s">
        <v>1938</v>
      </c>
      <c r="C4529" s="163" t="s">
        <v>3141</v>
      </c>
      <c r="D4529" s="163" t="s">
        <v>3142</v>
      </c>
      <c r="E4529" s="164" t="n">
        <v>20000</v>
      </c>
      <c r="F4529" s="165" t="s">
        <v>3060</v>
      </c>
    </row>
    <row r="4530" customFormat="false" ht="15" hidden="false" customHeight="true" outlineLevel="0" collapsed="false">
      <c r="A4530" s="163" t="s">
        <v>3034</v>
      </c>
      <c r="B4530" s="163" t="s">
        <v>1938</v>
      </c>
      <c r="C4530" s="163" t="s">
        <v>3141</v>
      </c>
      <c r="D4530" s="163" t="s">
        <v>3142</v>
      </c>
      <c r="E4530" s="164" t="n">
        <v>20000</v>
      </c>
      <c r="F4530" s="165" t="s">
        <v>3060</v>
      </c>
    </row>
    <row r="4531" customFormat="false" ht="15" hidden="false" customHeight="true" outlineLevel="0" collapsed="false">
      <c r="A4531" s="163" t="s">
        <v>3034</v>
      </c>
      <c r="B4531" s="163" t="s">
        <v>1938</v>
      </c>
      <c r="C4531" s="163" t="s">
        <v>3141</v>
      </c>
      <c r="D4531" s="163" t="s">
        <v>3142</v>
      </c>
      <c r="E4531" s="164" t="n">
        <v>20000</v>
      </c>
      <c r="F4531" s="165" t="s">
        <v>3060</v>
      </c>
    </row>
    <row r="4532" customFormat="false" ht="15" hidden="false" customHeight="true" outlineLevel="0" collapsed="false">
      <c r="A4532" s="163" t="s">
        <v>3034</v>
      </c>
      <c r="B4532" s="163" t="s">
        <v>1938</v>
      </c>
      <c r="C4532" s="163" t="s">
        <v>5152</v>
      </c>
      <c r="D4532" s="163" t="s">
        <v>5153</v>
      </c>
      <c r="E4532" s="164" t="n">
        <v>20000</v>
      </c>
      <c r="F4532" s="165" t="s">
        <v>3060</v>
      </c>
    </row>
    <row r="4533" customFormat="false" ht="15" hidden="false" customHeight="true" outlineLevel="0" collapsed="false">
      <c r="A4533" s="163" t="s">
        <v>3034</v>
      </c>
      <c r="B4533" s="163" t="s">
        <v>1938</v>
      </c>
      <c r="C4533" s="163" t="s">
        <v>3831</v>
      </c>
      <c r="D4533" s="163" t="s">
        <v>3832</v>
      </c>
      <c r="E4533" s="164" t="n">
        <v>20000</v>
      </c>
      <c r="F4533" s="165" t="s">
        <v>3060</v>
      </c>
    </row>
    <row r="4534" customFormat="false" ht="15" hidden="false" customHeight="true" outlineLevel="0" collapsed="false">
      <c r="A4534" s="163" t="s">
        <v>3034</v>
      </c>
      <c r="B4534" s="163" t="s">
        <v>1938</v>
      </c>
      <c r="C4534" s="163" t="s">
        <v>3831</v>
      </c>
      <c r="D4534" s="163" t="s">
        <v>3832</v>
      </c>
      <c r="E4534" s="164" t="n">
        <v>20000</v>
      </c>
      <c r="F4534" s="165" t="s">
        <v>3060</v>
      </c>
    </row>
    <row r="4535" customFormat="false" ht="15" hidden="false" customHeight="true" outlineLevel="0" collapsed="false">
      <c r="A4535" s="163" t="s">
        <v>3034</v>
      </c>
      <c r="B4535" s="163" t="s">
        <v>1938</v>
      </c>
      <c r="C4535" s="163" t="s">
        <v>353</v>
      </c>
      <c r="D4535" s="163" t="s">
        <v>2667</v>
      </c>
      <c r="E4535" s="164" t="n">
        <v>20000</v>
      </c>
      <c r="F4535" s="165" t="s">
        <v>3060</v>
      </c>
    </row>
    <row r="4536" customFormat="false" ht="15" hidden="false" customHeight="true" outlineLevel="0" collapsed="false">
      <c r="A4536" s="163" t="s">
        <v>3034</v>
      </c>
      <c r="B4536" s="163" t="s">
        <v>1938</v>
      </c>
      <c r="C4536" s="163" t="s">
        <v>6982</v>
      </c>
      <c r="D4536" s="163" t="s">
        <v>6983</v>
      </c>
      <c r="E4536" s="164" t="n">
        <v>20000</v>
      </c>
      <c r="F4536" s="165" t="s">
        <v>3060</v>
      </c>
    </row>
    <row r="4537" customFormat="false" ht="15" hidden="false" customHeight="true" outlineLevel="0" collapsed="false">
      <c r="A4537" s="163" t="s">
        <v>3034</v>
      </c>
      <c r="B4537" s="163" t="s">
        <v>691</v>
      </c>
      <c r="C4537" s="163" t="s">
        <v>4874</v>
      </c>
      <c r="D4537" s="163" t="s">
        <v>4875</v>
      </c>
      <c r="E4537" s="164" t="n">
        <v>20000</v>
      </c>
      <c r="F4537" s="165" t="s">
        <v>3060</v>
      </c>
    </row>
    <row r="4538" customFormat="false" ht="15" hidden="false" customHeight="true" outlineLevel="0" collapsed="false">
      <c r="A4538" s="163" t="s">
        <v>3034</v>
      </c>
      <c r="B4538" s="163" t="s">
        <v>691</v>
      </c>
      <c r="C4538" s="163" t="s">
        <v>4597</v>
      </c>
      <c r="D4538" s="163" t="s">
        <v>4598</v>
      </c>
      <c r="E4538" s="164" t="n">
        <v>20000</v>
      </c>
      <c r="F4538" s="165" t="s">
        <v>3060</v>
      </c>
    </row>
    <row r="4539" customFormat="false" ht="15" hidden="false" customHeight="true" outlineLevel="0" collapsed="false">
      <c r="A4539" s="163" t="s">
        <v>3034</v>
      </c>
      <c r="B4539" s="163" t="s">
        <v>691</v>
      </c>
      <c r="C4539" s="163" t="s">
        <v>431</v>
      </c>
      <c r="D4539" s="163" t="s">
        <v>2678</v>
      </c>
      <c r="E4539" s="164" t="n">
        <v>20000</v>
      </c>
      <c r="F4539" s="165" t="s">
        <v>3060</v>
      </c>
    </row>
    <row r="4540" customFormat="false" ht="15" hidden="false" customHeight="true" outlineLevel="0" collapsed="false">
      <c r="A4540" s="163" t="s">
        <v>3034</v>
      </c>
      <c r="B4540" s="163" t="s">
        <v>691</v>
      </c>
      <c r="C4540" s="163" t="s">
        <v>8768</v>
      </c>
      <c r="D4540" s="163" t="s">
        <v>8769</v>
      </c>
      <c r="E4540" s="164" t="n">
        <v>15000</v>
      </c>
      <c r="F4540" s="165" t="s">
        <v>3060</v>
      </c>
    </row>
    <row r="4541" customFormat="false" ht="15" hidden="false" customHeight="true" outlineLevel="0" collapsed="false">
      <c r="A4541" s="163" t="s">
        <v>3034</v>
      </c>
      <c r="B4541" s="163" t="s">
        <v>691</v>
      </c>
      <c r="C4541" s="163" t="s">
        <v>8255</v>
      </c>
      <c r="D4541" s="163" t="s">
        <v>8256</v>
      </c>
      <c r="E4541" s="164" t="n">
        <v>15000</v>
      </c>
      <c r="F4541" s="165" t="s">
        <v>3060</v>
      </c>
    </row>
    <row r="4542" customFormat="false" ht="15" hidden="false" customHeight="true" outlineLevel="0" collapsed="false">
      <c r="A4542" s="163" t="s">
        <v>3034</v>
      </c>
      <c r="B4542" s="163" t="s">
        <v>691</v>
      </c>
      <c r="C4542" s="163" t="s">
        <v>408</v>
      </c>
      <c r="D4542" s="163" t="s">
        <v>2082</v>
      </c>
      <c r="E4542" s="164" t="n">
        <v>15000</v>
      </c>
      <c r="F4542" s="165" t="s">
        <v>3060</v>
      </c>
    </row>
    <row r="4543" customFormat="false" ht="15" hidden="false" customHeight="true" outlineLevel="0" collapsed="false">
      <c r="A4543" s="163" t="s">
        <v>3034</v>
      </c>
      <c r="B4543" s="163" t="s">
        <v>691</v>
      </c>
      <c r="C4543" s="163" t="s">
        <v>328</v>
      </c>
      <c r="D4543" s="163" t="s">
        <v>2660</v>
      </c>
      <c r="E4543" s="164" t="n">
        <v>10000</v>
      </c>
      <c r="F4543" s="165" t="s">
        <v>3060</v>
      </c>
    </row>
    <row r="4544" customFormat="false" ht="15" hidden="false" customHeight="true" outlineLevel="0" collapsed="false">
      <c r="A4544" s="163" t="s">
        <v>3034</v>
      </c>
      <c r="B4544" s="163" t="s">
        <v>691</v>
      </c>
      <c r="C4544" s="163" t="s">
        <v>8748</v>
      </c>
      <c r="D4544" s="163" t="s">
        <v>8749</v>
      </c>
      <c r="E4544" s="164" t="n">
        <v>10000</v>
      </c>
      <c r="F4544" s="165" t="s">
        <v>3060</v>
      </c>
    </row>
    <row r="4545" customFormat="false" ht="15" hidden="false" customHeight="true" outlineLevel="0" collapsed="false">
      <c r="A4545" s="163" t="s">
        <v>3034</v>
      </c>
      <c r="B4545" s="163" t="s">
        <v>691</v>
      </c>
      <c r="C4545" s="163" t="s">
        <v>5847</v>
      </c>
      <c r="D4545" s="163" t="s">
        <v>5848</v>
      </c>
      <c r="E4545" s="164" t="n">
        <v>10000</v>
      </c>
      <c r="F4545" s="165" t="s">
        <v>3060</v>
      </c>
    </row>
    <row r="4546" customFormat="false" ht="15" hidden="false" customHeight="true" outlineLevel="0" collapsed="false">
      <c r="A4546" s="163" t="s">
        <v>3034</v>
      </c>
      <c r="B4546" s="163" t="s">
        <v>691</v>
      </c>
      <c r="C4546" s="163" t="s">
        <v>4566</v>
      </c>
      <c r="D4546" s="163" t="s">
        <v>4567</v>
      </c>
      <c r="E4546" s="164" t="n">
        <v>10000</v>
      </c>
      <c r="F4546" s="165" t="s">
        <v>3060</v>
      </c>
    </row>
    <row r="4547" customFormat="false" ht="15" hidden="false" customHeight="true" outlineLevel="0" collapsed="false">
      <c r="A4547" s="163" t="s">
        <v>3034</v>
      </c>
      <c r="B4547" s="163" t="s">
        <v>2027</v>
      </c>
      <c r="C4547" s="163" t="s">
        <v>360</v>
      </c>
      <c r="D4547" s="163" t="s">
        <v>2685</v>
      </c>
      <c r="E4547" s="164" t="n">
        <v>30000</v>
      </c>
      <c r="F4547" s="165" t="s">
        <v>3060</v>
      </c>
    </row>
    <row r="4548" customFormat="false" ht="15" hidden="false" customHeight="true" outlineLevel="0" collapsed="false">
      <c r="A4548" s="163" t="s">
        <v>3034</v>
      </c>
      <c r="B4548" s="163" t="s">
        <v>2027</v>
      </c>
      <c r="C4548" s="163" t="s">
        <v>4427</v>
      </c>
      <c r="D4548" s="163" t="s">
        <v>4428</v>
      </c>
      <c r="E4548" s="164" t="n">
        <v>20000</v>
      </c>
      <c r="F4548" s="165" t="s">
        <v>3060</v>
      </c>
    </row>
    <row r="4549" customFormat="false" ht="15" hidden="false" customHeight="true" outlineLevel="0" collapsed="false">
      <c r="A4549" s="163" t="s">
        <v>3034</v>
      </c>
      <c r="B4549" s="163" t="s">
        <v>2027</v>
      </c>
      <c r="C4549" s="163" t="s">
        <v>4692</v>
      </c>
      <c r="D4549" s="163" t="s">
        <v>4693</v>
      </c>
      <c r="E4549" s="164" t="n">
        <v>20000</v>
      </c>
      <c r="F4549" s="165" t="s">
        <v>3060</v>
      </c>
    </row>
    <row r="4550" customFormat="false" ht="15" hidden="false" customHeight="true" outlineLevel="0" collapsed="false">
      <c r="A4550" s="163" t="s">
        <v>3034</v>
      </c>
      <c r="B4550" s="163" t="s">
        <v>2027</v>
      </c>
      <c r="C4550" s="163" t="s">
        <v>8205</v>
      </c>
      <c r="D4550" s="163" t="s">
        <v>8206</v>
      </c>
      <c r="E4550" s="164" t="n">
        <v>20000</v>
      </c>
      <c r="F4550" s="165" t="s">
        <v>3060</v>
      </c>
    </row>
    <row r="4551" customFormat="false" ht="15" hidden="false" customHeight="true" outlineLevel="0" collapsed="false">
      <c r="A4551" s="163" t="s">
        <v>3034</v>
      </c>
      <c r="B4551" s="163" t="s">
        <v>2037</v>
      </c>
      <c r="C4551" s="163" t="s">
        <v>4173</v>
      </c>
      <c r="D4551" s="163" t="s">
        <v>4174</v>
      </c>
      <c r="E4551" s="164" t="n">
        <v>35000</v>
      </c>
      <c r="F4551" s="165" t="s">
        <v>3060</v>
      </c>
    </row>
    <row r="4552" customFormat="false" ht="15" hidden="false" customHeight="true" outlineLevel="0" collapsed="false">
      <c r="A4552" s="163" t="s">
        <v>3034</v>
      </c>
      <c r="B4552" s="163" t="s">
        <v>2037</v>
      </c>
      <c r="C4552" s="163" t="s">
        <v>3622</v>
      </c>
      <c r="D4552" s="163" t="s">
        <v>3623</v>
      </c>
      <c r="E4552" s="164" t="n">
        <v>20000</v>
      </c>
      <c r="F4552" s="165" t="s">
        <v>3060</v>
      </c>
    </row>
    <row r="4553" customFormat="false" ht="15" hidden="false" customHeight="true" outlineLevel="0" collapsed="false">
      <c r="A4553" s="163" t="s">
        <v>3034</v>
      </c>
      <c r="B4553" s="163" t="s">
        <v>2037</v>
      </c>
      <c r="C4553" s="163" t="s">
        <v>372</v>
      </c>
      <c r="D4553" s="163" t="s">
        <v>2692</v>
      </c>
      <c r="E4553" s="164" t="n">
        <v>20000</v>
      </c>
      <c r="F4553" s="165" t="s">
        <v>3060</v>
      </c>
    </row>
    <row r="4554" customFormat="false" ht="15" hidden="false" customHeight="true" outlineLevel="0" collapsed="false">
      <c r="A4554" s="163" t="s">
        <v>3034</v>
      </c>
      <c r="B4554" s="163" t="s">
        <v>2037</v>
      </c>
      <c r="C4554" s="163" t="s">
        <v>3170</v>
      </c>
      <c r="D4554" s="163" t="s">
        <v>3171</v>
      </c>
      <c r="E4554" s="164" t="n">
        <v>18000</v>
      </c>
      <c r="F4554" s="165" t="s">
        <v>3060</v>
      </c>
    </row>
    <row r="4555" customFormat="false" ht="15" hidden="false" customHeight="true" outlineLevel="0" collapsed="false">
      <c r="A4555" s="163" t="s">
        <v>3034</v>
      </c>
      <c r="B4555" s="163" t="s">
        <v>2037</v>
      </c>
      <c r="C4555" s="163" t="s">
        <v>6947</v>
      </c>
      <c r="D4555" s="163" t="s">
        <v>6948</v>
      </c>
      <c r="E4555" s="164" t="n">
        <v>10000</v>
      </c>
      <c r="F4555" s="165" t="s">
        <v>3060</v>
      </c>
    </row>
    <row r="4556" customFormat="false" ht="15" hidden="false" customHeight="true" outlineLevel="0" collapsed="false">
      <c r="A4556" s="163" t="s">
        <v>3034</v>
      </c>
      <c r="B4556" s="163" t="s">
        <v>2037</v>
      </c>
      <c r="C4556" s="163" t="s">
        <v>3771</v>
      </c>
      <c r="D4556" s="163" t="s">
        <v>3772</v>
      </c>
      <c r="E4556" s="164" t="n">
        <v>10000</v>
      </c>
      <c r="F4556" s="165" t="s">
        <v>3060</v>
      </c>
    </row>
    <row r="4557" customFormat="false" ht="15" hidden="false" customHeight="true" outlineLevel="0" collapsed="false">
      <c r="A4557" s="163" t="s">
        <v>3034</v>
      </c>
      <c r="B4557" s="163" t="s">
        <v>2037</v>
      </c>
      <c r="C4557" s="163" t="s">
        <v>5220</v>
      </c>
      <c r="D4557" s="163" t="s">
        <v>5221</v>
      </c>
      <c r="E4557" s="164" t="n">
        <v>10000</v>
      </c>
      <c r="F4557" s="165" t="s">
        <v>3060</v>
      </c>
    </row>
    <row r="4558" customFormat="false" ht="15" hidden="false" customHeight="true" outlineLevel="0" collapsed="false">
      <c r="A4558" s="163" t="s">
        <v>3034</v>
      </c>
      <c r="B4558" s="163" t="s">
        <v>2037</v>
      </c>
      <c r="C4558" s="163" t="s">
        <v>4910</v>
      </c>
      <c r="D4558" s="163" t="s">
        <v>4911</v>
      </c>
      <c r="E4558" s="164" t="n">
        <v>10000</v>
      </c>
      <c r="F4558" s="165" t="s">
        <v>3060</v>
      </c>
    </row>
    <row r="4559" customFormat="false" ht="15" hidden="false" customHeight="true" outlineLevel="0" collapsed="false">
      <c r="A4559" s="163" t="s">
        <v>3034</v>
      </c>
      <c r="B4559" s="163" t="s">
        <v>894</v>
      </c>
      <c r="C4559" s="163" t="s">
        <v>8255</v>
      </c>
      <c r="D4559" s="163" t="s">
        <v>8256</v>
      </c>
      <c r="E4559" s="164" t="n">
        <v>25000</v>
      </c>
      <c r="F4559" s="165" t="s">
        <v>8752</v>
      </c>
    </row>
    <row r="4560" customFormat="false" ht="15" hidden="false" customHeight="true" outlineLevel="0" collapsed="false">
      <c r="A4560" s="163" t="s">
        <v>3034</v>
      </c>
      <c r="B4560" s="163" t="s">
        <v>894</v>
      </c>
      <c r="C4560" s="163" t="s">
        <v>452</v>
      </c>
      <c r="D4560" s="163" t="s">
        <v>2102</v>
      </c>
      <c r="E4560" s="164" t="n">
        <v>22500</v>
      </c>
      <c r="F4560" s="165" t="s">
        <v>8770</v>
      </c>
    </row>
    <row r="4561" customFormat="false" ht="15" hidden="false" customHeight="true" outlineLevel="0" collapsed="false">
      <c r="A4561" s="163" t="s">
        <v>3034</v>
      </c>
      <c r="B4561" s="163" t="s">
        <v>894</v>
      </c>
      <c r="C4561" s="163" t="s">
        <v>640</v>
      </c>
      <c r="D4561" s="163" t="s">
        <v>1931</v>
      </c>
      <c r="E4561" s="164" t="n">
        <v>17000</v>
      </c>
      <c r="F4561" s="165" t="s">
        <v>8771</v>
      </c>
    </row>
    <row r="4562" customFormat="false" ht="15" hidden="false" customHeight="true" outlineLevel="0" collapsed="false">
      <c r="A4562" s="163" t="s">
        <v>3034</v>
      </c>
      <c r="B4562" s="163" t="s">
        <v>894</v>
      </c>
      <c r="C4562" s="163" t="s">
        <v>3188</v>
      </c>
      <c r="D4562" s="163" t="s">
        <v>3189</v>
      </c>
      <c r="E4562" s="164" t="n">
        <v>10000</v>
      </c>
      <c r="F4562" s="165" t="s">
        <v>8772</v>
      </c>
    </row>
    <row r="4563" customFormat="false" ht="15" hidden="false" customHeight="true" outlineLevel="0" collapsed="false">
      <c r="A4563" s="163" t="s">
        <v>3034</v>
      </c>
      <c r="B4563" s="163" t="s">
        <v>894</v>
      </c>
      <c r="C4563" s="163" t="s">
        <v>8615</v>
      </c>
      <c r="D4563" s="163" t="s">
        <v>8616</v>
      </c>
      <c r="E4563" s="164" t="n">
        <v>10000</v>
      </c>
      <c r="F4563" s="165" t="s">
        <v>3060</v>
      </c>
    </row>
    <row r="4564" customFormat="false" ht="15" hidden="false" customHeight="true" outlineLevel="0" collapsed="false">
      <c r="A4564" s="163" t="s">
        <v>3034</v>
      </c>
      <c r="B4564" s="163" t="s">
        <v>894</v>
      </c>
      <c r="C4564" s="163" t="s">
        <v>1268</v>
      </c>
      <c r="D4564" s="163" t="s">
        <v>2426</v>
      </c>
      <c r="E4564" s="164" t="n">
        <v>10000</v>
      </c>
      <c r="F4564" s="165" t="s">
        <v>8773</v>
      </c>
    </row>
    <row r="4565" customFormat="false" ht="15" hidden="false" customHeight="true" outlineLevel="0" collapsed="false">
      <c r="A4565" s="163" t="s">
        <v>3034</v>
      </c>
      <c r="B4565" s="163" t="s">
        <v>894</v>
      </c>
      <c r="C4565" s="163" t="s">
        <v>4229</v>
      </c>
      <c r="D4565" s="163" t="s">
        <v>4230</v>
      </c>
      <c r="E4565" s="164" t="n">
        <v>10000</v>
      </c>
      <c r="F4565" s="165" t="s">
        <v>3060</v>
      </c>
    </row>
    <row r="4566" customFormat="false" ht="15" hidden="false" customHeight="true" outlineLevel="0" collapsed="false">
      <c r="A4566" s="163" t="s">
        <v>3034</v>
      </c>
      <c r="B4566" s="163" t="s">
        <v>894</v>
      </c>
      <c r="C4566" s="163" t="s">
        <v>8244</v>
      </c>
      <c r="D4566" s="163" t="s">
        <v>8245</v>
      </c>
      <c r="E4566" s="164" t="n">
        <v>10000</v>
      </c>
      <c r="F4566" s="165" t="s">
        <v>8774</v>
      </c>
    </row>
    <row r="4567" customFormat="false" ht="15" hidden="false" customHeight="true" outlineLevel="0" collapsed="false">
      <c r="A4567" s="163" t="s">
        <v>3034</v>
      </c>
      <c r="B4567" s="163" t="s">
        <v>894</v>
      </c>
      <c r="C4567" s="163" t="s">
        <v>8239</v>
      </c>
      <c r="D4567" s="163" t="s">
        <v>1931</v>
      </c>
      <c r="E4567" s="164" t="n">
        <v>10000</v>
      </c>
      <c r="F4567" s="165" t="s">
        <v>3060</v>
      </c>
    </row>
    <row r="4568" customFormat="false" ht="15" hidden="false" customHeight="true" outlineLevel="0" collapsed="false">
      <c r="A4568" s="163" t="s">
        <v>3034</v>
      </c>
      <c r="B4568" s="163" t="s">
        <v>894</v>
      </c>
      <c r="C4568" s="163" t="s">
        <v>5017</v>
      </c>
      <c r="D4568" s="163" t="s">
        <v>5018</v>
      </c>
      <c r="E4568" s="164" t="n">
        <v>10000</v>
      </c>
      <c r="F4568" s="165" t="s">
        <v>3060</v>
      </c>
    </row>
    <row r="4569" customFormat="false" ht="15" hidden="false" customHeight="true" outlineLevel="0" collapsed="false">
      <c r="A4569" s="163" t="s">
        <v>3034</v>
      </c>
      <c r="B4569" s="163" t="s">
        <v>894</v>
      </c>
      <c r="C4569" s="163" t="s">
        <v>230</v>
      </c>
      <c r="D4569" s="163" t="s">
        <v>2077</v>
      </c>
      <c r="E4569" s="164" t="n">
        <v>9500</v>
      </c>
      <c r="F4569" s="165" t="s">
        <v>8775</v>
      </c>
    </row>
    <row r="4570" customFormat="false" ht="15" hidden="false" customHeight="true" outlineLevel="0" collapsed="false">
      <c r="A4570" s="163" t="s">
        <v>3034</v>
      </c>
      <c r="B4570" s="163" t="s">
        <v>894</v>
      </c>
      <c r="C4570" s="163" t="s">
        <v>3334</v>
      </c>
      <c r="D4570" s="163" t="s">
        <v>3335</v>
      </c>
      <c r="E4570" s="164" t="n">
        <v>7500</v>
      </c>
      <c r="F4570" s="165" t="s">
        <v>8776</v>
      </c>
    </row>
    <row r="4571" customFormat="false" ht="15" hidden="false" customHeight="true" outlineLevel="0" collapsed="false">
      <c r="A4571" s="163" t="s">
        <v>3034</v>
      </c>
      <c r="B4571" s="163" t="s">
        <v>894</v>
      </c>
      <c r="C4571" s="163" t="s">
        <v>3085</v>
      </c>
      <c r="D4571" s="163" t="s">
        <v>3086</v>
      </c>
      <c r="E4571" s="164" t="n">
        <v>7500</v>
      </c>
      <c r="F4571" s="165" t="s">
        <v>8777</v>
      </c>
    </row>
    <row r="4572" customFormat="false" ht="15" hidden="false" customHeight="true" outlineLevel="0" collapsed="false">
      <c r="A4572" s="163" t="s">
        <v>3034</v>
      </c>
      <c r="B4572" s="163" t="s">
        <v>894</v>
      </c>
      <c r="C4572" s="163" t="s">
        <v>8778</v>
      </c>
      <c r="D4572" s="163" t="s">
        <v>8779</v>
      </c>
      <c r="E4572" s="164" t="n">
        <v>7500</v>
      </c>
      <c r="F4572" s="165" t="s">
        <v>3060</v>
      </c>
    </row>
    <row r="4573" customFormat="false" ht="15" hidden="false" customHeight="true" outlineLevel="0" collapsed="false">
      <c r="A4573" s="163" t="s">
        <v>3034</v>
      </c>
      <c r="B4573" s="163" t="s">
        <v>894</v>
      </c>
      <c r="C4573" s="163" t="s">
        <v>893</v>
      </c>
      <c r="D4573" s="163" t="s">
        <v>1931</v>
      </c>
      <c r="E4573" s="164" t="n">
        <v>7500</v>
      </c>
      <c r="F4573" s="165" t="s">
        <v>8780</v>
      </c>
    </row>
    <row r="4574" customFormat="false" ht="15" hidden="false" customHeight="true" outlineLevel="0" collapsed="false">
      <c r="A4574" s="163" t="s">
        <v>3034</v>
      </c>
      <c r="B4574" s="163" t="s">
        <v>894</v>
      </c>
      <c r="C4574" s="163" t="s">
        <v>893</v>
      </c>
      <c r="D4574" s="163" t="s">
        <v>1931</v>
      </c>
      <c r="E4574" s="164" t="n">
        <v>7500</v>
      </c>
      <c r="F4574" s="165" t="s">
        <v>8781</v>
      </c>
    </row>
    <row r="4575" customFormat="false" ht="15" hidden="false" customHeight="true" outlineLevel="0" collapsed="false">
      <c r="A4575" s="163" t="s">
        <v>3034</v>
      </c>
      <c r="B4575" s="163" t="s">
        <v>894</v>
      </c>
      <c r="C4575" s="163" t="s">
        <v>1245</v>
      </c>
      <c r="D4575" s="163" t="s">
        <v>2187</v>
      </c>
      <c r="E4575" s="164" t="n">
        <v>7500</v>
      </c>
      <c r="F4575" s="165" t="s">
        <v>8782</v>
      </c>
    </row>
    <row r="4576" customFormat="false" ht="15" hidden="false" customHeight="true" outlineLevel="0" collapsed="false">
      <c r="A4576" s="163" t="s">
        <v>3034</v>
      </c>
      <c r="B4576" s="163" t="s">
        <v>894</v>
      </c>
      <c r="C4576" s="163" t="s">
        <v>3061</v>
      </c>
      <c r="D4576" s="163" t="s">
        <v>3062</v>
      </c>
      <c r="E4576" s="164" t="n">
        <v>6000</v>
      </c>
      <c r="F4576" s="165" t="s">
        <v>8783</v>
      </c>
    </row>
    <row r="4577" customFormat="false" ht="15" hidden="false" customHeight="true" outlineLevel="0" collapsed="false">
      <c r="A4577" s="163" t="s">
        <v>3034</v>
      </c>
      <c r="B4577" s="163" t="s">
        <v>894</v>
      </c>
      <c r="C4577" s="163" t="s">
        <v>8748</v>
      </c>
      <c r="D4577" s="163" t="s">
        <v>8749</v>
      </c>
      <c r="E4577" s="164" t="n">
        <v>6000</v>
      </c>
      <c r="F4577" s="165" t="s">
        <v>8784</v>
      </c>
    </row>
    <row r="4578" customFormat="false" ht="15" hidden="false" customHeight="true" outlineLevel="0" collapsed="false">
      <c r="A4578" s="163" t="s">
        <v>3034</v>
      </c>
      <c r="B4578" s="163" t="s">
        <v>894</v>
      </c>
      <c r="C4578" s="163" t="s">
        <v>974</v>
      </c>
      <c r="D4578" s="163" t="s">
        <v>1931</v>
      </c>
      <c r="E4578" s="164" t="n">
        <v>6000</v>
      </c>
      <c r="F4578" s="165" t="s">
        <v>8785</v>
      </c>
    </row>
    <row r="4579" customFormat="false" ht="15" hidden="false" customHeight="true" outlineLevel="0" collapsed="false">
      <c r="A4579" s="163" t="s">
        <v>3034</v>
      </c>
      <c r="B4579" s="163" t="s">
        <v>894</v>
      </c>
      <c r="C4579" s="163" t="s">
        <v>473</v>
      </c>
      <c r="D4579" s="163" t="s">
        <v>2764</v>
      </c>
      <c r="E4579" s="164" t="n">
        <v>6000</v>
      </c>
      <c r="F4579" s="165" t="s">
        <v>8786</v>
      </c>
    </row>
    <row r="4580" customFormat="false" ht="15" hidden="false" customHeight="true" outlineLevel="0" collapsed="false">
      <c r="A4580" s="163" t="s">
        <v>3034</v>
      </c>
      <c r="B4580" s="163" t="s">
        <v>894</v>
      </c>
      <c r="C4580" s="163" t="s">
        <v>8787</v>
      </c>
      <c r="D4580" s="163" t="s">
        <v>8788</v>
      </c>
      <c r="E4580" s="164" t="n">
        <v>6000</v>
      </c>
      <c r="F4580" s="165" t="s">
        <v>8789</v>
      </c>
    </row>
    <row r="4581" customFormat="false" ht="15" hidden="false" customHeight="true" outlineLevel="0" collapsed="false">
      <c r="A4581" s="163" t="s">
        <v>3034</v>
      </c>
      <c r="B4581" s="163" t="s">
        <v>894</v>
      </c>
      <c r="C4581" s="163" t="s">
        <v>3317</v>
      </c>
      <c r="D4581" s="163" t="s">
        <v>3318</v>
      </c>
      <c r="E4581" s="164" t="n">
        <v>5500</v>
      </c>
      <c r="F4581" s="165" t="s">
        <v>8790</v>
      </c>
    </row>
    <row r="4582" customFormat="false" ht="15" hidden="false" customHeight="true" outlineLevel="0" collapsed="false">
      <c r="A4582" s="163" t="s">
        <v>3034</v>
      </c>
      <c r="B4582" s="163" t="s">
        <v>894</v>
      </c>
      <c r="C4582" s="163" t="s">
        <v>3939</v>
      </c>
      <c r="D4582" s="163" t="s">
        <v>3940</v>
      </c>
      <c r="E4582" s="164" t="n">
        <v>5500</v>
      </c>
      <c r="F4582" s="165" t="s">
        <v>8791</v>
      </c>
    </row>
    <row r="4583" customFormat="false" ht="15" hidden="false" customHeight="true" outlineLevel="0" collapsed="false">
      <c r="A4583" s="163" t="s">
        <v>3034</v>
      </c>
      <c r="B4583" s="163" t="s">
        <v>894</v>
      </c>
      <c r="C4583" s="163" t="s">
        <v>4478</v>
      </c>
      <c r="D4583" s="163" t="s">
        <v>4479</v>
      </c>
      <c r="E4583" s="164" t="n">
        <v>5000</v>
      </c>
      <c r="F4583" s="165" t="s">
        <v>8752</v>
      </c>
    </row>
    <row r="4584" customFormat="false" ht="15" hidden="false" customHeight="true" outlineLevel="0" collapsed="false">
      <c r="A4584" s="163" t="s">
        <v>3034</v>
      </c>
      <c r="B4584" s="163" t="s">
        <v>894</v>
      </c>
      <c r="C4584" s="163" t="s">
        <v>3155</v>
      </c>
      <c r="D4584" s="163" t="s">
        <v>3156</v>
      </c>
      <c r="E4584" s="164" t="n">
        <v>5000</v>
      </c>
      <c r="F4584" s="165" t="s">
        <v>8752</v>
      </c>
    </row>
    <row r="4585" customFormat="false" ht="15" hidden="false" customHeight="true" outlineLevel="0" collapsed="false">
      <c r="A4585" s="163" t="s">
        <v>3034</v>
      </c>
      <c r="B4585" s="163" t="s">
        <v>894</v>
      </c>
      <c r="C4585" s="163" t="s">
        <v>8792</v>
      </c>
      <c r="D4585" s="163" t="s">
        <v>8793</v>
      </c>
      <c r="E4585" s="164" t="n">
        <v>5000</v>
      </c>
      <c r="F4585" s="165" t="s">
        <v>8794</v>
      </c>
    </row>
    <row r="4586" customFormat="false" ht="15" hidden="false" customHeight="true" outlineLevel="0" collapsed="false">
      <c r="A4586" s="163" t="s">
        <v>3034</v>
      </c>
      <c r="B4586" s="163" t="s">
        <v>894</v>
      </c>
      <c r="C4586" s="163" t="s">
        <v>4488</v>
      </c>
      <c r="D4586" s="163" t="s">
        <v>4489</v>
      </c>
      <c r="E4586" s="164" t="n">
        <v>5000</v>
      </c>
      <c r="F4586" s="165" t="s">
        <v>8795</v>
      </c>
    </row>
    <row r="4587" customFormat="false" ht="15" hidden="false" customHeight="true" outlineLevel="0" collapsed="false">
      <c r="A4587" s="163" t="s">
        <v>3034</v>
      </c>
      <c r="B4587" s="163" t="s">
        <v>894</v>
      </c>
      <c r="C4587" s="163" t="s">
        <v>8768</v>
      </c>
      <c r="D4587" s="163" t="s">
        <v>8769</v>
      </c>
      <c r="E4587" s="164" t="n">
        <v>5000</v>
      </c>
      <c r="F4587" s="165" t="s">
        <v>3060</v>
      </c>
    </row>
    <row r="4588" customFormat="false" ht="15" hidden="false" customHeight="true" outlineLevel="0" collapsed="false">
      <c r="A4588" s="163" t="s">
        <v>3034</v>
      </c>
      <c r="B4588" s="163" t="s">
        <v>894</v>
      </c>
      <c r="C4588" s="163" t="s">
        <v>4597</v>
      </c>
      <c r="D4588" s="163" t="s">
        <v>4598</v>
      </c>
      <c r="E4588" s="164" t="n">
        <v>5000</v>
      </c>
      <c r="F4588" s="165" t="s">
        <v>8752</v>
      </c>
    </row>
    <row r="4589" customFormat="false" ht="15" hidden="false" customHeight="true" outlineLevel="0" collapsed="false">
      <c r="A4589" s="163" t="s">
        <v>3034</v>
      </c>
      <c r="B4589" s="163" t="s">
        <v>894</v>
      </c>
      <c r="C4589" s="163" t="s">
        <v>1109</v>
      </c>
      <c r="D4589" s="163" t="s">
        <v>3755</v>
      </c>
      <c r="E4589" s="164" t="n">
        <v>5000</v>
      </c>
      <c r="F4589" s="165" t="s">
        <v>8796</v>
      </c>
    </row>
    <row r="4590" customFormat="false" ht="15" hidden="false" customHeight="true" outlineLevel="0" collapsed="false">
      <c r="A4590" s="163" t="s">
        <v>3034</v>
      </c>
      <c r="B4590" s="163" t="s">
        <v>894</v>
      </c>
      <c r="C4590" s="163" t="s">
        <v>273</v>
      </c>
      <c r="D4590" s="163" t="s">
        <v>1891</v>
      </c>
      <c r="E4590" s="164" t="n">
        <v>5000</v>
      </c>
      <c r="F4590" s="165" t="s">
        <v>8752</v>
      </c>
    </row>
    <row r="4591" customFormat="false" ht="15" hidden="false" customHeight="true" outlineLevel="0" collapsed="false">
      <c r="A4591" s="163" t="s">
        <v>3034</v>
      </c>
      <c r="B4591" s="163" t="s">
        <v>894</v>
      </c>
      <c r="C4591" s="163" t="s">
        <v>3939</v>
      </c>
      <c r="D4591" s="163" t="s">
        <v>3940</v>
      </c>
      <c r="E4591" s="164" t="n">
        <v>5000</v>
      </c>
      <c r="F4591" s="165" t="s">
        <v>8797</v>
      </c>
    </row>
    <row r="4592" customFormat="false" ht="15" hidden="false" customHeight="true" outlineLevel="0" collapsed="false">
      <c r="A4592" s="163" t="s">
        <v>3034</v>
      </c>
      <c r="B4592" s="163" t="s">
        <v>894</v>
      </c>
      <c r="C4592" s="163" t="s">
        <v>8274</v>
      </c>
      <c r="D4592" s="163" t="s">
        <v>8275</v>
      </c>
      <c r="E4592" s="164" t="n">
        <v>5000</v>
      </c>
      <c r="F4592" s="165" t="s">
        <v>8752</v>
      </c>
    </row>
    <row r="4593" customFormat="false" ht="15" hidden="false" customHeight="true" outlineLevel="0" collapsed="false">
      <c r="A4593" s="163" t="s">
        <v>3034</v>
      </c>
      <c r="B4593" s="163" t="s">
        <v>894</v>
      </c>
      <c r="C4593" s="163" t="s">
        <v>431</v>
      </c>
      <c r="D4593" s="163" t="s">
        <v>2678</v>
      </c>
      <c r="E4593" s="164" t="n">
        <v>5000</v>
      </c>
      <c r="F4593" s="165" t="s">
        <v>8752</v>
      </c>
    </row>
    <row r="4594" customFormat="false" ht="15" hidden="false" customHeight="true" outlineLevel="0" collapsed="false">
      <c r="A4594" s="163" t="s">
        <v>3034</v>
      </c>
      <c r="B4594" s="163" t="s">
        <v>894</v>
      </c>
      <c r="C4594" s="163" t="s">
        <v>1202</v>
      </c>
      <c r="D4594" s="163" t="s">
        <v>2693</v>
      </c>
      <c r="E4594" s="164" t="n">
        <v>5000</v>
      </c>
      <c r="F4594" s="165" t="s">
        <v>8798</v>
      </c>
    </row>
    <row r="4595" customFormat="false" ht="15" hidden="false" customHeight="true" outlineLevel="0" collapsed="false">
      <c r="A4595" s="163" t="s">
        <v>3034</v>
      </c>
      <c r="B4595" s="163" t="s">
        <v>894</v>
      </c>
      <c r="C4595" s="163" t="s">
        <v>8272</v>
      </c>
      <c r="D4595" s="163" t="s">
        <v>8273</v>
      </c>
      <c r="E4595" s="164" t="n">
        <v>5000</v>
      </c>
      <c r="F4595" s="165" t="s">
        <v>8799</v>
      </c>
    </row>
    <row r="4596" customFormat="false" ht="15" hidden="false" customHeight="true" outlineLevel="0" collapsed="false">
      <c r="A4596" s="163" t="s">
        <v>3034</v>
      </c>
      <c r="B4596" s="163" t="s">
        <v>894</v>
      </c>
      <c r="C4596" s="163" t="s">
        <v>5026</v>
      </c>
      <c r="D4596" s="163" t="s">
        <v>5027</v>
      </c>
      <c r="E4596" s="164" t="n">
        <v>5000</v>
      </c>
      <c r="F4596" s="165" t="s">
        <v>3060</v>
      </c>
    </row>
    <row r="4597" customFormat="false" ht="15" hidden="false" customHeight="true" outlineLevel="0" collapsed="false">
      <c r="A4597" s="163" t="s">
        <v>3034</v>
      </c>
      <c r="B4597" s="163" t="s">
        <v>894</v>
      </c>
      <c r="C4597" s="163" t="s">
        <v>4692</v>
      </c>
      <c r="D4597" s="163" t="s">
        <v>4693</v>
      </c>
      <c r="E4597" s="164" t="n">
        <v>5000</v>
      </c>
      <c r="F4597" s="165" t="s">
        <v>8800</v>
      </c>
    </row>
    <row r="4598" customFormat="false" ht="15" hidden="false" customHeight="true" outlineLevel="0" collapsed="false">
      <c r="A4598" s="163" t="s">
        <v>3034</v>
      </c>
      <c r="B4598" s="163" t="s">
        <v>894</v>
      </c>
      <c r="C4598" s="163" t="s">
        <v>408</v>
      </c>
      <c r="D4598" s="163" t="s">
        <v>2082</v>
      </c>
      <c r="E4598" s="164" t="n">
        <v>5000</v>
      </c>
      <c r="F4598" s="165" t="s">
        <v>8752</v>
      </c>
    </row>
    <row r="4599" customFormat="false" ht="15" hidden="false" customHeight="true" outlineLevel="0" collapsed="false">
      <c r="A4599" s="163" t="s">
        <v>3034</v>
      </c>
      <c r="B4599" s="163" t="s">
        <v>894</v>
      </c>
      <c r="C4599" s="163" t="s">
        <v>4523</v>
      </c>
      <c r="D4599" s="163" t="s">
        <v>4524</v>
      </c>
      <c r="E4599" s="164" t="n">
        <v>5000</v>
      </c>
      <c r="F4599" s="165" t="s">
        <v>3060</v>
      </c>
    </row>
    <row r="4600" customFormat="false" ht="15" hidden="false" customHeight="true" outlineLevel="0" collapsed="false">
      <c r="A4600" s="163" t="s">
        <v>3034</v>
      </c>
      <c r="B4600" s="163" t="s">
        <v>894</v>
      </c>
      <c r="C4600" s="163" t="s">
        <v>8801</v>
      </c>
      <c r="D4600" s="163" t="s">
        <v>8802</v>
      </c>
      <c r="E4600" s="164" t="n">
        <v>5000</v>
      </c>
      <c r="F4600" s="165" t="s">
        <v>8752</v>
      </c>
    </row>
    <row r="4601" customFormat="false" ht="15" hidden="false" customHeight="true" outlineLevel="0" collapsed="false">
      <c r="A4601" s="163" t="s">
        <v>3034</v>
      </c>
      <c r="B4601" s="163" t="s">
        <v>894</v>
      </c>
      <c r="C4601" s="163" t="s">
        <v>8520</v>
      </c>
      <c r="D4601" s="163" t="s">
        <v>8521</v>
      </c>
      <c r="E4601" s="164" t="n">
        <v>5000</v>
      </c>
      <c r="F4601" s="165" t="s">
        <v>8752</v>
      </c>
    </row>
    <row r="4602" customFormat="false" ht="15" hidden="false" customHeight="true" outlineLevel="0" collapsed="false">
      <c r="A4602" s="163" t="s">
        <v>3034</v>
      </c>
      <c r="B4602" s="163" t="s">
        <v>894</v>
      </c>
      <c r="C4602" s="163" t="s">
        <v>2879</v>
      </c>
      <c r="D4602" s="163" t="s">
        <v>1931</v>
      </c>
      <c r="E4602" s="164" t="n">
        <v>5000</v>
      </c>
      <c r="F4602" s="165" t="s">
        <v>8803</v>
      </c>
    </row>
    <row r="4603" customFormat="false" ht="15" hidden="false" customHeight="true" outlineLevel="0" collapsed="false">
      <c r="A4603" s="163" t="s">
        <v>3034</v>
      </c>
      <c r="B4603" s="163" t="s">
        <v>894</v>
      </c>
      <c r="C4603" s="163" t="s">
        <v>4173</v>
      </c>
      <c r="D4603" s="163" t="s">
        <v>4174</v>
      </c>
      <c r="E4603" s="164" t="n">
        <v>5000</v>
      </c>
      <c r="F4603" s="165" t="s">
        <v>8804</v>
      </c>
    </row>
    <row r="4604" customFormat="false" ht="15" hidden="false" customHeight="true" outlineLevel="0" collapsed="false">
      <c r="A4604" s="163" t="s">
        <v>3034</v>
      </c>
      <c r="B4604" s="163" t="s">
        <v>894</v>
      </c>
      <c r="C4604" s="163" t="s">
        <v>8766</v>
      </c>
      <c r="D4604" s="163" t="s">
        <v>8767</v>
      </c>
      <c r="E4604" s="164" t="n">
        <v>5000</v>
      </c>
      <c r="F4604" s="165" t="s">
        <v>8805</v>
      </c>
    </row>
    <row r="4605" customFormat="false" ht="15" hidden="false" customHeight="true" outlineLevel="0" collapsed="false">
      <c r="A4605" s="163" t="s">
        <v>3034</v>
      </c>
      <c r="B4605" s="163" t="s">
        <v>894</v>
      </c>
      <c r="C4605" s="163" t="s">
        <v>1860</v>
      </c>
      <c r="D4605" s="163" t="s">
        <v>1861</v>
      </c>
      <c r="E4605" s="164" t="n">
        <v>5000</v>
      </c>
      <c r="F4605" s="165" t="s">
        <v>8806</v>
      </c>
    </row>
    <row r="4606" customFormat="false" ht="15" hidden="false" customHeight="true" outlineLevel="0" collapsed="false">
      <c r="A4606" s="163" t="s">
        <v>3034</v>
      </c>
      <c r="B4606" s="163" t="s">
        <v>894</v>
      </c>
      <c r="C4606" s="163" t="s">
        <v>4202</v>
      </c>
      <c r="D4606" s="163" t="s">
        <v>4203</v>
      </c>
      <c r="E4606" s="164" t="n">
        <v>5000</v>
      </c>
      <c r="F4606" s="165" t="s">
        <v>8752</v>
      </c>
    </row>
    <row r="4607" customFormat="false" ht="15" hidden="false" customHeight="true" outlineLevel="0" collapsed="false">
      <c r="A4607" s="163" t="s">
        <v>3034</v>
      </c>
      <c r="B4607" s="163" t="s">
        <v>894</v>
      </c>
      <c r="C4607" s="163" t="s">
        <v>4543</v>
      </c>
      <c r="D4607" s="163" t="s">
        <v>4544</v>
      </c>
      <c r="E4607" s="164" t="n">
        <v>5000</v>
      </c>
      <c r="F4607" s="165" t="s">
        <v>8752</v>
      </c>
    </row>
    <row r="4608" customFormat="false" ht="15" hidden="false" customHeight="true" outlineLevel="0" collapsed="false">
      <c r="A4608" s="163" t="s">
        <v>3034</v>
      </c>
      <c r="B4608" s="163" t="s">
        <v>894</v>
      </c>
      <c r="C4608" s="163" t="s">
        <v>2759</v>
      </c>
      <c r="D4608" s="163" t="s">
        <v>2760</v>
      </c>
      <c r="E4608" s="164" t="n">
        <v>5000</v>
      </c>
      <c r="F4608" s="165" t="s">
        <v>8807</v>
      </c>
    </row>
    <row r="4609" customFormat="false" ht="15" hidden="false" customHeight="true" outlineLevel="0" collapsed="false">
      <c r="A4609" s="163" t="s">
        <v>3034</v>
      </c>
      <c r="B4609" s="163" t="s">
        <v>894</v>
      </c>
      <c r="C4609" s="163" t="s">
        <v>4393</v>
      </c>
      <c r="D4609" s="163" t="s">
        <v>4394</v>
      </c>
      <c r="E4609" s="164" t="n">
        <v>5000</v>
      </c>
      <c r="F4609" s="165" t="s">
        <v>8752</v>
      </c>
    </row>
    <row r="4610" customFormat="false" ht="15" hidden="false" customHeight="true" outlineLevel="0" collapsed="false">
      <c r="A4610" s="163" t="s">
        <v>3034</v>
      </c>
      <c r="B4610" s="163" t="s">
        <v>894</v>
      </c>
      <c r="C4610" s="163" t="s">
        <v>473</v>
      </c>
      <c r="D4610" s="163" t="s">
        <v>2764</v>
      </c>
      <c r="E4610" s="164" t="n">
        <v>5000</v>
      </c>
      <c r="F4610" s="165" t="s">
        <v>8808</v>
      </c>
    </row>
    <row r="4611" customFormat="false" ht="15" hidden="false" customHeight="true" outlineLevel="0" collapsed="false">
      <c r="A4611" s="163" t="s">
        <v>3034</v>
      </c>
      <c r="B4611" s="163" t="s">
        <v>894</v>
      </c>
      <c r="C4611" s="163" t="s">
        <v>400</v>
      </c>
      <c r="D4611" s="163" t="s">
        <v>2628</v>
      </c>
      <c r="E4611" s="164" t="n">
        <v>5000</v>
      </c>
      <c r="F4611" s="165" t="s">
        <v>8809</v>
      </c>
    </row>
    <row r="4612" customFormat="false" ht="15" hidden="false" customHeight="true" outlineLevel="0" collapsed="false">
      <c r="A4612" s="163" t="s">
        <v>3034</v>
      </c>
      <c r="B4612" s="163" t="s">
        <v>894</v>
      </c>
      <c r="C4612" s="163" t="s">
        <v>8720</v>
      </c>
      <c r="D4612" s="163" t="s">
        <v>8721</v>
      </c>
      <c r="E4612" s="164" t="n">
        <v>5000</v>
      </c>
      <c r="F4612" s="165" t="s">
        <v>8810</v>
      </c>
    </row>
    <row r="4613" customFormat="false" ht="15" hidden="false" customHeight="true" outlineLevel="0" collapsed="false">
      <c r="A4613" s="163" t="s">
        <v>3034</v>
      </c>
      <c r="B4613" s="163" t="s">
        <v>894</v>
      </c>
      <c r="C4613" s="163" t="s">
        <v>8811</v>
      </c>
      <c r="D4613" s="163" t="s">
        <v>8812</v>
      </c>
      <c r="E4613" s="164" t="n">
        <v>5000</v>
      </c>
      <c r="F4613" s="165" t="s">
        <v>8813</v>
      </c>
    </row>
    <row r="4614" customFormat="false" ht="15" hidden="false" customHeight="true" outlineLevel="0" collapsed="false">
      <c r="A4614" s="163" t="s">
        <v>3034</v>
      </c>
      <c r="B4614" s="163" t="s">
        <v>894</v>
      </c>
      <c r="C4614" s="163" t="s">
        <v>8814</v>
      </c>
      <c r="D4614" s="163" t="s">
        <v>8815</v>
      </c>
      <c r="E4614" s="164" t="n">
        <v>5000</v>
      </c>
      <c r="F4614" s="165" t="s">
        <v>8816</v>
      </c>
    </row>
    <row r="4615" customFormat="false" ht="15" hidden="false" customHeight="true" outlineLevel="0" collapsed="false">
      <c r="A4615" s="163" t="s">
        <v>3034</v>
      </c>
      <c r="B4615" s="163" t="s">
        <v>894</v>
      </c>
      <c r="C4615" s="163" t="s">
        <v>197</v>
      </c>
      <c r="D4615" s="163" t="s">
        <v>1931</v>
      </c>
      <c r="E4615" s="164" t="n">
        <v>4000</v>
      </c>
      <c r="F4615" s="165" t="s">
        <v>8817</v>
      </c>
    </row>
    <row r="4616" customFormat="false" ht="15" hidden="false" customHeight="true" outlineLevel="0" collapsed="false">
      <c r="A4616" s="163" t="s">
        <v>3034</v>
      </c>
      <c r="B4616" s="163" t="s">
        <v>894</v>
      </c>
      <c r="C4616" s="163" t="s">
        <v>893</v>
      </c>
      <c r="D4616" s="163" t="s">
        <v>1931</v>
      </c>
      <c r="E4616" s="164" t="n">
        <v>2500</v>
      </c>
      <c r="F4616" s="165" t="s">
        <v>8818</v>
      </c>
    </row>
    <row r="4617" customFormat="false" ht="15" hidden="false" customHeight="true" outlineLevel="0" collapsed="false">
      <c r="A4617" s="163" t="s">
        <v>3034</v>
      </c>
      <c r="B4617" s="163" t="s">
        <v>894</v>
      </c>
      <c r="C4617" s="163" t="s">
        <v>893</v>
      </c>
      <c r="D4617" s="163" t="s">
        <v>1931</v>
      </c>
      <c r="E4617" s="164" t="n">
        <v>2500</v>
      </c>
      <c r="F4617" s="165" t="s">
        <v>8819</v>
      </c>
    </row>
    <row r="4618" customFormat="false" ht="15" hidden="false" customHeight="true" outlineLevel="0" collapsed="false">
      <c r="A4618" s="163" t="s">
        <v>3034</v>
      </c>
      <c r="B4618" s="163" t="s">
        <v>894</v>
      </c>
      <c r="C4618" s="163" t="s">
        <v>8814</v>
      </c>
      <c r="D4618" s="163" t="s">
        <v>8815</v>
      </c>
      <c r="E4618" s="164" t="n">
        <v>1000</v>
      </c>
      <c r="F4618" s="165" t="s">
        <v>8816</v>
      </c>
    </row>
    <row r="4619" customFormat="false" ht="15" hidden="false" customHeight="true" outlineLevel="0" collapsed="false">
      <c r="A4619" s="163" t="s">
        <v>3034</v>
      </c>
      <c r="B4619" s="163" t="s">
        <v>882</v>
      </c>
      <c r="C4619" s="163" t="s">
        <v>2759</v>
      </c>
      <c r="D4619" s="163" t="s">
        <v>2760</v>
      </c>
      <c r="E4619" s="164" t="n">
        <v>160000</v>
      </c>
      <c r="F4619" s="165" t="s">
        <v>3060</v>
      </c>
    </row>
    <row r="4620" customFormat="false" ht="15" hidden="false" customHeight="true" outlineLevel="0" collapsed="false">
      <c r="A4620" s="163" t="s">
        <v>3034</v>
      </c>
      <c r="B4620" s="163" t="s">
        <v>882</v>
      </c>
      <c r="C4620" s="163" t="s">
        <v>640</v>
      </c>
      <c r="D4620" s="163" t="s">
        <v>1931</v>
      </c>
      <c r="E4620" s="164" t="n">
        <v>120000</v>
      </c>
      <c r="F4620" s="165" t="s">
        <v>3060</v>
      </c>
    </row>
    <row r="4621" customFormat="false" ht="15" hidden="false" customHeight="true" outlineLevel="0" collapsed="false">
      <c r="A4621" s="163" t="s">
        <v>3034</v>
      </c>
      <c r="B4621" s="163" t="s">
        <v>2328</v>
      </c>
      <c r="C4621" s="163" t="s">
        <v>8748</v>
      </c>
      <c r="D4621" s="163" t="s">
        <v>8749</v>
      </c>
      <c r="E4621" s="164" t="n">
        <v>35000</v>
      </c>
      <c r="F4621" s="165" t="s">
        <v>3060</v>
      </c>
    </row>
    <row r="4622" customFormat="false" ht="15" hidden="false" customHeight="true" outlineLevel="0" collapsed="false">
      <c r="A4622" s="163" t="s">
        <v>3034</v>
      </c>
      <c r="B4622" s="163" t="s">
        <v>2328</v>
      </c>
      <c r="C4622" s="163" t="s">
        <v>8244</v>
      </c>
      <c r="D4622" s="163" t="s">
        <v>8245</v>
      </c>
      <c r="E4622" s="164" t="n">
        <v>15000</v>
      </c>
      <c r="F4622" s="165" t="s">
        <v>3060</v>
      </c>
    </row>
    <row r="4623" customFormat="false" ht="15" hidden="false" customHeight="true" outlineLevel="0" collapsed="false">
      <c r="A4623" s="163" t="s">
        <v>3034</v>
      </c>
      <c r="B4623" s="163" t="s">
        <v>2342</v>
      </c>
      <c r="C4623" s="163" t="s">
        <v>197</v>
      </c>
      <c r="D4623" s="163" t="s">
        <v>1931</v>
      </c>
      <c r="E4623" s="164" t="n">
        <v>55000</v>
      </c>
      <c r="F4623" s="165" t="s">
        <v>3060</v>
      </c>
    </row>
    <row r="4624" customFormat="false" ht="15" hidden="false" customHeight="true" outlineLevel="0" collapsed="false">
      <c r="A4624" s="163" t="s">
        <v>3034</v>
      </c>
      <c r="B4624" s="163" t="s">
        <v>2342</v>
      </c>
      <c r="C4624" s="163" t="s">
        <v>230</v>
      </c>
      <c r="D4624" s="163" t="s">
        <v>2077</v>
      </c>
      <c r="E4624" s="164" t="n">
        <v>15000</v>
      </c>
      <c r="F4624" s="165" t="s">
        <v>3060</v>
      </c>
    </row>
    <row r="4625" customFormat="false" ht="15" hidden="false" customHeight="true" outlineLevel="0" collapsed="false">
      <c r="A4625" s="163" t="s">
        <v>3034</v>
      </c>
      <c r="B4625" s="163" t="s">
        <v>2342</v>
      </c>
      <c r="C4625" s="163" t="s">
        <v>8820</v>
      </c>
      <c r="D4625" s="163" t="s">
        <v>8821</v>
      </c>
      <c r="E4625" s="164" t="n">
        <v>10000</v>
      </c>
      <c r="F4625" s="165" t="s">
        <v>3060</v>
      </c>
    </row>
    <row r="4626" customFormat="false" ht="15" hidden="false" customHeight="true" outlineLevel="0" collapsed="false">
      <c r="A4626" s="163" t="s">
        <v>3034</v>
      </c>
      <c r="B4626" s="163" t="s">
        <v>2342</v>
      </c>
      <c r="C4626" s="163" t="s">
        <v>8822</v>
      </c>
      <c r="D4626" s="163" t="s">
        <v>8823</v>
      </c>
      <c r="E4626" s="164" t="n">
        <v>10000</v>
      </c>
      <c r="F4626" s="165" t="s">
        <v>3060</v>
      </c>
    </row>
    <row r="4627" customFormat="false" ht="15" hidden="false" customHeight="true" outlineLevel="0" collapsed="false">
      <c r="A4627" s="163" t="s">
        <v>3034</v>
      </c>
      <c r="B4627" s="163" t="s">
        <v>2766</v>
      </c>
      <c r="C4627" s="163" t="s">
        <v>2949</v>
      </c>
      <c r="D4627" s="163" t="s">
        <v>2950</v>
      </c>
      <c r="E4627" s="164" t="n">
        <v>15000</v>
      </c>
      <c r="F4627" s="165" t="s">
        <v>3060</v>
      </c>
    </row>
    <row r="4628" customFormat="false" ht="15" hidden="false" customHeight="true" outlineLevel="0" collapsed="false">
      <c r="A4628" s="163" t="s">
        <v>3034</v>
      </c>
      <c r="B4628" s="163" t="s">
        <v>2766</v>
      </c>
      <c r="C4628" s="163" t="s">
        <v>3141</v>
      </c>
      <c r="D4628" s="163" t="s">
        <v>3142</v>
      </c>
      <c r="E4628" s="164" t="n">
        <v>15000</v>
      </c>
      <c r="F4628" s="165" t="s">
        <v>3060</v>
      </c>
    </row>
    <row r="4629" customFormat="false" ht="15" hidden="false" customHeight="true" outlineLevel="0" collapsed="false">
      <c r="A4629" s="163" t="s">
        <v>3034</v>
      </c>
      <c r="B4629" s="163" t="s">
        <v>1743</v>
      </c>
      <c r="C4629" s="163" t="s">
        <v>5786</v>
      </c>
      <c r="D4629" s="163" t="s">
        <v>5787</v>
      </c>
      <c r="E4629" s="164" t="n">
        <v>30000</v>
      </c>
      <c r="F4629" s="165" t="s">
        <v>3060</v>
      </c>
    </row>
    <row r="4630" customFormat="false" ht="15" hidden="false" customHeight="true" outlineLevel="0" collapsed="false">
      <c r="A4630" s="163" t="s">
        <v>3034</v>
      </c>
      <c r="B4630" s="163" t="s">
        <v>1743</v>
      </c>
      <c r="C4630" s="163" t="s">
        <v>5786</v>
      </c>
      <c r="D4630" s="163" t="s">
        <v>5787</v>
      </c>
      <c r="E4630" s="164" t="n">
        <v>30000</v>
      </c>
      <c r="F4630" s="165" t="s">
        <v>3060</v>
      </c>
    </row>
    <row r="4631" customFormat="false" ht="15" hidden="false" customHeight="true" outlineLevel="0" collapsed="false">
      <c r="A4631" s="163" t="s">
        <v>3034</v>
      </c>
      <c r="B4631" s="163" t="s">
        <v>1743</v>
      </c>
      <c r="C4631" s="163" t="s">
        <v>8205</v>
      </c>
      <c r="D4631" s="163" t="s">
        <v>8206</v>
      </c>
      <c r="E4631" s="164" t="n">
        <v>30000</v>
      </c>
      <c r="F4631" s="165" t="s">
        <v>3060</v>
      </c>
    </row>
    <row r="4632" customFormat="false" ht="15" hidden="false" customHeight="true" outlineLevel="0" collapsed="false">
      <c r="A4632" s="163" t="s">
        <v>3034</v>
      </c>
      <c r="B4632" s="163" t="s">
        <v>1743</v>
      </c>
      <c r="C4632" s="163" t="s">
        <v>230</v>
      </c>
      <c r="D4632" s="163" t="s">
        <v>2077</v>
      </c>
      <c r="E4632" s="164" t="n">
        <v>25000</v>
      </c>
      <c r="F4632" s="165" t="s">
        <v>3060</v>
      </c>
    </row>
    <row r="4633" customFormat="false" ht="15" hidden="false" customHeight="true" outlineLevel="0" collapsed="false">
      <c r="A4633" s="163" t="s">
        <v>3034</v>
      </c>
      <c r="B4633" s="163" t="s">
        <v>1743</v>
      </c>
      <c r="C4633" s="163" t="s">
        <v>3114</v>
      </c>
      <c r="D4633" s="163" t="s">
        <v>3115</v>
      </c>
      <c r="E4633" s="164" t="n">
        <v>15000</v>
      </c>
      <c r="F4633" s="165" t="s">
        <v>3060</v>
      </c>
    </row>
    <row r="4634" customFormat="false" ht="15" hidden="false" customHeight="true" outlineLevel="0" collapsed="false">
      <c r="A4634" s="163" t="s">
        <v>3034</v>
      </c>
      <c r="B4634" s="163" t="s">
        <v>1743</v>
      </c>
      <c r="C4634" s="163" t="s">
        <v>1193</v>
      </c>
      <c r="D4634" s="163" t="s">
        <v>2092</v>
      </c>
      <c r="E4634" s="164" t="n">
        <v>10000</v>
      </c>
      <c r="F4634" s="165" t="s">
        <v>3060</v>
      </c>
    </row>
    <row r="4635" customFormat="false" ht="15" hidden="false" customHeight="true" outlineLevel="0" collapsed="false">
      <c r="A4635" s="163" t="s">
        <v>3034</v>
      </c>
      <c r="B4635" s="163" t="s">
        <v>1743</v>
      </c>
      <c r="C4635" s="163" t="s">
        <v>1193</v>
      </c>
      <c r="D4635" s="163" t="s">
        <v>2092</v>
      </c>
      <c r="E4635" s="164" t="n">
        <v>10000</v>
      </c>
      <c r="F4635" s="165" t="s">
        <v>3060</v>
      </c>
    </row>
    <row r="4636" customFormat="false" ht="15" hidden="false" customHeight="true" outlineLevel="0" collapsed="false">
      <c r="A4636" s="163" t="s">
        <v>3034</v>
      </c>
      <c r="B4636" s="163" t="s">
        <v>928</v>
      </c>
      <c r="C4636" s="163" t="s">
        <v>8205</v>
      </c>
      <c r="D4636" s="163" t="s">
        <v>8206</v>
      </c>
      <c r="E4636" s="164" t="n">
        <v>15000</v>
      </c>
      <c r="F4636" s="165" t="s">
        <v>8824</v>
      </c>
    </row>
    <row r="4637" customFormat="false" ht="15" hidden="false" customHeight="true" outlineLevel="0" collapsed="false">
      <c r="A4637" s="163" t="s">
        <v>3034</v>
      </c>
      <c r="B4637" s="163" t="s">
        <v>928</v>
      </c>
      <c r="C4637" s="163" t="s">
        <v>6164</v>
      </c>
      <c r="D4637" s="163" t="s">
        <v>6165</v>
      </c>
      <c r="E4637" s="164" t="n">
        <v>15000</v>
      </c>
      <c r="F4637" s="165" t="s">
        <v>8825</v>
      </c>
    </row>
    <row r="4638" customFormat="false" ht="15" hidden="false" customHeight="true" outlineLevel="0" collapsed="false">
      <c r="A4638" s="163" t="s">
        <v>3034</v>
      </c>
      <c r="B4638" s="163" t="s">
        <v>928</v>
      </c>
      <c r="C4638" s="163" t="s">
        <v>3114</v>
      </c>
      <c r="D4638" s="163" t="s">
        <v>3115</v>
      </c>
      <c r="E4638" s="164" t="n">
        <v>12500</v>
      </c>
      <c r="F4638" s="165" t="s">
        <v>8826</v>
      </c>
    </row>
    <row r="4639" customFormat="false" ht="15" hidden="false" customHeight="true" outlineLevel="0" collapsed="false">
      <c r="A4639" s="163" t="s">
        <v>3034</v>
      </c>
      <c r="B4639" s="163" t="s">
        <v>928</v>
      </c>
      <c r="C4639" s="163" t="s">
        <v>3622</v>
      </c>
      <c r="D4639" s="163" t="s">
        <v>3623</v>
      </c>
      <c r="E4639" s="164" t="n">
        <v>11000</v>
      </c>
      <c r="F4639" s="165" t="s">
        <v>8827</v>
      </c>
    </row>
    <row r="4640" customFormat="false" ht="15" hidden="false" customHeight="true" outlineLevel="0" collapsed="false">
      <c r="A4640" s="163" t="s">
        <v>3034</v>
      </c>
      <c r="B4640" s="163" t="s">
        <v>928</v>
      </c>
      <c r="C4640" s="163" t="s">
        <v>2953</v>
      </c>
      <c r="D4640" s="163" t="s">
        <v>2954</v>
      </c>
      <c r="E4640" s="164" t="n">
        <v>10000</v>
      </c>
      <c r="F4640" s="165" t="s">
        <v>8752</v>
      </c>
    </row>
    <row r="4641" customFormat="false" ht="15" hidden="false" customHeight="true" outlineLevel="0" collapsed="false">
      <c r="A4641" s="163" t="s">
        <v>3034</v>
      </c>
      <c r="B4641" s="163" t="s">
        <v>928</v>
      </c>
      <c r="C4641" s="163" t="s">
        <v>3243</v>
      </c>
      <c r="D4641" s="163" t="s">
        <v>3244</v>
      </c>
      <c r="E4641" s="164" t="n">
        <v>10000</v>
      </c>
      <c r="F4641" s="165" t="s">
        <v>8752</v>
      </c>
    </row>
    <row r="4642" customFormat="false" ht="15" hidden="false" customHeight="true" outlineLevel="0" collapsed="false">
      <c r="A4642" s="163" t="s">
        <v>3034</v>
      </c>
      <c r="B4642" s="163" t="s">
        <v>928</v>
      </c>
      <c r="C4642" s="163" t="s">
        <v>3141</v>
      </c>
      <c r="D4642" s="163" t="s">
        <v>3142</v>
      </c>
      <c r="E4642" s="164" t="n">
        <v>10000</v>
      </c>
      <c r="F4642" s="165" t="s">
        <v>8828</v>
      </c>
    </row>
    <row r="4643" customFormat="false" ht="15" hidden="false" customHeight="true" outlineLevel="0" collapsed="false">
      <c r="A4643" s="163" t="s">
        <v>3034</v>
      </c>
      <c r="B4643" s="163" t="s">
        <v>928</v>
      </c>
      <c r="C4643" s="163" t="s">
        <v>6169</v>
      </c>
      <c r="D4643" s="163" t="s">
        <v>6170</v>
      </c>
      <c r="E4643" s="164" t="n">
        <v>6500</v>
      </c>
      <c r="F4643" s="165" t="s">
        <v>8752</v>
      </c>
    </row>
    <row r="4644" customFormat="false" ht="15" hidden="false" customHeight="true" outlineLevel="0" collapsed="false">
      <c r="A4644" s="163" t="s">
        <v>3034</v>
      </c>
      <c r="B4644" s="163" t="s">
        <v>928</v>
      </c>
      <c r="C4644" s="163" t="s">
        <v>4651</v>
      </c>
      <c r="D4644" s="163" t="s">
        <v>4652</v>
      </c>
      <c r="E4644" s="164" t="n">
        <v>5000</v>
      </c>
      <c r="F4644" s="165" t="s">
        <v>8752</v>
      </c>
    </row>
    <row r="4645" customFormat="false" ht="15" hidden="false" customHeight="true" outlineLevel="0" collapsed="false">
      <c r="A4645" s="163" t="s">
        <v>3034</v>
      </c>
      <c r="B4645" s="163" t="s">
        <v>928</v>
      </c>
      <c r="C4645" s="163" t="s">
        <v>424</v>
      </c>
      <c r="D4645" s="163" t="s">
        <v>2630</v>
      </c>
      <c r="E4645" s="164" t="n">
        <v>5000</v>
      </c>
      <c r="F4645" s="165" t="s">
        <v>8752</v>
      </c>
    </row>
    <row r="4646" customFormat="false" ht="15" hidden="false" customHeight="true" outlineLevel="0" collapsed="false">
      <c r="A4646" s="163" t="s">
        <v>3034</v>
      </c>
      <c r="B4646" s="163" t="s">
        <v>928</v>
      </c>
      <c r="C4646" s="163" t="s">
        <v>8829</v>
      </c>
      <c r="D4646" s="163" t="s">
        <v>8830</v>
      </c>
      <c r="E4646" s="164" t="n">
        <v>5000</v>
      </c>
      <c r="F4646" s="165" t="s">
        <v>8752</v>
      </c>
    </row>
    <row r="4647" customFormat="false" ht="15" hidden="false" customHeight="true" outlineLevel="0" collapsed="false">
      <c r="A4647" s="163" t="s">
        <v>3034</v>
      </c>
      <c r="B4647" s="163" t="s">
        <v>928</v>
      </c>
      <c r="C4647" s="163" t="s">
        <v>3290</v>
      </c>
      <c r="D4647" s="163" t="s">
        <v>3291</v>
      </c>
      <c r="E4647" s="164" t="n">
        <v>5000</v>
      </c>
      <c r="F4647" s="165" t="s">
        <v>8752</v>
      </c>
    </row>
    <row r="4648" customFormat="false" ht="15" hidden="false" customHeight="true" outlineLevel="0" collapsed="false">
      <c r="A4648" s="163" t="s">
        <v>3034</v>
      </c>
      <c r="B4648" s="163" t="s">
        <v>928</v>
      </c>
      <c r="C4648" s="163" t="s">
        <v>1159</v>
      </c>
      <c r="D4648" s="163" t="s">
        <v>1936</v>
      </c>
      <c r="E4648" s="164" t="n">
        <v>5000</v>
      </c>
      <c r="F4648" s="165" t="s">
        <v>8831</v>
      </c>
    </row>
    <row r="4649" customFormat="false" ht="15" hidden="false" customHeight="true" outlineLevel="0" collapsed="false">
      <c r="A4649" s="163" t="s">
        <v>3034</v>
      </c>
      <c r="B4649" s="163" t="s">
        <v>928</v>
      </c>
      <c r="C4649" s="163" t="s">
        <v>8832</v>
      </c>
      <c r="D4649" s="163" t="s">
        <v>8833</v>
      </c>
      <c r="E4649" s="164" t="n">
        <v>5000</v>
      </c>
      <c r="F4649" s="165" t="s">
        <v>8752</v>
      </c>
    </row>
    <row r="4650" customFormat="false" ht="15" hidden="false" customHeight="true" outlineLevel="0" collapsed="false">
      <c r="A4650" s="163" t="s">
        <v>3034</v>
      </c>
      <c r="B4650" s="163" t="s">
        <v>928</v>
      </c>
      <c r="C4650" s="163" t="s">
        <v>6164</v>
      </c>
      <c r="D4650" s="163" t="s">
        <v>6165</v>
      </c>
      <c r="E4650" s="164" t="n">
        <v>5000</v>
      </c>
      <c r="F4650" s="165" t="s">
        <v>8752</v>
      </c>
    </row>
    <row r="4651" customFormat="false" ht="15" hidden="false" customHeight="true" outlineLevel="0" collapsed="false">
      <c r="A4651" s="163" t="s">
        <v>3034</v>
      </c>
      <c r="B4651" s="163" t="s">
        <v>928</v>
      </c>
      <c r="C4651" s="163" t="s">
        <v>8834</v>
      </c>
      <c r="D4651" s="163" t="s">
        <v>8835</v>
      </c>
      <c r="E4651" s="164" t="n">
        <v>5000</v>
      </c>
      <c r="F4651" s="165" t="s">
        <v>3060</v>
      </c>
    </row>
    <row r="4652" customFormat="false" ht="15" hidden="false" customHeight="true" outlineLevel="0" collapsed="false">
      <c r="A4652" s="163" t="s">
        <v>3034</v>
      </c>
      <c r="B4652" s="163" t="s">
        <v>928</v>
      </c>
      <c r="C4652" s="163" t="s">
        <v>3133</v>
      </c>
      <c r="D4652" s="163" t="s">
        <v>3134</v>
      </c>
      <c r="E4652" s="164" t="n">
        <v>5000</v>
      </c>
      <c r="F4652" s="165" t="s">
        <v>8836</v>
      </c>
    </row>
    <row r="4653" customFormat="false" ht="15" hidden="false" customHeight="true" outlineLevel="0" collapsed="false">
      <c r="A4653" s="163" t="s">
        <v>3034</v>
      </c>
      <c r="B4653" s="163" t="s">
        <v>928</v>
      </c>
      <c r="C4653" s="163" t="s">
        <v>4686</v>
      </c>
      <c r="D4653" s="163" t="s">
        <v>4687</v>
      </c>
      <c r="E4653" s="164" t="n">
        <v>5000</v>
      </c>
      <c r="F4653" s="165" t="s">
        <v>8837</v>
      </c>
    </row>
    <row r="4654" customFormat="false" ht="15" hidden="false" customHeight="true" outlineLevel="0" collapsed="false">
      <c r="A4654" s="163" t="s">
        <v>3034</v>
      </c>
      <c r="B4654" s="163" t="s">
        <v>928</v>
      </c>
      <c r="C4654" s="163" t="s">
        <v>8306</v>
      </c>
      <c r="D4654" s="163" t="s">
        <v>8307</v>
      </c>
      <c r="E4654" s="164" t="n">
        <v>5000</v>
      </c>
      <c r="F4654" s="165" t="s">
        <v>4796</v>
      </c>
    </row>
    <row r="4655" customFormat="false" ht="15" hidden="false" customHeight="true" outlineLevel="0" collapsed="false">
      <c r="A4655" s="163" t="s">
        <v>3034</v>
      </c>
      <c r="B4655" s="163" t="s">
        <v>928</v>
      </c>
      <c r="C4655" s="163" t="s">
        <v>3317</v>
      </c>
      <c r="D4655" s="163" t="s">
        <v>3318</v>
      </c>
      <c r="E4655" s="164" t="n">
        <v>5000</v>
      </c>
      <c r="F4655" s="165" t="s">
        <v>8790</v>
      </c>
    </row>
    <row r="4656" customFormat="false" ht="15" hidden="false" customHeight="true" outlineLevel="0" collapsed="false">
      <c r="A4656" s="163" t="s">
        <v>588</v>
      </c>
      <c r="B4656" s="163" t="s">
        <v>926</v>
      </c>
      <c r="C4656" s="163" t="s">
        <v>395</v>
      </c>
      <c r="D4656" s="163" t="s">
        <v>2196</v>
      </c>
      <c r="E4656" s="164" t="n">
        <v>35000</v>
      </c>
      <c r="F4656" s="165" t="s">
        <v>8838</v>
      </c>
    </row>
    <row r="4657" customFormat="false" ht="15" hidden="false" customHeight="true" outlineLevel="0" collapsed="false">
      <c r="A4657" s="163" t="s">
        <v>588</v>
      </c>
      <c r="B4657" s="163" t="s">
        <v>926</v>
      </c>
      <c r="C4657" s="163" t="s">
        <v>309</v>
      </c>
      <c r="D4657" s="163" t="s">
        <v>1865</v>
      </c>
      <c r="E4657" s="164" t="n">
        <v>20000</v>
      </c>
      <c r="F4657" s="165" t="s">
        <v>2862</v>
      </c>
    </row>
    <row r="4658" customFormat="false" ht="15" hidden="false" customHeight="true" outlineLevel="0" collapsed="false">
      <c r="A4658" s="163" t="s">
        <v>588</v>
      </c>
      <c r="B4658" s="163" t="s">
        <v>926</v>
      </c>
      <c r="C4658" s="163" t="s">
        <v>2073</v>
      </c>
      <c r="D4658" s="163" t="s">
        <v>2074</v>
      </c>
      <c r="E4658" s="164" t="n">
        <v>15000</v>
      </c>
      <c r="F4658" s="165" t="s">
        <v>2863</v>
      </c>
    </row>
    <row r="4659" customFormat="false" ht="15" hidden="false" customHeight="true" outlineLevel="0" collapsed="false">
      <c r="A4659" s="163" t="s">
        <v>588</v>
      </c>
      <c r="B4659" s="163" t="s">
        <v>926</v>
      </c>
      <c r="C4659" s="163" t="s">
        <v>424</v>
      </c>
      <c r="D4659" s="163" t="s">
        <v>2630</v>
      </c>
      <c r="E4659" s="164" t="n">
        <v>10000</v>
      </c>
      <c r="F4659" s="165" t="s">
        <v>2864</v>
      </c>
    </row>
    <row r="4660" customFormat="false" ht="15" hidden="false" customHeight="true" outlineLevel="0" collapsed="false">
      <c r="A4660" s="163" t="s">
        <v>588</v>
      </c>
      <c r="B4660" s="163" t="s">
        <v>926</v>
      </c>
      <c r="C4660" s="163" t="s">
        <v>2865</v>
      </c>
      <c r="D4660" s="163" t="s">
        <v>2866</v>
      </c>
      <c r="E4660" s="164" t="n">
        <v>10000</v>
      </c>
      <c r="F4660" s="165" t="s">
        <v>2867</v>
      </c>
    </row>
    <row r="4661" customFormat="false" ht="15" hidden="false" customHeight="true" outlineLevel="0" collapsed="false">
      <c r="A4661" s="163" t="s">
        <v>588</v>
      </c>
      <c r="B4661" s="163" t="s">
        <v>926</v>
      </c>
      <c r="C4661" s="163" t="s">
        <v>2026</v>
      </c>
      <c r="D4661" s="163" t="s">
        <v>2868</v>
      </c>
      <c r="E4661" s="164" t="n">
        <v>10000</v>
      </c>
      <c r="F4661" s="165" t="s">
        <v>3060</v>
      </c>
    </row>
    <row r="4662" customFormat="false" ht="15" hidden="false" customHeight="true" outlineLevel="0" collapsed="false">
      <c r="A4662" s="163" t="s">
        <v>588</v>
      </c>
      <c r="B4662" s="163" t="s">
        <v>957</v>
      </c>
      <c r="C4662" s="163" t="s">
        <v>1095</v>
      </c>
      <c r="D4662" s="163" t="s">
        <v>1840</v>
      </c>
      <c r="E4662" s="164" t="n">
        <v>20000</v>
      </c>
      <c r="F4662" s="165" t="s">
        <v>2869</v>
      </c>
    </row>
    <row r="4663" customFormat="false" ht="15" hidden="false" customHeight="true" outlineLevel="0" collapsed="false">
      <c r="A4663" s="163" t="s">
        <v>588</v>
      </c>
      <c r="B4663" s="163" t="s">
        <v>957</v>
      </c>
      <c r="C4663" s="163" t="s">
        <v>1095</v>
      </c>
      <c r="D4663" s="163" t="s">
        <v>1840</v>
      </c>
      <c r="E4663" s="164" t="n">
        <v>20000</v>
      </c>
      <c r="F4663" s="165" t="s">
        <v>2870</v>
      </c>
    </row>
    <row r="4664" customFormat="false" ht="15" hidden="false" customHeight="true" outlineLevel="0" collapsed="false">
      <c r="A4664" s="163" t="s">
        <v>588</v>
      </c>
      <c r="B4664" s="163" t="s">
        <v>957</v>
      </c>
      <c r="C4664" s="163" t="s">
        <v>1119</v>
      </c>
      <c r="D4664" s="163" t="s">
        <v>1845</v>
      </c>
      <c r="E4664" s="164" t="n">
        <v>17500</v>
      </c>
      <c r="F4664" s="165" t="s">
        <v>2871</v>
      </c>
    </row>
    <row r="4665" customFormat="false" ht="15" hidden="false" customHeight="true" outlineLevel="0" collapsed="false">
      <c r="A4665" s="163" t="s">
        <v>588</v>
      </c>
      <c r="B4665" s="163" t="s">
        <v>957</v>
      </c>
      <c r="C4665" s="163" t="s">
        <v>1860</v>
      </c>
      <c r="D4665" s="163" t="s">
        <v>1861</v>
      </c>
      <c r="E4665" s="164" t="n">
        <v>15000</v>
      </c>
      <c r="F4665" s="165" t="s">
        <v>3060</v>
      </c>
    </row>
    <row r="4666" customFormat="false" ht="15" hidden="false" customHeight="true" outlineLevel="0" collapsed="false">
      <c r="A4666" s="163" t="s">
        <v>588</v>
      </c>
      <c r="B4666" s="163" t="s">
        <v>957</v>
      </c>
      <c r="C4666" s="163" t="s">
        <v>309</v>
      </c>
      <c r="D4666" s="163" t="s">
        <v>1865</v>
      </c>
      <c r="E4666" s="164" t="n">
        <v>12500</v>
      </c>
      <c r="F4666" s="165" t="s">
        <v>2872</v>
      </c>
    </row>
    <row r="4667" customFormat="false" ht="15" hidden="false" customHeight="true" outlineLevel="0" collapsed="false">
      <c r="A4667" s="163" t="s">
        <v>588</v>
      </c>
      <c r="B4667" s="163" t="s">
        <v>957</v>
      </c>
      <c r="C4667" s="163" t="s">
        <v>435</v>
      </c>
      <c r="D4667" s="163" t="s">
        <v>1874</v>
      </c>
      <c r="E4667" s="164" t="n">
        <v>10000</v>
      </c>
      <c r="F4667" s="165" t="s">
        <v>2873</v>
      </c>
    </row>
    <row r="4668" customFormat="false" ht="15" hidden="false" customHeight="true" outlineLevel="0" collapsed="false">
      <c r="A4668" s="163" t="s">
        <v>588</v>
      </c>
      <c r="B4668" s="163" t="s">
        <v>957</v>
      </c>
      <c r="C4668" s="163" t="s">
        <v>657</v>
      </c>
      <c r="D4668" s="163" t="s">
        <v>1849</v>
      </c>
      <c r="E4668" s="164" t="n">
        <v>5000</v>
      </c>
      <c r="F4668" s="165" t="s">
        <v>2874</v>
      </c>
    </row>
    <row r="4669" customFormat="false" ht="15" hidden="false" customHeight="true" outlineLevel="0" collapsed="false">
      <c r="A4669" s="163" t="s">
        <v>588</v>
      </c>
      <c r="B4669" s="163" t="s">
        <v>957</v>
      </c>
      <c r="C4669" s="163" t="s">
        <v>1225</v>
      </c>
      <c r="D4669" s="163" t="s">
        <v>1881</v>
      </c>
      <c r="E4669" s="164" t="n">
        <v>5000</v>
      </c>
      <c r="F4669" s="165" t="s">
        <v>2875</v>
      </c>
    </row>
    <row r="4670" customFormat="false" ht="15" hidden="false" customHeight="true" outlineLevel="0" collapsed="false">
      <c r="A4670" s="163" t="s">
        <v>588</v>
      </c>
      <c r="B4670" s="163" t="s">
        <v>957</v>
      </c>
      <c r="C4670" s="163" t="s">
        <v>1197</v>
      </c>
      <c r="D4670" s="163" t="s">
        <v>1882</v>
      </c>
      <c r="E4670" s="164" t="n">
        <v>5000</v>
      </c>
      <c r="F4670" s="165" t="s">
        <v>3060</v>
      </c>
    </row>
    <row r="4671" customFormat="false" ht="15" hidden="false" customHeight="true" outlineLevel="0" collapsed="false">
      <c r="A4671" s="163" t="s">
        <v>588</v>
      </c>
      <c r="B4671" s="163" t="s">
        <v>945</v>
      </c>
      <c r="C4671" s="163" t="s">
        <v>343</v>
      </c>
      <c r="D4671" s="163" t="s">
        <v>1894</v>
      </c>
      <c r="E4671" s="164" t="n">
        <v>10000</v>
      </c>
      <c r="F4671" s="165" t="s">
        <v>2876</v>
      </c>
    </row>
    <row r="4672" customFormat="false" ht="15" hidden="false" customHeight="true" outlineLevel="0" collapsed="false">
      <c r="A4672" s="163" t="s">
        <v>588</v>
      </c>
      <c r="B4672" s="163" t="s">
        <v>945</v>
      </c>
      <c r="C4672" s="163" t="s">
        <v>1221</v>
      </c>
      <c r="D4672" s="163" t="s">
        <v>1895</v>
      </c>
      <c r="E4672" s="164" t="n">
        <v>7500</v>
      </c>
      <c r="F4672" s="165" t="s">
        <v>3060</v>
      </c>
    </row>
    <row r="4673" customFormat="false" ht="15" hidden="false" customHeight="true" outlineLevel="0" collapsed="false">
      <c r="A4673" s="163" t="s">
        <v>588</v>
      </c>
      <c r="B4673" s="163" t="s">
        <v>945</v>
      </c>
      <c r="C4673" s="163" t="s">
        <v>1860</v>
      </c>
      <c r="D4673" s="163" t="s">
        <v>1861</v>
      </c>
      <c r="E4673" s="164" t="n">
        <v>7500</v>
      </c>
      <c r="F4673" s="165" t="s">
        <v>2873</v>
      </c>
    </row>
    <row r="4674" customFormat="false" ht="15" hidden="false" customHeight="true" outlineLevel="0" collapsed="false">
      <c r="A4674" s="163" t="s">
        <v>588</v>
      </c>
      <c r="B4674" s="163" t="s">
        <v>3111</v>
      </c>
      <c r="C4674" s="163" t="s">
        <v>290</v>
      </c>
      <c r="D4674" s="163" t="s">
        <v>1909</v>
      </c>
      <c r="E4674" s="164" t="n">
        <v>20000</v>
      </c>
      <c r="F4674" s="165" t="s">
        <v>2873</v>
      </c>
    </row>
    <row r="4675" customFormat="false" ht="15" hidden="false" customHeight="true" outlineLevel="0" collapsed="false">
      <c r="A4675" s="163" t="s">
        <v>588</v>
      </c>
      <c r="B4675" s="163" t="s">
        <v>3111</v>
      </c>
      <c r="C4675" s="163" t="s">
        <v>350</v>
      </c>
      <c r="D4675" s="163" t="s">
        <v>1913</v>
      </c>
      <c r="E4675" s="164" t="n">
        <v>17500</v>
      </c>
      <c r="F4675" s="165" t="s">
        <v>3060</v>
      </c>
    </row>
    <row r="4676" customFormat="false" ht="15" hidden="false" customHeight="true" outlineLevel="0" collapsed="false">
      <c r="A4676" s="163" t="s">
        <v>588</v>
      </c>
      <c r="B4676" s="163" t="s">
        <v>3111</v>
      </c>
      <c r="C4676" s="163" t="s">
        <v>235</v>
      </c>
      <c r="D4676" s="163" t="s">
        <v>1852</v>
      </c>
      <c r="E4676" s="164" t="n">
        <v>12500</v>
      </c>
      <c r="F4676" s="165" t="s">
        <v>2877</v>
      </c>
    </row>
    <row r="4677" customFormat="false" ht="15" hidden="false" customHeight="true" outlineLevel="0" collapsed="false">
      <c r="A4677" s="163" t="s">
        <v>588</v>
      </c>
      <c r="B4677" s="163" t="s">
        <v>3111</v>
      </c>
      <c r="C4677" s="163" t="s">
        <v>933</v>
      </c>
      <c r="D4677" s="163" t="s">
        <v>1925</v>
      </c>
      <c r="E4677" s="164" t="n">
        <v>10000</v>
      </c>
      <c r="F4677" s="165" t="s">
        <v>2797</v>
      </c>
    </row>
    <row r="4678" customFormat="false" ht="15" hidden="false" customHeight="true" outlineLevel="0" collapsed="false">
      <c r="A4678" s="163" t="s">
        <v>588</v>
      </c>
      <c r="B4678" s="163" t="s">
        <v>3111</v>
      </c>
      <c r="C4678" s="163" t="s">
        <v>1159</v>
      </c>
      <c r="D4678" s="163" t="s">
        <v>1936</v>
      </c>
      <c r="E4678" s="164" t="n">
        <v>10000</v>
      </c>
      <c r="F4678" s="165" t="s">
        <v>2878</v>
      </c>
    </row>
    <row r="4679" customFormat="false" ht="15" hidden="false" customHeight="true" outlineLevel="0" collapsed="false">
      <c r="A4679" s="163" t="s">
        <v>588</v>
      </c>
      <c r="B4679" s="163" t="s">
        <v>3111</v>
      </c>
      <c r="C4679" s="163" t="s">
        <v>2879</v>
      </c>
      <c r="D4679" s="163" t="s">
        <v>1931</v>
      </c>
      <c r="E4679" s="164" t="n">
        <v>10000</v>
      </c>
      <c r="F4679" s="165" t="s">
        <v>2880</v>
      </c>
    </row>
    <row r="4680" customFormat="false" ht="15" hidden="false" customHeight="true" outlineLevel="0" collapsed="false">
      <c r="A4680" s="163" t="s">
        <v>588</v>
      </c>
      <c r="B4680" s="163" t="s">
        <v>3111</v>
      </c>
      <c r="C4680" s="163" t="s">
        <v>1199</v>
      </c>
      <c r="D4680" s="163" t="s">
        <v>1929</v>
      </c>
      <c r="E4680" s="164" t="n">
        <v>10000</v>
      </c>
      <c r="F4680" s="165" t="s">
        <v>2881</v>
      </c>
    </row>
    <row r="4681" customFormat="false" ht="15" hidden="false" customHeight="true" outlineLevel="0" collapsed="false">
      <c r="A4681" s="163" t="s">
        <v>588</v>
      </c>
      <c r="B4681" s="163" t="s">
        <v>3111</v>
      </c>
      <c r="C4681" s="163" t="s">
        <v>586</v>
      </c>
      <c r="D4681" s="163" t="s">
        <v>1923</v>
      </c>
      <c r="E4681" s="164" t="n">
        <v>10000</v>
      </c>
      <c r="F4681" s="165" t="s">
        <v>3060</v>
      </c>
    </row>
    <row r="4682" customFormat="false" ht="15" hidden="false" customHeight="true" outlineLevel="0" collapsed="false">
      <c r="A4682" s="163" t="s">
        <v>588</v>
      </c>
      <c r="B4682" s="163" t="s">
        <v>1938</v>
      </c>
      <c r="C4682" s="163" t="s">
        <v>281</v>
      </c>
      <c r="D4682" s="163" t="s">
        <v>1922</v>
      </c>
      <c r="E4682" s="164" t="n">
        <v>20000</v>
      </c>
      <c r="F4682" s="165" t="s">
        <v>2882</v>
      </c>
    </row>
    <row r="4683" customFormat="false" ht="15" hidden="false" customHeight="true" outlineLevel="0" collapsed="false">
      <c r="A4683" s="163" t="s">
        <v>588</v>
      </c>
      <c r="B4683" s="163" t="s">
        <v>1938</v>
      </c>
      <c r="C4683" s="163" t="s">
        <v>350</v>
      </c>
      <c r="D4683" s="163" t="s">
        <v>1913</v>
      </c>
      <c r="E4683" s="164" t="n">
        <v>20000</v>
      </c>
      <c r="F4683" s="165" t="s">
        <v>2883</v>
      </c>
    </row>
    <row r="4684" customFormat="false" ht="15" hidden="false" customHeight="true" outlineLevel="0" collapsed="false">
      <c r="A4684" s="163" t="s">
        <v>588</v>
      </c>
      <c r="B4684" s="163" t="s">
        <v>1938</v>
      </c>
      <c r="C4684" s="163" t="s">
        <v>350</v>
      </c>
      <c r="D4684" s="163" t="s">
        <v>1913</v>
      </c>
      <c r="E4684" s="164" t="n">
        <v>20000</v>
      </c>
      <c r="F4684" s="165" t="s">
        <v>2884</v>
      </c>
    </row>
    <row r="4685" customFormat="false" ht="15" hidden="false" customHeight="true" outlineLevel="0" collapsed="false">
      <c r="A4685" s="163" t="s">
        <v>588</v>
      </c>
      <c r="B4685" s="163" t="s">
        <v>1938</v>
      </c>
      <c r="C4685" s="163" t="s">
        <v>350</v>
      </c>
      <c r="D4685" s="163" t="s">
        <v>1913</v>
      </c>
      <c r="E4685" s="164" t="n">
        <v>20000</v>
      </c>
      <c r="F4685" s="165" t="s">
        <v>2885</v>
      </c>
    </row>
    <row r="4686" customFormat="false" ht="15" hidden="false" customHeight="true" outlineLevel="0" collapsed="false">
      <c r="A4686" s="163" t="s">
        <v>588</v>
      </c>
      <c r="B4686" s="163" t="s">
        <v>1938</v>
      </c>
      <c r="C4686" s="163" t="s">
        <v>350</v>
      </c>
      <c r="D4686" s="163" t="s">
        <v>1913</v>
      </c>
      <c r="E4686" s="164" t="n">
        <v>20000</v>
      </c>
      <c r="F4686" s="165" t="s">
        <v>2886</v>
      </c>
    </row>
    <row r="4687" customFormat="false" ht="15" hidden="false" customHeight="true" outlineLevel="0" collapsed="false">
      <c r="A4687" s="163" t="s">
        <v>588</v>
      </c>
      <c r="B4687" s="163" t="s">
        <v>1938</v>
      </c>
      <c r="C4687" s="163" t="s">
        <v>350</v>
      </c>
      <c r="D4687" s="163" t="s">
        <v>1913</v>
      </c>
      <c r="E4687" s="164" t="n">
        <v>20000</v>
      </c>
      <c r="F4687" s="165" t="s">
        <v>2887</v>
      </c>
    </row>
    <row r="4688" customFormat="false" ht="15" hidden="false" customHeight="true" outlineLevel="0" collapsed="false">
      <c r="A4688" s="163" t="s">
        <v>588</v>
      </c>
      <c r="B4688" s="163" t="s">
        <v>1938</v>
      </c>
      <c r="C4688" s="163" t="s">
        <v>350</v>
      </c>
      <c r="D4688" s="163" t="s">
        <v>1913</v>
      </c>
      <c r="E4688" s="164" t="n">
        <v>20000</v>
      </c>
      <c r="F4688" s="165" t="s">
        <v>2888</v>
      </c>
    </row>
    <row r="4689" customFormat="false" ht="15" hidden="false" customHeight="true" outlineLevel="0" collapsed="false">
      <c r="A4689" s="163" t="s">
        <v>588</v>
      </c>
      <c r="B4689" s="163" t="s">
        <v>1938</v>
      </c>
      <c r="C4689" s="163" t="s">
        <v>2073</v>
      </c>
      <c r="D4689" s="163" t="s">
        <v>2074</v>
      </c>
      <c r="E4689" s="164" t="n">
        <v>20000</v>
      </c>
      <c r="F4689" s="165" t="s">
        <v>2889</v>
      </c>
    </row>
    <row r="4690" customFormat="false" ht="15" hidden="false" customHeight="true" outlineLevel="0" collapsed="false">
      <c r="A4690" s="163" t="s">
        <v>588</v>
      </c>
      <c r="B4690" s="163" t="s">
        <v>1938</v>
      </c>
      <c r="C4690" s="163" t="s">
        <v>2073</v>
      </c>
      <c r="D4690" s="163" t="s">
        <v>2074</v>
      </c>
      <c r="E4690" s="164" t="n">
        <v>20000</v>
      </c>
      <c r="F4690" s="165" t="s">
        <v>2890</v>
      </c>
    </row>
    <row r="4691" customFormat="false" ht="15" hidden="false" customHeight="true" outlineLevel="0" collapsed="false">
      <c r="A4691" s="163" t="s">
        <v>588</v>
      </c>
      <c r="B4691" s="163" t="s">
        <v>1938</v>
      </c>
      <c r="C4691" s="163" t="s">
        <v>332</v>
      </c>
      <c r="D4691" s="163" t="s">
        <v>2673</v>
      </c>
      <c r="E4691" s="164" t="n">
        <v>20000</v>
      </c>
      <c r="F4691" s="165" t="s">
        <v>2891</v>
      </c>
    </row>
    <row r="4692" customFormat="false" ht="15" hidden="false" customHeight="true" outlineLevel="0" collapsed="false">
      <c r="A4692" s="163" t="s">
        <v>588</v>
      </c>
      <c r="B4692" s="163" t="s">
        <v>1938</v>
      </c>
      <c r="C4692" s="163" t="s">
        <v>1129</v>
      </c>
      <c r="D4692" s="163" t="s">
        <v>2892</v>
      </c>
      <c r="E4692" s="164" t="n">
        <v>20000</v>
      </c>
      <c r="F4692" s="165" t="s">
        <v>2886</v>
      </c>
    </row>
    <row r="4693" customFormat="false" ht="15" hidden="false" customHeight="true" outlineLevel="0" collapsed="false">
      <c r="A4693" s="163" t="s">
        <v>588</v>
      </c>
      <c r="B4693" s="163" t="s">
        <v>1938</v>
      </c>
      <c r="C4693" s="163" t="s">
        <v>1129</v>
      </c>
      <c r="D4693" s="163" t="s">
        <v>2892</v>
      </c>
      <c r="E4693" s="164" t="n">
        <v>20000</v>
      </c>
      <c r="F4693" s="165" t="s">
        <v>2893</v>
      </c>
    </row>
    <row r="4694" customFormat="false" ht="15" hidden="false" customHeight="true" outlineLevel="0" collapsed="false">
      <c r="A4694" s="163" t="s">
        <v>588</v>
      </c>
      <c r="B4694" s="163" t="s">
        <v>1938</v>
      </c>
      <c r="C4694" s="163" t="s">
        <v>290</v>
      </c>
      <c r="D4694" s="163" t="s">
        <v>1909</v>
      </c>
      <c r="E4694" s="164" t="n">
        <v>20000</v>
      </c>
      <c r="F4694" s="165" t="s">
        <v>2894</v>
      </c>
    </row>
    <row r="4695" customFormat="false" ht="15" hidden="false" customHeight="true" outlineLevel="0" collapsed="false">
      <c r="A4695" s="163" t="s">
        <v>588</v>
      </c>
      <c r="B4695" s="163" t="s">
        <v>1938</v>
      </c>
      <c r="C4695" s="163" t="s">
        <v>290</v>
      </c>
      <c r="D4695" s="163" t="s">
        <v>1909</v>
      </c>
      <c r="E4695" s="164" t="n">
        <v>20000</v>
      </c>
      <c r="F4695" s="165" t="s">
        <v>2889</v>
      </c>
    </row>
    <row r="4696" customFormat="false" ht="15" hidden="false" customHeight="true" outlineLevel="0" collapsed="false">
      <c r="A4696" s="163" t="s">
        <v>588</v>
      </c>
      <c r="B4696" s="163" t="s">
        <v>1938</v>
      </c>
      <c r="C4696" s="163" t="s">
        <v>290</v>
      </c>
      <c r="D4696" s="163" t="s">
        <v>1909</v>
      </c>
      <c r="E4696" s="164" t="n">
        <v>20000</v>
      </c>
      <c r="F4696" s="165" t="s">
        <v>2895</v>
      </c>
    </row>
    <row r="4697" customFormat="false" ht="15" hidden="false" customHeight="true" outlineLevel="0" collapsed="false">
      <c r="A4697" s="163" t="s">
        <v>588</v>
      </c>
      <c r="B4697" s="163" t="s">
        <v>1938</v>
      </c>
      <c r="C4697" s="163" t="s">
        <v>290</v>
      </c>
      <c r="D4697" s="163" t="s">
        <v>1909</v>
      </c>
      <c r="E4697" s="164" t="n">
        <v>20000</v>
      </c>
      <c r="F4697" s="165" t="s">
        <v>2896</v>
      </c>
    </row>
    <row r="4698" customFormat="false" ht="15" hidden="false" customHeight="true" outlineLevel="0" collapsed="false">
      <c r="A4698" s="163" t="s">
        <v>588</v>
      </c>
      <c r="B4698" s="163" t="s">
        <v>1938</v>
      </c>
      <c r="C4698" s="163" t="s">
        <v>332</v>
      </c>
      <c r="D4698" s="163" t="s">
        <v>2673</v>
      </c>
      <c r="E4698" s="164" t="n">
        <v>20000</v>
      </c>
      <c r="F4698" s="165" t="s">
        <v>2891</v>
      </c>
    </row>
    <row r="4699" customFormat="false" ht="15" hidden="false" customHeight="true" outlineLevel="0" collapsed="false">
      <c r="A4699" s="163" t="s">
        <v>588</v>
      </c>
      <c r="B4699" s="163" t="s">
        <v>691</v>
      </c>
      <c r="C4699" s="163" t="s">
        <v>395</v>
      </c>
      <c r="D4699" s="163" t="s">
        <v>2196</v>
      </c>
      <c r="E4699" s="164" t="n">
        <v>25000</v>
      </c>
      <c r="F4699" s="165" t="s">
        <v>2897</v>
      </c>
    </row>
    <row r="4700" customFormat="false" ht="15" hidden="false" customHeight="true" outlineLevel="0" collapsed="false">
      <c r="A4700" s="163" t="s">
        <v>588</v>
      </c>
      <c r="B4700" s="163" t="s">
        <v>691</v>
      </c>
      <c r="C4700" s="163" t="s">
        <v>1129</v>
      </c>
      <c r="D4700" s="163" t="s">
        <v>2892</v>
      </c>
      <c r="E4700" s="164" t="n">
        <v>20000</v>
      </c>
      <c r="F4700" s="165" t="s">
        <v>2898</v>
      </c>
    </row>
    <row r="4701" customFormat="false" ht="15" hidden="false" customHeight="true" outlineLevel="0" collapsed="false">
      <c r="A4701" s="163" t="s">
        <v>588</v>
      </c>
      <c r="B4701" s="163" t="s">
        <v>691</v>
      </c>
      <c r="C4701" s="163" t="s">
        <v>260</v>
      </c>
      <c r="D4701" s="163" t="s">
        <v>2097</v>
      </c>
      <c r="E4701" s="164" t="n">
        <v>15000</v>
      </c>
      <c r="F4701" s="165" t="s">
        <v>2873</v>
      </c>
    </row>
    <row r="4702" customFormat="false" ht="15" hidden="false" customHeight="true" outlineLevel="0" collapsed="false">
      <c r="A4702" s="163" t="s">
        <v>588</v>
      </c>
      <c r="B4702" s="163" t="s">
        <v>691</v>
      </c>
      <c r="C4702" s="163" t="s">
        <v>2632</v>
      </c>
      <c r="D4702" s="163" t="s">
        <v>2633</v>
      </c>
      <c r="E4702" s="164" t="n">
        <v>15000</v>
      </c>
      <c r="F4702" s="165" t="s">
        <v>3060</v>
      </c>
    </row>
    <row r="4703" customFormat="false" ht="15" hidden="false" customHeight="true" outlineLevel="0" collapsed="false">
      <c r="A4703" s="163" t="s">
        <v>588</v>
      </c>
      <c r="B4703" s="163" t="s">
        <v>691</v>
      </c>
      <c r="C4703" s="163" t="s">
        <v>2026</v>
      </c>
      <c r="D4703" s="163" t="s">
        <v>2868</v>
      </c>
      <c r="E4703" s="164" t="n">
        <v>10000</v>
      </c>
      <c r="F4703" s="165" t="s">
        <v>3060</v>
      </c>
    </row>
    <row r="4704" customFormat="false" ht="15" hidden="false" customHeight="true" outlineLevel="0" collapsed="false">
      <c r="A4704" s="163" t="s">
        <v>588</v>
      </c>
      <c r="B4704" s="163" t="s">
        <v>691</v>
      </c>
      <c r="C4704" s="163" t="s">
        <v>1127</v>
      </c>
      <c r="D4704" s="163" t="s">
        <v>2155</v>
      </c>
      <c r="E4704" s="164" t="n">
        <v>10000</v>
      </c>
      <c r="F4704" s="165" t="s">
        <v>3060</v>
      </c>
    </row>
    <row r="4705" customFormat="false" ht="15" hidden="false" customHeight="true" outlineLevel="0" collapsed="false">
      <c r="A4705" s="163" t="s">
        <v>588</v>
      </c>
      <c r="B4705" s="163" t="s">
        <v>691</v>
      </c>
      <c r="C4705" s="163" t="s">
        <v>2065</v>
      </c>
      <c r="D4705" s="163" t="s">
        <v>2066</v>
      </c>
      <c r="E4705" s="164" t="n">
        <v>10000</v>
      </c>
      <c r="F4705" s="165" t="s">
        <v>2899</v>
      </c>
    </row>
    <row r="4706" customFormat="false" ht="15" hidden="false" customHeight="true" outlineLevel="0" collapsed="false">
      <c r="A4706" s="163" t="s">
        <v>588</v>
      </c>
      <c r="B4706" s="163" t="s">
        <v>691</v>
      </c>
      <c r="C4706" s="163" t="s">
        <v>296</v>
      </c>
      <c r="D4706" s="163" t="s">
        <v>2127</v>
      </c>
      <c r="E4706" s="164" t="n">
        <v>10000</v>
      </c>
      <c r="F4706" s="165" t="s">
        <v>2900</v>
      </c>
    </row>
    <row r="4707" customFormat="false" ht="15" hidden="false" customHeight="true" outlineLevel="0" collapsed="false">
      <c r="A4707" s="163" t="s">
        <v>588</v>
      </c>
      <c r="B4707" s="163" t="s">
        <v>691</v>
      </c>
      <c r="C4707" s="163" t="s">
        <v>2073</v>
      </c>
      <c r="D4707" s="163" t="s">
        <v>2074</v>
      </c>
      <c r="E4707" s="164" t="n">
        <v>10000</v>
      </c>
      <c r="F4707" s="165" t="s">
        <v>3060</v>
      </c>
    </row>
    <row r="4708" customFormat="false" ht="15" hidden="false" customHeight="true" outlineLevel="0" collapsed="false">
      <c r="A4708" s="163" t="s">
        <v>588</v>
      </c>
      <c r="B4708" s="163" t="s">
        <v>691</v>
      </c>
      <c r="C4708" s="163" t="s">
        <v>346</v>
      </c>
      <c r="D4708" s="163" t="s">
        <v>2670</v>
      </c>
      <c r="E4708" s="164" t="n">
        <v>10000</v>
      </c>
      <c r="F4708" s="165" t="s">
        <v>2873</v>
      </c>
    </row>
    <row r="4709" customFormat="false" ht="15" hidden="false" customHeight="true" outlineLevel="0" collapsed="false">
      <c r="A4709" s="163" t="s">
        <v>588</v>
      </c>
      <c r="B4709" s="163" t="s">
        <v>691</v>
      </c>
      <c r="C4709" s="163" t="s">
        <v>350</v>
      </c>
      <c r="D4709" s="163" t="s">
        <v>1913</v>
      </c>
      <c r="E4709" s="164" t="n">
        <v>10000</v>
      </c>
      <c r="F4709" s="165" t="s">
        <v>2901</v>
      </c>
    </row>
    <row r="4710" customFormat="false" ht="15" hidden="false" customHeight="true" outlineLevel="0" collapsed="false">
      <c r="A4710" s="163" t="s">
        <v>588</v>
      </c>
      <c r="B4710" s="163" t="s">
        <v>2027</v>
      </c>
      <c r="C4710" s="163" t="s">
        <v>290</v>
      </c>
      <c r="D4710" s="163" t="s">
        <v>1909</v>
      </c>
      <c r="E4710" s="164" t="n">
        <v>20000</v>
      </c>
      <c r="F4710" s="165" t="s">
        <v>2873</v>
      </c>
    </row>
    <row r="4711" customFormat="false" ht="15" hidden="false" customHeight="true" outlineLevel="0" collapsed="false">
      <c r="A4711" s="163" t="s">
        <v>588</v>
      </c>
      <c r="B4711" s="163" t="s">
        <v>2027</v>
      </c>
      <c r="C4711" s="163" t="s">
        <v>657</v>
      </c>
      <c r="D4711" s="163" t="s">
        <v>1849</v>
      </c>
      <c r="E4711" s="164" t="n">
        <v>20000</v>
      </c>
      <c r="F4711" s="165" t="s">
        <v>2873</v>
      </c>
    </row>
    <row r="4712" customFormat="false" ht="15" hidden="false" customHeight="true" outlineLevel="0" collapsed="false">
      <c r="A4712" s="163" t="s">
        <v>588</v>
      </c>
      <c r="B4712" s="163" t="s">
        <v>2027</v>
      </c>
      <c r="C4712" s="163" t="s">
        <v>360</v>
      </c>
      <c r="D4712" s="163" t="s">
        <v>2685</v>
      </c>
      <c r="E4712" s="164" t="n">
        <v>20000</v>
      </c>
      <c r="F4712" s="165" t="s">
        <v>2873</v>
      </c>
    </row>
    <row r="4713" customFormat="false" ht="15" hidden="false" customHeight="true" outlineLevel="0" collapsed="false">
      <c r="A4713" s="163" t="s">
        <v>588</v>
      </c>
      <c r="B4713" s="163" t="s">
        <v>2027</v>
      </c>
      <c r="C4713" s="163" t="s">
        <v>350</v>
      </c>
      <c r="D4713" s="163" t="s">
        <v>1913</v>
      </c>
      <c r="E4713" s="164" t="n">
        <v>20000</v>
      </c>
      <c r="F4713" s="165" t="s">
        <v>8839</v>
      </c>
    </row>
    <row r="4714" customFormat="false" ht="15" hidden="false" customHeight="true" outlineLevel="0" collapsed="false">
      <c r="A4714" s="163" t="s">
        <v>588</v>
      </c>
      <c r="B4714" s="163" t="s">
        <v>2027</v>
      </c>
      <c r="C4714" s="163" t="s">
        <v>1104</v>
      </c>
      <c r="D4714" s="163" t="s">
        <v>1917</v>
      </c>
      <c r="E4714" s="164" t="n">
        <v>10000</v>
      </c>
      <c r="F4714" s="165" t="s">
        <v>3060</v>
      </c>
    </row>
    <row r="4715" customFormat="false" ht="15" hidden="false" customHeight="true" outlineLevel="0" collapsed="false">
      <c r="A4715" s="163" t="s">
        <v>588</v>
      </c>
      <c r="B4715" s="163" t="s">
        <v>2037</v>
      </c>
      <c r="C4715" s="163" t="s">
        <v>2903</v>
      </c>
      <c r="D4715" s="163" t="s">
        <v>1931</v>
      </c>
      <c r="E4715" s="164" t="n">
        <v>25000</v>
      </c>
      <c r="F4715" s="165" t="s">
        <v>3060</v>
      </c>
    </row>
    <row r="4716" customFormat="false" ht="15" hidden="false" customHeight="true" outlineLevel="0" collapsed="false">
      <c r="A4716" s="163" t="s">
        <v>588</v>
      </c>
      <c r="B4716" s="163" t="s">
        <v>2037</v>
      </c>
      <c r="C4716" s="163" t="s">
        <v>290</v>
      </c>
      <c r="D4716" s="163" t="s">
        <v>1909</v>
      </c>
      <c r="E4716" s="164" t="n">
        <v>20000</v>
      </c>
      <c r="F4716" s="165" t="s">
        <v>3060</v>
      </c>
    </row>
    <row r="4717" customFormat="false" ht="15" hidden="false" customHeight="true" outlineLevel="0" collapsed="false">
      <c r="A4717" s="163" t="s">
        <v>588</v>
      </c>
      <c r="B4717" s="163" t="s">
        <v>2037</v>
      </c>
      <c r="C4717" s="163" t="s">
        <v>1860</v>
      </c>
      <c r="D4717" s="163" t="s">
        <v>1861</v>
      </c>
      <c r="E4717" s="164" t="n">
        <v>20000</v>
      </c>
      <c r="F4717" s="165" t="s">
        <v>2873</v>
      </c>
    </row>
    <row r="4718" customFormat="false" ht="15" hidden="false" customHeight="true" outlineLevel="0" collapsed="false">
      <c r="A4718" s="163" t="s">
        <v>588</v>
      </c>
      <c r="B4718" s="163" t="s">
        <v>2037</v>
      </c>
      <c r="C4718" s="163" t="s">
        <v>142</v>
      </c>
      <c r="D4718" s="163" t="s">
        <v>2122</v>
      </c>
      <c r="E4718" s="164" t="n">
        <v>18000</v>
      </c>
      <c r="F4718" s="165" t="s">
        <v>2904</v>
      </c>
    </row>
    <row r="4719" customFormat="false" ht="15" hidden="false" customHeight="true" outlineLevel="0" collapsed="false">
      <c r="A4719" s="163" t="s">
        <v>588</v>
      </c>
      <c r="B4719" s="163" t="s">
        <v>2037</v>
      </c>
      <c r="C4719" s="163" t="s">
        <v>317</v>
      </c>
      <c r="D4719" s="163" t="s">
        <v>2479</v>
      </c>
      <c r="E4719" s="164" t="n">
        <v>10000</v>
      </c>
      <c r="F4719" s="165" t="s">
        <v>2873</v>
      </c>
    </row>
    <row r="4720" customFormat="false" ht="15" hidden="false" customHeight="true" outlineLevel="0" collapsed="false">
      <c r="A4720" s="163" t="s">
        <v>588</v>
      </c>
      <c r="B4720" s="163" t="s">
        <v>2037</v>
      </c>
      <c r="C4720" s="163" t="s">
        <v>215</v>
      </c>
      <c r="D4720" s="163" t="s">
        <v>1856</v>
      </c>
      <c r="E4720" s="164" t="n">
        <v>10000</v>
      </c>
      <c r="F4720" s="165" t="s">
        <v>3060</v>
      </c>
    </row>
    <row r="4721" customFormat="false" ht="15" hidden="false" customHeight="true" outlineLevel="0" collapsed="false">
      <c r="A4721" s="163" t="s">
        <v>588</v>
      </c>
      <c r="B4721" s="163" t="s">
        <v>2037</v>
      </c>
      <c r="C4721" s="163" t="s">
        <v>313</v>
      </c>
      <c r="D4721" s="163" t="s">
        <v>2690</v>
      </c>
      <c r="E4721" s="164" t="n">
        <v>10000</v>
      </c>
      <c r="F4721" s="165" t="s">
        <v>3060</v>
      </c>
    </row>
    <row r="4722" customFormat="false" ht="15" hidden="false" customHeight="true" outlineLevel="0" collapsed="false">
      <c r="A4722" s="163" t="s">
        <v>588</v>
      </c>
      <c r="B4722" s="163" t="s">
        <v>2037</v>
      </c>
      <c r="C4722" s="163" t="s">
        <v>1204</v>
      </c>
      <c r="D4722" s="163" t="s">
        <v>2905</v>
      </c>
      <c r="E4722" s="164" t="n">
        <v>10000</v>
      </c>
      <c r="F4722" s="165" t="s">
        <v>3060</v>
      </c>
    </row>
    <row r="4723" customFormat="false" ht="15" hidden="false" customHeight="true" outlineLevel="0" collapsed="false">
      <c r="A4723" s="163" t="s">
        <v>588</v>
      </c>
      <c r="B4723" s="163" t="s">
        <v>2037</v>
      </c>
      <c r="C4723" s="163" t="s">
        <v>2879</v>
      </c>
      <c r="D4723" s="163" t="s">
        <v>1931</v>
      </c>
      <c r="E4723" s="164" t="n">
        <v>10000</v>
      </c>
      <c r="F4723" s="165" t="s">
        <v>2880</v>
      </c>
    </row>
    <row r="4724" customFormat="false" ht="15" hidden="false" customHeight="true" outlineLevel="0" collapsed="false">
      <c r="A4724" s="163" t="s">
        <v>588</v>
      </c>
      <c r="B4724" s="163" t="s">
        <v>894</v>
      </c>
      <c r="C4724" s="163" t="s">
        <v>1084</v>
      </c>
      <c r="D4724" s="163" t="s">
        <v>2062</v>
      </c>
      <c r="E4724" s="164" t="n">
        <v>40000</v>
      </c>
      <c r="F4724" s="165" t="s">
        <v>3060</v>
      </c>
    </row>
    <row r="4725" customFormat="false" ht="15" hidden="false" customHeight="true" outlineLevel="0" collapsed="false">
      <c r="A4725" s="163" t="s">
        <v>588</v>
      </c>
      <c r="B4725" s="163" t="s">
        <v>894</v>
      </c>
      <c r="C4725" s="163" t="s">
        <v>380</v>
      </c>
      <c r="D4725" s="163" t="s">
        <v>1899</v>
      </c>
      <c r="E4725" s="164" t="n">
        <v>25000</v>
      </c>
      <c r="F4725" s="165" t="s">
        <v>3060</v>
      </c>
    </row>
    <row r="4726" customFormat="false" ht="15" hidden="false" customHeight="true" outlineLevel="0" collapsed="false">
      <c r="A4726" s="163" t="s">
        <v>588</v>
      </c>
      <c r="B4726" s="163" t="s">
        <v>894</v>
      </c>
      <c r="C4726" s="163" t="s">
        <v>343</v>
      </c>
      <c r="D4726" s="163" t="s">
        <v>1894</v>
      </c>
      <c r="E4726" s="164" t="n">
        <v>16000</v>
      </c>
      <c r="F4726" s="165" t="s">
        <v>2876</v>
      </c>
    </row>
    <row r="4727" customFormat="false" ht="15" hidden="false" customHeight="true" outlineLevel="0" collapsed="false">
      <c r="A4727" s="163" t="s">
        <v>588</v>
      </c>
      <c r="B4727" s="163" t="s">
        <v>894</v>
      </c>
      <c r="C4727" s="163" t="s">
        <v>2083</v>
      </c>
      <c r="D4727" s="163" t="s">
        <v>2084</v>
      </c>
      <c r="E4727" s="164" t="n">
        <v>15000</v>
      </c>
      <c r="F4727" s="165" t="s">
        <v>3060</v>
      </c>
    </row>
    <row r="4728" customFormat="false" ht="15" hidden="false" customHeight="true" outlineLevel="0" collapsed="false">
      <c r="A4728" s="163" t="s">
        <v>588</v>
      </c>
      <c r="B4728" s="163" t="s">
        <v>894</v>
      </c>
      <c r="C4728" s="163" t="s">
        <v>326</v>
      </c>
      <c r="D4728" s="163" t="s">
        <v>1912</v>
      </c>
      <c r="E4728" s="164" t="n">
        <v>14500</v>
      </c>
      <c r="F4728" s="165" t="s">
        <v>2906</v>
      </c>
    </row>
    <row r="4729" customFormat="false" ht="15" hidden="false" customHeight="true" outlineLevel="0" collapsed="false">
      <c r="A4729" s="163" t="s">
        <v>588</v>
      </c>
      <c r="B4729" s="163" t="s">
        <v>894</v>
      </c>
      <c r="C4729" s="163" t="s">
        <v>1193</v>
      </c>
      <c r="D4729" s="163" t="s">
        <v>2092</v>
      </c>
      <c r="E4729" s="164" t="n">
        <v>11500</v>
      </c>
      <c r="F4729" s="165" t="s">
        <v>2907</v>
      </c>
    </row>
    <row r="4730" customFormat="false" ht="15" hidden="false" customHeight="true" outlineLevel="0" collapsed="false">
      <c r="A4730" s="163" t="s">
        <v>588</v>
      </c>
      <c r="B4730" s="163" t="s">
        <v>894</v>
      </c>
      <c r="C4730" s="163" t="s">
        <v>1208</v>
      </c>
      <c r="D4730" s="163" t="s">
        <v>2113</v>
      </c>
      <c r="E4730" s="164" t="n">
        <v>10000</v>
      </c>
      <c r="F4730" s="165" t="s">
        <v>3060</v>
      </c>
    </row>
    <row r="4731" customFormat="false" ht="15" hidden="false" customHeight="true" outlineLevel="0" collapsed="false">
      <c r="A4731" s="163" t="s">
        <v>588</v>
      </c>
      <c r="B4731" s="163" t="s">
        <v>894</v>
      </c>
      <c r="C4731" s="163" t="s">
        <v>326</v>
      </c>
      <c r="D4731" s="163" t="s">
        <v>1912</v>
      </c>
      <c r="E4731" s="164" t="n">
        <v>10000</v>
      </c>
      <c r="F4731" s="165" t="s">
        <v>2908</v>
      </c>
    </row>
    <row r="4732" customFormat="false" ht="15" hidden="false" customHeight="true" outlineLevel="0" collapsed="false">
      <c r="A4732" s="163" t="s">
        <v>588</v>
      </c>
      <c r="B4732" s="163" t="s">
        <v>894</v>
      </c>
      <c r="C4732" s="163" t="s">
        <v>326</v>
      </c>
      <c r="D4732" s="163" t="s">
        <v>1912</v>
      </c>
      <c r="E4732" s="164" t="n">
        <v>10000</v>
      </c>
      <c r="F4732" s="165" t="s">
        <v>2909</v>
      </c>
    </row>
    <row r="4733" customFormat="false" ht="15" hidden="false" customHeight="true" outlineLevel="0" collapsed="false">
      <c r="A4733" s="163" t="s">
        <v>588</v>
      </c>
      <c r="B4733" s="163" t="s">
        <v>894</v>
      </c>
      <c r="C4733" s="163" t="s">
        <v>2910</v>
      </c>
      <c r="D4733" s="163" t="s">
        <v>2130</v>
      </c>
      <c r="E4733" s="164" t="n">
        <v>10000</v>
      </c>
      <c r="F4733" s="165" t="s">
        <v>3060</v>
      </c>
    </row>
    <row r="4734" customFormat="false" ht="15" hidden="false" customHeight="true" outlineLevel="0" collapsed="false">
      <c r="A4734" s="163" t="s">
        <v>588</v>
      </c>
      <c r="B4734" s="163" t="s">
        <v>894</v>
      </c>
      <c r="C4734" s="163" t="s">
        <v>1219</v>
      </c>
      <c r="D4734" s="163" t="s">
        <v>2135</v>
      </c>
      <c r="E4734" s="164" t="n">
        <v>8000</v>
      </c>
      <c r="F4734" s="165" t="s">
        <v>2873</v>
      </c>
    </row>
    <row r="4735" customFormat="false" ht="15" hidden="false" customHeight="true" outlineLevel="0" collapsed="false">
      <c r="A4735" s="163" t="s">
        <v>588</v>
      </c>
      <c r="B4735" s="163" t="s">
        <v>894</v>
      </c>
      <c r="C4735" s="163" t="s">
        <v>404</v>
      </c>
      <c r="D4735" s="163" t="s">
        <v>2108</v>
      </c>
      <c r="E4735" s="164" t="n">
        <v>8000</v>
      </c>
      <c r="F4735" s="165" t="s">
        <v>2911</v>
      </c>
    </row>
    <row r="4736" customFormat="false" ht="15" hidden="false" customHeight="true" outlineLevel="0" collapsed="false">
      <c r="A4736" s="163" t="s">
        <v>588</v>
      </c>
      <c r="B4736" s="163" t="s">
        <v>894</v>
      </c>
      <c r="C4736" s="163" t="s">
        <v>528</v>
      </c>
      <c r="D4736" s="163" t="s">
        <v>2133</v>
      </c>
      <c r="E4736" s="164" t="n">
        <v>8000</v>
      </c>
      <c r="F4736" s="165" t="s">
        <v>3060</v>
      </c>
    </row>
    <row r="4737" customFormat="false" ht="15" hidden="false" customHeight="true" outlineLevel="0" collapsed="false">
      <c r="A4737" s="163" t="s">
        <v>588</v>
      </c>
      <c r="B4737" s="163" t="s">
        <v>894</v>
      </c>
      <c r="C4737" s="163" t="s">
        <v>1191</v>
      </c>
      <c r="D4737" s="163" t="s">
        <v>2141</v>
      </c>
      <c r="E4737" s="164" t="n">
        <v>7500</v>
      </c>
      <c r="F4737" s="165" t="s">
        <v>2912</v>
      </c>
    </row>
    <row r="4738" customFormat="false" ht="15" hidden="false" customHeight="true" outlineLevel="0" collapsed="false">
      <c r="A4738" s="163" t="s">
        <v>588</v>
      </c>
      <c r="B4738" s="163" t="s">
        <v>894</v>
      </c>
      <c r="C4738" s="163" t="s">
        <v>350</v>
      </c>
      <c r="D4738" s="163" t="s">
        <v>1913</v>
      </c>
      <c r="E4738" s="164" t="n">
        <v>7500</v>
      </c>
      <c r="F4738" s="165" t="s">
        <v>2873</v>
      </c>
    </row>
    <row r="4739" customFormat="false" ht="15" hidden="false" customHeight="true" outlineLevel="0" collapsed="false">
      <c r="A4739" s="163" t="s">
        <v>588</v>
      </c>
      <c r="B4739" s="163" t="s">
        <v>894</v>
      </c>
      <c r="C4739" s="163" t="s">
        <v>326</v>
      </c>
      <c r="D4739" s="163" t="s">
        <v>1912</v>
      </c>
      <c r="E4739" s="164" t="n">
        <v>6000</v>
      </c>
      <c r="F4739" s="165" t="s">
        <v>2913</v>
      </c>
    </row>
    <row r="4740" customFormat="false" ht="15" hidden="false" customHeight="true" outlineLevel="0" collapsed="false">
      <c r="A4740" s="163" t="s">
        <v>588</v>
      </c>
      <c r="B4740" s="163" t="s">
        <v>894</v>
      </c>
      <c r="C4740" s="163" t="s">
        <v>1223</v>
      </c>
      <c r="D4740" s="163" t="s">
        <v>2146</v>
      </c>
      <c r="E4740" s="164" t="n">
        <v>5500</v>
      </c>
      <c r="F4740" s="165" t="s">
        <v>2914</v>
      </c>
    </row>
    <row r="4741" customFormat="false" ht="15" hidden="false" customHeight="true" outlineLevel="0" collapsed="false">
      <c r="A4741" s="163" t="s">
        <v>588</v>
      </c>
      <c r="B4741" s="163" t="s">
        <v>894</v>
      </c>
      <c r="C4741" s="163" t="s">
        <v>1197</v>
      </c>
      <c r="D4741" s="163" t="s">
        <v>1882</v>
      </c>
      <c r="E4741" s="164" t="n">
        <v>5000</v>
      </c>
      <c r="F4741" s="165" t="s">
        <v>8840</v>
      </c>
    </row>
    <row r="4742" customFormat="false" ht="15" hidden="false" customHeight="true" outlineLevel="0" collapsed="false">
      <c r="A4742" s="163" t="s">
        <v>588</v>
      </c>
      <c r="B4742" s="163" t="s">
        <v>894</v>
      </c>
      <c r="C4742" s="163" t="s">
        <v>404</v>
      </c>
      <c r="D4742" s="163" t="s">
        <v>2108</v>
      </c>
      <c r="E4742" s="164" t="n">
        <v>5000</v>
      </c>
      <c r="F4742" s="165" t="s">
        <v>2916</v>
      </c>
    </row>
    <row r="4743" customFormat="false" ht="15" hidden="false" customHeight="true" outlineLevel="0" collapsed="false">
      <c r="A4743" s="163" t="s">
        <v>588</v>
      </c>
      <c r="B4743" s="163" t="s">
        <v>894</v>
      </c>
      <c r="C4743" s="163" t="s">
        <v>427</v>
      </c>
      <c r="D4743" s="163" t="s">
        <v>2173</v>
      </c>
      <c r="E4743" s="164" t="n">
        <v>5000</v>
      </c>
      <c r="F4743" s="165" t="s">
        <v>2873</v>
      </c>
    </row>
    <row r="4744" customFormat="false" ht="15" hidden="false" customHeight="true" outlineLevel="0" collapsed="false">
      <c r="A4744" s="163" t="s">
        <v>588</v>
      </c>
      <c r="B4744" s="163" t="s">
        <v>894</v>
      </c>
      <c r="C4744" s="163" t="s">
        <v>1247</v>
      </c>
      <c r="D4744" s="163" t="s">
        <v>2194</v>
      </c>
      <c r="E4744" s="164" t="n">
        <v>5000</v>
      </c>
      <c r="F4744" s="165" t="s">
        <v>2917</v>
      </c>
    </row>
    <row r="4745" customFormat="false" ht="15" hidden="false" customHeight="true" outlineLevel="0" collapsed="false">
      <c r="A4745" s="163" t="s">
        <v>588</v>
      </c>
      <c r="B4745" s="163" t="s">
        <v>894</v>
      </c>
      <c r="C4745" s="163" t="s">
        <v>435</v>
      </c>
      <c r="D4745" s="163" t="s">
        <v>1874</v>
      </c>
      <c r="E4745" s="164" t="n">
        <v>5000</v>
      </c>
      <c r="F4745" s="165" t="s">
        <v>8841</v>
      </c>
    </row>
    <row r="4746" customFormat="false" ht="15" hidden="false" customHeight="true" outlineLevel="0" collapsed="false">
      <c r="A4746" s="163" t="s">
        <v>588</v>
      </c>
      <c r="B4746" s="163" t="s">
        <v>894</v>
      </c>
      <c r="C4746" s="163" t="s">
        <v>902</v>
      </c>
      <c r="D4746" s="163" t="s">
        <v>2215</v>
      </c>
      <c r="E4746" s="164" t="n">
        <v>5000</v>
      </c>
      <c r="F4746" s="165" t="s">
        <v>2873</v>
      </c>
    </row>
    <row r="4747" customFormat="false" ht="15" hidden="false" customHeight="true" outlineLevel="0" collapsed="false">
      <c r="A4747" s="163" t="s">
        <v>588</v>
      </c>
      <c r="B4747" s="163" t="s">
        <v>894</v>
      </c>
      <c r="C4747" s="163" t="s">
        <v>388</v>
      </c>
      <c r="D4747" s="163" t="s">
        <v>1889</v>
      </c>
      <c r="E4747" s="164" t="n">
        <v>5000</v>
      </c>
      <c r="F4747" s="165" t="s">
        <v>3060</v>
      </c>
    </row>
    <row r="4748" customFormat="false" ht="15" hidden="false" customHeight="true" outlineLevel="0" collapsed="false">
      <c r="A4748" s="163" t="s">
        <v>588</v>
      </c>
      <c r="B4748" s="163" t="s">
        <v>894</v>
      </c>
      <c r="C4748" s="163" t="s">
        <v>1261</v>
      </c>
      <c r="D4748" s="163" t="s">
        <v>2219</v>
      </c>
      <c r="E4748" s="164" t="n">
        <v>5000</v>
      </c>
      <c r="F4748" s="165" t="s">
        <v>2873</v>
      </c>
    </row>
    <row r="4749" customFormat="false" ht="15" hidden="false" customHeight="true" outlineLevel="0" collapsed="false">
      <c r="A4749" s="163" t="s">
        <v>588</v>
      </c>
      <c r="B4749" s="163" t="s">
        <v>894</v>
      </c>
      <c r="C4749" s="163" t="s">
        <v>1263</v>
      </c>
      <c r="D4749" s="163" t="s">
        <v>2223</v>
      </c>
      <c r="E4749" s="164" t="n">
        <v>5000</v>
      </c>
      <c r="F4749" s="165" t="s">
        <v>2873</v>
      </c>
    </row>
    <row r="4750" customFormat="false" ht="15" hidden="false" customHeight="true" outlineLevel="0" collapsed="false">
      <c r="A4750" s="163" t="s">
        <v>588</v>
      </c>
      <c r="B4750" s="163" t="s">
        <v>894</v>
      </c>
      <c r="C4750" s="163" t="s">
        <v>158</v>
      </c>
      <c r="D4750" s="163" t="s">
        <v>2207</v>
      </c>
      <c r="E4750" s="164" t="n">
        <v>5000</v>
      </c>
      <c r="F4750" s="165" t="s">
        <v>2919</v>
      </c>
    </row>
    <row r="4751" customFormat="false" ht="15" hidden="false" customHeight="true" outlineLevel="0" collapsed="false">
      <c r="A4751" s="163" t="s">
        <v>588</v>
      </c>
      <c r="B4751" s="163" t="s">
        <v>894</v>
      </c>
      <c r="C4751" s="163" t="s">
        <v>2859</v>
      </c>
      <c r="D4751" s="163" t="s">
        <v>2184</v>
      </c>
      <c r="E4751" s="164" t="n">
        <v>5000</v>
      </c>
      <c r="F4751" s="165" t="s">
        <v>3060</v>
      </c>
    </row>
    <row r="4752" customFormat="false" ht="15" hidden="false" customHeight="true" outlineLevel="0" collapsed="false">
      <c r="A4752" s="163" t="s">
        <v>588</v>
      </c>
      <c r="B4752" s="163" t="s">
        <v>894</v>
      </c>
      <c r="C4752" s="163" t="s">
        <v>1239</v>
      </c>
      <c r="D4752" s="163" t="s">
        <v>2180</v>
      </c>
      <c r="E4752" s="164" t="n">
        <v>5000</v>
      </c>
      <c r="F4752" s="165" t="s">
        <v>1239</v>
      </c>
    </row>
    <row r="4753" customFormat="false" ht="15" hidden="false" customHeight="true" outlineLevel="0" collapsed="false">
      <c r="A4753" s="163" t="s">
        <v>588</v>
      </c>
      <c r="B4753" s="163" t="s">
        <v>894</v>
      </c>
      <c r="C4753" s="163" t="s">
        <v>1255</v>
      </c>
      <c r="D4753" s="163" t="s">
        <v>2212</v>
      </c>
      <c r="E4753" s="164" t="n">
        <v>5000</v>
      </c>
      <c r="F4753" s="165" t="s">
        <v>3060</v>
      </c>
    </row>
    <row r="4754" customFormat="false" ht="15" hidden="false" customHeight="true" outlineLevel="0" collapsed="false">
      <c r="A4754" s="163" t="s">
        <v>588</v>
      </c>
      <c r="B4754" s="163" t="s">
        <v>894</v>
      </c>
      <c r="C4754" s="163" t="s">
        <v>1264</v>
      </c>
      <c r="D4754" s="163" t="s">
        <v>2227</v>
      </c>
      <c r="E4754" s="164" t="n">
        <v>5000</v>
      </c>
      <c r="F4754" s="165" t="s">
        <v>3060</v>
      </c>
    </row>
    <row r="4755" customFormat="false" ht="15" hidden="false" customHeight="true" outlineLevel="0" collapsed="false">
      <c r="A4755" s="163" t="s">
        <v>588</v>
      </c>
      <c r="B4755" s="163" t="s">
        <v>894</v>
      </c>
      <c r="C4755" s="163" t="s">
        <v>1235</v>
      </c>
      <c r="D4755" s="163" t="s">
        <v>2157</v>
      </c>
      <c r="E4755" s="164" t="n">
        <v>5000</v>
      </c>
      <c r="F4755" s="165" t="s">
        <v>3060</v>
      </c>
    </row>
    <row r="4756" customFormat="false" ht="15" hidden="false" customHeight="true" outlineLevel="0" collapsed="false">
      <c r="A4756" s="163" t="s">
        <v>588</v>
      </c>
      <c r="B4756" s="163" t="s">
        <v>894</v>
      </c>
      <c r="C4756" s="163" t="s">
        <v>1249</v>
      </c>
      <c r="D4756" s="163" t="s">
        <v>2202</v>
      </c>
      <c r="E4756" s="164" t="n">
        <v>5000</v>
      </c>
      <c r="F4756" s="165" t="s">
        <v>2873</v>
      </c>
    </row>
    <row r="4757" customFormat="false" ht="15" hidden="false" customHeight="true" outlineLevel="0" collapsed="false">
      <c r="A4757" s="163" t="s">
        <v>588</v>
      </c>
      <c r="B4757" s="163" t="s">
        <v>894</v>
      </c>
      <c r="C4757" s="163" t="s">
        <v>893</v>
      </c>
      <c r="D4757" s="163" t="s">
        <v>1931</v>
      </c>
      <c r="E4757" s="164" t="n">
        <v>4000</v>
      </c>
      <c r="F4757" s="165" t="s">
        <v>8842</v>
      </c>
    </row>
    <row r="4758" customFormat="false" ht="15" hidden="false" customHeight="true" outlineLevel="0" collapsed="false">
      <c r="A4758" s="163" t="s">
        <v>588</v>
      </c>
      <c r="B4758" s="163" t="s">
        <v>894</v>
      </c>
      <c r="C4758" s="163" t="s">
        <v>893</v>
      </c>
      <c r="D4758" s="163" t="s">
        <v>1931</v>
      </c>
      <c r="E4758" s="164" t="n">
        <v>4000</v>
      </c>
      <c r="F4758" s="165" t="s">
        <v>2921</v>
      </c>
    </row>
    <row r="4759" customFormat="false" ht="15" hidden="false" customHeight="true" outlineLevel="0" collapsed="false">
      <c r="A4759" s="163" t="s">
        <v>588</v>
      </c>
      <c r="B4759" s="163" t="s">
        <v>894</v>
      </c>
      <c r="C4759" s="163" t="s">
        <v>893</v>
      </c>
      <c r="D4759" s="163" t="s">
        <v>1931</v>
      </c>
      <c r="E4759" s="164" t="n">
        <v>4000</v>
      </c>
      <c r="F4759" s="165" t="s">
        <v>2922</v>
      </c>
    </row>
    <row r="4760" customFormat="false" ht="15" hidden="false" customHeight="true" outlineLevel="0" collapsed="false">
      <c r="A4760" s="163" t="s">
        <v>588</v>
      </c>
      <c r="B4760" s="163" t="s">
        <v>894</v>
      </c>
      <c r="C4760" s="163" t="s">
        <v>893</v>
      </c>
      <c r="D4760" s="163" t="s">
        <v>1931</v>
      </c>
      <c r="E4760" s="164" t="n">
        <v>4000</v>
      </c>
      <c r="F4760" s="165" t="s">
        <v>2923</v>
      </c>
    </row>
    <row r="4761" customFormat="false" ht="15" hidden="false" customHeight="true" outlineLevel="0" collapsed="false">
      <c r="A4761" s="163" t="s">
        <v>588</v>
      </c>
      <c r="B4761" s="163" t="s">
        <v>894</v>
      </c>
      <c r="C4761" s="163" t="s">
        <v>893</v>
      </c>
      <c r="D4761" s="163" t="s">
        <v>1931</v>
      </c>
      <c r="E4761" s="164" t="n">
        <v>4000</v>
      </c>
      <c r="F4761" s="165" t="s">
        <v>2924</v>
      </c>
    </row>
    <row r="4762" customFormat="false" ht="15" hidden="false" customHeight="true" outlineLevel="0" collapsed="false">
      <c r="A4762" s="163" t="s">
        <v>588</v>
      </c>
      <c r="B4762" s="163" t="s">
        <v>894</v>
      </c>
      <c r="C4762" s="163" t="s">
        <v>893</v>
      </c>
      <c r="D4762" s="163" t="s">
        <v>1931</v>
      </c>
      <c r="E4762" s="164" t="n">
        <v>4000</v>
      </c>
      <c r="F4762" s="165" t="s">
        <v>2925</v>
      </c>
    </row>
    <row r="4763" customFormat="false" ht="15" hidden="false" customHeight="true" outlineLevel="0" collapsed="false">
      <c r="A4763" s="163" t="s">
        <v>588</v>
      </c>
      <c r="B4763" s="163" t="s">
        <v>894</v>
      </c>
      <c r="C4763" s="163" t="s">
        <v>893</v>
      </c>
      <c r="D4763" s="163" t="s">
        <v>1931</v>
      </c>
      <c r="E4763" s="164" t="n">
        <v>4000</v>
      </c>
      <c r="F4763" s="165" t="s">
        <v>2926</v>
      </c>
    </row>
    <row r="4764" customFormat="false" ht="15" hidden="false" customHeight="true" outlineLevel="0" collapsed="false">
      <c r="A4764" s="163" t="s">
        <v>588</v>
      </c>
      <c r="B4764" s="163" t="s">
        <v>894</v>
      </c>
      <c r="C4764" s="163" t="s">
        <v>893</v>
      </c>
      <c r="D4764" s="163" t="s">
        <v>1931</v>
      </c>
      <c r="E4764" s="164" t="n">
        <v>4000</v>
      </c>
      <c r="F4764" s="165" t="s">
        <v>2927</v>
      </c>
    </row>
    <row r="4765" customFormat="false" ht="15" hidden="false" customHeight="true" outlineLevel="0" collapsed="false">
      <c r="A4765" s="163" t="s">
        <v>588</v>
      </c>
      <c r="B4765" s="163" t="s">
        <v>894</v>
      </c>
      <c r="C4765" s="163" t="s">
        <v>893</v>
      </c>
      <c r="D4765" s="163" t="s">
        <v>1931</v>
      </c>
      <c r="E4765" s="164" t="n">
        <v>4000</v>
      </c>
      <c r="F4765" s="165" t="s">
        <v>2928</v>
      </c>
    </row>
    <row r="4766" customFormat="false" ht="15" hidden="false" customHeight="true" outlineLevel="0" collapsed="false">
      <c r="A4766" s="163" t="s">
        <v>588</v>
      </c>
      <c r="B4766" s="163" t="s">
        <v>894</v>
      </c>
      <c r="C4766" s="163" t="s">
        <v>893</v>
      </c>
      <c r="D4766" s="163" t="s">
        <v>1931</v>
      </c>
      <c r="E4766" s="164" t="n">
        <v>4000</v>
      </c>
      <c r="F4766" s="165" t="s">
        <v>2929</v>
      </c>
    </row>
    <row r="4767" customFormat="false" ht="15" hidden="false" customHeight="true" outlineLevel="0" collapsed="false">
      <c r="A4767" s="163" t="s">
        <v>588</v>
      </c>
      <c r="B4767" s="163" t="s">
        <v>894</v>
      </c>
      <c r="C4767" s="163" t="s">
        <v>893</v>
      </c>
      <c r="D4767" s="163" t="s">
        <v>1931</v>
      </c>
      <c r="E4767" s="164" t="n">
        <v>4000</v>
      </c>
      <c r="F4767" s="165" t="s">
        <v>2930</v>
      </c>
    </row>
    <row r="4768" customFormat="false" ht="15" hidden="false" customHeight="true" outlineLevel="0" collapsed="false">
      <c r="A4768" s="163" t="s">
        <v>588</v>
      </c>
      <c r="B4768" s="163" t="s">
        <v>894</v>
      </c>
      <c r="C4768" s="163" t="s">
        <v>893</v>
      </c>
      <c r="D4768" s="163" t="s">
        <v>1931</v>
      </c>
      <c r="E4768" s="164" t="n">
        <v>4000</v>
      </c>
      <c r="F4768" s="165" t="s">
        <v>2931</v>
      </c>
    </row>
    <row r="4769" customFormat="false" ht="15" hidden="false" customHeight="true" outlineLevel="0" collapsed="false">
      <c r="A4769" s="163" t="s">
        <v>588</v>
      </c>
      <c r="B4769" s="163" t="s">
        <v>894</v>
      </c>
      <c r="C4769" s="163" t="s">
        <v>893</v>
      </c>
      <c r="D4769" s="163" t="s">
        <v>1931</v>
      </c>
      <c r="E4769" s="164" t="n">
        <v>4000</v>
      </c>
      <c r="F4769" s="165" t="s">
        <v>2932</v>
      </c>
    </row>
    <row r="4770" customFormat="false" ht="15" hidden="false" customHeight="true" outlineLevel="0" collapsed="false">
      <c r="A4770" s="163" t="s">
        <v>588</v>
      </c>
      <c r="B4770" s="163" t="s">
        <v>894</v>
      </c>
      <c r="C4770" s="163" t="s">
        <v>893</v>
      </c>
      <c r="D4770" s="163" t="s">
        <v>1931</v>
      </c>
      <c r="E4770" s="164" t="n">
        <v>4000</v>
      </c>
      <c r="F4770" s="165" t="s">
        <v>2933</v>
      </c>
    </row>
    <row r="4771" customFormat="false" ht="15" hidden="false" customHeight="true" outlineLevel="0" collapsed="false">
      <c r="A4771" s="163" t="s">
        <v>588</v>
      </c>
      <c r="B4771" s="163" t="s">
        <v>894</v>
      </c>
      <c r="C4771" s="163" t="s">
        <v>893</v>
      </c>
      <c r="D4771" s="163" t="s">
        <v>1931</v>
      </c>
      <c r="E4771" s="164" t="n">
        <v>4000</v>
      </c>
      <c r="F4771" s="165" t="s">
        <v>2934</v>
      </c>
    </row>
    <row r="4772" customFormat="false" ht="15" hidden="false" customHeight="true" outlineLevel="0" collapsed="false">
      <c r="A4772" s="163" t="s">
        <v>588</v>
      </c>
      <c r="B4772" s="163" t="s">
        <v>894</v>
      </c>
      <c r="C4772" s="163" t="s">
        <v>893</v>
      </c>
      <c r="D4772" s="163" t="s">
        <v>1931</v>
      </c>
      <c r="E4772" s="164" t="n">
        <v>4000</v>
      </c>
      <c r="F4772" s="165" t="s">
        <v>2935</v>
      </c>
    </row>
    <row r="4773" customFormat="false" ht="15" hidden="false" customHeight="true" outlineLevel="0" collapsed="false">
      <c r="A4773" s="163" t="s">
        <v>588</v>
      </c>
      <c r="B4773" s="163" t="s">
        <v>894</v>
      </c>
      <c r="C4773" s="163" t="s">
        <v>893</v>
      </c>
      <c r="D4773" s="163" t="s">
        <v>1931</v>
      </c>
      <c r="E4773" s="164" t="n">
        <v>4000</v>
      </c>
      <c r="F4773" s="165" t="s">
        <v>2936</v>
      </c>
    </row>
    <row r="4774" customFormat="false" ht="15" hidden="false" customHeight="true" outlineLevel="0" collapsed="false">
      <c r="A4774" s="163" t="s">
        <v>588</v>
      </c>
      <c r="B4774" s="163" t="s">
        <v>894</v>
      </c>
      <c r="C4774" s="163" t="s">
        <v>893</v>
      </c>
      <c r="D4774" s="163" t="s">
        <v>1931</v>
      </c>
      <c r="E4774" s="164" t="n">
        <v>4000</v>
      </c>
      <c r="F4774" s="165" t="s">
        <v>2937</v>
      </c>
    </row>
    <row r="4775" customFormat="false" ht="15" hidden="false" customHeight="true" outlineLevel="0" collapsed="false">
      <c r="A4775" s="163" t="s">
        <v>588</v>
      </c>
      <c r="B4775" s="163" t="s">
        <v>894</v>
      </c>
      <c r="C4775" s="163" t="s">
        <v>893</v>
      </c>
      <c r="D4775" s="163" t="s">
        <v>1931</v>
      </c>
      <c r="E4775" s="164" t="n">
        <v>4000</v>
      </c>
      <c r="F4775" s="165" t="s">
        <v>2938</v>
      </c>
    </row>
    <row r="4776" customFormat="false" ht="15" hidden="false" customHeight="true" outlineLevel="0" collapsed="false">
      <c r="A4776" s="163" t="s">
        <v>588</v>
      </c>
      <c r="B4776" s="163" t="s">
        <v>894</v>
      </c>
      <c r="C4776" s="163" t="s">
        <v>893</v>
      </c>
      <c r="D4776" s="163" t="s">
        <v>1931</v>
      </c>
      <c r="E4776" s="164" t="n">
        <v>4000</v>
      </c>
      <c r="F4776" s="165" t="s">
        <v>2939</v>
      </c>
    </row>
    <row r="4777" customFormat="false" ht="15" hidden="false" customHeight="true" outlineLevel="0" collapsed="false">
      <c r="A4777" s="163" t="s">
        <v>588</v>
      </c>
      <c r="B4777" s="163" t="s">
        <v>894</v>
      </c>
      <c r="C4777" s="163" t="s">
        <v>893</v>
      </c>
      <c r="D4777" s="163" t="s">
        <v>1931</v>
      </c>
      <c r="E4777" s="164" t="n">
        <v>4000</v>
      </c>
      <c r="F4777" s="165" t="s">
        <v>2940</v>
      </c>
    </row>
    <row r="4778" customFormat="false" ht="15" hidden="false" customHeight="true" outlineLevel="0" collapsed="false">
      <c r="A4778" s="163" t="s">
        <v>588</v>
      </c>
      <c r="B4778" s="163" t="s">
        <v>894</v>
      </c>
      <c r="C4778" s="163" t="s">
        <v>893</v>
      </c>
      <c r="D4778" s="163" t="s">
        <v>1931</v>
      </c>
      <c r="E4778" s="164" t="n">
        <v>4000</v>
      </c>
      <c r="F4778" s="165" t="s">
        <v>2941</v>
      </c>
    </row>
    <row r="4779" customFormat="false" ht="15" hidden="false" customHeight="true" outlineLevel="0" collapsed="false">
      <c r="A4779" s="163" t="s">
        <v>588</v>
      </c>
      <c r="B4779" s="163" t="s">
        <v>894</v>
      </c>
      <c r="C4779" s="163" t="s">
        <v>893</v>
      </c>
      <c r="D4779" s="163" t="s">
        <v>1931</v>
      </c>
      <c r="E4779" s="164" t="n">
        <v>4000</v>
      </c>
      <c r="F4779" s="165" t="s">
        <v>2942</v>
      </c>
    </row>
    <row r="4780" customFormat="false" ht="15" hidden="false" customHeight="true" outlineLevel="0" collapsed="false">
      <c r="A4780" s="163" t="s">
        <v>588</v>
      </c>
      <c r="B4780" s="163" t="s">
        <v>894</v>
      </c>
      <c r="C4780" s="163" t="s">
        <v>893</v>
      </c>
      <c r="D4780" s="163" t="s">
        <v>1931</v>
      </c>
      <c r="E4780" s="164" t="n">
        <v>4000</v>
      </c>
      <c r="F4780" s="165" t="s">
        <v>2943</v>
      </c>
    </row>
    <row r="4781" customFormat="false" ht="15" hidden="false" customHeight="true" outlineLevel="0" collapsed="false">
      <c r="A4781" s="163" t="s">
        <v>588</v>
      </c>
      <c r="B4781" s="163" t="s">
        <v>894</v>
      </c>
      <c r="C4781" s="163" t="s">
        <v>893</v>
      </c>
      <c r="D4781" s="163" t="s">
        <v>1931</v>
      </c>
      <c r="E4781" s="164" t="n">
        <v>4000</v>
      </c>
      <c r="F4781" s="165" t="s">
        <v>2944</v>
      </c>
    </row>
    <row r="4782" customFormat="false" ht="15" hidden="false" customHeight="true" outlineLevel="0" collapsed="false">
      <c r="A4782" s="163" t="s">
        <v>588</v>
      </c>
      <c r="B4782" s="163" t="s">
        <v>894</v>
      </c>
      <c r="C4782" s="163" t="s">
        <v>893</v>
      </c>
      <c r="D4782" s="163" t="s">
        <v>1931</v>
      </c>
      <c r="E4782" s="164" t="n">
        <v>4000</v>
      </c>
      <c r="F4782" s="165" t="s">
        <v>2945</v>
      </c>
    </row>
    <row r="4783" customFormat="false" ht="15" hidden="false" customHeight="true" outlineLevel="0" collapsed="false">
      <c r="A4783" s="163" t="s">
        <v>588</v>
      </c>
      <c r="B4783" s="163" t="s">
        <v>894</v>
      </c>
      <c r="C4783" s="163" t="s">
        <v>2280</v>
      </c>
      <c r="D4783" s="163" t="s">
        <v>1931</v>
      </c>
      <c r="E4783" s="164" t="n">
        <v>2000</v>
      </c>
      <c r="F4783" s="165" t="s">
        <v>3060</v>
      </c>
    </row>
    <row r="4784" customFormat="false" ht="15" hidden="false" customHeight="true" outlineLevel="0" collapsed="false">
      <c r="A4784" s="163" t="s">
        <v>588</v>
      </c>
      <c r="B4784" s="163" t="s">
        <v>894</v>
      </c>
      <c r="C4784" s="163" t="s">
        <v>197</v>
      </c>
      <c r="D4784" s="163" t="s">
        <v>1931</v>
      </c>
      <c r="E4784" s="164" t="n">
        <v>1500</v>
      </c>
      <c r="F4784" s="165" t="s">
        <v>2946</v>
      </c>
    </row>
    <row r="4785" customFormat="false" ht="15" hidden="false" customHeight="true" outlineLevel="0" collapsed="false">
      <c r="A4785" s="163" t="s">
        <v>588</v>
      </c>
      <c r="B4785" s="163" t="s">
        <v>882</v>
      </c>
      <c r="C4785" s="163" t="s">
        <v>2314</v>
      </c>
      <c r="D4785" s="163" t="s">
        <v>2839</v>
      </c>
      <c r="E4785" s="164" t="n">
        <v>105000</v>
      </c>
      <c r="F4785" s="165" t="s">
        <v>3060</v>
      </c>
    </row>
    <row r="4786" customFormat="false" ht="15" hidden="false" customHeight="true" outlineLevel="0" collapsed="false">
      <c r="A4786" s="163" t="s">
        <v>588</v>
      </c>
      <c r="B4786" s="163" t="s">
        <v>882</v>
      </c>
      <c r="C4786" s="163" t="s">
        <v>640</v>
      </c>
      <c r="D4786" s="163" t="s">
        <v>1931</v>
      </c>
      <c r="E4786" s="164" t="n">
        <v>45000</v>
      </c>
      <c r="F4786" s="165" t="s">
        <v>2947</v>
      </c>
    </row>
    <row r="4787" customFormat="false" ht="15" hidden="false" customHeight="true" outlineLevel="0" collapsed="false">
      <c r="A4787" s="163" t="s">
        <v>588</v>
      </c>
      <c r="B4787" s="163" t="s">
        <v>882</v>
      </c>
      <c r="C4787" s="163" t="s">
        <v>395</v>
      </c>
      <c r="D4787" s="163" t="s">
        <v>2196</v>
      </c>
      <c r="E4787" s="164" t="n">
        <v>40000</v>
      </c>
      <c r="F4787" s="165" t="s">
        <v>2873</v>
      </c>
    </row>
    <row r="4788" customFormat="false" ht="15" hidden="false" customHeight="true" outlineLevel="0" collapsed="false">
      <c r="A4788" s="163" t="s">
        <v>588</v>
      </c>
      <c r="B4788" s="163" t="s">
        <v>882</v>
      </c>
      <c r="C4788" s="163" t="s">
        <v>645</v>
      </c>
      <c r="D4788" s="163" t="s">
        <v>2491</v>
      </c>
      <c r="E4788" s="164" t="n">
        <v>25000</v>
      </c>
      <c r="F4788" s="165" t="s">
        <v>2873</v>
      </c>
    </row>
    <row r="4789" customFormat="false" ht="15" hidden="false" customHeight="true" outlineLevel="0" collapsed="false">
      <c r="A4789" s="163" t="s">
        <v>588</v>
      </c>
      <c r="B4789" s="163" t="s">
        <v>882</v>
      </c>
      <c r="C4789" s="163" t="s">
        <v>640</v>
      </c>
      <c r="D4789" s="163" t="s">
        <v>1931</v>
      </c>
      <c r="E4789" s="164" t="n">
        <v>20000</v>
      </c>
      <c r="F4789" s="165" t="s">
        <v>2948</v>
      </c>
    </row>
    <row r="4790" customFormat="false" ht="15" hidden="false" customHeight="true" outlineLevel="0" collapsed="false">
      <c r="A4790" s="163" t="s">
        <v>588</v>
      </c>
      <c r="B4790" s="163" t="s">
        <v>882</v>
      </c>
      <c r="C4790" s="163" t="s">
        <v>2073</v>
      </c>
      <c r="D4790" s="163" t="s">
        <v>2074</v>
      </c>
      <c r="E4790" s="164" t="n">
        <v>20000</v>
      </c>
      <c r="F4790" s="165" t="s">
        <v>2873</v>
      </c>
    </row>
    <row r="4791" customFormat="false" ht="15" hidden="false" customHeight="true" outlineLevel="0" collapsed="false">
      <c r="A4791" s="163" t="s">
        <v>588</v>
      </c>
      <c r="B4791" s="163" t="s">
        <v>882</v>
      </c>
      <c r="C4791" s="163" t="s">
        <v>1104</v>
      </c>
      <c r="D4791" s="163" t="s">
        <v>1917</v>
      </c>
      <c r="E4791" s="164" t="n">
        <v>15000</v>
      </c>
      <c r="F4791" s="165" t="s">
        <v>3060</v>
      </c>
    </row>
    <row r="4792" customFormat="false" ht="15" hidden="false" customHeight="true" outlineLevel="0" collapsed="false">
      <c r="A4792" s="163" t="s">
        <v>588</v>
      </c>
      <c r="B4792" s="163" t="s">
        <v>882</v>
      </c>
      <c r="C4792" s="163" t="s">
        <v>466</v>
      </c>
      <c r="D4792" s="163" t="s">
        <v>2751</v>
      </c>
      <c r="E4792" s="164" t="n">
        <v>10000</v>
      </c>
      <c r="F4792" s="165" t="s">
        <v>2873</v>
      </c>
    </row>
    <row r="4793" customFormat="false" ht="15" hidden="false" customHeight="true" outlineLevel="0" collapsed="false">
      <c r="A4793" s="163" t="s">
        <v>588</v>
      </c>
      <c r="B4793" s="163" t="s">
        <v>2328</v>
      </c>
      <c r="C4793" s="163" t="s">
        <v>2949</v>
      </c>
      <c r="D4793" s="163" t="s">
        <v>2950</v>
      </c>
      <c r="E4793" s="164" t="n">
        <v>30000</v>
      </c>
      <c r="F4793" s="165" t="s">
        <v>2951</v>
      </c>
    </row>
    <row r="4794" customFormat="false" ht="15" hidden="false" customHeight="true" outlineLevel="0" collapsed="false">
      <c r="A4794" s="163" t="s">
        <v>588</v>
      </c>
      <c r="B4794" s="163" t="s">
        <v>2328</v>
      </c>
      <c r="C4794" s="163" t="s">
        <v>977</v>
      </c>
      <c r="D4794" s="163" t="s">
        <v>2952</v>
      </c>
      <c r="E4794" s="164" t="n">
        <v>10000</v>
      </c>
      <c r="F4794" s="165" t="s">
        <v>2873</v>
      </c>
    </row>
    <row r="4795" customFormat="false" ht="15" hidden="false" customHeight="true" outlineLevel="0" collapsed="false">
      <c r="A4795" s="163" t="s">
        <v>588</v>
      </c>
      <c r="B4795" s="163" t="s">
        <v>2328</v>
      </c>
      <c r="C4795" s="163" t="s">
        <v>617</v>
      </c>
      <c r="D4795" s="163" t="s">
        <v>2064</v>
      </c>
      <c r="E4795" s="164" t="n">
        <v>10000</v>
      </c>
      <c r="F4795" s="165" t="s">
        <v>2873</v>
      </c>
    </row>
    <row r="4796" customFormat="false" ht="15" hidden="false" customHeight="true" outlineLevel="0" collapsed="false">
      <c r="A4796" s="163" t="s">
        <v>588</v>
      </c>
      <c r="B4796" s="163" t="s">
        <v>2342</v>
      </c>
      <c r="C4796" s="163" t="s">
        <v>586</v>
      </c>
      <c r="D4796" s="163" t="s">
        <v>1923</v>
      </c>
      <c r="E4796" s="164" t="n">
        <v>20000</v>
      </c>
      <c r="F4796" s="165" t="s">
        <v>3060</v>
      </c>
    </row>
    <row r="4797" customFormat="false" ht="15" hidden="false" customHeight="true" outlineLevel="0" collapsed="false">
      <c r="A4797" s="163" t="s">
        <v>588</v>
      </c>
      <c r="B4797" s="163" t="s">
        <v>2342</v>
      </c>
      <c r="C4797" s="163" t="s">
        <v>2953</v>
      </c>
      <c r="D4797" s="163" t="s">
        <v>2954</v>
      </c>
      <c r="E4797" s="164" t="n">
        <v>15000</v>
      </c>
      <c r="F4797" s="165" t="s">
        <v>2955</v>
      </c>
    </row>
    <row r="4798" customFormat="false" ht="15" hidden="false" customHeight="true" outlineLevel="0" collapsed="false">
      <c r="A4798" s="163" t="s">
        <v>588</v>
      </c>
      <c r="B4798" s="163" t="s">
        <v>2342</v>
      </c>
      <c r="C4798" s="163" t="s">
        <v>2780</v>
      </c>
      <c r="D4798" s="163" t="s">
        <v>2429</v>
      </c>
      <c r="E4798" s="164" t="n">
        <v>10000</v>
      </c>
      <c r="F4798" s="165" t="s">
        <v>2780</v>
      </c>
    </row>
    <row r="4799" customFormat="false" ht="15" hidden="false" customHeight="true" outlineLevel="0" collapsed="false">
      <c r="A4799" s="163" t="s">
        <v>588</v>
      </c>
      <c r="B4799" s="163" t="s">
        <v>2342</v>
      </c>
      <c r="C4799" s="163" t="s">
        <v>235</v>
      </c>
      <c r="D4799" s="163" t="s">
        <v>1852</v>
      </c>
      <c r="E4799" s="164" t="n">
        <v>10000</v>
      </c>
      <c r="F4799" s="165" t="s">
        <v>3060</v>
      </c>
    </row>
    <row r="4800" customFormat="false" ht="15" hidden="false" customHeight="true" outlineLevel="0" collapsed="false">
      <c r="A4800" s="163" t="s">
        <v>588</v>
      </c>
      <c r="B4800" s="163" t="s">
        <v>2342</v>
      </c>
      <c r="C4800" s="163" t="s">
        <v>617</v>
      </c>
      <c r="D4800" s="163" t="s">
        <v>2064</v>
      </c>
      <c r="E4800" s="164" t="n">
        <v>10000</v>
      </c>
      <c r="F4800" s="165" t="s">
        <v>3060</v>
      </c>
    </row>
    <row r="4801" customFormat="false" ht="15" hidden="false" customHeight="true" outlineLevel="0" collapsed="false">
      <c r="A4801" s="163" t="s">
        <v>588</v>
      </c>
      <c r="B4801" s="163" t="s">
        <v>2342</v>
      </c>
      <c r="C4801" s="163" t="s">
        <v>974</v>
      </c>
      <c r="D4801" s="163" t="s">
        <v>1931</v>
      </c>
      <c r="E4801" s="164" t="n">
        <v>10000</v>
      </c>
      <c r="F4801" s="165" t="s">
        <v>2956</v>
      </c>
    </row>
    <row r="4802" customFormat="false" ht="15" hidden="false" customHeight="true" outlineLevel="0" collapsed="false">
      <c r="A4802" s="163" t="s">
        <v>588</v>
      </c>
      <c r="B4802" s="163" t="s">
        <v>2342</v>
      </c>
      <c r="C4802" s="163" t="s">
        <v>197</v>
      </c>
      <c r="D4802" s="163" t="s">
        <v>1931</v>
      </c>
      <c r="E4802" s="164" t="n">
        <v>10000</v>
      </c>
      <c r="F4802" s="165" t="s">
        <v>2957</v>
      </c>
    </row>
    <row r="4803" customFormat="false" ht="15" hidden="false" customHeight="true" outlineLevel="0" collapsed="false">
      <c r="A4803" s="163" t="s">
        <v>588</v>
      </c>
      <c r="B4803" s="163" t="s">
        <v>2342</v>
      </c>
      <c r="C4803" s="163" t="s">
        <v>2865</v>
      </c>
      <c r="D4803" s="163" t="s">
        <v>2866</v>
      </c>
      <c r="E4803" s="164" t="n">
        <v>5000</v>
      </c>
      <c r="F4803" s="165" t="s">
        <v>2873</v>
      </c>
    </row>
    <row r="4804" customFormat="false" ht="15" hidden="false" customHeight="true" outlineLevel="0" collapsed="false">
      <c r="A4804" s="163" t="s">
        <v>588</v>
      </c>
      <c r="B4804" s="163" t="s">
        <v>1743</v>
      </c>
      <c r="C4804" s="163" t="s">
        <v>657</v>
      </c>
      <c r="D4804" s="163" t="s">
        <v>1849</v>
      </c>
      <c r="E4804" s="164" t="n">
        <v>40000</v>
      </c>
      <c r="F4804" s="165" t="s">
        <v>2958</v>
      </c>
    </row>
    <row r="4805" customFormat="false" ht="15" hidden="false" customHeight="true" outlineLevel="0" collapsed="false">
      <c r="A4805" s="163" t="s">
        <v>588</v>
      </c>
      <c r="B4805" s="163" t="s">
        <v>1743</v>
      </c>
      <c r="C4805" s="163" t="s">
        <v>1119</v>
      </c>
      <c r="D4805" s="163" t="s">
        <v>1845</v>
      </c>
      <c r="E4805" s="164" t="n">
        <v>40000</v>
      </c>
      <c r="F4805" s="165" t="s">
        <v>3060</v>
      </c>
    </row>
    <row r="4806" customFormat="false" ht="15" hidden="false" customHeight="true" outlineLevel="0" collapsed="false">
      <c r="A4806" s="163" t="s">
        <v>588</v>
      </c>
      <c r="B4806" s="163" t="s">
        <v>1743</v>
      </c>
      <c r="C4806" s="163" t="s">
        <v>1095</v>
      </c>
      <c r="D4806" s="163" t="s">
        <v>1840</v>
      </c>
      <c r="E4806" s="164" t="n">
        <v>25000</v>
      </c>
      <c r="F4806" s="165" t="s">
        <v>2959</v>
      </c>
    </row>
    <row r="4807" customFormat="false" ht="15" hidden="false" customHeight="true" outlineLevel="0" collapsed="false">
      <c r="A4807" s="163" t="s">
        <v>588</v>
      </c>
      <c r="B4807" s="163" t="s">
        <v>1743</v>
      </c>
      <c r="C4807" s="163" t="s">
        <v>1095</v>
      </c>
      <c r="D4807" s="163" t="s">
        <v>1840</v>
      </c>
      <c r="E4807" s="164" t="n">
        <v>25000</v>
      </c>
      <c r="F4807" s="165" t="s">
        <v>2960</v>
      </c>
    </row>
    <row r="4808" customFormat="false" ht="15" hidden="false" customHeight="true" outlineLevel="0" collapsed="false">
      <c r="A4808" s="163" t="s">
        <v>588</v>
      </c>
      <c r="B4808" s="163" t="s">
        <v>1743</v>
      </c>
      <c r="C4808" s="163" t="s">
        <v>657</v>
      </c>
      <c r="D4808" s="163" t="s">
        <v>1849</v>
      </c>
      <c r="E4808" s="164" t="n">
        <v>10000</v>
      </c>
      <c r="F4808" s="165" t="s">
        <v>2961</v>
      </c>
    </row>
    <row r="4809" customFormat="false" ht="15" hidden="false" customHeight="true" outlineLevel="0" collapsed="false">
      <c r="A4809" s="163" t="s">
        <v>588</v>
      </c>
      <c r="B4809" s="163" t="s">
        <v>1743</v>
      </c>
      <c r="C4809" s="163" t="s">
        <v>215</v>
      </c>
      <c r="D4809" s="163" t="s">
        <v>1856</v>
      </c>
      <c r="E4809" s="164" t="n">
        <v>10000</v>
      </c>
      <c r="F4809" s="165" t="s">
        <v>2873</v>
      </c>
    </row>
    <row r="4810" customFormat="false" ht="15" hidden="false" customHeight="true" outlineLevel="0" collapsed="false">
      <c r="A4810" s="163" t="s">
        <v>588</v>
      </c>
      <c r="B4810" s="163" t="s">
        <v>928</v>
      </c>
      <c r="C4810" s="163" t="s">
        <v>235</v>
      </c>
      <c r="D4810" s="163" t="s">
        <v>1852</v>
      </c>
      <c r="E4810" s="164" t="n">
        <v>30000</v>
      </c>
      <c r="F4810" s="165" t="s">
        <v>2877</v>
      </c>
    </row>
    <row r="4811" customFormat="false" ht="15" hidden="false" customHeight="true" outlineLevel="0" collapsed="false">
      <c r="A4811" s="163" t="s">
        <v>588</v>
      </c>
      <c r="B4811" s="163" t="s">
        <v>928</v>
      </c>
      <c r="C4811" s="163" t="s">
        <v>395</v>
      </c>
      <c r="D4811" s="163" t="s">
        <v>2196</v>
      </c>
      <c r="E4811" s="164" t="n">
        <v>30000</v>
      </c>
      <c r="F4811" s="165" t="s">
        <v>8843</v>
      </c>
    </row>
    <row r="4812" customFormat="false" ht="15" hidden="false" customHeight="true" outlineLevel="0" collapsed="false">
      <c r="A4812" s="163" t="s">
        <v>588</v>
      </c>
      <c r="B4812" s="163" t="s">
        <v>928</v>
      </c>
      <c r="C4812" s="163" t="s">
        <v>235</v>
      </c>
      <c r="D4812" s="163" t="s">
        <v>1852</v>
      </c>
      <c r="E4812" s="164" t="n">
        <v>17500</v>
      </c>
      <c r="F4812" s="165" t="s">
        <v>2877</v>
      </c>
    </row>
    <row r="4813" customFormat="false" ht="15" hidden="false" customHeight="true" outlineLevel="0" collapsed="false">
      <c r="A4813" s="163" t="s">
        <v>588</v>
      </c>
      <c r="B4813" s="163" t="s">
        <v>928</v>
      </c>
      <c r="C4813" s="163" t="s">
        <v>2405</v>
      </c>
      <c r="D4813" s="163" t="s">
        <v>2406</v>
      </c>
      <c r="E4813" s="164" t="n">
        <v>12500</v>
      </c>
      <c r="F4813" s="165" t="s">
        <v>3060</v>
      </c>
    </row>
    <row r="4814" customFormat="false" ht="15" hidden="false" customHeight="true" outlineLevel="0" collapsed="false">
      <c r="A4814" s="163" t="s">
        <v>588</v>
      </c>
      <c r="B4814" s="163" t="s">
        <v>928</v>
      </c>
      <c r="C4814" s="163" t="s">
        <v>1183</v>
      </c>
      <c r="D4814" s="163" t="s">
        <v>2412</v>
      </c>
      <c r="E4814" s="164" t="n">
        <v>10000</v>
      </c>
      <c r="F4814" s="165" t="s">
        <v>3060</v>
      </c>
    </row>
    <row r="4815" customFormat="false" ht="15" hidden="false" customHeight="true" outlineLevel="0" collapsed="false">
      <c r="A4815" s="163" t="s">
        <v>588</v>
      </c>
      <c r="B4815" s="163" t="s">
        <v>928</v>
      </c>
      <c r="C4815" s="163" t="s">
        <v>657</v>
      </c>
      <c r="D4815" s="163" t="s">
        <v>1849</v>
      </c>
      <c r="E4815" s="164" t="n">
        <v>10000</v>
      </c>
      <c r="F4815" s="165" t="s">
        <v>2963</v>
      </c>
    </row>
    <row r="4816" customFormat="false" ht="15" hidden="false" customHeight="true" outlineLevel="0" collapsed="false">
      <c r="A4816" s="163" t="s">
        <v>588</v>
      </c>
      <c r="B4816" s="163" t="s">
        <v>928</v>
      </c>
      <c r="C4816" s="163" t="s">
        <v>657</v>
      </c>
      <c r="D4816" s="163" t="s">
        <v>1849</v>
      </c>
      <c r="E4816" s="164" t="n">
        <v>10000</v>
      </c>
      <c r="F4816" s="165" t="s">
        <v>2964</v>
      </c>
    </row>
    <row r="4817" customFormat="false" ht="15" hidden="false" customHeight="true" outlineLevel="0" collapsed="false">
      <c r="A4817" s="163" t="s">
        <v>588</v>
      </c>
      <c r="B4817" s="163" t="s">
        <v>928</v>
      </c>
      <c r="C4817" s="163" t="s">
        <v>395</v>
      </c>
      <c r="D4817" s="163" t="s">
        <v>2196</v>
      </c>
      <c r="E4817" s="164" t="n">
        <v>10000</v>
      </c>
      <c r="F4817" s="165" t="s">
        <v>2965</v>
      </c>
    </row>
    <row r="4818" customFormat="false" ht="15" hidden="false" customHeight="true" outlineLevel="0" collapsed="false">
      <c r="A4818" s="163" t="s">
        <v>588</v>
      </c>
      <c r="B4818" s="163" t="s">
        <v>928</v>
      </c>
      <c r="C4818" s="163" t="s">
        <v>1212</v>
      </c>
      <c r="D4818" s="163" t="s">
        <v>2191</v>
      </c>
      <c r="E4818" s="164" t="n">
        <v>5000</v>
      </c>
      <c r="F4818" s="165" t="s">
        <v>3060</v>
      </c>
    </row>
    <row r="4819" customFormat="false" ht="15" hidden="false" customHeight="true" outlineLevel="0" collapsed="false">
      <c r="A4819" s="163" t="s">
        <v>588</v>
      </c>
      <c r="B4819" s="163" t="s">
        <v>928</v>
      </c>
      <c r="C4819" s="163" t="s">
        <v>485</v>
      </c>
      <c r="D4819" s="163" t="s">
        <v>2176</v>
      </c>
      <c r="E4819" s="164" t="n">
        <v>5000</v>
      </c>
      <c r="F4819" s="165" t="s">
        <v>2966</v>
      </c>
    </row>
    <row r="4820" customFormat="false" ht="15" hidden="false" customHeight="true" outlineLevel="0" collapsed="false">
      <c r="A4820" s="163" t="s">
        <v>588</v>
      </c>
      <c r="B4820" s="163" t="s">
        <v>928</v>
      </c>
      <c r="C4820" s="163" t="s">
        <v>1188</v>
      </c>
      <c r="D4820" s="163" t="s">
        <v>2213</v>
      </c>
      <c r="E4820" s="164" t="n">
        <v>5000</v>
      </c>
      <c r="F4820" s="165" t="s">
        <v>2967</v>
      </c>
    </row>
    <row r="4821" customFormat="false" ht="15" hidden="false" customHeight="true" outlineLevel="0" collapsed="false">
      <c r="A4821" s="163" t="s">
        <v>588</v>
      </c>
      <c r="B4821" s="163" t="s">
        <v>928</v>
      </c>
      <c r="C4821" s="163" t="s">
        <v>2456</v>
      </c>
      <c r="D4821" s="163" t="s">
        <v>2234</v>
      </c>
      <c r="E4821" s="164" t="n">
        <v>5000</v>
      </c>
      <c r="F4821" s="165" t="s">
        <v>3060</v>
      </c>
    </row>
    <row r="4822" customFormat="false" ht="15" hidden="false" customHeight="true" outlineLevel="0" collapsed="false">
      <c r="A4822" s="163" t="s">
        <v>3028</v>
      </c>
      <c r="B4822" s="163" t="s">
        <v>926</v>
      </c>
      <c r="C4822" s="163" t="s">
        <v>473</v>
      </c>
      <c r="D4822" s="163" t="s">
        <v>2764</v>
      </c>
      <c r="E4822" s="164" t="n">
        <v>30000</v>
      </c>
      <c r="F4822" s="165" t="s">
        <v>3060</v>
      </c>
    </row>
    <row r="4823" customFormat="false" ht="15" hidden="false" customHeight="true" outlineLevel="0" collapsed="false">
      <c r="A4823" s="163" t="s">
        <v>3028</v>
      </c>
      <c r="B4823" s="163" t="s">
        <v>926</v>
      </c>
      <c r="C4823" s="163" t="s">
        <v>8163</v>
      </c>
      <c r="D4823" s="163" t="s">
        <v>8164</v>
      </c>
      <c r="E4823" s="164" t="n">
        <v>20000</v>
      </c>
      <c r="F4823" s="165" t="s">
        <v>3060</v>
      </c>
    </row>
    <row r="4824" customFormat="false" ht="15" hidden="false" customHeight="true" outlineLevel="0" collapsed="false">
      <c r="A4824" s="163" t="s">
        <v>3028</v>
      </c>
      <c r="B4824" s="163" t="s">
        <v>926</v>
      </c>
      <c r="C4824" s="163" t="s">
        <v>4005</v>
      </c>
      <c r="D4824" s="163" t="s">
        <v>4006</v>
      </c>
      <c r="E4824" s="164" t="n">
        <v>20000</v>
      </c>
      <c r="F4824" s="165" t="s">
        <v>3060</v>
      </c>
    </row>
    <row r="4825" customFormat="false" ht="15" hidden="false" customHeight="true" outlineLevel="0" collapsed="false">
      <c r="A4825" s="163" t="s">
        <v>3028</v>
      </c>
      <c r="B4825" s="163" t="s">
        <v>926</v>
      </c>
      <c r="C4825" s="163" t="s">
        <v>424</v>
      </c>
      <c r="D4825" s="163" t="s">
        <v>2630</v>
      </c>
      <c r="E4825" s="164" t="n">
        <v>10000</v>
      </c>
      <c r="F4825" s="165" t="s">
        <v>3060</v>
      </c>
    </row>
    <row r="4826" customFormat="false" ht="15" hidden="false" customHeight="true" outlineLevel="0" collapsed="false">
      <c r="A4826" s="163" t="s">
        <v>3028</v>
      </c>
      <c r="B4826" s="163" t="s">
        <v>926</v>
      </c>
      <c r="C4826" s="163" t="s">
        <v>3939</v>
      </c>
      <c r="D4826" s="163" t="s">
        <v>3940</v>
      </c>
      <c r="E4826" s="164" t="n">
        <v>10000</v>
      </c>
      <c r="F4826" s="165" t="s">
        <v>3060</v>
      </c>
    </row>
    <row r="4827" customFormat="false" ht="15" hidden="false" customHeight="true" outlineLevel="0" collapsed="false">
      <c r="A4827" s="163" t="s">
        <v>3028</v>
      </c>
      <c r="B4827" s="163" t="s">
        <v>957</v>
      </c>
      <c r="C4827" s="163" t="s">
        <v>4005</v>
      </c>
      <c r="D4827" s="163" t="s">
        <v>4006</v>
      </c>
      <c r="E4827" s="164" t="n">
        <v>40000</v>
      </c>
      <c r="F4827" s="165" t="s">
        <v>8844</v>
      </c>
    </row>
    <row r="4828" customFormat="false" ht="15" hidden="false" customHeight="true" outlineLevel="0" collapsed="false">
      <c r="A4828" s="163" t="s">
        <v>3028</v>
      </c>
      <c r="B4828" s="163" t="s">
        <v>957</v>
      </c>
      <c r="C4828" s="163" t="s">
        <v>3210</v>
      </c>
      <c r="D4828" s="163" t="s">
        <v>3211</v>
      </c>
      <c r="E4828" s="164" t="n">
        <v>25000</v>
      </c>
      <c r="F4828" s="165" t="s">
        <v>8845</v>
      </c>
    </row>
    <row r="4829" customFormat="false" ht="15" hidden="false" customHeight="true" outlineLevel="0" collapsed="false">
      <c r="A4829" s="163" t="s">
        <v>3028</v>
      </c>
      <c r="B4829" s="163" t="s">
        <v>957</v>
      </c>
      <c r="C4829" s="163" t="s">
        <v>3567</v>
      </c>
      <c r="D4829" s="163" t="s">
        <v>3568</v>
      </c>
      <c r="E4829" s="164" t="n">
        <v>15000</v>
      </c>
      <c r="F4829" s="165" t="s">
        <v>8846</v>
      </c>
    </row>
    <row r="4830" customFormat="false" ht="15" hidden="false" customHeight="true" outlineLevel="0" collapsed="false">
      <c r="A4830" s="163" t="s">
        <v>3028</v>
      </c>
      <c r="B4830" s="163" t="s">
        <v>957</v>
      </c>
      <c r="C4830" s="163" t="s">
        <v>3976</v>
      </c>
      <c r="D4830" s="163" t="s">
        <v>3977</v>
      </c>
      <c r="E4830" s="164" t="n">
        <v>10000</v>
      </c>
      <c r="F4830" s="165" t="s">
        <v>8847</v>
      </c>
    </row>
    <row r="4831" customFormat="false" ht="15" hidden="false" customHeight="true" outlineLevel="0" collapsed="false">
      <c r="A4831" s="163" t="s">
        <v>3028</v>
      </c>
      <c r="B4831" s="163" t="s">
        <v>957</v>
      </c>
      <c r="C4831" s="163" t="s">
        <v>1109</v>
      </c>
      <c r="D4831" s="163" t="s">
        <v>3755</v>
      </c>
      <c r="E4831" s="164" t="n">
        <v>5000</v>
      </c>
      <c r="F4831" s="165" t="s">
        <v>8848</v>
      </c>
    </row>
    <row r="4832" customFormat="false" ht="15" hidden="false" customHeight="true" outlineLevel="0" collapsed="false">
      <c r="A4832" s="163" t="s">
        <v>3028</v>
      </c>
      <c r="B4832" s="163" t="s">
        <v>957</v>
      </c>
      <c r="C4832" s="163" t="s">
        <v>4904</v>
      </c>
      <c r="D4832" s="163" t="s">
        <v>4905</v>
      </c>
      <c r="E4832" s="164" t="n">
        <v>5000</v>
      </c>
      <c r="F4832" s="165" t="s">
        <v>8849</v>
      </c>
    </row>
    <row r="4833" customFormat="false" ht="15" hidden="false" customHeight="true" outlineLevel="0" collapsed="false">
      <c r="A4833" s="163" t="s">
        <v>3028</v>
      </c>
      <c r="B4833" s="163" t="s">
        <v>957</v>
      </c>
      <c r="C4833" s="163" t="s">
        <v>1135</v>
      </c>
      <c r="D4833" s="163" t="s">
        <v>2507</v>
      </c>
      <c r="E4833" s="164" t="n">
        <v>5000</v>
      </c>
      <c r="F4833" s="165" t="s">
        <v>8850</v>
      </c>
    </row>
    <row r="4834" customFormat="false" ht="15" hidden="false" customHeight="true" outlineLevel="0" collapsed="false">
      <c r="A4834" s="163" t="s">
        <v>3028</v>
      </c>
      <c r="B4834" s="163" t="s">
        <v>957</v>
      </c>
      <c r="C4834" s="163" t="s">
        <v>4346</v>
      </c>
      <c r="D4834" s="163" t="s">
        <v>4347</v>
      </c>
      <c r="E4834" s="164" t="n">
        <v>5000</v>
      </c>
      <c r="F4834" s="165" t="s">
        <v>8848</v>
      </c>
    </row>
    <row r="4835" customFormat="false" ht="15" hidden="false" customHeight="true" outlineLevel="0" collapsed="false">
      <c r="A4835" s="163" t="s">
        <v>3028</v>
      </c>
      <c r="B4835" s="163" t="s">
        <v>945</v>
      </c>
      <c r="C4835" s="163" t="s">
        <v>4047</v>
      </c>
      <c r="D4835" s="163" t="s">
        <v>4048</v>
      </c>
      <c r="E4835" s="164" t="n">
        <v>15000</v>
      </c>
      <c r="F4835" s="165" t="s">
        <v>8851</v>
      </c>
    </row>
    <row r="4836" customFormat="false" ht="15" hidden="false" customHeight="true" outlineLevel="0" collapsed="false">
      <c r="A4836" s="163" t="s">
        <v>3028</v>
      </c>
      <c r="B4836" s="163" t="s">
        <v>945</v>
      </c>
      <c r="C4836" s="163" t="s">
        <v>4005</v>
      </c>
      <c r="D4836" s="163" t="s">
        <v>4006</v>
      </c>
      <c r="E4836" s="164" t="n">
        <v>10000</v>
      </c>
      <c r="F4836" s="165" t="s">
        <v>8852</v>
      </c>
    </row>
    <row r="4837" customFormat="false" ht="15" hidden="false" customHeight="true" outlineLevel="0" collapsed="false">
      <c r="A4837" s="163" t="s">
        <v>3028</v>
      </c>
      <c r="B4837" s="163" t="s">
        <v>3111</v>
      </c>
      <c r="C4837" s="163" t="s">
        <v>452</v>
      </c>
      <c r="D4837" s="163" t="s">
        <v>2102</v>
      </c>
      <c r="E4837" s="164" t="n">
        <v>25000</v>
      </c>
      <c r="F4837" s="165" t="s">
        <v>5134</v>
      </c>
    </row>
    <row r="4838" customFormat="false" ht="15" hidden="false" customHeight="true" outlineLevel="0" collapsed="false">
      <c r="A4838" s="163" t="s">
        <v>3028</v>
      </c>
      <c r="B4838" s="163" t="s">
        <v>3111</v>
      </c>
      <c r="C4838" s="163" t="s">
        <v>4076</v>
      </c>
      <c r="D4838" s="163" t="s">
        <v>4077</v>
      </c>
      <c r="E4838" s="164" t="n">
        <v>20000</v>
      </c>
      <c r="F4838" s="165" t="s">
        <v>8853</v>
      </c>
    </row>
    <row r="4839" customFormat="false" ht="15" hidden="false" customHeight="true" outlineLevel="0" collapsed="false">
      <c r="A4839" s="163" t="s">
        <v>3028</v>
      </c>
      <c r="B4839" s="163" t="s">
        <v>3111</v>
      </c>
      <c r="C4839" s="163" t="s">
        <v>3395</v>
      </c>
      <c r="D4839" s="163" t="s">
        <v>3396</v>
      </c>
      <c r="E4839" s="164" t="n">
        <v>20000</v>
      </c>
      <c r="F4839" s="165" t="s">
        <v>8854</v>
      </c>
    </row>
    <row r="4840" customFormat="false" ht="15" hidden="false" customHeight="true" outlineLevel="0" collapsed="false">
      <c r="A4840" s="163" t="s">
        <v>3028</v>
      </c>
      <c r="B4840" s="163" t="s">
        <v>3111</v>
      </c>
      <c r="C4840" s="163" t="s">
        <v>8855</v>
      </c>
      <c r="D4840" s="163" t="s">
        <v>8856</v>
      </c>
      <c r="E4840" s="164" t="n">
        <v>15000</v>
      </c>
      <c r="F4840" s="165" t="s">
        <v>8857</v>
      </c>
    </row>
    <row r="4841" customFormat="false" ht="15" hidden="false" customHeight="true" outlineLevel="0" collapsed="false">
      <c r="A4841" s="163" t="s">
        <v>3028</v>
      </c>
      <c r="B4841" s="163" t="s">
        <v>3111</v>
      </c>
      <c r="C4841" s="163" t="s">
        <v>7738</v>
      </c>
      <c r="D4841" s="163" t="s">
        <v>7739</v>
      </c>
      <c r="E4841" s="164" t="n">
        <v>10000</v>
      </c>
      <c r="F4841" s="165" t="s">
        <v>8848</v>
      </c>
    </row>
    <row r="4842" customFormat="false" ht="15" hidden="false" customHeight="true" outlineLevel="0" collapsed="false">
      <c r="A4842" s="163" t="s">
        <v>3028</v>
      </c>
      <c r="B4842" s="163" t="s">
        <v>3111</v>
      </c>
      <c r="C4842" s="163" t="s">
        <v>1017</v>
      </c>
      <c r="D4842" s="163" t="s">
        <v>2698</v>
      </c>
      <c r="E4842" s="164" t="n">
        <v>10000</v>
      </c>
      <c r="F4842" s="165" t="s">
        <v>8858</v>
      </c>
    </row>
    <row r="4843" customFormat="false" ht="15" hidden="false" customHeight="true" outlineLevel="0" collapsed="false">
      <c r="A4843" s="163" t="s">
        <v>3028</v>
      </c>
      <c r="B4843" s="163" t="s">
        <v>1938</v>
      </c>
      <c r="C4843" s="163" t="s">
        <v>950</v>
      </c>
      <c r="D4843" s="163" t="s">
        <v>4373</v>
      </c>
      <c r="E4843" s="164" t="n">
        <v>20000</v>
      </c>
      <c r="F4843" s="165" t="s">
        <v>3060</v>
      </c>
    </row>
    <row r="4844" customFormat="false" ht="15" hidden="false" customHeight="true" outlineLevel="0" collapsed="false">
      <c r="A4844" s="163" t="s">
        <v>3028</v>
      </c>
      <c r="B4844" s="163" t="s">
        <v>1938</v>
      </c>
      <c r="C4844" s="163" t="s">
        <v>4789</v>
      </c>
      <c r="D4844" s="163" t="s">
        <v>4790</v>
      </c>
      <c r="E4844" s="164" t="n">
        <v>20000</v>
      </c>
      <c r="F4844" s="165" t="s">
        <v>3060</v>
      </c>
    </row>
    <row r="4845" customFormat="false" ht="15" hidden="false" customHeight="true" outlineLevel="0" collapsed="false">
      <c r="A4845" s="163" t="s">
        <v>3028</v>
      </c>
      <c r="B4845" s="163" t="s">
        <v>1938</v>
      </c>
      <c r="C4845" s="163" t="s">
        <v>4087</v>
      </c>
      <c r="D4845" s="163" t="s">
        <v>4088</v>
      </c>
      <c r="E4845" s="164" t="n">
        <v>20000</v>
      </c>
      <c r="F4845" s="165" t="s">
        <v>3060</v>
      </c>
    </row>
    <row r="4846" customFormat="false" ht="15" hidden="false" customHeight="true" outlineLevel="0" collapsed="false">
      <c r="A4846" s="163" t="s">
        <v>3028</v>
      </c>
      <c r="B4846" s="163" t="s">
        <v>1938</v>
      </c>
      <c r="C4846" s="163" t="s">
        <v>4087</v>
      </c>
      <c r="D4846" s="163" t="s">
        <v>4088</v>
      </c>
      <c r="E4846" s="164" t="n">
        <v>20000</v>
      </c>
      <c r="F4846" s="165" t="s">
        <v>3060</v>
      </c>
    </row>
    <row r="4847" customFormat="false" ht="15" hidden="false" customHeight="true" outlineLevel="0" collapsed="false">
      <c r="A4847" s="163" t="s">
        <v>3028</v>
      </c>
      <c r="B4847" s="163" t="s">
        <v>1938</v>
      </c>
      <c r="C4847" s="163" t="s">
        <v>4087</v>
      </c>
      <c r="D4847" s="163" t="s">
        <v>4088</v>
      </c>
      <c r="E4847" s="164" t="n">
        <v>20000</v>
      </c>
      <c r="F4847" s="165" t="s">
        <v>3060</v>
      </c>
    </row>
    <row r="4848" customFormat="false" ht="15" hidden="false" customHeight="true" outlineLevel="0" collapsed="false">
      <c r="A4848" s="163" t="s">
        <v>3028</v>
      </c>
      <c r="B4848" s="163" t="s">
        <v>1938</v>
      </c>
      <c r="C4848" s="163" t="s">
        <v>4084</v>
      </c>
      <c r="D4848" s="163" t="s">
        <v>4085</v>
      </c>
      <c r="E4848" s="164" t="n">
        <v>20000</v>
      </c>
      <c r="F4848" s="165" t="s">
        <v>3060</v>
      </c>
    </row>
    <row r="4849" customFormat="false" ht="15" hidden="false" customHeight="true" outlineLevel="0" collapsed="false">
      <c r="A4849" s="163" t="s">
        <v>3028</v>
      </c>
      <c r="B4849" s="163" t="s">
        <v>1938</v>
      </c>
      <c r="C4849" s="163" t="s">
        <v>3808</v>
      </c>
      <c r="D4849" s="163" t="s">
        <v>3809</v>
      </c>
      <c r="E4849" s="164" t="n">
        <v>20000</v>
      </c>
      <c r="F4849" s="165" t="s">
        <v>3060</v>
      </c>
    </row>
    <row r="4850" customFormat="false" ht="15" hidden="false" customHeight="true" outlineLevel="0" collapsed="false">
      <c r="A4850" s="163" t="s">
        <v>3028</v>
      </c>
      <c r="B4850" s="163" t="s">
        <v>1938</v>
      </c>
      <c r="C4850" s="163" t="s">
        <v>4047</v>
      </c>
      <c r="D4850" s="163" t="s">
        <v>4048</v>
      </c>
      <c r="E4850" s="164" t="n">
        <v>20000</v>
      </c>
      <c r="F4850" s="165" t="s">
        <v>3060</v>
      </c>
    </row>
    <row r="4851" customFormat="false" ht="15" hidden="false" customHeight="true" outlineLevel="0" collapsed="false">
      <c r="A4851" s="163" t="s">
        <v>3028</v>
      </c>
      <c r="B4851" s="163" t="s">
        <v>1938</v>
      </c>
      <c r="C4851" s="163" t="s">
        <v>332</v>
      </c>
      <c r="D4851" s="163" t="s">
        <v>2673</v>
      </c>
      <c r="E4851" s="164" t="n">
        <v>20000</v>
      </c>
      <c r="F4851" s="165" t="s">
        <v>3060</v>
      </c>
    </row>
    <row r="4852" customFormat="false" ht="15" hidden="false" customHeight="true" outlineLevel="0" collapsed="false">
      <c r="A4852" s="163" t="s">
        <v>3028</v>
      </c>
      <c r="B4852" s="163" t="s">
        <v>1938</v>
      </c>
      <c r="C4852" s="163" t="s">
        <v>3602</v>
      </c>
      <c r="D4852" s="163" t="s">
        <v>3603</v>
      </c>
      <c r="E4852" s="164" t="n">
        <v>20000</v>
      </c>
      <c r="F4852" s="165" t="s">
        <v>3060</v>
      </c>
    </row>
    <row r="4853" customFormat="false" ht="15" hidden="false" customHeight="true" outlineLevel="0" collapsed="false">
      <c r="A4853" s="163" t="s">
        <v>3028</v>
      </c>
      <c r="B4853" s="163" t="s">
        <v>1938</v>
      </c>
      <c r="C4853" s="163" t="s">
        <v>3602</v>
      </c>
      <c r="D4853" s="163" t="s">
        <v>3603</v>
      </c>
      <c r="E4853" s="164" t="n">
        <v>20000</v>
      </c>
      <c r="F4853" s="165" t="s">
        <v>3060</v>
      </c>
    </row>
    <row r="4854" customFormat="false" ht="15" hidden="false" customHeight="true" outlineLevel="0" collapsed="false">
      <c r="A4854" s="163" t="s">
        <v>3028</v>
      </c>
      <c r="B4854" s="163" t="s">
        <v>1938</v>
      </c>
      <c r="C4854" s="163" t="s">
        <v>3602</v>
      </c>
      <c r="D4854" s="163" t="s">
        <v>3603</v>
      </c>
      <c r="E4854" s="164" t="n">
        <v>20000</v>
      </c>
      <c r="F4854" s="165" t="s">
        <v>3060</v>
      </c>
    </row>
    <row r="4855" customFormat="false" ht="15" hidden="false" customHeight="true" outlineLevel="0" collapsed="false">
      <c r="A4855" s="163" t="s">
        <v>3028</v>
      </c>
      <c r="B4855" s="163" t="s">
        <v>1938</v>
      </c>
      <c r="C4855" s="163" t="s">
        <v>431</v>
      </c>
      <c r="D4855" s="163" t="s">
        <v>2678</v>
      </c>
      <c r="E4855" s="164" t="n">
        <v>20000</v>
      </c>
      <c r="F4855" s="165" t="s">
        <v>3060</v>
      </c>
    </row>
    <row r="4856" customFormat="false" ht="15" hidden="false" customHeight="true" outlineLevel="0" collapsed="false">
      <c r="A4856" s="163" t="s">
        <v>3028</v>
      </c>
      <c r="B4856" s="163" t="s">
        <v>1938</v>
      </c>
      <c r="C4856" s="163" t="s">
        <v>3145</v>
      </c>
      <c r="D4856" s="163" t="s">
        <v>3146</v>
      </c>
      <c r="E4856" s="164" t="n">
        <v>20000</v>
      </c>
      <c r="F4856" s="165" t="s">
        <v>3060</v>
      </c>
    </row>
    <row r="4857" customFormat="false" ht="15" hidden="false" customHeight="true" outlineLevel="0" collapsed="false">
      <c r="A4857" s="163" t="s">
        <v>3028</v>
      </c>
      <c r="B4857" s="163" t="s">
        <v>1938</v>
      </c>
      <c r="C4857" s="163" t="s">
        <v>3602</v>
      </c>
      <c r="D4857" s="163" t="s">
        <v>3603</v>
      </c>
      <c r="E4857" s="164" t="n">
        <v>20000</v>
      </c>
      <c r="F4857" s="165" t="s">
        <v>3060</v>
      </c>
    </row>
    <row r="4858" customFormat="false" ht="15" hidden="false" customHeight="true" outlineLevel="0" collapsed="false">
      <c r="A4858" s="163" t="s">
        <v>3028</v>
      </c>
      <c r="B4858" s="163" t="s">
        <v>1938</v>
      </c>
      <c r="C4858" s="163" t="s">
        <v>3395</v>
      </c>
      <c r="D4858" s="163" t="s">
        <v>3396</v>
      </c>
      <c r="E4858" s="164" t="n">
        <v>20000</v>
      </c>
      <c r="F4858" s="165" t="s">
        <v>3060</v>
      </c>
    </row>
    <row r="4859" customFormat="false" ht="15" hidden="false" customHeight="true" outlineLevel="0" collapsed="false">
      <c r="A4859" s="163" t="s">
        <v>3028</v>
      </c>
      <c r="B4859" s="163" t="s">
        <v>1938</v>
      </c>
      <c r="C4859" s="163" t="s">
        <v>3141</v>
      </c>
      <c r="D4859" s="163" t="s">
        <v>3142</v>
      </c>
      <c r="E4859" s="164" t="n">
        <v>20000</v>
      </c>
      <c r="F4859" s="165" t="s">
        <v>3060</v>
      </c>
    </row>
    <row r="4860" customFormat="false" ht="15" hidden="false" customHeight="true" outlineLevel="0" collapsed="false">
      <c r="A4860" s="163" t="s">
        <v>3028</v>
      </c>
      <c r="B4860" s="163" t="s">
        <v>691</v>
      </c>
      <c r="C4860" s="163" t="s">
        <v>8859</v>
      </c>
      <c r="D4860" s="163" t="s">
        <v>8860</v>
      </c>
      <c r="E4860" s="164" t="n">
        <v>25000</v>
      </c>
      <c r="F4860" s="165" t="s">
        <v>3060</v>
      </c>
    </row>
    <row r="4861" customFormat="false" ht="15" hidden="false" customHeight="true" outlineLevel="0" collapsed="false">
      <c r="A4861" s="163" t="s">
        <v>3028</v>
      </c>
      <c r="B4861" s="163" t="s">
        <v>691</v>
      </c>
      <c r="C4861" s="163" t="s">
        <v>395</v>
      </c>
      <c r="D4861" s="163" t="s">
        <v>2196</v>
      </c>
      <c r="E4861" s="164" t="n">
        <v>20000</v>
      </c>
      <c r="F4861" s="165" t="s">
        <v>3060</v>
      </c>
    </row>
    <row r="4862" customFormat="false" ht="15" hidden="false" customHeight="true" outlineLevel="0" collapsed="false">
      <c r="A4862" s="163" t="s">
        <v>3028</v>
      </c>
      <c r="B4862" s="163" t="s">
        <v>691</v>
      </c>
      <c r="C4862" s="163" t="s">
        <v>8142</v>
      </c>
      <c r="D4862" s="163" t="s">
        <v>8143</v>
      </c>
      <c r="E4862" s="164" t="n">
        <v>20000</v>
      </c>
      <c r="F4862" s="165" t="s">
        <v>3060</v>
      </c>
    </row>
    <row r="4863" customFormat="false" ht="15" hidden="false" customHeight="true" outlineLevel="0" collapsed="false">
      <c r="A4863" s="163" t="s">
        <v>3028</v>
      </c>
      <c r="B4863" s="163" t="s">
        <v>691</v>
      </c>
      <c r="C4863" s="163" t="s">
        <v>8861</v>
      </c>
      <c r="D4863" s="163" t="s">
        <v>8862</v>
      </c>
      <c r="E4863" s="164" t="n">
        <v>15000</v>
      </c>
      <c r="F4863" s="165" t="s">
        <v>3060</v>
      </c>
    </row>
    <row r="4864" customFormat="false" ht="15" hidden="false" customHeight="true" outlineLevel="0" collapsed="false">
      <c r="A4864" s="163" t="s">
        <v>3028</v>
      </c>
      <c r="B4864" s="163" t="s">
        <v>691</v>
      </c>
      <c r="C4864" s="163" t="s">
        <v>5183</v>
      </c>
      <c r="D4864" s="163" t="s">
        <v>5184</v>
      </c>
      <c r="E4864" s="164" t="n">
        <v>15000</v>
      </c>
      <c r="F4864" s="165" t="s">
        <v>3060</v>
      </c>
    </row>
    <row r="4865" customFormat="false" ht="15" hidden="false" customHeight="true" outlineLevel="0" collapsed="false">
      <c r="A4865" s="163" t="s">
        <v>3028</v>
      </c>
      <c r="B4865" s="163" t="s">
        <v>691</v>
      </c>
      <c r="C4865" s="163" t="s">
        <v>7690</v>
      </c>
      <c r="D4865" s="163" t="s">
        <v>7691</v>
      </c>
      <c r="E4865" s="164" t="n">
        <v>10000</v>
      </c>
      <c r="F4865" s="165" t="s">
        <v>3060</v>
      </c>
    </row>
    <row r="4866" customFormat="false" ht="15" hidden="false" customHeight="true" outlineLevel="0" collapsed="false">
      <c r="A4866" s="163" t="s">
        <v>3028</v>
      </c>
      <c r="B4866" s="163" t="s">
        <v>691</v>
      </c>
      <c r="C4866" s="163" t="s">
        <v>4815</v>
      </c>
      <c r="D4866" s="163" t="s">
        <v>4816</v>
      </c>
      <c r="E4866" s="164" t="n">
        <v>10000</v>
      </c>
      <c r="F4866" s="165" t="s">
        <v>3060</v>
      </c>
    </row>
    <row r="4867" customFormat="false" ht="15" hidden="false" customHeight="true" outlineLevel="0" collapsed="false">
      <c r="A4867" s="163" t="s">
        <v>3028</v>
      </c>
      <c r="B4867" s="163" t="s">
        <v>691</v>
      </c>
      <c r="C4867" s="163" t="s">
        <v>3808</v>
      </c>
      <c r="D4867" s="163" t="s">
        <v>3809</v>
      </c>
      <c r="E4867" s="164" t="n">
        <v>10000</v>
      </c>
      <c r="F4867" s="165" t="s">
        <v>3060</v>
      </c>
    </row>
    <row r="4868" customFormat="false" ht="15" hidden="false" customHeight="true" outlineLevel="0" collapsed="false">
      <c r="A4868" s="163" t="s">
        <v>3028</v>
      </c>
      <c r="B4868" s="163" t="s">
        <v>691</v>
      </c>
      <c r="C4868" s="163" t="s">
        <v>8863</v>
      </c>
      <c r="D4868" s="163" t="s">
        <v>8864</v>
      </c>
      <c r="E4868" s="164" t="n">
        <v>10000</v>
      </c>
      <c r="F4868" s="165" t="s">
        <v>3060</v>
      </c>
    </row>
    <row r="4869" customFormat="false" ht="15" hidden="false" customHeight="true" outlineLevel="0" collapsed="false">
      <c r="A4869" s="163" t="s">
        <v>3028</v>
      </c>
      <c r="B4869" s="163" t="s">
        <v>691</v>
      </c>
      <c r="C4869" s="163" t="s">
        <v>5837</v>
      </c>
      <c r="D4869" s="163" t="s">
        <v>5838</v>
      </c>
      <c r="E4869" s="164" t="n">
        <v>10000</v>
      </c>
      <c r="F4869" s="165" t="s">
        <v>3060</v>
      </c>
    </row>
    <row r="4870" customFormat="false" ht="15" hidden="false" customHeight="true" outlineLevel="0" collapsed="false">
      <c r="A4870" s="163" t="s">
        <v>3028</v>
      </c>
      <c r="B4870" s="163" t="s">
        <v>2027</v>
      </c>
      <c r="C4870" s="163" t="s">
        <v>3163</v>
      </c>
      <c r="D4870" s="163" t="s">
        <v>3164</v>
      </c>
      <c r="E4870" s="164" t="n">
        <v>30000</v>
      </c>
      <c r="F4870" s="165" t="s">
        <v>3060</v>
      </c>
    </row>
    <row r="4871" customFormat="false" ht="15" hidden="false" customHeight="true" outlineLevel="0" collapsed="false">
      <c r="A4871" s="163" t="s">
        <v>3028</v>
      </c>
      <c r="B4871" s="163" t="s">
        <v>2027</v>
      </c>
      <c r="C4871" s="163" t="s">
        <v>8865</v>
      </c>
      <c r="D4871" s="163" t="s">
        <v>8866</v>
      </c>
      <c r="E4871" s="164" t="n">
        <v>20000</v>
      </c>
      <c r="F4871" s="165" t="s">
        <v>3060</v>
      </c>
    </row>
    <row r="4872" customFormat="false" ht="15" hidden="false" customHeight="true" outlineLevel="0" collapsed="false">
      <c r="A4872" s="163" t="s">
        <v>3028</v>
      </c>
      <c r="B4872" s="163" t="s">
        <v>2027</v>
      </c>
      <c r="C4872" s="163" t="s">
        <v>8867</v>
      </c>
      <c r="D4872" s="163" t="s">
        <v>8868</v>
      </c>
      <c r="E4872" s="164" t="n">
        <v>20000</v>
      </c>
      <c r="F4872" s="165" t="s">
        <v>3060</v>
      </c>
    </row>
    <row r="4873" customFormat="false" ht="15" hidden="false" customHeight="true" outlineLevel="0" collapsed="false">
      <c r="A4873" s="163" t="s">
        <v>3028</v>
      </c>
      <c r="B4873" s="163" t="s">
        <v>2027</v>
      </c>
      <c r="C4873" s="163" t="s">
        <v>6404</v>
      </c>
      <c r="D4873" s="163" t="s">
        <v>6405</v>
      </c>
      <c r="E4873" s="164" t="n">
        <v>20000</v>
      </c>
      <c r="F4873" s="165" t="s">
        <v>3060</v>
      </c>
    </row>
    <row r="4874" customFormat="false" ht="15" hidden="false" customHeight="true" outlineLevel="0" collapsed="false">
      <c r="A4874" s="163" t="s">
        <v>3028</v>
      </c>
      <c r="B4874" s="163" t="s">
        <v>2037</v>
      </c>
      <c r="C4874" s="163" t="s">
        <v>1860</v>
      </c>
      <c r="D4874" s="163" t="s">
        <v>1861</v>
      </c>
      <c r="E4874" s="164" t="n">
        <v>95000</v>
      </c>
      <c r="F4874" s="165" t="s">
        <v>3060</v>
      </c>
    </row>
    <row r="4875" customFormat="false" ht="15" hidden="false" customHeight="true" outlineLevel="0" collapsed="false">
      <c r="A4875" s="163" t="s">
        <v>3028</v>
      </c>
      <c r="B4875" s="163" t="s">
        <v>2037</v>
      </c>
      <c r="C4875" s="163" t="s">
        <v>3170</v>
      </c>
      <c r="D4875" s="163" t="s">
        <v>3171</v>
      </c>
      <c r="E4875" s="164" t="n">
        <v>30000</v>
      </c>
      <c r="F4875" s="165" t="s">
        <v>3060</v>
      </c>
    </row>
    <row r="4876" customFormat="false" ht="15" hidden="false" customHeight="true" outlineLevel="0" collapsed="false">
      <c r="A4876" s="163" t="s">
        <v>3028</v>
      </c>
      <c r="B4876" s="163" t="s">
        <v>2037</v>
      </c>
      <c r="C4876" s="163" t="s">
        <v>7214</v>
      </c>
      <c r="D4876" s="163" t="s">
        <v>7215</v>
      </c>
      <c r="E4876" s="164" t="n">
        <v>20000</v>
      </c>
      <c r="F4876" s="165" t="s">
        <v>3060</v>
      </c>
    </row>
    <row r="4877" customFormat="false" ht="15" hidden="false" customHeight="true" outlineLevel="0" collapsed="false">
      <c r="A4877" s="163" t="s">
        <v>3028</v>
      </c>
      <c r="B4877" s="163" t="s">
        <v>2037</v>
      </c>
      <c r="C4877" s="163" t="s">
        <v>4735</v>
      </c>
      <c r="D4877" s="163" t="s">
        <v>4736</v>
      </c>
      <c r="E4877" s="164" t="n">
        <v>20000</v>
      </c>
      <c r="F4877" s="165" t="s">
        <v>3060</v>
      </c>
    </row>
    <row r="4878" customFormat="false" ht="15" hidden="false" customHeight="true" outlineLevel="0" collapsed="false">
      <c r="A4878" s="163" t="s">
        <v>3028</v>
      </c>
      <c r="B4878" s="163" t="s">
        <v>2037</v>
      </c>
      <c r="C4878" s="163" t="s">
        <v>2695</v>
      </c>
      <c r="D4878" s="163" t="s">
        <v>2696</v>
      </c>
      <c r="E4878" s="164" t="n">
        <v>15000</v>
      </c>
      <c r="F4878" s="165" t="s">
        <v>3060</v>
      </c>
    </row>
    <row r="4879" customFormat="false" ht="15" hidden="false" customHeight="true" outlineLevel="0" collapsed="false">
      <c r="A4879" s="163" t="s">
        <v>3028</v>
      </c>
      <c r="B4879" s="163" t="s">
        <v>2037</v>
      </c>
      <c r="C4879" s="163" t="s">
        <v>7287</v>
      </c>
      <c r="D4879" s="163" t="s">
        <v>7288</v>
      </c>
      <c r="E4879" s="164" t="n">
        <v>15000</v>
      </c>
      <c r="F4879" s="165" t="s">
        <v>3060</v>
      </c>
    </row>
    <row r="4880" customFormat="false" ht="15" hidden="false" customHeight="true" outlineLevel="0" collapsed="false">
      <c r="A4880" s="163" t="s">
        <v>3028</v>
      </c>
      <c r="B4880" s="163" t="s">
        <v>894</v>
      </c>
      <c r="C4880" s="163" t="s">
        <v>452</v>
      </c>
      <c r="D4880" s="163" t="s">
        <v>2102</v>
      </c>
      <c r="E4880" s="164" t="n">
        <v>25000</v>
      </c>
      <c r="F4880" s="165" t="s">
        <v>5134</v>
      </c>
    </row>
    <row r="4881" customFormat="false" ht="15" hidden="false" customHeight="true" outlineLevel="0" collapsed="false">
      <c r="A4881" s="163" t="s">
        <v>3028</v>
      </c>
      <c r="B4881" s="163" t="s">
        <v>894</v>
      </c>
      <c r="C4881" s="163" t="s">
        <v>8869</v>
      </c>
      <c r="D4881" s="163" t="s">
        <v>8870</v>
      </c>
      <c r="E4881" s="164" t="n">
        <v>20000</v>
      </c>
      <c r="F4881" s="165" t="s">
        <v>3060</v>
      </c>
    </row>
    <row r="4882" customFormat="false" ht="15" hidden="false" customHeight="true" outlineLevel="0" collapsed="false">
      <c r="A4882" s="163" t="s">
        <v>3028</v>
      </c>
      <c r="B4882" s="163" t="s">
        <v>894</v>
      </c>
      <c r="C4882" s="163" t="s">
        <v>3808</v>
      </c>
      <c r="D4882" s="163" t="s">
        <v>3809</v>
      </c>
      <c r="E4882" s="164" t="n">
        <v>15000</v>
      </c>
      <c r="F4882" s="165" t="s">
        <v>8871</v>
      </c>
    </row>
    <row r="4883" customFormat="false" ht="15" hidden="false" customHeight="true" outlineLevel="0" collapsed="false">
      <c r="A4883" s="163" t="s">
        <v>3028</v>
      </c>
      <c r="B4883" s="163" t="s">
        <v>894</v>
      </c>
      <c r="C4883" s="163" t="s">
        <v>8872</v>
      </c>
      <c r="D4883" s="163" t="s">
        <v>8873</v>
      </c>
      <c r="E4883" s="164" t="n">
        <v>15000</v>
      </c>
      <c r="F4883" s="165" t="s">
        <v>8848</v>
      </c>
    </row>
    <row r="4884" customFormat="false" ht="15" hidden="false" customHeight="true" outlineLevel="0" collapsed="false">
      <c r="A4884" s="163" t="s">
        <v>3028</v>
      </c>
      <c r="B4884" s="163" t="s">
        <v>894</v>
      </c>
      <c r="C4884" s="163" t="s">
        <v>8863</v>
      </c>
      <c r="D4884" s="163" t="s">
        <v>8864</v>
      </c>
      <c r="E4884" s="164" t="n">
        <v>15000</v>
      </c>
      <c r="F4884" s="165" t="s">
        <v>8874</v>
      </c>
    </row>
    <row r="4885" customFormat="false" ht="15" hidden="false" customHeight="true" outlineLevel="0" collapsed="false">
      <c r="A4885" s="163" t="s">
        <v>3028</v>
      </c>
      <c r="B4885" s="163" t="s">
        <v>894</v>
      </c>
      <c r="C4885" s="163" t="s">
        <v>296</v>
      </c>
      <c r="D4885" s="163" t="s">
        <v>2127</v>
      </c>
      <c r="E4885" s="164" t="n">
        <v>15000</v>
      </c>
      <c r="F4885" s="165" t="s">
        <v>8875</v>
      </c>
    </row>
    <row r="4886" customFormat="false" ht="15" hidden="false" customHeight="true" outlineLevel="0" collapsed="false">
      <c r="A4886" s="163" t="s">
        <v>3028</v>
      </c>
      <c r="B4886" s="163" t="s">
        <v>894</v>
      </c>
      <c r="C4886" s="163" t="s">
        <v>3188</v>
      </c>
      <c r="D4886" s="163" t="s">
        <v>3189</v>
      </c>
      <c r="E4886" s="164" t="n">
        <v>12000</v>
      </c>
      <c r="F4886" s="165" t="s">
        <v>8876</v>
      </c>
    </row>
    <row r="4887" customFormat="false" ht="15" hidden="false" customHeight="true" outlineLevel="0" collapsed="false">
      <c r="A4887" s="163" t="s">
        <v>3028</v>
      </c>
      <c r="B4887" s="163" t="s">
        <v>894</v>
      </c>
      <c r="C4887" s="163" t="s">
        <v>8877</v>
      </c>
      <c r="D4887" s="163" t="s">
        <v>8878</v>
      </c>
      <c r="E4887" s="164" t="n">
        <v>12000</v>
      </c>
      <c r="F4887" s="165" t="s">
        <v>8879</v>
      </c>
    </row>
    <row r="4888" customFormat="false" ht="15" hidden="false" customHeight="true" outlineLevel="0" collapsed="false">
      <c r="A4888" s="163" t="s">
        <v>3028</v>
      </c>
      <c r="B4888" s="163" t="s">
        <v>894</v>
      </c>
      <c r="C4888" s="163" t="s">
        <v>8880</v>
      </c>
      <c r="D4888" s="163" t="s">
        <v>8881</v>
      </c>
      <c r="E4888" s="164" t="n">
        <v>11000</v>
      </c>
      <c r="F4888" s="165" t="s">
        <v>8848</v>
      </c>
    </row>
    <row r="4889" customFormat="false" ht="15" hidden="false" customHeight="true" outlineLevel="0" collapsed="false">
      <c r="A4889" s="163" t="s">
        <v>3028</v>
      </c>
      <c r="B4889" s="163" t="s">
        <v>894</v>
      </c>
      <c r="C4889" s="163" t="s">
        <v>4269</v>
      </c>
      <c r="D4889" s="163" t="s">
        <v>4270</v>
      </c>
      <c r="E4889" s="164" t="n">
        <v>10000</v>
      </c>
      <c r="F4889" s="165" t="s">
        <v>3060</v>
      </c>
    </row>
    <row r="4890" customFormat="false" ht="15" hidden="false" customHeight="true" outlineLevel="0" collapsed="false">
      <c r="A4890" s="163" t="s">
        <v>3028</v>
      </c>
      <c r="B4890" s="163" t="s">
        <v>894</v>
      </c>
      <c r="C4890" s="163" t="s">
        <v>8859</v>
      </c>
      <c r="D4890" s="163" t="s">
        <v>8860</v>
      </c>
      <c r="E4890" s="164" t="n">
        <v>10000</v>
      </c>
      <c r="F4890" s="165" t="s">
        <v>8848</v>
      </c>
    </row>
    <row r="4891" customFormat="false" ht="15" hidden="false" customHeight="true" outlineLevel="0" collapsed="false">
      <c r="A4891" s="163" t="s">
        <v>3028</v>
      </c>
      <c r="B4891" s="163" t="s">
        <v>894</v>
      </c>
      <c r="C4891" s="163" t="s">
        <v>7738</v>
      </c>
      <c r="D4891" s="163" t="s">
        <v>7739</v>
      </c>
      <c r="E4891" s="164" t="n">
        <v>10000</v>
      </c>
      <c r="F4891" s="165" t="s">
        <v>8882</v>
      </c>
    </row>
    <row r="4892" customFormat="false" ht="15" hidden="false" customHeight="true" outlineLevel="0" collapsed="false">
      <c r="A4892" s="163" t="s">
        <v>3028</v>
      </c>
      <c r="B4892" s="163" t="s">
        <v>894</v>
      </c>
      <c r="C4892" s="163" t="s">
        <v>7679</v>
      </c>
      <c r="D4892" s="163" t="s">
        <v>7680</v>
      </c>
      <c r="E4892" s="164" t="n">
        <v>10000</v>
      </c>
      <c r="F4892" s="165" t="s">
        <v>8883</v>
      </c>
    </row>
    <row r="4893" customFormat="false" ht="15" hidden="false" customHeight="true" outlineLevel="0" collapsed="false">
      <c r="A4893" s="163" t="s">
        <v>3028</v>
      </c>
      <c r="B4893" s="163" t="s">
        <v>894</v>
      </c>
      <c r="C4893" s="163" t="s">
        <v>8884</v>
      </c>
      <c r="D4893" s="163" t="s">
        <v>8885</v>
      </c>
      <c r="E4893" s="164" t="n">
        <v>10000</v>
      </c>
      <c r="F4893" s="165" t="s">
        <v>8848</v>
      </c>
    </row>
    <row r="4894" customFormat="false" ht="15" hidden="false" customHeight="true" outlineLevel="0" collapsed="false">
      <c r="A4894" s="163" t="s">
        <v>3028</v>
      </c>
      <c r="B4894" s="163" t="s">
        <v>894</v>
      </c>
      <c r="C4894" s="163" t="s">
        <v>8886</v>
      </c>
      <c r="D4894" s="163" t="s">
        <v>8887</v>
      </c>
      <c r="E4894" s="164" t="n">
        <v>10000</v>
      </c>
      <c r="F4894" s="165" t="s">
        <v>8848</v>
      </c>
    </row>
    <row r="4895" customFormat="false" ht="15" hidden="false" customHeight="true" outlineLevel="0" collapsed="false">
      <c r="A4895" s="163" t="s">
        <v>3028</v>
      </c>
      <c r="B4895" s="163" t="s">
        <v>894</v>
      </c>
      <c r="C4895" s="163" t="s">
        <v>7719</v>
      </c>
      <c r="D4895" s="163" t="s">
        <v>7720</v>
      </c>
      <c r="E4895" s="164" t="n">
        <v>10000</v>
      </c>
      <c r="F4895" s="165" t="s">
        <v>3060</v>
      </c>
    </row>
    <row r="4896" customFormat="false" ht="15" hidden="false" customHeight="true" outlineLevel="0" collapsed="false">
      <c r="A4896" s="163" t="s">
        <v>3028</v>
      </c>
      <c r="B4896" s="163" t="s">
        <v>894</v>
      </c>
      <c r="C4896" s="163" t="s">
        <v>4020</v>
      </c>
      <c r="D4896" s="163" t="s">
        <v>4021</v>
      </c>
      <c r="E4896" s="164" t="n">
        <v>8500</v>
      </c>
      <c r="F4896" s="165" t="s">
        <v>8848</v>
      </c>
    </row>
    <row r="4897" customFormat="false" ht="15" hidden="false" customHeight="true" outlineLevel="0" collapsed="false">
      <c r="A4897" s="163" t="s">
        <v>3028</v>
      </c>
      <c r="B4897" s="163" t="s">
        <v>894</v>
      </c>
      <c r="C4897" s="163" t="s">
        <v>7625</v>
      </c>
      <c r="D4897" s="163" t="s">
        <v>7626</v>
      </c>
      <c r="E4897" s="164" t="n">
        <v>7500</v>
      </c>
      <c r="F4897" s="165" t="s">
        <v>3060</v>
      </c>
    </row>
    <row r="4898" customFormat="false" ht="15" hidden="false" customHeight="true" outlineLevel="0" collapsed="false">
      <c r="A4898" s="163" t="s">
        <v>3028</v>
      </c>
      <c r="B4898" s="163" t="s">
        <v>894</v>
      </c>
      <c r="C4898" s="163" t="s">
        <v>4343</v>
      </c>
      <c r="D4898" s="163" t="s">
        <v>4344</v>
      </c>
      <c r="E4898" s="164" t="n">
        <v>7500</v>
      </c>
      <c r="F4898" s="165" t="s">
        <v>8888</v>
      </c>
    </row>
    <row r="4899" customFormat="false" ht="15" hidden="false" customHeight="true" outlineLevel="0" collapsed="false">
      <c r="A4899" s="163" t="s">
        <v>3028</v>
      </c>
      <c r="B4899" s="163" t="s">
        <v>894</v>
      </c>
      <c r="C4899" s="163" t="s">
        <v>5333</v>
      </c>
      <c r="D4899" s="163" t="s">
        <v>5334</v>
      </c>
      <c r="E4899" s="164" t="n">
        <v>7500</v>
      </c>
      <c r="F4899" s="165" t="s">
        <v>8889</v>
      </c>
    </row>
    <row r="4900" customFormat="false" ht="15" hidden="false" customHeight="true" outlineLevel="0" collapsed="false">
      <c r="A4900" s="163" t="s">
        <v>3028</v>
      </c>
      <c r="B4900" s="163" t="s">
        <v>894</v>
      </c>
      <c r="C4900" s="163" t="s">
        <v>3116</v>
      </c>
      <c r="D4900" s="163" t="s">
        <v>3117</v>
      </c>
      <c r="E4900" s="164" t="n">
        <v>5000</v>
      </c>
      <c r="F4900" s="165" t="s">
        <v>8890</v>
      </c>
    </row>
    <row r="4901" customFormat="false" ht="15" hidden="false" customHeight="true" outlineLevel="0" collapsed="false">
      <c r="A4901" s="163" t="s">
        <v>3028</v>
      </c>
      <c r="B4901" s="163" t="s">
        <v>894</v>
      </c>
      <c r="C4901" s="163" t="s">
        <v>7734</v>
      </c>
      <c r="D4901" s="163" t="s">
        <v>8891</v>
      </c>
      <c r="E4901" s="164" t="n">
        <v>5000</v>
      </c>
      <c r="F4901" s="165" t="s">
        <v>3060</v>
      </c>
    </row>
    <row r="4902" customFormat="false" ht="15" hidden="false" customHeight="true" outlineLevel="0" collapsed="false">
      <c r="A4902" s="163" t="s">
        <v>3028</v>
      </c>
      <c r="B4902" s="163" t="s">
        <v>894</v>
      </c>
      <c r="C4902" s="163" t="s">
        <v>8202</v>
      </c>
      <c r="D4902" s="163" t="s">
        <v>8203</v>
      </c>
      <c r="E4902" s="164" t="n">
        <v>5000</v>
      </c>
      <c r="F4902" s="165" t="s">
        <v>8848</v>
      </c>
    </row>
    <row r="4903" customFormat="false" ht="15" hidden="false" customHeight="true" outlineLevel="0" collapsed="false">
      <c r="A4903" s="163" t="s">
        <v>3028</v>
      </c>
      <c r="B4903" s="163" t="s">
        <v>894</v>
      </c>
      <c r="C4903" s="163" t="s">
        <v>8892</v>
      </c>
      <c r="D4903" s="163" t="s">
        <v>8893</v>
      </c>
      <c r="E4903" s="164" t="n">
        <v>5000</v>
      </c>
      <c r="F4903" s="165" t="s">
        <v>3060</v>
      </c>
    </row>
    <row r="4904" customFormat="false" ht="15" hidden="false" customHeight="true" outlineLevel="0" collapsed="false">
      <c r="A4904" s="163" t="s">
        <v>3028</v>
      </c>
      <c r="B4904" s="163" t="s">
        <v>894</v>
      </c>
      <c r="C4904" s="163" t="s">
        <v>4265</v>
      </c>
      <c r="D4904" s="163" t="s">
        <v>4266</v>
      </c>
      <c r="E4904" s="164" t="n">
        <v>5000</v>
      </c>
      <c r="F4904" s="165" t="s">
        <v>3060</v>
      </c>
    </row>
    <row r="4905" customFormat="false" ht="15" hidden="false" customHeight="true" outlineLevel="0" collapsed="false">
      <c r="A4905" s="163" t="s">
        <v>3028</v>
      </c>
      <c r="B4905" s="163" t="s">
        <v>894</v>
      </c>
      <c r="C4905" s="163" t="s">
        <v>6912</v>
      </c>
      <c r="D4905" s="163" t="s">
        <v>6913</v>
      </c>
      <c r="E4905" s="164" t="n">
        <v>5000</v>
      </c>
      <c r="F4905" s="165" t="s">
        <v>8848</v>
      </c>
    </row>
    <row r="4906" customFormat="false" ht="15" hidden="false" customHeight="true" outlineLevel="0" collapsed="false">
      <c r="A4906" s="163" t="s">
        <v>3028</v>
      </c>
      <c r="B4906" s="163" t="s">
        <v>894</v>
      </c>
      <c r="C4906" s="163" t="s">
        <v>4843</v>
      </c>
      <c r="D4906" s="163" t="s">
        <v>4844</v>
      </c>
      <c r="E4906" s="164" t="n">
        <v>5000</v>
      </c>
      <c r="F4906" s="165" t="s">
        <v>8848</v>
      </c>
    </row>
    <row r="4907" customFormat="false" ht="15" hidden="false" customHeight="true" outlineLevel="0" collapsed="false">
      <c r="A4907" s="163" t="s">
        <v>3028</v>
      </c>
      <c r="B4907" s="163" t="s">
        <v>894</v>
      </c>
      <c r="C4907" s="163" t="s">
        <v>893</v>
      </c>
      <c r="D4907" s="163" t="s">
        <v>1931</v>
      </c>
      <c r="E4907" s="164" t="n">
        <v>5000</v>
      </c>
      <c r="F4907" s="165" t="s">
        <v>8894</v>
      </c>
    </row>
    <row r="4908" customFormat="false" ht="15" hidden="false" customHeight="true" outlineLevel="0" collapsed="false">
      <c r="A4908" s="163" t="s">
        <v>3028</v>
      </c>
      <c r="B4908" s="163" t="s">
        <v>894</v>
      </c>
      <c r="C4908" s="163" t="s">
        <v>8895</v>
      </c>
      <c r="D4908" s="163" t="s">
        <v>8896</v>
      </c>
      <c r="E4908" s="164" t="n">
        <v>5000</v>
      </c>
      <c r="F4908" s="165" t="s">
        <v>8848</v>
      </c>
    </row>
    <row r="4909" customFormat="false" ht="15" hidden="false" customHeight="true" outlineLevel="0" collapsed="false">
      <c r="A4909" s="163" t="s">
        <v>3028</v>
      </c>
      <c r="B4909" s="163" t="s">
        <v>894</v>
      </c>
      <c r="C4909" s="163" t="s">
        <v>8897</v>
      </c>
      <c r="D4909" s="163" t="s">
        <v>8898</v>
      </c>
      <c r="E4909" s="164" t="n">
        <v>5000</v>
      </c>
      <c r="F4909" s="165" t="s">
        <v>8899</v>
      </c>
    </row>
    <row r="4910" customFormat="false" ht="15" hidden="false" customHeight="true" outlineLevel="0" collapsed="false">
      <c r="A4910" s="163" t="s">
        <v>3028</v>
      </c>
      <c r="B4910" s="163" t="s">
        <v>894</v>
      </c>
      <c r="C4910" s="163" t="s">
        <v>1199</v>
      </c>
      <c r="D4910" s="163" t="s">
        <v>1929</v>
      </c>
      <c r="E4910" s="164" t="n">
        <v>5000</v>
      </c>
      <c r="F4910" s="165" t="s">
        <v>8900</v>
      </c>
    </row>
    <row r="4911" customFormat="false" ht="15" hidden="false" customHeight="true" outlineLevel="0" collapsed="false">
      <c r="A4911" s="163" t="s">
        <v>3028</v>
      </c>
      <c r="B4911" s="163" t="s">
        <v>894</v>
      </c>
      <c r="C4911" s="163" t="s">
        <v>7754</v>
      </c>
      <c r="D4911" s="163" t="s">
        <v>7755</v>
      </c>
      <c r="E4911" s="164" t="n">
        <v>5000</v>
      </c>
      <c r="F4911" s="165" t="s">
        <v>8848</v>
      </c>
    </row>
    <row r="4912" customFormat="false" ht="15" hidden="false" customHeight="true" outlineLevel="0" collapsed="false">
      <c r="A4912" s="163" t="s">
        <v>3028</v>
      </c>
      <c r="B4912" s="163" t="s">
        <v>894</v>
      </c>
      <c r="C4912" s="163" t="s">
        <v>5015</v>
      </c>
      <c r="D4912" s="163" t="s">
        <v>5016</v>
      </c>
      <c r="E4912" s="164" t="n">
        <v>5000</v>
      </c>
      <c r="F4912" s="165" t="s">
        <v>8901</v>
      </c>
    </row>
    <row r="4913" customFormat="false" ht="15" hidden="false" customHeight="true" outlineLevel="0" collapsed="false">
      <c r="A4913" s="163" t="s">
        <v>3028</v>
      </c>
      <c r="B4913" s="163" t="s">
        <v>894</v>
      </c>
      <c r="C4913" s="163" t="s">
        <v>8116</v>
      </c>
      <c r="D4913" s="163" t="s">
        <v>8117</v>
      </c>
      <c r="E4913" s="164" t="n">
        <v>5000</v>
      </c>
      <c r="F4913" s="165" t="s">
        <v>8901</v>
      </c>
    </row>
    <row r="4914" customFormat="false" ht="15" hidden="false" customHeight="true" outlineLevel="0" collapsed="false">
      <c r="A4914" s="163" t="s">
        <v>3028</v>
      </c>
      <c r="B4914" s="163" t="s">
        <v>894</v>
      </c>
      <c r="C4914" s="163" t="s">
        <v>3063</v>
      </c>
      <c r="D4914" s="163" t="s">
        <v>3064</v>
      </c>
      <c r="E4914" s="164" t="n">
        <v>5000</v>
      </c>
      <c r="F4914" s="165" t="s">
        <v>8848</v>
      </c>
    </row>
    <row r="4915" customFormat="false" ht="15" hidden="false" customHeight="true" outlineLevel="0" collapsed="false">
      <c r="A4915" s="163" t="s">
        <v>3028</v>
      </c>
      <c r="B4915" s="163" t="s">
        <v>894</v>
      </c>
      <c r="C4915" s="163" t="s">
        <v>4363</v>
      </c>
      <c r="D4915" s="163" t="s">
        <v>4364</v>
      </c>
      <c r="E4915" s="164" t="n">
        <v>5000</v>
      </c>
      <c r="F4915" s="165" t="s">
        <v>8902</v>
      </c>
    </row>
    <row r="4916" customFormat="false" ht="15" hidden="false" customHeight="true" outlineLevel="0" collapsed="false">
      <c r="A4916" s="163" t="s">
        <v>3028</v>
      </c>
      <c r="B4916" s="163" t="s">
        <v>894</v>
      </c>
      <c r="C4916" s="163" t="s">
        <v>8903</v>
      </c>
      <c r="D4916" s="163" t="s">
        <v>8904</v>
      </c>
      <c r="E4916" s="164" t="n">
        <v>5000</v>
      </c>
      <c r="F4916" s="165" t="s">
        <v>8905</v>
      </c>
    </row>
    <row r="4917" customFormat="false" ht="15" hidden="false" customHeight="true" outlineLevel="0" collapsed="false">
      <c r="A4917" s="163" t="s">
        <v>3028</v>
      </c>
      <c r="B4917" s="163" t="s">
        <v>894</v>
      </c>
      <c r="C4917" s="163" t="s">
        <v>1202</v>
      </c>
      <c r="D4917" s="163" t="s">
        <v>2693</v>
      </c>
      <c r="E4917" s="164" t="n">
        <v>5000</v>
      </c>
      <c r="F4917" s="165" t="s">
        <v>8890</v>
      </c>
    </row>
    <row r="4918" customFormat="false" ht="15" hidden="false" customHeight="true" outlineLevel="0" collapsed="false">
      <c r="A4918" s="163" t="s">
        <v>3028</v>
      </c>
      <c r="B4918" s="163" t="s">
        <v>894</v>
      </c>
      <c r="C4918" s="163" t="s">
        <v>8801</v>
      </c>
      <c r="D4918" s="163" t="s">
        <v>8802</v>
      </c>
      <c r="E4918" s="164" t="n">
        <v>5000</v>
      </c>
      <c r="F4918" s="165" t="s">
        <v>8848</v>
      </c>
    </row>
    <row r="4919" customFormat="false" ht="15" hidden="false" customHeight="true" outlineLevel="0" collapsed="false">
      <c r="A4919" s="163" t="s">
        <v>3028</v>
      </c>
      <c r="B4919" s="163" t="s">
        <v>894</v>
      </c>
      <c r="C4919" s="163" t="s">
        <v>4826</v>
      </c>
      <c r="D4919" s="163" t="s">
        <v>4827</v>
      </c>
      <c r="E4919" s="164" t="n">
        <v>5000</v>
      </c>
      <c r="F4919" s="165" t="s">
        <v>8848</v>
      </c>
    </row>
    <row r="4920" customFormat="false" ht="15" hidden="false" customHeight="true" outlineLevel="0" collapsed="false">
      <c r="A4920" s="163" t="s">
        <v>3028</v>
      </c>
      <c r="B4920" s="163" t="s">
        <v>894</v>
      </c>
      <c r="C4920" s="163" t="s">
        <v>3735</v>
      </c>
      <c r="D4920" s="163" t="s">
        <v>3736</v>
      </c>
      <c r="E4920" s="164" t="n">
        <v>5000</v>
      </c>
      <c r="F4920" s="165" t="s">
        <v>3060</v>
      </c>
    </row>
    <row r="4921" customFormat="false" ht="15" hidden="false" customHeight="true" outlineLevel="0" collapsed="false">
      <c r="A4921" s="163" t="s">
        <v>3028</v>
      </c>
      <c r="B4921" s="163" t="s">
        <v>894</v>
      </c>
      <c r="C4921" s="163" t="s">
        <v>8906</v>
      </c>
      <c r="D4921" s="163" t="s">
        <v>8907</v>
      </c>
      <c r="E4921" s="164" t="n">
        <v>5000</v>
      </c>
      <c r="F4921" s="165" t="s">
        <v>8848</v>
      </c>
    </row>
    <row r="4922" customFormat="false" ht="15" hidden="false" customHeight="true" outlineLevel="0" collapsed="false">
      <c r="A4922" s="163" t="s">
        <v>3028</v>
      </c>
      <c r="B4922" s="163" t="s">
        <v>894</v>
      </c>
      <c r="C4922" s="163" t="s">
        <v>925</v>
      </c>
      <c r="D4922" s="163" t="s">
        <v>1931</v>
      </c>
      <c r="E4922" s="164" t="n">
        <v>5000</v>
      </c>
      <c r="F4922" s="165" t="s">
        <v>8908</v>
      </c>
    </row>
    <row r="4923" customFormat="false" ht="15" hidden="false" customHeight="true" outlineLevel="0" collapsed="false">
      <c r="A4923" s="163" t="s">
        <v>3028</v>
      </c>
      <c r="B4923" s="163" t="s">
        <v>894</v>
      </c>
      <c r="C4923" s="163" t="s">
        <v>3749</v>
      </c>
      <c r="D4923" s="163" t="s">
        <v>3750</v>
      </c>
      <c r="E4923" s="164" t="n">
        <v>5000</v>
      </c>
      <c r="F4923" s="165" t="s">
        <v>8848</v>
      </c>
    </row>
    <row r="4924" customFormat="false" ht="15" hidden="false" customHeight="true" outlineLevel="0" collapsed="false">
      <c r="A4924" s="163" t="s">
        <v>3028</v>
      </c>
      <c r="B4924" s="163" t="s">
        <v>894</v>
      </c>
      <c r="C4924" s="163" t="s">
        <v>4100</v>
      </c>
      <c r="D4924" s="163" t="s">
        <v>4101</v>
      </c>
      <c r="E4924" s="164" t="n">
        <v>5000</v>
      </c>
      <c r="F4924" s="165" t="s">
        <v>8848</v>
      </c>
    </row>
    <row r="4925" customFormat="false" ht="15" hidden="false" customHeight="true" outlineLevel="0" collapsed="false">
      <c r="A4925" s="163" t="s">
        <v>3028</v>
      </c>
      <c r="B4925" s="163" t="s">
        <v>894</v>
      </c>
      <c r="C4925" s="163" t="s">
        <v>4097</v>
      </c>
      <c r="D4925" s="163" t="s">
        <v>4098</v>
      </c>
      <c r="E4925" s="164" t="n">
        <v>5000</v>
      </c>
      <c r="F4925" s="165" t="s">
        <v>8848</v>
      </c>
    </row>
    <row r="4926" customFormat="false" ht="15" hidden="false" customHeight="true" outlineLevel="0" collapsed="false">
      <c r="A4926" s="163" t="s">
        <v>3028</v>
      </c>
      <c r="B4926" s="163" t="s">
        <v>894</v>
      </c>
      <c r="C4926" s="163" t="s">
        <v>6387</v>
      </c>
      <c r="D4926" s="163" t="s">
        <v>6388</v>
      </c>
      <c r="E4926" s="164" t="n">
        <v>5000</v>
      </c>
      <c r="F4926" s="165" t="s">
        <v>8848</v>
      </c>
    </row>
    <row r="4927" customFormat="false" ht="15" hidden="false" customHeight="true" outlineLevel="0" collapsed="false">
      <c r="A4927" s="163" t="s">
        <v>3028</v>
      </c>
      <c r="B4927" s="163" t="s">
        <v>894</v>
      </c>
      <c r="C4927" s="163" t="s">
        <v>3498</v>
      </c>
      <c r="D4927" s="163" t="s">
        <v>3499</v>
      </c>
      <c r="E4927" s="164" t="n">
        <v>5000</v>
      </c>
      <c r="F4927" s="165" t="s">
        <v>8909</v>
      </c>
    </row>
    <row r="4928" customFormat="false" ht="15" hidden="false" customHeight="true" outlineLevel="0" collapsed="false">
      <c r="A4928" s="163" t="s">
        <v>3028</v>
      </c>
      <c r="B4928" s="163" t="s">
        <v>894</v>
      </c>
      <c r="C4928" s="163" t="s">
        <v>5017</v>
      </c>
      <c r="D4928" s="163" t="s">
        <v>5018</v>
      </c>
      <c r="E4928" s="164" t="n">
        <v>5000</v>
      </c>
      <c r="F4928" s="165" t="s">
        <v>8910</v>
      </c>
    </row>
    <row r="4929" customFormat="false" ht="15" hidden="false" customHeight="true" outlineLevel="0" collapsed="false">
      <c r="A4929" s="163" t="s">
        <v>3028</v>
      </c>
      <c r="B4929" s="163" t="s">
        <v>894</v>
      </c>
      <c r="C4929" s="163" t="s">
        <v>8911</v>
      </c>
      <c r="D4929" s="163" t="s">
        <v>8912</v>
      </c>
      <c r="E4929" s="164" t="n">
        <v>5000</v>
      </c>
      <c r="F4929" s="165" t="s">
        <v>3060</v>
      </c>
    </row>
    <row r="4930" customFormat="false" ht="15" hidden="false" customHeight="true" outlineLevel="0" collapsed="false">
      <c r="A4930" s="163" t="s">
        <v>3028</v>
      </c>
      <c r="B4930" s="163" t="s">
        <v>894</v>
      </c>
      <c r="C4930" s="163" t="s">
        <v>925</v>
      </c>
      <c r="D4930" s="163" t="s">
        <v>1931</v>
      </c>
      <c r="E4930" s="164" t="n">
        <v>4000</v>
      </c>
      <c r="F4930" s="165" t="s">
        <v>8913</v>
      </c>
    </row>
    <row r="4931" customFormat="false" ht="15" hidden="false" customHeight="true" outlineLevel="0" collapsed="false">
      <c r="A4931" s="163" t="s">
        <v>3028</v>
      </c>
      <c r="B4931" s="163" t="s">
        <v>894</v>
      </c>
      <c r="C4931" s="163" t="s">
        <v>925</v>
      </c>
      <c r="D4931" s="163" t="s">
        <v>1931</v>
      </c>
      <c r="E4931" s="164" t="n">
        <v>4000</v>
      </c>
      <c r="F4931" s="165" t="s">
        <v>8914</v>
      </c>
    </row>
    <row r="4932" customFormat="false" ht="15" hidden="false" customHeight="true" outlineLevel="0" collapsed="false">
      <c r="A4932" s="163" t="s">
        <v>3028</v>
      </c>
      <c r="B4932" s="163" t="s">
        <v>894</v>
      </c>
      <c r="C4932" s="163" t="s">
        <v>8897</v>
      </c>
      <c r="D4932" s="163" t="s">
        <v>8898</v>
      </c>
      <c r="E4932" s="164" t="n">
        <v>1000</v>
      </c>
      <c r="F4932" s="165" t="s">
        <v>8915</v>
      </c>
    </row>
    <row r="4933" customFormat="false" ht="15" hidden="false" customHeight="true" outlineLevel="0" collapsed="false">
      <c r="A4933" s="163" t="s">
        <v>3028</v>
      </c>
      <c r="B4933" s="163" t="s">
        <v>882</v>
      </c>
      <c r="C4933" s="163" t="s">
        <v>2759</v>
      </c>
      <c r="D4933" s="163" t="s">
        <v>2760</v>
      </c>
      <c r="E4933" s="164" t="n">
        <v>190000</v>
      </c>
      <c r="F4933" s="165" t="s">
        <v>3060</v>
      </c>
    </row>
    <row r="4934" customFormat="false" ht="15" hidden="false" customHeight="true" outlineLevel="0" collapsed="false">
      <c r="A4934" s="163" t="s">
        <v>3028</v>
      </c>
      <c r="B4934" s="163" t="s">
        <v>882</v>
      </c>
      <c r="C4934" s="163" t="s">
        <v>640</v>
      </c>
      <c r="D4934" s="163" t="s">
        <v>1931</v>
      </c>
      <c r="E4934" s="164" t="n">
        <v>90000</v>
      </c>
      <c r="F4934" s="165" t="s">
        <v>3060</v>
      </c>
    </row>
    <row r="4935" customFormat="false" ht="15" hidden="false" customHeight="true" outlineLevel="0" collapsed="false">
      <c r="A4935" s="163" t="s">
        <v>3028</v>
      </c>
      <c r="B4935" s="163" t="s">
        <v>2328</v>
      </c>
      <c r="C4935" s="163" t="s">
        <v>1233</v>
      </c>
      <c r="D4935" s="163" t="s">
        <v>2151</v>
      </c>
      <c r="E4935" s="164" t="n">
        <v>40000</v>
      </c>
      <c r="F4935" s="165" t="s">
        <v>3060</v>
      </c>
    </row>
    <row r="4936" customFormat="false" ht="15" hidden="false" customHeight="true" outlineLevel="0" collapsed="false">
      <c r="A4936" s="163" t="s">
        <v>3028</v>
      </c>
      <c r="B4936" s="163" t="s">
        <v>2328</v>
      </c>
      <c r="C4936" s="163" t="s">
        <v>5008</v>
      </c>
      <c r="D4936" s="163" t="s">
        <v>5009</v>
      </c>
      <c r="E4936" s="164" t="n">
        <v>10000</v>
      </c>
      <c r="F4936" s="165" t="s">
        <v>3060</v>
      </c>
    </row>
    <row r="4937" customFormat="false" ht="15" hidden="false" customHeight="true" outlineLevel="0" collapsed="false">
      <c r="A4937" s="163" t="s">
        <v>3028</v>
      </c>
      <c r="B4937" s="163" t="s">
        <v>2342</v>
      </c>
      <c r="C4937" s="163" t="s">
        <v>8916</v>
      </c>
      <c r="D4937" s="163" t="s">
        <v>8917</v>
      </c>
      <c r="E4937" s="164" t="n">
        <v>25000</v>
      </c>
      <c r="F4937" s="165" t="s">
        <v>3060</v>
      </c>
    </row>
    <row r="4938" customFormat="false" ht="15" hidden="false" customHeight="true" outlineLevel="0" collapsed="false">
      <c r="A4938" s="163" t="s">
        <v>3028</v>
      </c>
      <c r="B4938" s="163" t="s">
        <v>2342</v>
      </c>
      <c r="C4938" s="163" t="s">
        <v>8158</v>
      </c>
      <c r="D4938" s="163" t="s">
        <v>8159</v>
      </c>
      <c r="E4938" s="164" t="n">
        <v>20000</v>
      </c>
      <c r="F4938" s="165" t="s">
        <v>3060</v>
      </c>
    </row>
    <row r="4939" customFormat="false" ht="15" hidden="false" customHeight="true" outlineLevel="0" collapsed="false">
      <c r="A4939" s="163" t="s">
        <v>3028</v>
      </c>
      <c r="B4939" s="163" t="s">
        <v>2342</v>
      </c>
      <c r="C4939" s="163" t="s">
        <v>395</v>
      </c>
      <c r="D4939" s="163" t="s">
        <v>2196</v>
      </c>
      <c r="E4939" s="164" t="n">
        <v>20000</v>
      </c>
      <c r="F4939" s="165" t="s">
        <v>3060</v>
      </c>
    </row>
    <row r="4940" customFormat="false" ht="15" hidden="false" customHeight="true" outlineLevel="0" collapsed="false">
      <c r="A4940" s="163" t="s">
        <v>3028</v>
      </c>
      <c r="B4940" s="163" t="s">
        <v>2342</v>
      </c>
      <c r="C4940" s="163" t="s">
        <v>197</v>
      </c>
      <c r="D4940" s="163" t="s">
        <v>1931</v>
      </c>
      <c r="E4940" s="164" t="n">
        <v>15000</v>
      </c>
      <c r="F4940" s="165" t="s">
        <v>3060</v>
      </c>
    </row>
    <row r="4941" customFormat="false" ht="15" hidden="false" customHeight="true" outlineLevel="0" collapsed="false">
      <c r="A4941" s="163" t="s">
        <v>3028</v>
      </c>
      <c r="B4941" s="163" t="s">
        <v>2342</v>
      </c>
      <c r="C4941" s="163" t="s">
        <v>230</v>
      </c>
      <c r="D4941" s="163" t="s">
        <v>2077</v>
      </c>
      <c r="E4941" s="164" t="n">
        <v>10000</v>
      </c>
      <c r="F4941" s="165" t="s">
        <v>3060</v>
      </c>
    </row>
    <row r="4942" customFormat="false" ht="15" hidden="false" customHeight="true" outlineLevel="0" collapsed="false">
      <c r="A4942" s="163" t="s">
        <v>3028</v>
      </c>
      <c r="B4942" s="163" t="s">
        <v>2766</v>
      </c>
      <c r="C4942" s="163" t="s">
        <v>6321</v>
      </c>
      <c r="D4942" s="163" t="s">
        <v>6322</v>
      </c>
      <c r="E4942" s="164" t="n">
        <v>15000</v>
      </c>
      <c r="F4942" s="165" t="s">
        <v>3060</v>
      </c>
    </row>
    <row r="4943" customFormat="false" ht="15" hidden="false" customHeight="true" outlineLevel="0" collapsed="false">
      <c r="A4943" s="163" t="s">
        <v>3028</v>
      </c>
      <c r="B4943" s="163" t="s">
        <v>2766</v>
      </c>
      <c r="C4943" s="163" t="s">
        <v>6321</v>
      </c>
      <c r="D4943" s="163" t="s">
        <v>6322</v>
      </c>
      <c r="E4943" s="164" t="n">
        <v>15000</v>
      </c>
      <c r="F4943" s="165" t="s">
        <v>3060</v>
      </c>
    </row>
    <row r="4944" customFormat="false" ht="15" hidden="false" customHeight="true" outlineLevel="0" collapsed="false">
      <c r="A4944" s="163" t="s">
        <v>3028</v>
      </c>
      <c r="B4944" s="163" t="s">
        <v>1743</v>
      </c>
      <c r="C4944" s="163" t="s">
        <v>4005</v>
      </c>
      <c r="D4944" s="163" t="s">
        <v>4006</v>
      </c>
      <c r="E4944" s="164" t="n">
        <v>45000</v>
      </c>
      <c r="F4944" s="165" t="s">
        <v>3060</v>
      </c>
    </row>
    <row r="4945" customFormat="false" ht="15" hidden="false" customHeight="true" outlineLevel="0" collapsed="false">
      <c r="A4945" s="163" t="s">
        <v>3028</v>
      </c>
      <c r="B4945" s="163" t="s">
        <v>1743</v>
      </c>
      <c r="C4945" s="163" t="s">
        <v>8918</v>
      </c>
      <c r="D4945" s="163" t="s">
        <v>8919</v>
      </c>
      <c r="E4945" s="164" t="n">
        <v>45000</v>
      </c>
      <c r="F4945" s="165" t="s">
        <v>3060</v>
      </c>
    </row>
    <row r="4946" customFormat="false" ht="15" hidden="false" customHeight="true" outlineLevel="0" collapsed="false">
      <c r="A4946" s="163" t="s">
        <v>3028</v>
      </c>
      <c r="B4946" s="163" t="s">
        <v>1743</v>
      </c>
      <c r="C4946" s="163" t="s">
        <v>6410</v>
      </c>
      <c r="D4946" s="163" t="s">
        <v>6411</v>
      </c>
      <c r="E4946" s="164" t="n">
        <v>20000</v>
      </c>
      <c r="F4946" s="165" t="s">
        <v>3060</v>
      </c>
    </row>
    <row r="4947" customFormat="false" ht="15" hidden="false" customHeight="true" outlineLevel="0" collapsed="false">
      <c r="A4947" s="163" t="s">
        <v>3028</v>
      </c>
      <c r="B4947" s="163" t="s">
        <v>1743</v>
      </c>
      <c r="C4947" s="163" t="s">
        <v>3567</v>
      </c>
      <c r="D4947" s="163" t="s">
        <v>3568</v>
      </c>
      <c r="E4947" s="164" t="n">
        <v>15000</v>
      </c>
      <c r="F4947" s="165" t="s">
        <v>3060</v>
      </c>
    </row>
    <row r="4948" customFormat="false" ht="15" hidden="false" customHeight="true" outlineLevel="0" collapsed="false">
      <c r="A4948" s="163" t="s">
        <v>3028</v>
      </c>
      <c r="B4948" s="163" t="s">
        <v>1743</v>
      </c>
      <c r="C4948" s="163" t="s">
        <v>4020</v>
      </c>
      <c r="D4948" s="163" t="s">
        <v>4021</v>
      </c>
      <c r="E4948" s="164" t="n">
        <v>15000</v>
      </c>
      <c r="F4948" s="165" t="s">
        <v>3060</v>
      </c>
    </row>
    <row r="4949" customFormat="false" ht="15" hidden="false" customHeight="true" outlineLevel="0" collapsed="false">
      <c r="A4949" s="163" t="s">
        <v>3028</v>
      </c>
      <c r="B4949" s="163" t="s">
        <v>1743</v>
      </c>
      <c r="C4949" s="163" t="s">
        <v>230</v>
      </c>
      <c r="D4949" s="163" t="s">
        <v>2077</v>
      </c>
      <c r="E4949" s="164" t="n">
        <v>10000</v>
      </c>
      <c r="F4949" s="165" t="s">
        <v>3060</v>
      </c>
    </row>
    <row r="4950" customFormat="false" ht="15" hidden="false" customHeight="true" outlineLevel="0" collapsed="false">
      <c r="A4950" s="163" t="s">
        <v>3028</v>
      </c>
      <c r="B4950" s="163" t="s">
        <v>928</v>
      </c>
      <c r="C4950" s="163" t="s">
        <v>4005</v>
      </c>
      <c r="D4950" s="163" t="s">
        <v>4006</v>
      </c>
      <c r="E4950" s="164" t="n">
        <v>80000</v>
      </c>
      <c r="F4950" s="165" t="s">
        <v>8852</v>
      </c>
    </row>
    <row r="4951" customFormat="false" ht="15" hidden="false" customHeight="true" outlineLevel="0" collapsed="false">
      <c r="A4951" s="163" t="s">
        <v>3028</v>
      </c>
      <c r="B4951" s="163" t="s">
        <v>928</v>
      </c>
      <c r="C4951" s="163" t="s">
        <v>8920</v>
      </c>
      <c r="D4951" s="163" t="s">
        <v>8921</v>
      </c>
      <c r="E4951" s="164" t="n">
        <v>15000</v>
      </c>
      <c r="F4951" s="165" t="s">
        <v>8922</v>
      </c>
    </row>
    <row r="4952" customFormat="false" ht="15" hidden="false" customHeight="true" outlineLevel="0" collapsed="false">
      <c r="A4952" s="163" t="s">
        <v>3028</v>
      </c>
      <c r="B4952" s="163" t="s">
        <v>928</v>
      </c>
      <c r="C4952" s="163" t="s">
        <v>8863</v>
      </c>
      <c r="D4952" s="163" t="s">
        <v>8864</v>
      </c>
      <c r="E4952" s="164" t="n">
        <v>10000</v>
      </c>
      <c r="F4952" s="165" t="s">
        <v>8923</v>
      </c>
    </row>
    <row r="4953" customFormat="false" ht="15" hidden="false" customHeight="true" outlineLevel="0" collapsed="false">
      <c r="A4953" s="163" t="s">
        <v>3028</v>
      </c>
      <c r="B4953" s="163" t="s">
        <v>928</v>
      </c>
      <c r="C4953" s="163" t="s">
        <v>4047</v>
      </c>
      <c r="D4953" s="163" t="s">
        <v>4048</v>
      </c>
      <c r="E4953" s="164" t="n">
        <v>10000</v>
      </c>
      <c r="F4953" s="165" t="s">
        <v>8924</v>
      </c>
    </row>
    <row r="4954" customFormat="false" ht="15" hidden="false" customHeight="true" outlineLevel="0" collapsed="false">
      <c r="A4954" s="163" t="s">
        <v>3028</v>
      </c>
      <c r="B4954" s="163" t="s">
        <v>928</v>
      </c>
      <c r="C4954" s="163" t="s">
        <v>7742</v>
      </c>
      <c r="D4954" s="163" t="s">
        <v>7743</v>
      </c>
      <c r="E4954" s="164" t="n">
        <v>5000</v>
      </c>
      <c r="F4954" s="165" t="s">
        <v>8857</v>
      </c>
    </row>
    <row r="4955" customFormat="false" ht="15" hidden="false" customHeight="true" outlineLevel="0" collapsed="false">
      <c r="A4955" s="163" t="s">
        <v>3028</v>
      </c>
      <c r="B4955" s="163" t="s">
        <v>928</v>
      </c>
      <c r="C4955" s="163" t="s">
        <v>7153</v>
      </c>
      <c r="D4955" s="163" t="s">
        <v>7154</v>
      </c>
      <c r="E4955" s="164" t="n">
        <v>5000</v>
      </c>
      <c r="F4955" s="165" t="s">
        <v>8852</v>
      </c>
    </row>
    <row r="4956" customFormat="false" ht="15" hidden="false" customHeight="true" outlineLevel="0" collapsed="false">
      <c r="A4956" s="163" t="s">
        <v>3028</v>
      </c>
      <c r="B4956" s="163" t="s">
        <v>928</v>
      </c>
      <c r="C4956" s="163" t="s">
        <v>3317</v>
      </c>
      <c r="D4956" s="163" t="s">
        <v>3318</v>
      </c>
      <c r="E4956" s="164" t="n">
        <v>5000</v>
      </c>
      <c r="F4956" s="165" t="s">
        <v>8848</v>
      </c>
    </row>
    <row r="4957" customFormat="false" ht="15" hidden="false" customHeight="true" outlineLevel="0" collapsed="false">
      <c r="A4957" s="163" t="s">
        <v>3028</v>
      </c>
      <c r="B4957" s="163" t="s">
        <v>928</v>
      </c>
      <c r="C4957" s="163" t="s">
        <v>2953</v>
      </c>
      <c r="D4957" s="163" t="s">
        <v>2954</v>
      </c>
      <c r="E4957" s="164" t="n">
        <v>5000</v>
      </c>
      <c r="F4957" s="165" t="s">
        <v>8925</v>
      </c>
    </row>
    <row r="4958" customFormat="false" ht="15" hidden="false" customHeight="true" outlineLevel="0" collapsed="false">
      <c r="A4958" s="163" t="s">
        <v>3028</v>
      </c>
      <c r="B4958" s="163" t="s">
        <v>928</v>
      </c>
      <c r="C4958" s="163" t="s">
        <v>2780</v>
      </c>
      <c r="D4958" s="163" t="s">
        <v>2429</v>
      </c>
      <c r="E4958" s="164" t="n">
        <v>5000</v>
      </c>
      <c r="F4958" s="165" t="s">
        <v>8848</v>
      </c>
    </row>
    <row r="4959" customFormat="false" ht="15" hidden="false" customHeight="true" outlineLevel="0" collapsed="false">
      <c r="A4959" s="163" t="s">
        <v>3028</v>
      </c>
      <c r="B4959" s="163" t="s">
        <v>928</v>
      </c>
      <c r="C4959" s="163" t="s">
        <v>7226</v>
      </c>
      <c r="D4959" s="163" t="s">
        <v>7227</v>
      </c>
      <c r="E4959" s="164" t="n">
        <v>5000</v>
      </c>
      <c r="F4959" s="165" t="s">
        <v>8848</v>
      </c>
    </row>
    <row r="4960" customFormat="false" ht="15" hidden="false" customHeight="true" outlineLevel="0" collapsed="false">
      <c r="A4960" s="163" t="s">
        <v>3028</v>
      </c>
      <c r="B4960" s="163" t="s">
        <v>928</v>
      </c>
      <c r="C4960" s="163" t="s">
        <v>4777</v>
      </c>
      <c r="D4960" s="163" t="s">
        <v>4778</v>
      </c>
      <c r="E4960" s="164" t="n">
        <v>5000</v>
      </c>
      <c r="F4960" s="165" t="s">
        <v>3060</v>
      </c>
    </row>
    <row r="4961" customFormat="false" ht="15" hidden="false" customHeight="true" outlineLevel="0" collapsed="false">
      <c r="A4961" s="163" t="s">
        <v>3019</v>
      </c>
      <c r="B4961" s="163" t="s">
        <v>926</v>
      </c>
      <c r="C4961" s="163" t="s">
        <v>2759</v>
      </c>
      <c r="D4961" s="163" t="s">
        <v>2760</v>
      </c>
      <c r="E4961" s="164" t="n">
        <v>100000</v>
      </c>
      <c r="F4961" s="165" t="s">
        <v>8926</v>
      </c>
    </row>
    <row r="4962" customFormat="false" ht="15" hidden="false" customHeight="true" outlineLevel="0" collapsed="false">
      <c r="A4962" s="163" t="s">
        <v>3019</v>
      </c>
      <c r="B4962" s="163" t="s">
        <v>957</v>
      </c>
      <c r="C4962" s="163" t="s">
        <v>4260</v>
      </c>
      <c r="D4962" s="163" t="s">
        <v>4261</v>
      </c>
      <c r="E4962" s="164" t="n">
        <v>50000</v>
      </c>
      <c r="F4962" s="165" t="s">
        <v>8927</v>
      </c>
    </row>
    <row r="4963" customFormat="false" ht="15" hidden="false" customHeight="true" outlineLevel="0" collapsed="false">
      <c r="A4963" s="163" t="s">
        <v>3019</v>
      </c>
      <c r="B4963" s="163" t="s">
        <v>957</v>
      </c>
      <c r="C4963" s="163" t="s">
        <v>6692</v>
      </c>
      <c r="D4963" s="163" t="s">
        <v>6693</v>
      </c>
      <c r="E4963" s="164" t="n">
        <v>25000</v>
      </c>
      <c r="F4963" s="165" t="s">
        <v>8928</v>
      </c>
    </row>
    <row r="4964" customFormat="false" ht="15" hidden="false" customHeight="true" outlineLevel="0" collapsed="false">
      <c r="A4964" s="163" t="s">
        <v>3019</v>
      </c>
      <c r="B4964" s="163" t="s">
        <v>957</v>
      </c>
      <c r="C4964" s="163" t="s">
        <v>6692</v>
      </c>
      <c r="D4964" s="163" t="s">
        <v>6693</v>
      </c>
      <c r="E4964" s="164" t="n">
        <v>15000</v>
      </c>
      <c r="F4964" s="165" t="s">
        <v>8929</v>
      </c>
    </row>
    <row r="4965" customFormat="false" ht="15" hidden="false" customHeight="true" outlineLevel="0" collapsed="false">
      <c r="A4965" s="163" t="s">
        <v>3019</v>
      </c>
      <c r="B4965" s="163" t="s">
        <v>957</v>
      </c>
      <c r="C4965" s="163" t="s">
        <v>6851</v>
      </c>
      <c r="D4965" s="163" t="s">
        <v>6852</v>
      </c>
      <c r="E4965" s="164" t="n">
        <v>10000</v>
      </c>
      <c r="F4965" s="165" t="s">
        <v>8930</v>
      </c>
    </row>
    <row r="4966" customFormat="false" ht="15" hidden="false" customHeight="true" outlineLevel="0" collapsed="false">
      <c r="A4966" s="163" t="s">
        <v>3019</v>
      </c>
      <c r="B4966" s="163" t="s">
        <v>957</v>
      </c>
      <c r="C4966" s="163" t="s">
        <v>6692</v>
      </c>
      <c r="D4966" s="163" t="s">
        <v>6693</v>
      </c>
      <c r="E4966" s="164" t="n">
        <v>10000</v>
      </c>
      <c r="F4966" s="165" t="s">
        <v>8931</v>
      </c>
    </row>
    <row r="4967" customFormat="false" ht="15" hidden="false" customHeight="true" outlineLevel="0" collapsed="false">
      <c r="A4967" s="163" t="s">
        <v>3019</v>
      </c>
      <c r="B4967" s="163" t="s">
        <v>945</v>
      </c>
      <c r="C4967" s="163" t="s">
        <v>8932</v>
      </c>
      <c r="D4967" s="163" t="s">
        <v>8933</v>
      </c>
      <c r="E4967" s="164" t="n">
        <v>15000</v>
      </c>
      <c r="F4967" s="165" t="s">
        <v>8934</v>
      </c>
    </row>
    <row r="4968" customFormat="false" ht="15" hidden="false" customHeight="true" outlineLevel="0" collapsed="false">
      <c r="A4968" s="163" t="s">
        <v>3019</v>
      </c>
      <c r="B4968" s="163" t="s">
        <v>945</v>
      </c>
      <c r="C4968" s="163" t="s">
        <v>6680</v>
      </c>
      <c r="D4968" s="163" t="s">
        <v>6681</v>
      </c>
      <c r="E4968" s="164" t="n">
        <v>15000</v>
      </c>
      <c r="F4968" s="165" t="s">
        <v>8935</v>
      </c>
    </row>
    <row r="4969" customFormat="false" ht="15" hidden="false" customHeight="true" outlineLevel="0" collapsed="false">
      <c r="A4969" s="163" t="s">
        <v>3019</v>
      </c>
      <c r="B4969" s="163" t="s">
        <v>945</v>
      </c>
      <c r="C4969" s="163" t="s">
        <v>7413</v>
      </c>
      <c r="D4969" s="163" t="s">
        <v>7414</v>
      </c>
      <c r="E4969" s="164" t="n">
        <v>10000</v>
      </c>
      <c r="F4969" s="165" t="s">
        <v>8936</v>
      </c>
    </row>
    <row r="4970" customFormat="false" ht="15" hidden="false" customHeight="true" outlineLevel="0" collapsed="false">
      <c r="A4970" s="163" t="s">
        <v>3019</v>
      </c>
      <c r="B4970" s="163" t="s">
        <v>945</v>
      </c>
      <c r="C4970" s="163" t="s">
        <v>3980</v>
      </c>
      <c r="D4970" s="163" t="s">
        <v>3981</v>
      </c>
      <c r="E4970" s="164" t="n">
        <v>10000</v>
      </c>
      <c r="F4970" s="165" t="s">
        <v>8937</v>
      </c>
    </row>
    <row r="4971" customFormat="false" ht="15" hidden="false" customHeight="true" outlineLevel="0" collapsed="false">
      <c r="A4971" s="163" t="s">
        <v>3019</v>
      </c>
      <c r="B4971" s="163" t="s">
        <v>945</v>
      </c>
      <c r="C4971" s="163" t="s">
        <v>3790</v>
      </c>
      <c r="D4971" s="163" t="s">
        <v>3791</v>
      </c>
      <c r="E4971" s="164" t="n">
        <v>10000</v>
      </c>
      <c r="F4971" s="165" t="s">
        <v>8938</v>
      </c>
    </row>
    <row r="4972" customFormat="false" ht="15" hidden="false" customHeight="true" outlineLevel="0" collapsed="false">
      <c r="A4972" s="163" t="s">
        <v>3019</v>
      </c>
      <c r="B4972" s="163" t="s">
        <v>945</v>
      </c>
      <c r="C4972" s="163" t="s">
        <v>3492</v>
      </c>
      <c r="D4972" s="163" t="s">
        <v>3493</v>
      </c>
      <c r="E4972" s="164" t="n">
        <v>5000</v>
      </c>
      <c r="F4972" s="165" t="s">
        <v>8939</v>
      </c>
    </row>
    <row r="4973" customFormat="false" ht="15" hidden="false" customHeight="true" outlineLevel="0" collapsed="false">
      <c r="A4973" s="163" t="s">
        <v>3019</v>
      </c>
      <c r="B4973" s="163" t="s">
        <v>945</v>
      </c>
      <c r="C4973" s="163" t="s">
        <v>4995</v>
      </c>
      <c r="D4973" s="163" t="s">
        <v>4996</v>
      </c>
      <c r="E4973" s="164" t="n">
        <v>5000</v>
      </c>
      <c r="F4973" s="165" t="s">
        <v>8940</v>
      </c>
    </row>
    <row r="4974" customFormat="false" ht="15" hidden="false" customHeight="true" outlineLevel="0" collapsed="false">
      <c r="A4974" s="163" t="s">
        <v>3019</v>
      </c>
      <c r="B4974" s="163" t="s">
        <v>945</v>
      </c>
      <c r="C4974" s="163" t="s">
        <v>3786</v>
      </c>
      <c r="D4974" s="163" t="s">
        <v>3787</v>
      </c>
      <c r="E4974" s="164" t="n">
        <v>5000</v>
      </c>
      <c r="F4974" s="165" t="s">
        <v>8941</v>
      </c>
    </row>
    <row r="4975" customFormat="false" ht="15" hidden="false" customHeight="true" outlineLevel="0" collapsed="false">
      <c r="A4975" s="163" t="s">
        <v>3019</v>
      </c>
      <c r="B4975" s="163" t="s">
        <v>3111</v>
      </c>
      <c r="C4975" s="163" t="s">
        <v>4047</v>
      </c>
      <c r="D4975" s="163" t="s">
        <v>4048</v>
      </c>
      <c r="E4975" s="164" t="n">
        <v>30000</v>
      </c>
      <c r="F4975" s="165" t="s">
        <v>8942</v>
      </c>
    </row>
    <row r="4976" customFormat="false" ht="15" hidden="false" customHeight="true" outlineLevel="0" collapsed="false">
      <c r="A4976" s="163" t="s">
        <v>3019</v>
      </c>
      <c r="B4976" s="163" t="s">
        <v>3111</v>
      </c>
      <c r="C4976" s="163" t="s">
        <v>4180</v>
      </c>
      <c r="D4976" s="163" t="s">
        <v>4181</v>
      </c>
      <c r="E4976" s="164" t="n">
        <v>25000</v>
      </c>
      <c r="F4976" s="165" t="s">
        <v>8943</v>
      </c>
    </row>
    <row r="4977" customFormat="false" ht="15" hidden="false" customHeight="true" outlineLevel="0" collapsed="false">
      <c r="A4977" s="163" t="s">
        <v>3019</v>
      </c>
      <c r="B4977" s="163" t="s">
        <v>3111</v>
      </c>
      <c r="C4977" s="163" t="s">
        <v>8944</v>
      </c>
      <c r="D4977" s="163" t="s">
        <v>8945</v>
      </c>
      <c r="E4977" s="164" t="n">
        <v>20000</v>
      </c>
      <c r="F4977" s="165" t="s">
        <v>8946</v>
      </c>
    </row>
    <row r="4978" customFormat="false" ht="15" hidden="false" customHeight="true" outlineLevel="0" collapsed="false">
      <c r="A4978" s="163" t="s">
        <v>3019</v>
      </c>
      <c r="B4978" s="163" t="s">
        <v>3111</v>
      </c>
      <c r="C4978" s="163" t="s">
        <v>4076</v>
      </c>
      <c r="D4978" s="163" t="s">
        <v>4077</v>
      </c>
      <c r="E4978" s="164" t="n">
        <v>15000</v>
      </c>
      <c r="F4978" s="165" t="s">
        <v>8947</v>
      </c>
    </row>
    <row r="4979" customFormat="false" ht="15" hidden="false" customHeight="true" outlineLevel="0" collapsed="false">
      <c r="A4979" s="163" t="s">
        <v>3019</v>
      </c>
      <c r="B4979" s="163" t="s">
        <v>3111</v>
      </c>
      <c r="C4979" s="163" t="s">
        <v>8948</v>
      </c>
      <c r="D4979" s="163" t="s">
        <v>8949</v>
      </c>
      <c r="E4979" s="164" t="n">
        <v>10000</v>
      </c>
      <c r="F4979" s="165" t="s">
        <v>8950</v>
      </c>
    </row>
    <row r="4980" customFormat="false" ht="15" hidden="false" customHeight="true" outlineLevel="0" collapsed="false">
      <c r="A4980" s="163" t="s">
        <v>3019</v>
      </c>
      <c r="B4980" s="163" t="s">
        <v>1938</v>
      </c>
      <c r="C4980" s="163" t="s">
        <v>8951</v>
      </c>
      <c r="D4980" s="163" t="s">
        <v>1931</v>
      </c>
      <c r="E4980" s="164" t="n">
        <v>340000</v>
      </c>
      <c r="F4980" s="165" t="s">
        <v>8952</v>
      </c>
    </row>
    <row r="4981" customFormat="false" ht="15" hidden="false" customHeight="true" outlineLevel="0" collapsed="false">
      <c r="A4981" s="163" t="s">
        <v>3019</v>
      </c>
      <c r="B4981" s="163" t="s">
        <v>691</v>
      </c>
      <c r="C4981" s="163" t="s">
        <v>8951</v>
      </c>
      <c r="D4981" s="163" t="s">
        <v>1931</v>
      </c>
      <c r="E4981" s="164" t="n">
        <v>145000</v>
      </c>
      <c r="F4981" s="165" t="s">
        <v>8953</v>
      </c>
    </row>
    <row r="4982" customFormat="false" ht="15" hidden="false" customHeight="true" outlineLevel="0" collapsed="false">
      <c r="A4982" s="163" t="s">
        <v>3019</v>
      </c>
      <c r="B4982" s="163" t="s">
        <v>2027</v>
      </c>
      <c r="C4982" s="163" t="s">
        <v>8951</v>
      </c>
      <c r="D4982" s="163" t="s">
        <v>1931</v>
      </c>
      <c r="E4982" s="164" t="n">
        <v>60000</v>
      </c>
      <c r="F4982" s="165" t="s">
        <v>8953</v>
      </c>
    </row>
    <row r="4983" customFormat="false" ht="15" hidden="false" customHeight="true" outlineLevel="0" collapsed="false">
      <c r="A4983" s="163" t="s">
        <v>3019</v>
      </c>
      <c r="B4983" s="163" t="s">
        <v>2027</v>
      </c>
      <c r="C4983" s="163" t="s">
        <v>2167</v>
      </c>
      <c r="D4983" s="163" t="s">
        <v>1931</v>
      </c>
      <c r="E4983" s="164" t="n">
        <v>30000</v>
      </c>
      <c r="F4983" s="165" t="s">
        <v>8953</v>
      </c>
    </row>
    <row r="4984" customFormat="false" ht="15" hidden="false" customHeight="true" outlineLevel="0" collapsed="false">
      <c r="A4984" s="163" t="s">
        <v>3019</v>
      </c>
      <c r="B4984" s="163" t="s">
        <v>2037</v>
      </c>
      <c r="C4984" s="163" t="s">
        <v>6743</v>
      </c>
      <c r="D4984" s="163" t="s">
        <v>6744</v>
      </c>
      <c r="E4984" s="164" t="n">
        <v>50000</v>
      </c>
      <c r="F4984" s="165" t="s">
        <v>8954</v>
      </c>
    </row>
    <row r="4985" customFormat="false" ht="15" hidden="false" customHeight="true" outlineLevel="0" collapsed="false">
      <c r="A4985" s="163" t="s">
        <v>3019</v>
      </c>
      <c r="B4985" s="163" t="s">
        <v>2037</v>
      </c>
      <c r="C4985" s="163" t="s">
        <v>4121</v>
      </c>
      <c r="D4985" s="163" t="s">
        <v>4122</v>
      </c>
      <c r="E4985" s="164" t="n">
        <v>35000</v>
      </c>
      <c r="F4985" s="165" t="s">
        <v>8955</v>
      </c>
    </row>
    <row r="4986" customFormat="false" ht="15" hidden="false" customHeight="true" outlineLevel="0" collapsed="false">
      <c r="A4986" s="163" t="s">
        <v>3019</v>
      </c>
      <c r="B4986" s="163" t="s">
        <v>2037</v>
      </c>
      <c r="C4986" s="163" t="s">
        <v>372</v>
      </c>
      <c r="D4986" s="163" t="s">
        <v>2692</v>
      </c>
      <c r="E4986" s="164" t="n">
        <v>25000</v>
      </c>
      <c r="F4986" s="165" t="s">
        <v>8956</v>
      </c>
    </row>
    <row r="4987" customFormat="false" ht="15" hidden="false" customHeight="true" outlineLevel="0" collapsed="false">
      <c r="A4987" s="163" t="s">
        <v>3019</v>
      </c>
      <c r="B4987" s="163" t="s">
        <v>2037</v>
      </c>
      <c r="C4987" s="163" t="s">
        <v>8957</v>
      </c>
      <c r="D4987" s="163" t="s">
        <v>1931</v>
      </c>
      <c r="E4987" s="164" t="n">
        <v>20000</v>
      </c>
      <c r="F4987" s="165" t="s">
        <v>8958</v>
      </c>
    </row>
    <row r="4988" customFormat="false" ht="15" hidden="false" customHeight="true" outlineLevel="0" collapsed="false">
      <c r="A4988" s="163" t="s">
        <v>3019</v>
      </c>
      <c r="B4988" s="163" t="s">
        <v>2037</v>
      </c>
      <c r="C4988" s="163" t="s">
        <v>4076</v>
      </c>
      <c r="D4988" s="163" t="s">
        <v>4077</v>
      </c>
      <c r="E4988" s="164" t="n">
        <v>20000</v>
      </c>
      <c r="F4988" s="165" t="s">
        <v>8959</v>
      </c>
    </row>
    <row r="4989" customFormat="false" ht="15" hidden="false" customHeight="true" outlineLevel="0" collapsed="false">
      <c r="A4989" s="163" t="s">
        <v>3019</v>
      </c>
      <c r="B4989" s="163" t="s">
        <v>2037</v>
      </c>
      <c r="C4989" s="163" t="s">
        <v>8960</v>
      </c>
      <c r="D4989" s="163" t="s">
        <v>8961</v>
      </c>
      <c r="E4989" s="164" t="n">
        <v>15000</v>
      </c>
      <c r="F4989" s="165" t="s">
        <v>8962</v>
      </c>
    </row>
    <row r="4990" customFormat="false" ht="15" hidden="false" customHeight="true" outlineLevel="0" collapsed="false">
      <c r="A4990" s="163" t="s">
        <v>3019</v>
      </c>
      <c r="B4990" s="163" t="s">
        <v>2037</v>
      </c>
      <c r="C4990" s="163" t="s">
        <v>3451</v>
      </c>
      <c r="D4990" s="163" t="s">
        <v>3452</v>
      </c>
      <c r="E4990" s="164" t="n">
        <v>10000</v>
      </c>
      <c r="F4990" s="165" t="s">
        <v>8963</v>
      </c>
    </row>
    <row r="4991" customFormat="false" ht="15" hidden="false" customHeight="true" outlineLevel="0" collapsed="false">
      <c r="A4991" s="163" t="s">
        <v>3019</v>
      </c>
      <c r="B4991" s="163" t="s">
        <v>2037</v>
      </c>
      <c r="C4991" s="163" t="s">
        <v>240</v>
      </c>
      <c r="D4991" s="163" t="s">
        <v>2418</v>
      </c>
      <c r="E4991" s="164" t="n">
        <v>10000</v>
      </c>
      <c r="F4991" s="165" t="s">
        <v>8964</v>
      </c>
    </row>
    <row r="4992" customFormat="false" ht="15" hidden="false" customHeight="true" outlineLevel="0" collapsed="false">
      <c r="A4992" s="163" t="s">
        <v>3019</v>
      </c>
      <c r="B4992" s="163" t="s">
        <v>2037</v>
      </c>
      <c r="C4992" s="163" t="s">
        <v>7299</v>
      </c>
      <c r="D4992" s="163" t="s">
        <v>7300</v>
      </c>
      <c r="E4992" s="164" t="n">
        <v>10000</v>
      </c>
      <c r="F4992" s="165" t="s">
        <v>8965</v>
      </c>
    </row>
    <row r="4993" customFormat="false" ht="15" hidden="false" customHeight="true" outlineLevel="0" collapsed="false">
      <c r="A4993" s="163" t="s">
        <v>3019</v>
      </c>
      <c r="B4993" s="163" t="s">
        <v>2037</v>
      </c>
      <c r="C4993" s="163" t="s">
        <v>7287</v>
      </c>
      <c r="D4993" s="163" t="s">
        <v>7288</v>
      </c>
      <c r="E4993" s="164" t="n">
        <v>10000</v>
      </c>
      <c r="F4993" s="165" t="s">
        <v>7289</v>
      </c>
    </row>
    <row r="4994" customFormat="false" ht="15" hidden="false" customHeight="true" outlineLevel="0" collapsed="false">
      <c r="A4994" s="163" t="s">
        <v>3019</v>
      </c>
      <c r="B4994" s="163" t="s">
        <v>2037</v>
      </c>
      <c r="C4994" s="163" t="s">
        <v>8966</v>
      </c>
      <c r="D4994" s="163" t="s">
        <v>1931</v>
      </c>
      <c r="E4994" s="164" t="n">
        <v>10000</v>
      </c>
      <c r="F4994" s="165" t="s">
        <v>8967</v>
      </c>
    </row>
    <row r="4995" customFormat="false" ht="15" hidden="false" customHeight="true" outlineLevel="0" collapsed="false">
      <c r="A4995" s="163" t="s">
        <v>3019</v>
      </c>
      <c r="B4995" s="163" t="s">
        <v>2037</v>
      </c>
      <c r="C4995" s="163" t="s">
        <v>3170</v>
      </c>
      <c r="D4995" s="163" t="s">
        <v>3171</v>
      </c>
      <c r="E4995" s="164" t="n">
        <v>5000</v>
      </c>
      <c r="F4995" s="165" t="s">
        <v>8968</v>
      </c>
    </row>
    <row r="4996" customFormat="false" ht="15" hidden="false" customHeight="true" outlineLevel="0" collapsed="false">
      <c r="A4996" s="163" t="s">
        <v>3019</v>
      </c>
      <c r="B4996" s="163" t="s">
        <v>2037</v>
      </c>
      <c r="C4996" s="163" t="s">
        <v>4081</v>
      </c>
      <c r="D4996" s="163" t="s">
        <v>4082</v>
      </c>
      <c r="E4996" s="164" t="n">
        <v>5000</v>
      </c>
      <c r="F4996" s="165" t="s">
        <v>8969</v>
      </c>
    </row>
    <row r="4997" customFormat="false" ht="15" hidden="false" customHeight="true" outlineLevel="0" collapsed="false">
      <c r="A4997" s="163" t="s">
        <v>3019</v>
      </c>
      <c r="B4997" s="163" t="s">
        <v>894</v>
      </c>
      <c r="C4997" s="163" t="s">
        <v>2759</v>
      </c>
      <c r="D4997" s="163" t="s">
        <v>2760</v>
      </c>
      <c r="E4997" s="164" t="n">
        <v>50000</v>
      </c>
      <c r="F4997" s="165" t="s">
        <v>8926</v>
      </c>
    </row>
    <row r="4998" customFormat="false" ht="15" hidden="false" customHeight="true" outlineLevel="0" collapsed="false">
      <c r="A4998" s="163" t="s">
        <v>3019</v>
      </c>
      <c r="B4998" s="163" t="s">
        <v>894</v>
      </c>
      <c r="C4998" s="163" t="s">
        <v>7070</v>
      </c>
      <c r="D4998" s="163" t="s">
        <v>7071</v>
      </c>
      <c r="E4998" s="164" t="n">
        <v>40000</v>
      </c>
      <c r="F4998" s="165" t="s">
        <v>8970</v>
      </c>
    </row>
    <row r="4999" customFormat="false" ht="15" hidden="false" customHeight="true" outlineLevel="0" collapsed="false">
      <c r="A4999" s="163" t="s">
        <v>3019</v>
      </c>
      <c r="B4999" s="163" t="s">
        <v>894</v>
      </c>
      <c r="C4999" s="163" t="s">
        <v>3998</v>
      </c>
      <c r="D4999" s="163" t="s">
        <v>3999</v>
      </c>
      <c r="E4999" s="164" t="n">
        <v>40000</v>
      </c>
      <c r="F4999" s="165" t="s">
        <v>8971</v>
      </c>
    </row>
    <row r="5000" customFormat="false" ht="15" hidden="false" customHeight="true" outlineLevel="0" collapsed="false">
      <c r="A5000" s="163" t="s">
        <v>3019</v>
      </c>
      <c r="B5000" s="163" t="s">
        <v>894</v>
      </c>
      <c r="C5000" s="163" t="s">
        <v>4145</v>
      </c>
      <c r="D5000" s="163" t="s">
        <v>4146</v>
      </c>
      <c r="E5000" s="164" t="n">
        <v>35000</v>
      </c>
      <c r="F5000" s="165" t="s">
        <v>8970</v>
      </c>
    </row>
    <row r="5001" customFormat="false" ht="15" hidden="false" customHeight="true" outlineLevel="0" collapsed="false">
      <c r="A5001" s="163" t="s">
        <v>3019</v>
      </c>
      <c r="B5001" s="163" t="s">
        <v>894</v>
      </c>
      <c r="C5001" s="163" t="s">
        <v>8972</v>
      </c>
      <c r="D5001" s="163" t="s">
        <v>8973</v>
      </c>
      <c r="E5001" s="164" t="n">
        <v>30000</v>
      </c>
      <c r="F5001" s="165" t="s">
        <v>8974</v>
      </c>
    </row>
    <row r="5002" customFormat="false" ht="15" hidden="false" customHeight="true" outlineLevel="0" collapsed="false">
      <c r="A5002" s="163" t="s">
        <v>3019</v>
      </c>
      <c r="B5002" s="163" t="s">
        <v>894</v>
      </c>
      <c r="C5002" s="163" t="s">
        <v>4874</v>
      </c>
      <c r="D5002" s="163" t="s">
        <v>4875</v>
      </c>
      <c r="E5002" s="164" t="n">
        <v>25000</v>
      </c>
      <c r="F5002" s="165" t="s">
        <v>8975</v>
      </c>
    </row>
    <row r="5003" customFormat="false" ht="15" hidden="false" customHeight="true" outlineLevel="0" collapsed="false">
      <c r="A5003" s="163" t="s">
        <v>3019</v>
      </c>
      <c r="B5003" s="163" t="s">
        <v>894</v>
      </c>
      <c r="C5003" s="163" t="s">
        <v>6692</v>
      </c>
      <c r="D5003" s="163" t="s">
        <v>6693</v>
      </c>
      <c r="E5003" s="164" t="n">
        <v>25000</v>
      </c>
      <c r="F5003" s="165" t="s">
        <v>8976</v>
      </c>
    </row>
    <row r="5004" customFormat="false" ht="15" hidden="false" customHeight="true" outlineLevel="0" collapsed="false">
      <c r="A5004" s="163" t="s">
        <v>3019</v>
      </c>
      <c r="B5004" s="163" t="s">
        <v>894</v>
      </c>
      <c r="C5004" s="163" t="s">
        <v>4808</v>
      </c>
      <c r="D5004" s="163" t="s">
        <v>4809</v>
      </c>
      <c r="E5004" s="164" t="n">
        <v>23000</v>
      </c>
      <c r="F5004" s="165" t="s">
        <v>8977</v>
      </c>
    </row>
    <row r="5005" customFormat="false" ht="15" hidden="false" customHeight="true" outlineLevel="0" collapsed="false">
      <c r="A5005" s="163" t="s">
        <v>3019</v>
      </c>
      <c r="B5005" s="163" t="s">
        <v>894</v>
      </c>
      <c r="C5005" s="163" t="s">
        <v>8978</v>
      </c>
      <c r="D5005" s="163" t="s">
        <v>8979</v>
      </c>
      <c r="E5005" s="164" t="n">
        <v>15000</v>
      </c>
      <c r="F5005" s="165" t="s">
        <v>8936</v>
      </c>
    </row>
    <row r="5006" customFormat="false" ht="15" hidden="false" customHeight="true" outlineLevel="0" collapsed="false">
      <c r="A5006" s="163" t="s">
        <v>3019</v>
      </c>
      <c r="B5006" s="163" t="s">
        <v>894</v>
      </c>
      <c r="C5006" s="163" t="s">
        <v>6868</v>
      </c>
      <c r="D5006" s="163" t="s">
        <v>6869</v>
      </c>
      <c r="E5006" s="164" t="n">
        <v>15000</v>
      </c>
      <c r="F5006" s="165" t="s">
        <v>8980</v>
      </c>
    </row>
    <row r="5007" customFormat="false" ht="15" hidden="false" customHeight="true" outlineLevel="0" collapsed="false">
      <c r="A5007" s="163" t="s">
        <v>3019</v>
      </c>
      <c r="B5007" s="163" t="s">
        <v>894</v>
      </c>
      <c r="C5007" s="163" t="s">
        <v>8981</v>
      </c>
      <c r="D5007" s="163" t="s">
        <v>8982</v>
      </c>
      <c r="E5007" s="164" t="n">
        <v>10000</v>
      </c>
      <c r="F5007" s="165" t="s">
        <v>8983</v>
      </c>
    </row>
    <row r="5008" customFormat="false" ht="15" hidden="false" customHeight="true" outlineLevel="0" collapsed="false">
      <c r="A5008" s="163" t="s">
        <v>3019</v>
      </c>
      <c r="B5008" s="163" t="s">
        <v>894</v>
      </c>
      <c r="C5008" s="163" t="s">
        <v>6785</v>
      </c>
      <c r="D5008" s="163" t="s">
        <v>6786</v>
      </c>
      <c r="E5008" s="164" t="n">
        <v>10000</v>
      </c>
      <c r="F5008" s="165" t="s">
        <v>8984</v>
      </c>
    </row>
    <row r="5009" customFormat="false" ht="15" hidden="false" customHeight="true" outlineLevel="0" collapsed="false">
      <c r="A5009" s="163" t="s">
        <v>3019</v>
      </c>
      <c r="B5009" s="163" t="s">
        <v>894</v>
      </c>
      <c r="C5009" s="163" t="s">
        <v>8985</v>
      </c>
      <c r="D5009" s="163" t="s">
        <v>8986</v>
      </c>
      <c r="E5009" s="164" t="n">
        <v>10000</v>
      </c>
      <c r="F5009" s="165" t="s">
        <v>8987</v>
      </c>
    </row>
    <row r="5010" customFormat="false" ht="15" hidden="false" customHeight="true" outlineLevel="0" collapsed="false">
      <c r="A5010" s="163" t="s">
        <v>3019</v>
      </c>
      <c r="B5010" s="163" t="s">
        <v>894</v>
      </c>
      <c r="C5010" s="163" t="s">
        <v>6692</v>
      </c>
      <c r="D5010" s="163" t="s">
        <v>6693</v>
      </c>
      <c r="E5010" s="164" t="n">
        <v>10000</v>
      </c>
      <c r="F5010" s="165" t="s">
        <v>8988</v>
      </c>
    </row>
    <row r="5011" customFormat="false" ht="15" hidden="false" customHeight="true" outlineLevel="0" collapsed="false">
      <c r="A5011" s="163" t="s">
        <v>3019</v>
      </c>
      <c r="B5011" s="163" t="s">
        <v>894</v>
      </c>
      <c r="C5011" s="163" t="s">
        <v>1233</v>
      </c>
      <c r="D5011" s="163" t="s">
        <v>2151</v>
      </c>
      <c r="E5011" s="164" t="n">
        <v>10000</v>
      </c>
      <c r="F5011" s="165" t="s">
        <v>8989</v>
      </c>
    </row>
    <row r="5012" customFormat="false" ht="15" hidden="false" customHeight="true" outlineLevel="0" collapsed="false">
      <c r="A5012" s="163" t="s">
        <v>3019</v>
      </c>
      <c r="B5012" s="163" t="s">
        <v>894</v>
      </c>
      <c r="C5012" s="163" t="s">
        <v>3357</v>
      </c>
      <c r="D5012" s="163" t="s">
        <v>3358</v>
      </c>
      <c r="E5012" s="164" t="n">
        <v>7000</v>
      </c>
      <c r="F5012" s="165" t="s">
        <v>8990</v>
      </c>
    </row>
    <row r="5013" customFormat="false" ht="15" hidden="false" customHeight="true" outlineLevel="0" collapsed="false">
      <c r="A5013" s="163" t="s">
        <v>3019</v>
      </c>
      <c r="B5013" s="163" t="s">
        <v>894</v>
      </c>
      <c r="C5013" s="163" t="s">
        <v>8991</v>
      </c>
      <c r="D5013" s="163" t="s">
        <v>1931</v>
      </c>
      <c r="E5013" s="164" t="n">
        <v>5000</v>
      </c>
      <c r="F5013" s="165" t="s">
        <v>3060</v>
      </c>
    </row>
    <row r="5014" customFormat="false" ht="15" hidden="false" customHeight="true" outlineLevel="0" collapsed="false">
      <c r="A5014" s="163" t="s">
        <v>3019</v>
      </c>
      <c r="B5014" s="163" t="s">
        <v>894</v>
      </c>
      <c r="C5014" s="163" t="s">
        <v>8992</v>
      </c>
      <c r="D5014" s="163" t="s">
        <v>1931</v>
      </c>
      <c r="E5014" s="164" t="n">
        <v>5000</v>
      </c>
      <c r="F5014" s="165" t="s">
        <v>3060</v>
      </c>
    </row>
    <row r="5015" customFormat="false" ht="15" hidden="false" customHeight="true" outlineLevel="0" collapsed="false">
      <c r="A5015" s="163" t="s">
        <v>3019</v>
      </c>
      <c r="B5015" s="163" t="s">
        <v>894</v>
      </c>
      <c r="C5015" s="163" t="s">
        <v>8993</v>
      </c>
      <c r="D5015" s="163" t="s">
        <v>1931</v>
      </c>
      <c r="E5015" s="164" t="n">
        <v>5000</v>
      </c>
      <c r="F5015" s="165" t="s">
        <v>3060</v>
      </c>
    </row>
    <row r="5016" customFormat="false" ht="15" hidden="false" customHeight="true" outlineLevel="0" collapsed="false">
      <c r="A5016" s="163" t="s">
        <v>3019</v>
      </c>
      <c r="B5016" s="163" t="s">
        <v>894</v>
      </c>
      <c r="C5016" s="163" t="s">
        <v>8994</v>
      </c>
      <c r="D5016" s="163" t="s">
        <v>8995</v>
      </c>
      <c r="E5016" s="164" t="n">
        <v>5000</v>
      </c>
      <c r="F5016" s="165" t="s">
        <v>8996</v>
      </c>
    </row>
    <row r="5017" customFormat="false" ht="15" hidden="false" customHeight="true" outlineLevel="0" collapsed="false">
      <c r="A5017" s="163" t="s">
        <v>3019</v>
      </c>
      <c r="B5017" s="163" t="s">
        <v>894</v>
      </c>
      <c r="C5017" s="163" t="s">
        <v>925</v>
      </c>
      <c r="D5017" s="163" t="s">
        <v>1931</v>
      </c>
      <c r="E5017" s="164" t="n">
        <v>5000</v>
      </c>
      <c r="F5017" s="165" t="s">
        <v>8997</v>
      </c>
    </row>
    <row r="5018" customFormat="false" ht="15" hidden="false" customHeight="true" outlineLevel="0" collapsed="false">
      <c r="A5018" s="163" t="s">
        <v>3019</v>
      </c>
      <c r="B5018" s="163" t="s">
        <v>894</v>
      </c>
      <c r="C5018" s="163" t="s">
        <v>925</v>
      </c>
      <c r="D5018" s="163" t="s">
        <v>1931</v>
      </c>
      <c r="E5018" s="164" t="n">
        <v>5000</v>
      </c>
      <c r="F5018" s="165" t="s">
        <v>8998</v>
      </c>
    </row>
    <row r="5019" customFormat="false" ht="15" hidden="false" customHeight="true" outlineLevel="0" collapsed="false">
      <c r="A5019" s="163" t="s">
        <v>3019</v>
      </c>
      <c r="B5019" s="163" t="s">
        <v>894</v>
      </c>
      <c r="C5019" s="163" t="s">
        <v>925</v>
      </c>
      <c r="D5019" s="163" t="s">
        <v>1931</v>
      </c>
      <c r="E5019" s="164" t="n">
        <v>5000</v>
      </c>
      <c r="F5019" s="165" t="s">
        <v>8999</v>
      </c>
    </row>
    <row r="5020" customFormat="false" ht="15" hidden="false" customHeight="true" outlineLevel="0" collapsed="false">
      <c r="A5020" s="163" t="s">
        <v>3019</v>
      </c>
      <c r="B5020" s="163" t="s">
        <v>894</v>
      </c>
      <c r="C5020" s="163" t="s">
        <v>925</v>
      </c>
      <c r="D5020" s="163" t="s">
        <v>1931</v>
      </c>
      <c r="E5020" s="164" t="n">
        <v>5000</v>
      </c>
      <c r="F5020" s="165" t="s">
        <v>9000</v>
      </c>
    </row>
    <row r="5021" customFormat="false" ht="15" hidden="false" customHeight="true" outlineLevel="0" collapsed="false">
      <c r="A5021" s="163" t="s">
        <v>3019</v>
      </c>
      <c r="B5021" s="163" t="s">
        <v>894</v>
      </c>
      <c r="C5021" s="163" t="s">
        <v>3183</v>
      </c>
      <c r="D5021" s="163" t="s">
        <v>3184</v>
      </c>
      <c r="E5021" s="164" t="n">
        <v>5000</v>
      </c>
      <c r="F5021" s="165" t="s">
        <v>9001</v>
      </c>
    </row>
    <row r="5022" customFormat="false" ht="15" hidden="false" customHeight="true" outlineLevel="0" collapsed="false">
      <c r="A5022" s="163" t="s">
        <v>3019</v>
      </c>
      <c r="B5022" s="163" t="s">
        <v>882</v>
      </c>
      <c r="C5022" s="163" t="s">
        <v>640</v>
      </c>
      <c r="D5022" s="163" t="s">
        <v>1931</v>
      </c>
      <c r="E5022" s="164" t="n">
        <v>200000</v>
      </c>
      <c r="F5022" s="165" t="s">
        <v>9002</v>
      </c>
    </row>
    <row r="5023" customFormat="false" ht="15" hidden="false" customHeight="true" outlineLevel="0" collapsed="false">
      <c r="A5023" s="163" t="s">
        <v>3019</v>
      </c>
      <c r="B5023" s="163" t="s">
        <v>882</v>
      </c>
      <c r="C5023" s="163" t="s">
        <v>9003</v>
      </c>
      <c r="D5023" s="163" t="s">
        <v>9004</v>
      </c>
      <c r="E5023" s="164" t="n">
        <v>20000</v>
      </c>
      <c r="F5023" s="165" t="s">
        <v>9005</v>
      </c>
    </row>
    <row r="5024" customFormat="false" ht="15" hidden="false" customHeight="true" outlineLevel="0" collapsed="false">
      <c r="A5024" s="163" t="s">
        <v>3019</v>
      </c>
      <c r="B5024" s="163" t="s">
        <v>882</v>
      </c>
      <c r="C5024" s="163" t="s">
        <v>6762</v>
      </c>
      <c r="D5024" s="163" t="s">
        <v>6763</v>
      </c>
      <c r="E5024" s="164" t="n">
        <v>10000</v>
      </c>
      <c r="F5024" s="165" t="s">
        <v>9006</v>
      </c>
    </row>
    <row r="5025" customFormat="false" ht="15" hidden="false" customHeight="true" outlineLevel="0" collapsed="false">
      <c r="A5025" s="163" t="s">
        <v>3019</v>
      </c>
      <c r="B5025" s="163" t="s">
        <v>882</v>
      </c>
      <c r="C5025" s="163" t="s">
        <v>3061</v>
      </c>
      <c r="D5025" s="163" t="s">
        <v>3062</v>
      </c>
      <c r="E5025" s="164" t="n">
        <v>10000</v>
      </c>
      <c r="F5025" s="165" t="s">
        <v>9007</v>
      </c>
    </row>
    <row r="5026" customFormat="false" ht="15" hidden="false" customHeight="true" outlineLevel="0" collapsed="false">
      <c r="A5026" s="163" t="s">
        <v>3019</v>
      </c>
      <c r="B5026" s="163" t="s">
        <v>882</v>
      </c>
      <c r="C5026" s="163" t="s">
        <v>4002</v>
      </c>
      <c r="D5026" s="163" t="s">
        <v>4003</v>
      </c>
      <c r="E5026" s="164" t="n">
        <v>10000</v>
      </c>
      <c r="F5026" s="165" t="s">
        <v>9008</v>
      </c>
    </row>
    <row r="5027" customFormat="false" ht="15" hidden="false" customHeight="true" outlineLevel="0" collapsed="false">
      <c r="A5027" s="163" t="s">
        <v>3019</v>
      </c>
      <c r="B5027" s="163" t="s">
        <v>882</v>
      </c>
      <c r="C5027" s="163" t="s">
        <v>395</v>
      </c>
      <c r="D5027" s="163" t="s">
        <v>2196</v>
      </c>
      <c r="E5027" s="164" t="n">
        <v>10000</v>
      </c>
      <c r="F5027" s="165" t="s">
        <v>9009</v>
      </c>
    </row>
    <row r="5028" customFormat="false" ht="15" hidden="false" customHeight="true" outlineLevel="0" collapsed="false">
      <c r="A5028" s="163" t="s">
        <v>3019</v>
      </c>
      <c r="B5028" s="163" t="s">
        <v>882</v>
      </c>
      <c r="C5028" s="163" t="s">
        <v>5343</v>
      </c>
      <c r="D5028" s="163" t="s">
        <v>5344</v>
      </c>
      <c r="E5028" s="164" t="n">
        <v>5000</v>
      </c>
      <c r="F5028" s="165" t="s">
        <v>9010</v>
      </c>
    </row>
    <row r="5029" customFormat="false" ht="15" hidden="false" customHeight="true" outlineLevel="0" collapsed="false">
      <c r="A5029" s="163" t="s">
        <v>3019</v>
      </c>
      <c r="B5029" s="163" t="s">
        <v>882</v>
      </c>
      <c r="C5029" s="163" t="s">
        <v>3145</v>
      </c>
      <c r="D5029" s="163" t="s">
        <v>3146</v>
      </c>
      <c r="E5029" s="164" t="n">
        <v>5000</v>
      </c>
      <c r="F5029" s="165" t="s">
        <v>9011</v>
      </c>
    </row>
    <row r="5030" customFormat="false" ht="15" hidden="false" customHeight="true" outlineLevel="0" collapsed="false">
      <c r="A5030" s="163" t="s">
        <v>3019</v>
      </c>
      <c r="B5030" s="163" t="s">
        <v>2328</v>
      </c>
      <c r="C5030" s="163" t="s">
        <v>1233</v>
      </c>
      <c r="D5030" s="163" t="s">
        <v>2151</v>
      </c>
      <c r="E5030" s="164" t="n">
        <v>40000</v>
      </c>
      <c r="F5030" s="165" t="s">
        <v>9012</v>
      </c>
    </row>
    <row r="5031" customFormat="false" ht="15" hidden="false" customHeight="true" outlineLevel="0" collapsed="false">
      <c r="A5031" s="163" t="s">
        <v>3019</v>
      </c>
      <c r="B5031" s="163" t="s">
        <v>2328</v>
      </c>
      <c r="C5031" s="163" t="s">
        <v>8985</v>
      </c>
      <c r="D5031" s="163" t="s">
        <v>8986</v>
      </c>
      <c r="E5031" s="164" t="n">
        <v>10000</v>
      </c>
      <c r="F5031" s="165" t="s">
        <v>8987</v>
      </c>
    </row>
    <row r="5032" customFormat="false" ht="15" hidden="false" customHeight="true" outlineLevel="0" collapsed="false">
      <c r="A5032" s="163" t="s">
        <v>3019</v>
      </c>
      <c r="B5032" s="163" t="s">
        <v>2342</v>
      </c>
      <c r="C5032" s="163" t="s">
        <v>3549</v>
      </c>
      <c r="D5032" s="163" t="s">
        <v>3550</v>
      </c>
      <c r="E5032" s="164" t="n">
        <v>30000</v>
      </c>
      <c r="F5032" s="165" t="s">
        <v>9013</v>
      </c>
    </row>
    <row r="5033" customFormat="false" ht="15" hidden="false" customHeight="true" outlineLevel="0" collapsed="false">
      <c r="A5033" s="163" t="s">
        <v>3019</v>
      </c>
      <c r="B5033" s="163" t="s">
        <v>2342</v>
      </c>
      <c r="C5033" s="163" t="s">
        <v>3063</v>
      </c>
      <c r="D5033" s="163" t="s">
        <v>3064</v>
      </c>
      <c r="E5033" s="164" t="n">
        <v>20000</v>
      </c>
      <c r="F5033" s="165" t="s">
        <v>9014</v>
      </c>
    </row>
    <row r="5034" customFormat="false" ht="15" hidden="false" customHeight="true" outlineLevel="0" collapsed="false">
      <c r="A5034" s="163" t="s">
        <v>3019</v>
      </c>
      <c r="B5034" s="163" t="s">
        <v>2342</v>
      </c>
      <c r="C5034" s="163" t="s">
        <v>395</v>
      </c>
      <c r="D5034" s="163" t="s">
        <v>2196</v>
      </c>
      <c r="E5034" s="164" t="n">
        <v>20000</v>
      </c>
      <c r="F5034" s="165" t="s">
        <v>9015</v>
      </c>
    </row>
    <row r="5035" customFormat="false" ht="15" hidden="false" customHeight="true" outlineLevel="0" collapsed="false">
      <c r="A5035" s="163" t="s">
        <v>3019</v>
      </c>
      <c r="B5035" s="163" t="s">
        <v>2342</v>
      </c>
      <c r="C5035" s="163" t="s">
        <v>197</v>
      </c>
      <c r="D5035" s="163" t="s">
        <v>1931</v>
      </c>
      <c r="E5035" s="164" t="n">
        <v>10000</v>
      </c>
      <c r="F5035" s="165" t="s">
        <v>9016</v>
      </c>
    </row>
    <row r="5036" customFormat="false" ht="15" hidden="false" customHeight="true" outlineLevel="0" collapsed="false">
      <c r="A5036" s="163" t="s">
        <v>3019</v>
      </c>
      <c r="B5036" s="163" t="s">
        <v>2342</v>
      </c>
      <c r="C5036" s="163" t="s">
        <v>197</v>
      </c>
      <c r="D5036" s="163" t="s">
        <v>1931</v>
      </c>
      <c r="E5036" s="164" t="n">
        <v>10000</v>
      </c>
      <c r="F5036" s="165" t="s">
        <v>9017</v>
      </c>
    </row>
    <row r="5037" customFormat="false" ht="15" hidden="false" customHeight="true" outlineLevel="0" collapsed="false">
      <c r="A5037" s="163" t="s">
        <v>3019</v>
      </c>
      <c r="B5037" s="163" t="s">
        <v>1743</v>
      </c>
      <c r="C5037" s="163" t="s">
        <v>7203</v>
      </c>
      <c r="D5037" s="163" t="s">
        <v>7204</v>
      </c>
      <c r="E5037" s="164" t="n">
        <v>20000</v>
      </c>
      <c r="F5037" s="165" t="s">
        <v>9018</v>
      </c>
    </row>
    <row r="5038" customFormat="false" ht="15" hidden="false" customHeight="true" outlineLevel="0" collapsed="false">
      <c r="A5038" s="163" t="s">
        <v>3019</v>
      </c>
      <c r="B5038" s="163" t="s">
        <v>1743</v>
      </c>
      <c r="C5038" s="163" t="s">
        <v>7413</v>
      </c>
      <c r="D5038" s="163" t="s">
        <v>7414</v>
      </c>
      <c r="E5038" s="164" t="n">
        <v>20000</v>
      </c>
      <c r="F5038" s="165" t="s">
        <v>9019</v>
      </c>
    </row>
    <row r="5039" customFormat="false" ht="15" hidden="false" customHeight="true" outlineLevel="0" collapsed="false">
      <c r="A5039" s="163" t="s">
        <v>3019</v>
      </c>
      <c r="B5039" s="163" t="s">
        <v>1743</v>
      </c>
      <c r="C5039" s="163" t="s">
        <v>3334</v>
      </c>
      <c r="D5039" s="163" t="s">
        <v>3335</v>
      </c>
      <c r="E5039" s="164" t="n">
        <v>20000</v>
      </c>
      <c r="F5039" s="165" t="s">
        <v>9020</v>
      </c>
    </row>
    <row r="5040" customFormat="false" ht="15" hidden="false" customHeight="true" outlineLevel="0" collapsed="false">
      <c r="A5040" s="163" t="s">
        <v>3019</v>
      </c>
      <c r="B5040" s="163" t="s">
        <v>1743</v>
      </c>
      <c r="C5040" s="163" t="s">
        <v>3278</v>
      </c>
      <c r="D5040" s="163" t="s">
        <v>3279</v>
      </c>
      <c r="E5040" s="164" t="n">
        <v>20000</v>
      </c>
      <c r="F5040" s="165" t="s">
        <v>9021</v>
      </c>
    </row>
    <row r="5041" customFormat="false" ht="15" hidden="false" customHeight="true" outlineLevel="0" collapsed="false">
      <c r="A5041" s="163" t="s">
        <v>3019</v>
      </c>
      <c r="B5041" s="163" t="s">
        <v>1743</v>
      </c>
      <c r="C5041" s="163" t="s">
        <v>4784</v>
      </c>
      <c r="D5041" s="163" t="s">
        <v>4785</v>
      </c>
      <c r="E5041" s="164" t="n">
        <v>15000</v>
      </c>
      <c r="F5041" s="165" t="s">
        <v>9022</v>
      </c>
    </row>
    <row r="5042" customFormat="false" ht="15" hidden="false" customHeight="true" outlineLevel="0" collapsed="false">
      <c r="A5042" s="163" t="s">
        <v>3019</v>
      </c>
      <c r="B5042" s="163" t="s">
        <v>1743</v>
      </c>
      <c r="C5042" s="163" t="s">
        <v>7909</v>
      </c>
      <c r="D5042" s="163" t="s">
        <v>7910</v>
      </c>
      <c r="E5042" s="164" t="n">
        <v>15000</v>
      </c>
      <c r="F5042" s="165" t="s">
        <v>9023</v>
      </c>
    </row>
    <row r="5043" customFormat="false" ht="15" hidden="false" customHeight="true" outlineLevel="0" collapsed="false">
      <c r="A5043" s="163" t="s">
        <v>3019</v>
      </c>
      <c r="B5043" s="163" t="s">
        <v>1743</v>
      </c>
      <c r="C5043" s="163" t="s">
        <v>5071</v>
      </c>
      <c r="D5043" s="163" t="s">
        <v>5072</v>
      </c>
      <c r="E5043" s="164" t="n">
        <v>10000</v>
      </c>
      <c r="F5043" s="165" t="s">
        <v>9024</v>
      </c>
    </row>
    <row r="5044" customFormat="false" ht="15" hidden="false" customHeight="true" outlineLevel="0" collapsed="false">
      <c r="A5044" s="163" t="s">
        <v>3019</v>
      </c>
      <c r="B5044" s="163" t="s">
        <v>1743</v>
      </c>
      <c r="C5044" s="163" t="s">
        <v>3998</v>
      </c>
      <c r="D5044" s="163" t="s">
        <v>3999</v>
      </c>
      <c r="E5044" s="164" t="n">
        <v>10000</v>
      </c>
      <c r="F5044" s="165" t="s">
        <v>9025</v>
      </c>
    </row>
    <row r="5045" customFormat="false" ht="15" hidden="false" customHeight="true" outlineLevel="0" collapsed="false">
      <c r="A5045" s="163" t="s">
        <v>3019</v>
      </c>
      <c r="B5045" s="163" t="s">
        <v>1743</v>
      </c>
      <c r="C5045" s="163" t="s">
        <v>7322</v>
      </c>
      <c r="D5045" s="163" t="s">
        <v>7323</v>
      </c>
      <c r="E5045" s="164" t="n">
        <v>10000</v>
      </c>
      <c r="F5045" s="165" t="s">
        <v>9026</v>
      </c>
    </row>
    <row r="5046" customFormat="false" ht="15" hidden="false" customHeight="true" outlineLevel="0" collapsed="false">
      <c r="A5046" s="163" t="s">
        <v>3019</v>
      </c>
      <c r="B5046" s="163" t="s">
        <v>1743</v>
      </c>
      <c r="C5046" s="163" t="s">
        <v>4420</v>
      </c>
      <c r="D5046" s="163" t="s">
        <v>4421</v>
      </c>
      <c r="E5046" s="164" t="n">
        <v>10000</v>
      </c>
      <c r="F5046" s="165" t="s">
        <v>7286</v>
      </c>
    </row>
    <row r="5047" customFormat="false" ht="15" hidden="false" customHeight="true" outlineLevel="0" collapsed="false">
      <c r="A5047" s="163" t="s">
        <v>3019</v>
      </c>
      <c r="B5047" s="163" t="s">
        <v>928</v>
      </c>
      <c r="C5047" s="163" t="s">
        <v>6779</v>
      </c>
      <c r="D5047" s="163" t="s">
        <v>6780</v>
      </c>
      <c r="E5047" s="164" t="n">
        <v>25000</v>
      </c>
      <c r="F5047" s="165" t="s">
        <v>9027</v>
      </c>
    </row>
    <row r="5048" customFormat="false" ht="15" hidden="false" customHeight="true" outlineLevel="0" collapsed="false">
      <c r="A5048" s="163" t="s">
        <v>3019</v>
      </c>
      <c r="B5048" s="163" t="s">
        <v>928</v>
      </c>
      <c r="C5048" s="163" t="s">
        <v>4874</v>
      </c>
      <c r="D5048" s="163" t="s">
        <v>4875</v>
      </c>
      <c r="E5048" s="164" t="n">
        <v>20000</v>
      </c>
      <c r="F5048" s="165" t="s">
        <v>6702</v>
      </c>
    </row>
    <row r="5049" customFormat="false" ht="15" hidden="false" customHeight="true" outlineLevel="0" collapsed="false">
      <c r="A5049" s="163" t="s">
        <v>3019</v>
      </c>
      <c r="B5049" s="163" t="s">
        <v>928</v>
      </c>
      <c r="C5049" s="163" t="s">
        <v>4853</v>
      </c>
      <c r="D5049" s="163" t="s">
        <v>4854</v>
      </c>
      <c r="E5049" s="164" t="n">
        <v>20000</v>
      </c>
      <c r="F5049" s="165" t="s">
        <v>9028</v>
      </c>
    </row>
    <row r="5050" customFormat="false" ht="15" hidden="false" customHeight="true" outlineLevel="0" collapsed="false">
      <c r="A5050" s="163" t="s">
        <v>3019</v>
      </c>
      <c r="B5050" s="163" t="s">
        <v>928</v>
      </c>
      <c r="C5050" s="163" t="s">
        <v>4808</v>
      </c>
      <c r="D5050" s="163" t="s">
        <v>4809</v>
      </c>
      <c r="E5050" s="164" t="n">
        <v>20000</v>
      </c>
      <c r="F5050" s="165" t="s">
        <v>8977</v>
      </c>
    </row>
    <row r="5051" customFormat="false" ht="15" hidden="false" customHeight="true" outlineLevel="0" collapsed="false">
      <c r="A5051" s="163" t="s">
        <v>3019</v>
      </c>
      <c r="B5051" s="163" t="s">
        <v>928</v>
      </c>
      <c r="C5051" s="163" t="s">
        <v>1159</v>
      </c>
      <c r="D5051" s="163" t="s">
        <v>1936</v>
      </c>
      <c r="E5051" s="164" t="n">
        <v>20000</v>
      </c>
      <c r="F5051" s="165" t="s">
        <v>9029</v>
      </c>
    </row>
    <row r="5052" customFormat="false" ht="15" hidden="false" customHeight="true" outlineLevel="0" collapsed="false">
      <c r="A5052" s="163" t="s">
        <v>3019</v>
      </c>
      <c r="B5052" s="163" t="s">
        <v>928</v>
      </c>
      <c r="C5052" s="163" t="s">
        <v>7070</v>
      </c>
      <c r="D5052" s="163" t="s">
        <v>7071</v>
      </c>
      <c r="E5052" s="164" t="n">
        <v>15000</v>
      </c>
      <c r="F5052" s="165" t="s">
        <v>9030</v>
      </c>
    </row>
    <row r="5053" customFormat="false" ht="15" hidden="false" customHeight="true" outlineLevel="0" collapsed="false">
      <c r="A5053" s="163" t="s">
        <v>3019</v>
      </c>
      <c r="B5053" s="163" t="s">
        <v>928</v>
      </c>
      <c r="C5053" s="163" t="s">
        <v>6874</v>
      </c>
      <c r="D5053" s="163" t="s">
        <v>6875</v>
      </c>
      <c r="E5053" s="164" t="n">
        <v>15000</v>
      </c>
      <c r="F5053" s="165" t="s">
        <v>9031</v>
      </c>
    </row>
    <row r="5054" customFormat="false" ht="15" hidden="false" customHeight="true" outlineLevel="0" collapsed="false">
      <c r="A5054" s="163" t="s">
        <v>3019</v>
      </c>
      <c r="B5054" s="163" t="s">
        <v>928</v>
      </c>
      <c r="C5054" s="163" t="s">
        <v>3324</v>
      </c>
      <c r="D5054" s="163" t="s">
        <v>3325</v>
      </c>
      <c r="E5054" s="164" t="n">
        <v>10000</v>
      </c>
      <c r="F5054" s="165" t="s">
        <v>9032</v>
      </c>
    </row>
    <row r="5055" customFormat="false" ht="15" hidden="false" customHeight="true" outlineLevel="0" collapsed="false">
      <c r="A5055" s="163" t="s">
        <v>3019</v>
      </c>
      <c r="B5055" s="163" t="s">
        <v>928</v>
      </c>
      <c r="C5055" s="163" t="s">
        <v>7744</v>
      </c>
      <c r="D5055" s="163" t="s">
        <v>7745</v>
      </c>
      <c r="E5055" s="164" t="n">
        <v>5000</v>
      </c>
      <c r="F5055" s="165" t="s">
        <v>9033</v>
      </c>
    </row>
    <row r="5056" customFormat="false" ht="15" hidden="false" customHeight="true" outlineLevel="0" collapsed="false">
      <c r="A5056" s="163" t="s">
        <v>3043</v>
      </c>
      <c r="B5056" s="163" t="s">
        <v>926</v>
      </c>
      <c r="C5056" s="163" t="s">
        <v>3334</v>
      </c>
      <c r="D5056" s="163" t="s">
        <v>3335</v>
      </c>
      <c r="E5056" s="164" t="n">
        <v>50000</v>
      </c>
      <c r="F5056" s="165" t="s">
        <v>3060</v>
      </c>
    </row>
    <row r="5057" customFormat="false" ht="15" hidden="false" customHeight="true" outlineLevel="0" collapsed="false">
      <c r="A5057" s="163" t="s">
        <v>3043</v>
      </c>
      <c r="B5057" s="163" t="s">
        <v>926</v>
      </c>
      <c r="C5057" s="163" t="s">
        <v>6705</v>
      </c>
      <c r="D5057" s="163" t="s">
        <v>6706</v>
      </c>
      <c r="E5057" s="164" t="n">
        <v>20000</v>
      </c>
      <c r="F5057" s="165" t="s">
        <v>3060</v>
      </c>
    </row>
    <row r="5058" customFormat="false" ht="15" hidden="false" customHeight="true" outlineLevel="0" collapsed="false">
      <c r="A5058" s="163" t="s">
        <v>3043</v>
      </c>
      <c r="B5058" s="163" t="s">
        <v>926</v>
      </c>
      <c r="C5058" s="163" t="s">
        <v>197</v>
      </c>
      <c r="D5058" s="163" t="s">
        <v>1931</v>
      </c>
      <c r="E5058" s="164" t="n">
        <v>10000</v>
      </c>
      <c r="F5058" s="165" t="s">
        <v>3060</v>
      </c>
    </row>
    <row r="5059" customFormat="false" ht="15" hidden="false" customHeight="true" outlineLevel="0" collapsed="false">
      <c r="A5059" s="163" t="s">
        <v>3043</v>
      </c>
      <c r="B5059" s="163" t="s">
        <v>926</v>
      </c>
      <c r="C5059" s="163" t="s">
        <v>3956</v>
      </c>
      <c r="D5059" s="163" t="s">
        <v>3957</v>
      </c>
      <c r="E5059" s="164" t="n">
        <v>9000</v>
      </c>
      <c r="F5059" s="165" t="s">
        <v>3060</v>
      </c>
    </row>
    <row r="5060" customFormat="false" ht="15" hidden="false" customHeight="true" outlineLevel="0" collapsed="false">
      <c r="A5060" s="163" t="s">
        <v>3043</v>
      </c>
      <c r="B5060" s="163" t="s">
        <v>926</v>
      </c>
      <c r="C5060" s="163" t="s">
        <v>4002</v>
      </c>
      <c r="D5060" s="163" t="s">
        <v>4003</v>
      </c>
      <c r="E5060" s="164" t="n">
        <v>7500</v>
      </c>
      <c r="F5060" s="165" t="s">
        <v>3060</v>
      </c>
    </row>
    <row r="5061" customFormat="false" ht="15" hidden="false" customHeight="true" outlineLevel="0" collapsed="false">
      <c r="A5061" s="163" t="s">
        <v>3043</v>
      </c>
      <c r="B5061" s="163" t="s">
        <v>926</v>
      </c>
      <c r="C5061" s="163" t="s">
        <v>3805</v>
      </c>
      <c r="D5061" s="163" t="s">
        <v>3806</v>
      </c>
      <c r="E5061" s="164" t="n">
        <v>3500</v>
      </c>
      <c r="F5061" s="165" t="s">
        <v>3060</v>
      </c>
    </row>
    <row r="5062" customFormat="false" ht="15" hidden="false" customHeight="true" outlineLevel="0" collapsed="false">
      <c r="A5062" s="163" t="s">
        <v>3043</v>
      </c>
      <c r="B5062" s="163" t="s">
        <v>957</v>
      </c>
      <c r="C5062" s="163" t="s">
        <v>9034</v>
      </c>
      <c r="D5062" s="163" t="s">
        <v>9035</v>
      </c>
      <c r="E5062" s="164" t="n">
        <v>60000</v>
      </c>
      <c r="F5062" s="165" t="s">
        <v>9036</v>
      </c>
    </row>
    <row r="5063" customFormat="false" ht="15" hidden="false" customHeight="true" outlineLevel="0" collapsed="false">
      <c r="A5063" s="163" t="s">
        <v>3043</v>
      </c>
      <c r="B5063" s="163" t="s">
        <v>957</v>
      </c>
      <c r="C5063" s="163" t="s">
        <v>7199</v>
      </c>
      <c r="D5063" s="163" t="s">
        <v>7200</v>
      </c>
      <c r="E5063" s="164" t="n">
        <v>10000</v>
      </c>
      <c r="F5063" s="165" t="s">
        <v>9037</v>
      </c>
    </row>
    <row r="5064" customFormat="false" ht="15" hidden="false" customHeight="true" outlineLevel="0" collapsed="false">
      <c r="A5064" s="163" t="s">
        <v>3043</v>
      </c>
      <c r="B5064" s="163" t="s">
        <v>957</v>
      </c>
      <c r="C5064" s="163" t="s">
        <v>1135</v>
      </c>
      <c r="D5064" s="163" t="s">
        <v>2507</v>
      </c>
      <c r="E5064" s="164" t="n">
        <v>10000</v>
      </c>
      <c r="F5064" s="165" t="s">
        <v>9038</v>
      </c>
    </row>
    <row r="5065" customFormat="false" ht="15" hidden="false" customHeight="true" outlineLevel="0" collapsed="false">
      <c r="A5065" s="163" t="s">
        <v>3043</v>
      </c>
      <c r="B5065" s="163" t="s">
        <v>957</v>
      </c>
      <c r="C5065" s="163" t="s">
        <v>6692</v>
      </c>
      <c r="D5065" s="163" t="s">
        <v>6693</v>
      </c>
      <c r="E5065" s="164" t="n">
        <v>10000</v>
      </c>
      <c r="F5065" s="165" t="s">
        <v>9039</v>
      </c>
    </row>
    <row r="5066" customFormat="false" ht="15" hidden="false" customHeight="true" outlineLevel="0" collapsed="false">
      <c r="A5066" s="163" t="s">
        <v>3043</v>
      </c>
      <c r="B5066" s="163" t="s">
        <v>957</v>
      </c>
      <c r="C5066" s="163" t="s">
        <v>4017</v>
      </c>
      <c r="D5066" s="163" t="s">
        <v>4018</v>
      </c>
      <c r="E5066" s="164" t="n">
        <v>5000</v>
      </c>
      <c r="F5066" s="165" t="s">
        <v>9040</v>
      </c>
    </row>
    <row r="5067" customFormat="false" ht="15" hidden="false" customHeight="true" outlineLevel="0" collapsed="false">
      <c r="A5067" s="163" t="s">
        <v>3043</v>
      </c>
      <c r="B5067" s="163" t="s">
        <v>957</v>
      </c>
      <c r="C5067" s="163" t="s">
        <v>4017</v>
      </c>
      <c r="D5067" s="163" t="s">
        <v>4018</v>
      </c>
      <c r="E5067" s="164" t="n">
        <v>5000</v>
      </c>
      <c r="F5067" s="165" t="s">
        <v>9041</v>
      </c>
    </row>
    <row r="5068" customFormat="false" ht="15" hidden="false" customHeight="true" outlineLevel="0" collapsed="false">
      <c r="A5068" s="163" t="s">
        <v>3043</v>
      </c>
      <c r="B5068" s="163" t="s">
        <v>957</v>
      </c>
      <c r="C5068" s="163" t="s">
        <v>4017</v>
      </c>
      <c r="D5068" s="163" t="s">
        <v>4018</v>
      </c>
      <c r="E5068" s="164" t="n">
        <v>5000</v>
      </c>
      <c r="F5068" s="165" t="s">
        <v>9042</v>
      </c>
    </row>
    <row r="5069" customFormat="false" ht="15" hidden="false" customHeight="true" outlineLevel="0" collapsed="false">
      <c r="A5069" s="163" t="s">
        <v>3043</v>
      </c>
      <c r="B5069" s="163" t="s">
        <v>957</v>
      </c>
      <c r="C5069" s="163" t="s">
        <v>4017</v>
      </c>
      <c r="D5069" s="163" t="s">
        <v>4018</v>
      </c>
      <c r="E5069" s="164" t="n">
        <v>5000</v>
      </c>
      <c r="F5069" s="165" t="s">
        <v>9043</v>
      </c>
    </row>
    <row r="5070" customFormat="false" ht="15" hidden="false" customHeight="true" outlineLevel="0" collapsed="false">
      <c r="A5070" s="163" t="s">
        <v>3043</v>
      </c>
      <c r="B5070" s="163" t="s">
        <v>945</v>
      </c>
      <c r="C5070" s="163" t="s">
        <v>7365</v>
      </c>
      <c r="D5070" s="163" t="s">
        <v>7366</v>
      </c>
      <c r="E5070" s="164" t="n">
        <v>35000</v>
      </c>
      <c r="F5070" s="165" t="s">
        <v>9036</v>
      </c>
    </row>
    <row r="5071" customFormat="false" ht="15" hidden="false" customHeight="true" outlineLevel="0" collapsed="false">
      <c r="A5071" s="163" t="s">
        <v>3043</v>
      </c>
      <c r="B5071" s="163" t="s">
        <v>945</v>
      </c>
      <c r="C5071" s="163" t="s">
        <v>3805</v>
      </c>
      <c r="D5071" s="163" t="s">
        <v>3806</v>
      </c>
      <c r="E5071" s="164" t="n">
        <v>13250</v>
      </c>
      <c r="F5071" s="165" t="s">
        <v>9036</v>
      </c>
    </row>
    <row r="5072" customFormat="false" ht="15" hidden="false" customHeight="true" outlineLevel="0" collapsed="false">
      <c r="A5072" s="163" t="s">
        <v>3043</v>
      </c>
      <c r="B5072" s="163" t="s">
        <v>945</v>
      </c>
      <c r="C5072" s="163" t="s">
        <v>9044</v>
      </c>
      <c r="D5072" s="163" t="s">
        <v>9045</v>
      </c>
      <c r="E5072" s="164" t="n">
        <v>9750</v>
      </c>
      <c r="F5072" s="165" t="s">
        <v>9036</v>
      </c>
    </row>
    <row r="5073" customFormat="false" ht="15" hidden="false" customHeight="true" outlineLevel="0" collapsed="false">
      <c r="A5073" s="163" t="s">
        <v>3043</v>
      </c>
      <c r="B5073" s="163" t="s">
        <v>945</v>
      </c>
      <c r="C5073" s="163" t="s">
        <v>9034</v>
      </c>
      <c r="D5073" s="163" t="s">
        <v>9035</v>
      </c>
      <c r="E5073" s="164" t="n">
        <v>5000</v>
      </c>
      <c r="F5073" s="165" t="s">
        <v>9036</v>
      </c>
    </row>
    <row r="5074" customFormat="false" ht="15" hidden="false" customHeight="true" outlineLevel="0" collapsed="false">
      <c r="A5074" s="163" t="s">
        <v>3043</v>
      </c>
      <c r="B5074" s="163" t="s">
        <v>945</v>
      </c>
      <c r="C5074" s="163" t="s">
        <v>3895</v>
      </c>
      <c r="D5074" s="163" t="s">
        <v>3896</v>
      </c>
      <c r="E5074" s="164" t="n">
        <v>5000</v>
      </c>
      <c r="F5074" s="165" t="s">
        <v>9046</v>
      </c>
    </row>
    <row r="5075" customFormat="false" ht="15" hidden="false" customHeight="true" outlineLevel="0" collapsed="false">
      <c r="A5075" s="163" t="s">
        <v>3043</v>
      </c>
      <c r="B5075" s="163" t="s">
        <v>945</v>
      </c>
      <c r="C5075" s="163" t="s">
        <v>9047</v>
      </c>
      <c r="D5075" s="163" t="s">
        <v>9048</v>
      </c>
      <c r="E5075" s="164" t="n">
        <v>5000</v>
      </c>
      <c r="F5075" s="165" t="s">
        <v>9049</v>
      </c>
    </row>
    <row r="5076" customFormat="false" ht="15" hidden="false" customHeight="true" outlineLevel="0" collapsed="false">
      <c r="A5076" s="163" t="s">
        <v>3043</v>
      </c>
      <c r="B5076" s="163" t="s">
        <v>945</v>
      </c>
      <c r="C5076" s="163" t="s">
        <v>925</v>
      </c>
      <c r="D5076" s="163" t="s">
        <v>1931</v>
      </c>
      <c r="E5076" s="164" t="n">
        <v>2000</v>
      </c>
      <c r="F5076" s="165" t="s">
        <v>9050</v>
      </c>
    </row>
    <row r="5077" customFormat="false" ht="15" hidden="false" customHeight="true" outlineLevel="0" collapsed="false">
      <c r="A5077" s="163" t="s">
        <v>3043</v>
      </c>
      <c r="B5077" s="163" t="s">
        <v>3111</v>
      </c>
      <c r="C5077" s="163" t="s">
        <v>9051</v>
      </c>
      <c r="D5077" s="163" t="s">
        <v>9052</v>
      </c>
      <c r="E5077" s="164" t="n">
        <v>20000</v>
      </c>
      <c r="F5077" s="165" t="s">
        <v>9053</v>
      </c>
    </row>
    <row r="5078" customFormat="false" ht="15" hidden="false" customHeight="true" outlineLevel="0" collapsed="false">
      <c r="A5078" s="163" t="s">
        <v>3043</v>
      </c>
      <c r="B5078" s="163" t="s">
        <v>3111</v>
      </c>
      <c r="C5078" s="163" t="s">
        <v>7194</v>
      </c>
      <c r="D5078" s="163" t="s">
        <v>7195</v>
      </c>
      <c r="E5078" s="164" t="n">
        <v>20000</v>
      </c>
      <c r="F5078" s="165" t="s">
        <v>3060</v>
      </c>
    </row>
    <row r="5079" customFormat="false" ht="15" hidden="false" customHeight="true" outlineLevel="0" collapsed="false">
      <c r="A5079" s="163" t="s">
        <v>3043</v>
      </c>
      <c r="B5079" s="163" t="s">
        <v>3111</v>
      </c>
      <c r="C5079" s="163" t="s">
        <v>5400</v>
      </c>
      <c r="D5079" s="163" t="s">
        <v>5401</v>
      </c>
      <c r="E5079" s="164" t="n">
        <v>20000</v>
      </c>
      <c r="F5079" s="165" t="s">
        <v>9054</v>
      </c>
    </row>
    <row r="5080" customFormat="false" ht="15" hidden="false" customHeight="true" outlineLevel="0" collapsed="false">
      <c r="A5080" s="163" t="s">
        <v>3043</v>
      </c>
      <c r="B5080" s="163" t="s">
        <v>3111</v>
      </c>
      <c r="C5080" s="163" t="s">
        <v>9055</v>
      </c>
      <c r="D5080" s="163" t="s">
        <v>9056</v>
      </c>
      <c r="E5080" s="164" t="n">
        <v>20000</v>
      </c>
      <c r="F5080" s="165" t="s">
        <v>9057</v>
      </c>
    </row>
    <row r="5081" customFormat="false" ht="15" hidden="false" customHeight="true" outlineLevel="0" collapsed="false">
      <c r="A5081" s="163" t="s">
        <v>3043</v>
      </c>
      <c r="B5081" s="163" t="s">
        <v>3111</v>
      </c>
      <c r="C5081" s="163" t="s">
        <v>9058</v>
      </c>
      <c r="D5081" s="163" t="s">
        <v>9059</v>
      </c>
      <c r="E5081" s="164" t="n">
        <v>10000</v>
      </c>
      <c r="F5081" s="165" t="s">
        <v>9060</v>
      </c>
    </row>
    <row r="5082" customFormat="false" ht="15" hidden="false" customHeight="true" outlineLevel="0" collapsed="false">
      <c r="A5082" s="163" t="s">
        <v>3043</v>
      </c>
      <c r="B5082" s="163" t="s">
        <v>3111</v>
      </c>
      <c r="C5082" s="163" t="s">
        <v>9061</v>
      </c>
      <c r="D5082" s="163" t="s">
        <v>9062</v>
      </c>
      <c r="E5082" s="164" t="n">
        <v>10000</v>
      </c>
      <c r="F5082" s="165" t="s">
        <v>9063</v>
      </c>
    </row>
    <row r="5083" customFormat="false" ht="15" hidden="false" customHeight="true" outlineLevel="0" collapsed="false">
      <c r="A5083" s="163" t="s">
        <v>3043</v>
      </c>
      <c r="B5083" s="163" t="s">
        <v>691</v>
      </c>
      <c r="C5083" s="163" t="s">
        <v>9044</v>
      </c>
      <c r="D5083" s="163" t="s">
        <v>9045</v>
      </c>
      <c r="E5083" s="164" t="n">
        <v>20000</v>
      </c>
      <c r="F5083" s="165" t="s">
        <v>3060</v>
      </c>
    </row>
    <row r="5084" customFormat="false" ht="15" hidden="false" customHeight="true" outlineLevel="0" collapsed="false">
      <c r="A5084" s="163" t="s">
        <v>3043</v>
      </c>
      <c r="B5084" s="163" t="s">
        <v>691</v>
      </c>
      <c r="C5084" s="163" t="s">
        <v>3956</v>
      </c>
      <c r="D5084" s="163" t="s">
        <v>3957</v>
      </c>
      <c r="E5084" s="164" t="n">
        <v>20000</v>
      </c>
      <c r="F5084" s="165" t="s">
        <v>3060</v>
      </c>
    </row>
    <row r="5085" customFormat="false" ht="15" hidden="false" customHeight="true" outlineLevel="0" collapsed="false">
      <c r="A5085" s="163" t="s">
        <v>3043</v>
      </c>
      <c r="B5085" s="163" t="s">
        <v>691</v>
      </c>
      <c r="C5085" s="163" t="s">
        <v>4226</v>
      </c>
      <c r="D5085" s="163" t="s">
        <v>4227</v>
      </c>
      <c r="E5085" s="164" t="n">
        <v>20000</v>
      </c>
      <c r="F5085" s="165" t="s">
        <v>3060</v>
      </c>
    </row>
    <row r="5086" customFormat="false" ht="15" hidden="false" customHeight="true" outlineLevel="0" collapsed="false">
      <c r="A5086" s="163" t="s">
        <v>3043</v>
      </c>
      <c r="B5086" s="163" t="s">
        <v>691</v>
      </c>
      <c r="C5086" s="163" t="s">
        <v>7707</v>
      </c>
      <c r="D5086" s="163" t="s">
        <v>7708</v>
      </c>
      <c r="E5086" s="164" t="n">
        <v>15000</v>
      </c>
      <c r="F5086" s="165" t="s">
        <v>3060</v>
      </c>
    </row>
    <row r="5087" customFormat="false" ht="15" hidden="false" customHeight="true" outlineLevel="0" collapsed="false">
      <c r="A5087" s="163" t="s">
        <v>3043</v>
      </c>
      <c r="B5087" s="163" t="s">
        <v>691</v>
      </c>
      <c r="C5087" s="163" t="s">
        <v>9064</v>
      </c>
      <c r="D5087" s="163" t="s">
        <v>9065</v>
      </c>
      <c r="E5087" s="164" t="n">
        <v>10000</v>
      </c>
      <c r="F5087" s="165" t="s">
        <v>3060</v>
      </c>
    </row>
    <row r="5088" customFormat="false" ht="15" hidden="false" customHeight="true" outlineLevel="0" collapsed="false">
      <c r="A5088" s="163" t="s">
        <v>3043</v>
      </c>
      <c r="B5088" s="163" t="s">
        <v>691</v>
      </c>
      <c r="C5088" s="163" t="s">
        <v>4087</v>
      </c>
      <c r="D5088" s="163" t="s">
        <v>4088</v>
      </c>
      <c r="E5088" s="164" t="n">
        <v>10000</v>
      </c>
      <c r="F5088" s="165" t="s">
        <v>3060</v>
      </c>
    </row>
    <row r="5089" customFormat="false" ht="15" hidden="false" customHeight="true" outlineLevel="0" collapsed="false">
      <c r="A5089" s="163" t="s">
        <v>3043</v>
      </c>
      <c r="B5089" s="163" t="s">
        <v>691</v>
      </c>
      <c r="C5089" s="163" t="s">
        <v>7256</v>
      </c>
      <c r="D5089" s="163" t="s">
        <v>7257</v>
      </c>
      <c r="E5089" s="164" t="n">
        <v>10000</v>
      </c>
      <c r="F5089" s="165" t="s">
        <v>3060</v>
      </c>
    </row>
    <row r="5090" customFormat="false" ht="15" hidden="false" customHeight="true" outlineLevel="0" collapsed="false">
      <c r="A5090" s="163" t="s">
        <v>3043</v>
      </c>
      <c r="B5090" s="163" t="s">
        <v>691</v>
      </c>
      <c r="C5090" s="163" t="s">
        <v>3395</v>
      </c>
      <c r="D5090" s="163" t="s">
        <v>3396</v>
      </c>
      <c r="E5090" s="164" t="n">
        <v>10000</v>
      </c>
      <c r="F5090" s="165" t="s">
        <v>3060</v>
      </c>
    </row>
    <row r="5091" customFormat="false" ht="15" hidden="false" customHeight="true" outlineLevel="0" collapsed="false">
      <c r="A5091" s="163" t="s">
        <v>3043</v>
      </c>
      <c r="B5091" s="163" t="s">
        <v>691</v>
      </c>
      <c r="C5091" s="163" t="s">
        <v>9066</v>
      </c>
      <c r="D5091" s="163" t="s">
        <v>9067</v>
      </c>
      <c r="E5091" s="164" t="n">
        <v>10000</v>
      </c>
      <c r="F5091" s="165" t="s">
        <v>3060</v>
      </c>
    </row>
    <row r="5092" customFormat="false" ht="15" hidden="false" customHeight="true" outlineLevel="0" collapsed="false">
      <c r="A5092" s="163" t="s">
        <v>3043</v>
      </c>
      <c r="B5092" s="163" t="s">
        <v>691</v>
      </c>
      <c r="C5092" s="163" t="s">
        <v>3416</v>
      </c>
      <c r="D5092" s="163" t="s">
        <v>3417</v>
      </c>
      <c r="E5092" s="164" t="n">
        <v>10000</v>
      </c>
      <c r="F5092" s="165" t="s">
        <v>3060</v>
      </c>
    </row>
    <row r="5093" customFormat="false" ht="15" hidden="false" customHeight="true" outlineLevel="0" collapsed="false">
      <c r="A5093" s="163" t="s">
        <v>3043</v>
      </c>
      <c r="B5093" s="163" t="s">
        <v>691</v>
      </c>
      <c r="C5093" s="163" t="s">
        <v>473</v>
      </c>
      <c r="D5093" s="163" t="s">
        <v>2764</v>
      </c>
      <c r="E5093" s="164" t="n">
        <v>10000</v>
      </c>
      <c r="F5093" s="165" t="s">
        <v>3060</v>
      </c>
    </row>
    <row r="5094" customFormat="false" ht="15" hidden="false" customHeight="true" outlineLevel="0" collapsed="false">
      <c r="A5094" s="163" t="s">
        <v>3043</v>
      </c>
      <c r="B5094" s="163" t="s">
        <v>2027</v>
      </c>
      <c r="C5094" s="163" t="s">
        <v>4112</v>
      </c>
      <c r="D5094" s="163" t="s">
        <v>4113</v>
      </c>
      <c r="E5094" s="164" t="n">
        <v>30000</v>
      </c>
      <c r="F5094" s="165" t="s">
        <v>3060</v>
      </c>
    </row>
    <row r="5095" customFormat="false" ht="15" hidden="false" customHeight="true" outlineLevel="0" collapsed="false">
      <c r="A5095" s="163" t="s">
        <v>3043</v>
      </c>
      <c r="B5095" s="163" t="s">
        <v>2027</v>
      </c>
      <c r="C5095" s="163" t="s">
        <v>9068</v>
      </c>
      <c r="D5095" s="163" t="s">
        <v>9069</v>
      </c>
      <c r="E5095" s="164" t="n">
        <v>20000</v>
      </c>
      <c r="F5095" s="165" t="s">
        <v>3060</v>
      </c>
    </row>
    <row r="5096" customFormat="false" ht="15" hidden="false" customHeight="true" outlineLevel="0" collapsed="false">
      <c r="A5096" s="163" t="s">
        <v>3043</v>
      </c>
      <c r="B5096" s="163" t="s">
        <v>2027</v>
      </c>
      <c r="C5096" s="163" t="s">
        <v>4420</v>
      </c>
      <c r="D5096" s="163" t="s">
        <v>4421</v>
      </c>
      <c r="E5096" s="164" t="n">
        <v>20000</v>
      </c>
      <c r="F5096" s="165" t="s">
        <v>3060</v>
      </c>
    </row>
    <row r="5097" customFormat="false" ht="15" hidden="false" customHeight="true" outlineLevel="0" collapsed="false">
      <c r="A5097" s="163" t="s">
        <v>3043</v>
      </c>
      <c r="B5097" s="163" t="s">
        <v>2027</v>
      </c>
      <c r="C5097" s="163" t="s">
        <v>4202</v>
      </c>
      <c r="D5097" s="163" t="s">
        <v>4203</v>
      </c>
      <c r="E5097" s="164" t="n">
        <v>20000</v>
      </c>
      <c r="F5097" s="165" t="s">
        <v>3060</v>
      </c>
    </row>
    <row r="5098" customFormat="false" ht="15" hidden="false" customHeight="true" outlineLevel="0" collapsed="false">
      <c r="A5098" s="163" t="s">
        <v>3043</v>
      </c>
      <c r="B5098" s="163" t="s">
        <v>2037</v>
      </c>
      <c r="C5098" s="163" t="s">
        <v>240</v>
      </c>
      <c r="D5098" s="163" t="s">
        <v>2418</v>
      </c>
      <c r="E5098" s="164" t="n">
        <v>85000</v>
      </c>
      <c r="F5098" s="165" t="s">
        <v>3060</v>
      </c>
    </row>
    <row r="5099" customFormat="false" ht="15" hidden="false" customHeight="true" outlineLevel="0" collapsed="false">
      <c r="A5099" s="163" t="s">
        <v>3043</v>
      </c>
      <c r="B5099" s="163" t="s">
        <v>2037</v>
      </c>
      <c r="C5099" s="163" t="s">
        <v>4173</v>
      </c>
      <c r="D5099" s="163" t="s">
        <v>4174</v>
      </c>
      <c r="E5099" s="164" t="n">
        <v>45000</v>
      </c>
      <c r="F5099" s="165" t="s">
        <v>3060</v>
      </c>
    </row>
    <row r="5100" customFormat="false" ht="15" hidden="false" customHeight="true" outlineLevel="0" collapsed="false">
      <c r="A5100" s="163" t="s">
        <v>3043</v>
      </c>
      <c r="B5100" s="163" t="s">
        <v>2037</v>
      </c>
      <c r="C5100" s="163" t="s">
        <v>6743</v>
      </c>
      <c r="D5100" s="163" t="s">
        <v>6744</v>
      </c>
      <c r="E5100" s="164" t="n">
        <v>40000</v>
      </c>
      <c r="F5100" s="165" t="s">
        <v>3060</v>
      </c>
    </row>
    <row r="5101" customFormat="false" ht="15" hidden="false" customHeight="true" outlineLevel="0" collapsed="false">
      <c r="A5101" s="163" t="s">
        <v>3043</v>
      </c>
      <c r="B5101" s="163" t="s">
        <v>2037</v>
      </c>
      <c r="C5101" s="163" t="s">
        <v>3170</v>
      </c>
      <c r="D5101" s="163" t="s">
        <v>3171</v>
      </c>
      <c r="E5101" s="164" t="n">
        <v>10000</v>
      </c>
      <c r="F5101" s="165" t="s">
        <v>3060</v>
      </c>
    </row>
    <row r="5102" customFormat="false" ht="15" hidden="false" customHeight="true" outlineLevel="0" collapsed="false">
      <c r="A5102" s="163" t="s">
        <v>3043</v>
      </c>
      <c r="B5102" s="163" t="s">
        <v>2037</v>
      </c>
      <c r="C5102" s="163" t="s">
        <v>7290</v>
      </c>
      <c r="D5102" s="163" t="s">
        <v>7291</v>
      </c>
      <c r="E5102" s="164" t="n">
        <v>10000</v>
      </c>
      <c r="F5102" s="165" t="s">
        <v>3060</v>
      </c>
    </row>
    <row r="5103" customFormat="false" ht="15" hidden="false" customHeight="true" outlineLevel="0" collapsed="false">
      <c r="A5103" s="163" t="s">
        <v>3043</v>
      </c>
      <c r="B5103" s="163" t="s">
        <v>2037</v>
      </c>
      <c r="C5103" s="163" t="s">
        <v>4452</v>
      </c>
      <c r="D5103" s="163" t="s">
        <v>4453</v>
      </c>
      <c r="E5103" s="164" t="n">
        <v>10000</v>
      </c>
      <c r="F5103" s="165" t="s">
        <v>3060</v>
      </c>
    </row>
    <row r="5104" customFormat="false" ht="15" hidden="false" customHeight="true" outlineLevel="0" collapsed="false">
      <c r="A5104" s="163" t="s">
        <v>3043</v>
      </c>
      <c r="B5104" s="163" t="s">
        <v>2037</v>
      </c>
      <c r="C5104" s="163" t="s">
        <v>9070</v>
      </c>
      <c r="D5104" s="163" t="s">
        <v>9071</v>
      </c>
      <c r="E5104" s="164" t="n">
        <v>10000</v>
      </c>
      <c r="F5104" s="165" t="s">
        <v>3060</v>
      </c>
    </row>
    <row r="5105" customFormat="false" ht="15" hidden="false" customHeight="true" outlineLevel="0" collapsed="false">
      <c r="A5105" s="163" t="s">
        <v>3043</v>
      </c>
      <c r="B5105" s="163" t="s">
        <v>2037</v>
      </c>
      <c r="C5105" s="163" t="s">
        <v>3116</v>
      </c>
      <c r="D5105" s="163" t="s">
        <v>3117</v>
      </c>
      <c r="E5105" s="164" t="n">
        <v>10000</v>
      </c>
      <c r="F5105" s="165" t="s">
        <v>3060</v>
      </c>
    </row>
    <row r="5106" customFormat="false" ht="15" hidden="false" customHeight="true" outlineLevel="0" collapsed="false">
      <c r="A5106" s="163" t="s">
        <v>3043</v>
      </c>
      <c r="B5106" s="163" t="s">
        <v>2037</v>
      </c>
      <c r="C5106" s="163" t="s">
        <v>8667</v>
      </c>
      <c r="D5106" s="163" t="s">
        <v>8668</v>
      </c>
      <c r="E5106" s="164" t="n">
        <v>5000</v>
      </c>
      <c r="F5106" s="165" t="s">
        <v>3060</v>
      </c>
    </row>
    <row r="5107" customFormat="false" ht="15" hidden="false" customHeight="true" outlineLevel="0" collapsed="false">
      <c r="A5107" s="163" t="s">
        <v>3043</v>
      </c>
      <c r="B5107" s="163" t="s">
        <v>894</v>
      </c>
      <c r="C5107" s="163" t="s">
        <v>452</v>
      </c>
      <c r="D5107" s="163" t="s">
        <v>2102</v>
      </c>
      <c r="E5107" s="164" t="n">
        <v>45000</v>
      </c>
      <c r="F5107" s="165" t="s">
        <v>9072</v>
      </c>
    </row>
    <row r="5108" customFormat="false" ht="15" hidden="false" customHeight="true" outlineLevel="0" collapsed="false">
      <c r="A5108" s="163" t="s">
        <v>3043</v>
      </c>
      <c r="B5108" s="163" t="s">
        <v>894</v>
      </c>
      <c r="C5108" s="163" t="s">
        <v>4784</v>
      </c>
      <c r="D5108" s="163" t="s">
        <v>4785</v>
      </c>
      <c r="E5108" s="164" t="n">
        <v>30000</v>
      </c>
      <c r="F5108" s="165" t="s">
        <v>9073</v>
      </c>
    </row>
    <row r="5109" customFormat="false" ht="15" hidden="false" customHeight="true" outlineLevel="0" collapsed="false">
      <c r="A5109" s="163" t="s">
        <v>3043</v>
      </c>
      <c r="B5109" s="163" t="s">
        <v>894</v>
      </c>
      <c r="C5109" s="163" t="s">
        <v>4781</v>
      </c>
      <c r="D5109" s="163" t="s">
        <v>4782</v>
      </c>
      <c r="E5109" s="164" t="n">
        <v>25000</v>
      </c>
      <c r="F5109" s="165" t="s">
        <v>9074</v>
      </c>
    </row>
    <row r="5110" customFormat="false" ht="15" hidden="false" customHeight="true" outlineLevel="0" collapsed="false">
      <c r="A5110" s="163" t="s">
        <v>3043</v>
      </c>
      <c r="B5110" s="163" t="s">
        <v>894</v>
      </c>
      <c r="C5110" s="163" t="s">
        <v>4815</v>
      </c>
      <c r="D5110" s="163" t="s">
        <v>4816</v>
      </c>
      <c r="E5110" s="164" t="n">
        <v>20000</v>
      </c>
      <c r="F5110" s="165" t="s">
        <v>3060</v>
      </c>
    </row>
    <row r="5111" customFormat="false" ht="15" hidden="false" customHeight="true" outlineLevel="0" collapsed="false">
      <c r="A5111" s="163" t="s">
        <v>3043</v>
      </c>
      <c r="B5111" s="163" t="s">
        <v>894</v>
      </c>
      <c r="C5111" s="163" t="s">
        <v>9075</v>
      </c>
      <c r="D5111" s="163" t="s">
        <v>9076</v>
      </c>
      <c r="E5111" s="164" t="n">
        <v>20000</v>
      </c>
      <c r="F5111" s="165" t="s">
        <v>9036</v>
      </c>
    </row>
    <row r="5112" customFormat="false" ht="15" hidden="false" customHeight="true" outlineLevel="0" collapsed="false">
      <c r="A5112" s="163" t="s">
        <v>3043</v>
      </c>
      <c r="B5112" s="163" t="s">
        <v>894</v>
      </c>
      <c r="C5112" s="163" t="s">
        <v>7322</v>
      </c>
      <c r="D5112" s="163" t="s">
        <v>7323</v>
      </c>
      <c r="E5112" s="164" t="n">
        <v>20000</v>
      </c>
      <c r="F5112" s="165" t="s">
        <v>9036</v>
      </c>
    </row>
    <row r="5113" customFormat="false" ht="15" hidden="false" customHeight="true" outlineLevel="0" collapsed="false">
      <c r="A5113" s="163" t="s">
        <v>3043</v>
      </c>
      <c r="B5113" s="163" t="s">
        <v>894</v>
      </c>
      <c r="C5113" s="163" t="s">
        <v>6680</v>
      </c>
      <c r="D5113" s="163" t="s">
        <v>6681</v>
      </c>
      <c r="E5113" s="164" t="n">
        <v>20000</v>
      </c>
      <c r="F5113" s="165" t="s">
        <v>9077</v>
      </c>
    </row>
    <row r="5114" customFormat="false" ht="15" hidden="false" customHeight="true" outlineLevel="0" collapsed="false">
      <c r="A5114" s="163" t="s">
        <v>3043</v>
      </c>
      <c r="B5114" s="163" t="s">
        <v>894</v>
      </c>
      <c r="C5114" s="163" t="s">
        <v>4781</v>
      </c>
      <c r="D5114" s="163" t="s">
        <v>4782</v>
      </c>
      <c r="E5114" s="164" t="n">
        <v>17750</v>
      </c>
      <c r="F5114" s="165" t="s">
        <v>9078</v>
      </c>
    </row>
    <row r="5115" customFormat="false" ht="15" hidden="false" customHeight="true" outlineLevel="0" collapsed="false">
      <c r="A5115" s="163" t="s">
        <v>3043</v>
      </c>
      <c r="B5115" s="163" t="s">
        <v>894</v>
      </c>
      <c r="C5115" s="163" t="s">
        <v>9079</v>
      </c>
      <c r="D5115" s="163" t="s">
        <v>9080</v>
      </c>
      <c r="E5115" s="164" t="n">
        <v>15000</v>
      </c>
      <c r="F5115" s="165" t="s">
        <v>3060</v>
      </c>
    </row>
    <row r="5116" customFormat="false" ht="15" hidden="false" customHeight="true" outlineLevel="0" collapsed="false">
      <c r="A5116" s="163" t="s">
        <v>3043</v>
      </c>
      <c r="B5116" s="163" t="s">
        <v>894</v>
      </c>
      <c r="C5116" s="163" t="s">
        <v>5071</v>
      </c>
      <c r="D5116" s="163" t="s">
        <v>5072</v>
      </c>
      <c r="E5116" s="164" t="n">
        <v>15000</v>
      </c>
      <c r="F5116" s="165" t="s">
        <v>9036</v>
      </c>
    </row>
    <row r="5117" customFormat="false" ht="15" hidden="false" customHeight="true" outlineLevel="0" collapsed="false">
      <c r="A5117" s="163" t="s">
        <v>3043</v>
      </c>
      <c r="B5117" s="163" t="s">
        <v>894</v>
      </c>
      <c r="C5117" s="163" t="s">
        <v>197</v>
      </c>
      <c r="D5117" s="163" t="s">
        <v>1931</v>
      </c>
      <c r="E5117" s="164" t="n">
        <v>11000</v>
      </c>
      <c r="F5117" s="165" t="s">
        <v>9036</v>
      </c>
    </row>
    <row r="5118" customFormat="false" ht="15" hidden="false" customHeight="true" outlineLevel="0" collapsed="false">
      <c r="A5118" s="163" t="s">
        <v>3043</v>
      </c>
      <c r="B5118" s="163" t="s">
        <v>894</v>
      </c>
      <c r="C5118" s="163" t="s">
        <v>7328</v>
      </c>
      <c r="D5118" s="163" t="s">
        <v>7329</v>
      </c>
      <c r="E5118" s="164" t="n">
        <v>10000</v>
      </c>
      <c r="F5118" s="165" t="s">
        <v>9081</v>
      </c>
    </row>
    <row r="5119" customFormat="false" ht="15" hidden="false" customHeight="true" outlineLevel="0" collapsed="false">
      <c r="A5119" s="163" t="s">
        <v>3043</v>
      </c>
      <c r="B5119" s="163" t="s">
        <v>894</v>
      </c>
      <c r="C5119" s="163" t="s">
        <v>9082</v>
      </c>
      <c r="D5119" s="163" t="s">
        <v>9083</v>
      </c>
      <c r="E5119" s="164" t="n">
        <v>10000</v>
      </c>
      <c r="F5119" s="165" t="s">
        <v>9036</v>
      </c>
    </row>
    <row r="5120" customFormat="false" ht="15" hidden="false" customHeight="true" outlineLevel="0" collapsed="false">
      <c r="A5120" s="163" t="s">
        <v>3043</v>
      </c>
      <c r="B5120" s="163" t="s">
        <v>894</v>
      </c>
      <c r="C5120" s="163" t="s">
        <v>3805</v>
      </c>
      <c r="D5120" s="163" t="s">
        <v>3806</v>
      </c>
      <c r="E5120" s="164" t="n">
        <v>8750</v>
      </c>
      <c r="F5120" s="165" t="s">
        <v>9036</v>
      </c>
    </row>
    <row r="5121" customFormat="false" ht="15" hidden="false" customHeight="true" outlineLevel="0" collapsed="false">
      <c r="A5121" s="163" t="s">
        <v>3043</v>
      </c>
      <c r="B5121" s="163" t="s">
        <v>894</v>
      </c>
      <c r="C5121" s="163" t="s">
        <v>7236</v>
      </c>
      <c r="D5121" s="163" t="s">
        <v>7237</v>
      </c>
      <c r="E5121" s="164" t="n">
        <v>8500</v>
      </c>
      <c r="F5121" s="165" t="s">
        <v>9036</v>
      </c>
    </row>
    <row r="5122" customFormat="false" ht="15" hidden="false" customHeight="true" outlineLevel="0" collapsed="false">
      <c r="A5122" s="163" t="s">
        <v>3043</v>
      </c>
      <c r="B5122" s="163" t="s">
        <v>894</v>
      </c>
      <c r="C5122" s="163" t="s">
        <v>4781</v>
      </c>
      <c r="D5122" s="163" t="s">
        <v>4782</v>
      </c>
      <c r="E5122" s="164" t="n">
        <v>7500</v>
      </c>
      <c r="F5122" s="165" t="s">
        <v>9036</v>
      </c>
    </row>
    <row r="5123" customFormat="false" ht="15" hidden="false" customHeight="true" outlineLevel="0" collapsed="false">
      <c r="A5123" s="163" t="s">
        <v>3043</v>
      </c>
      <c r="B5123" s="163" t="s">
        <v>894</v>
      </c>
      <c r="C5123" s="163" t="s">
        <v>9084</v>
      </c>
      <c r="D5123" s="163" t="s">
        <v>9085</v>
      </c>
      <c r="E5123" s="164" t="n">
        <v>7500</v>
      </c>
      <c r="F5123" s="165" t="s">
        <v>9036</v>
      </c>
    </row>
    <row r="5124" customFormat="false" ht="15" hidden="false" customHeight="true" outlineLevel="0" collapsed="false">
      <c r="A5124" s="163" t="s">
        <v>3043</v>
      </c>
      <c r="B5124" s="163" t="s">
        <v>894</v>
      </c>
      <c r="C5124" s="163" t="s">
        <v>7365</v>
      </c>
      <c r="D5124" s="163" t="s">
        <v>7366</v>
      </c>
      <c r="E5124" s="164" t="n">
        <v>7500</v>
      </c>
      <c r="F5124" s="165" t="s">
        <v>9036</v>
      </c>
    </row>
    <row r="5125" customFormat="false" ht="15" hidden="false" customHeight="true" outlineLevel="0" collapsed="false">
      <c r="A5125" s="163" t="s">
        <v>3043</v>
      </c>
      <c r="B5125" s="163" t="s">
        <v>894</v>
      </c>
      <c r="C5125" s="163" t="s">
        <v>3805</v>
      </c>
      <c r="D5125" s="163" t="s">
        <v>3806</v>
      </c>
      <c r="E5125" s="164" t="n">
        <v>7000</v>
      </c>
      <c r="F5125" s="165" t="s">
        <v>4780</v>
      </c>
    </row>
    <row r="5126" customFormat="false" ht="15" hidden="false" customHeight="true" outlineLevel="0" collapsed="false">
      <c r="A5126" s="163" t="s">
        <v>3043</v>
      </c>
      <c r="B5126" s="163" t="s">
        <v>894</v>
      </c>
      <c r="C5126" s="163" t="s">
        <v>7239</v>
      </c>
      <c r="D5126" s="163" t="s">
        <v>7240</v>
      </c>
      <c r="E5126" s="164" t="n">
        <v>5000</v>
      </c>
      <c r="F5126" s="165" t="s">
        <v>9086</v>
      </c>
    </row>
    <row r="5127" customFormat="false" ht="15" hidden="false" customHeight="true" outlineLevel="0" collapsed="false">
      <c r="A5127" s="163" t="s">
        <v>3043</v>
      </c>
      <c r="B5127" s="163" t="s">
        <v>894</v>
      </c>
      <c r="C5127" s="163" t="s">
        <v>4781</v>
      </c>
      <c r="D5127" s="163" t="s">
        <v>4782</v>
      </c>
      <c r="E5127" s="164" t="n">
        <v>5000</v>
      </c>
      <c r="F5127" s="165" t="s">
        <v>9087</v>
      </c>
    </row>
    <row r="5128" customFormat="false" ht="15" hidden="false" customHeight="true" outlineLevel="0" collapsed="false">
      <c r="A5128" s="163" t="s">
        <v>3043</v>
      </c>
      <c r="B5128" s="163" t="s">
        <v>894</v>
      </c>
      <c r="C5128" s="163" t="s">
        <v>6782</v>
      </c>
      <c r="D5128" s="163" t="s">
        <v>6783</v>
      </c>
      <c r="E5128" s="164" t="n">
        <v>5000</v>
      </c>
      <c r="F5128" s="165" t="s">
        <v>9036</v>
      </c>
    </row>
    <row r="5129" customFormat="false" ht="15" hidden="false" customHeight="true" outlineLevel="0" collapsed="false">
      <c r="A5129" s="163" t="s">
        <v>3043</v>
      </c>
      <c r="B5129" s="163" t="s">
        <v>894</v>
      </c>
      <c r="C5129" s="163" t="s">
        <v>3112</v>
      </c>
      <c r="D5129" s="163" t="s">
        <v>3113</v>
      </c>
      <c r="E5129" s="164" t="n">
        <v>5000</v>
      </c>
      <c r="F5129" s="165" t="s">
        <v>9088</v>
      </c>
    </row>
    <row r="5130" customFormat="false" ht="15" hidden="false" customHeight="true" outlineLevel="0" collapsed="false">
      <c r="A5130" s="163" t="s">
        <v>3043</v>
      </c>
      <c r="B5130" s="163" t="s">
        <v>894</v>
      </c>
      <c r="C5130" s="163" t="s">
        <v>3357</v>
      </c>
      <c r="D5130" s="163" t="s">
        <v>3358</v>
      </c>
      <c r="E5130" s="164" t="n">
        <v>5000</v>
      </c>
      <c r="F5130" s="165" t="s">
        <v>9036</v>
      </c>
    </row>
    <row r="5131" customFormat="false" ht="15" hidden="false" customHeight="true" outlineLevel="0" collapsed="false">
      <c r="A5131" s="163" t="s">
        <v>3043</v>
      </c>
      <c r="B5131" s="163" t="s">
        <v>894</v>
      </c>
      <c r="C5131" s="163" t="s">
        <v>7246</v>
      </c>
      <c r="D5131" s="163" t="s">
        <v>7247</v>
      </c>
      <c r="E5131" s="164" t="n">
        <v>5000</v>
      </c>
      <c r="F5131" s="165" t="s">
        <v>9089</v>
      </c>
    </row>
    <row r="5132" customFormat="false" ht="15" hidden="false" customHeight="true" outlineLevel="0" collapsed="false">
      <c r="A5132" s="163" t="s">
        <v>3043</v>
      </c>
      <c r="B5132" s="163" t="s">
        <v>894</v>
      </c>
      <c r="C5132" s="163" t="s">
        <v>6813</v>
      </c>
      <c r="D5132" s="163" t="s">
        <v>6814</v>
      </c>
      <c r="E5132" s="164" t="n">
        <v>5000</v>
      </c>
      <c r="F5132" s="165" t="s">
        <v>9036</v>
      </c>
    </row>
    <row r="5133" customFormat="false" ht="15" hidden="false" customHeight="true" outlineLevel="0" collapsed="false">
      <c r="A5133" s="163" t="s">
        <v>3043</v>
      </c>
      <c r="B5133" s="163" t="s">
        <v>894</v>
      </c>
      <c r="C5133" s="163" t="s">
        <v>5343</v>
      </c>
      <c r="D5133" s="163" t="s">
        <v>5344</v>
      </c>
      <c r="E5133" s="164" t="n">
        <v>5000</v>
      </c>
      <c r="F5133" s="165" t="s">
        <v>9090</v>
      </c>
    </row>
    <row r="5134" customFormat="false" ht="15" hidden="false" customHeight="true" outlineLevel="0" collapsed="false">
      <c r="A5134" s="163" t="s">
        <v>3043</v>
      </c>
      <c r="B5134" s="163" t="s">
        <v>894</v>
      </c>
      <c r="C5134" s="163" t="s">
        <v>9082</v>
      </c>
      <c r="D5134" s="163" t="s">
        <v>9083</v>
      </c>
      <c r="E5134" s="164" t="n">
        <v>5000</v>
      </c>
      <c r="F5134" s="165" t="s">
        <v>9091</v>
      </c>
    </row>
    <row r="5135" customFormat="false" ht="15" hidden="false" customHeight="true" outlineLevel="0" collapsed="false">
      <c r="A5135" s="163" t="s">
        <v>3043</v>
      </c>
      <c r="B5135" s="163" t="s">
        <v>894</v>
      </c>
      <c r="C5135" s="163" t="s">
        <v>7358</v>
      </c>
      <c r="D5135" s="163" t="s">
        <v>7359</v>
      </c>
      <c r="E5135" s="164" t="n">
        <v>5000</v>
      </c>
      <c r="F5135" s="165" t="s">
        <v>9092</v>
      </c>
    </row>
    <row r="5136" customFormat="false" ht="15" hidden="false" customHeight="true" outlineLevel="0" collapsed="false">
      <c r="A5136" s="163" t="s">
        <v>3043</v>
      </c>
      <c r="B5136" s="163" t="s">
        <v>894</v>
      </c>
      <c r="C5136" s="163" t="s">
        <v>4874</v>
      </c>
      <c r="D5136" s="163" t="s">
        <v>4875</v>
      </c>
      <c r="E5136" s="164" t="n">
        <v>5000</v>
      </c>
      <c r="F5136" s="165" t="s">
        <v>9093</v>
      </c>
    </row>
    <row r="5137" customFormat="false" ht="15" hidden="false" customHeight="true" outlineLevel="0" collapsed="false">
      <c r="A5137" s="163" t="s">
        <v>3043</v>
      </c>
      <c r="B5137" s="163" t="s">
        <v>894</v>
      </c>
      <c r="C5137" s="163" t="s">
        <v>3395</v>
      </c>
      <c r="D5137" s="163" t="s">
        <v>3396</v>
      </c>
      <c r="E5137" s="164" t="n">
        <v>5000</v>
      </c>
      <c r="F5137" s="165" t="s">
        <v>9094</v>
      </c>
    </row>
    <row r="5138" customFormat="false" ht="15" hidden="false" customHeight="true" outlineLevel="0" collapsed="false">
      <c r="A5138" s="163" t="s">
        <v>3043</v>
      </c>
      <c r="B5138" s="163" t="s">
        <v>894</v>
      </c>
      <c r="C5138" s="163" t="s">
        <v>9095</v>
      </c>
      <c r="D5138" s="163" t="s">
        <v>9096</v>
      </c>
      <c r="E5138" s="164" t="n">
        <v>5000</v>
      </c>
      <c r="F5138" s="165" t="s">
        <v>9097</v>
      </c>
    </row>
    <row r="5139" customFormat="false" ht="15" hidden="false" customHeight="true" outlineLevel="0" collapsed="false">
      <c r="A5139" s="163" t="s">
        <v>3043</v>
      </c>
      <c r="B5139" s="163" t="s">
        <v>894</v>
      </c>
      <c r="C5139" s="163" t="s">
        <v>9098</v>
      </c>
      <c r="D5139" s="163" t="s">
        <v>9099</v>
      </c>
      <c r="E5139" s="164" t="n">
        <v>5000</v>
      </c>
      <c r="F5139" s="165" t="s">
        <v>9036</v>
      </c>
    </row>
    <row r="5140" customFormat="false" ht="15" hidden="false" customHeight="true" outlineLevel="0" collapsed="false">
      <c r="A5140" s="163" t="s">
        <v>3043</v>
      </c>
      <c r="B5140" s="163" t="s">
        <v>894</v>
      </c>
      <c r="C5140" s="163" t="s">
        <v>8972</v>
      </c>
      <c r="D5140" s="163" t="s">
        <v>8973</v>
      </c>
      <c r="E5140" s="164" t="n">
        <v>5000</v>
      </c>
      <c r="F5140" s="165" t="s">
        <v>3060</v>
      </c>
    </row>
    <row r="5141" customFormat="false" ht="15" hidden="false" customHeight="true" outlineLevel="0" collapsed="false">
      <c r="A5141" s="163" t="s">
        <v>3043</v>
      </c>
      <c r="B5141" s="163" t="s">
        <v>894</v>
      </c>
      <c r="C5141" s="163" t="s">
        <v>6683</v>
      </c>
      <c r="D5141" s="163" t="s">
        <v>6684</v>
      </c>
      <c r="E5141" s="164" t="n">
        <v>5000</v>
      </c>
      <c r="F5141" s="165" t="s">
        <v>9100</v>
      </c>
    </row>
    <row r="5142" customFormat="false" ht="15" hidden="false" customHeight="true" outlineLevel="0" collapsed="false">
      <c r="A5142" s="163" t="s">
        <v>3043</v>
      </c>
      <c r="B5142" s="163" t="s">
        <v>894</v>
      </c>
      <c r="C5142" s="163" t="s">
        <v>7256</v>
      </c>
      <c r="D5142" s="163" t="s">
        <v>7257</v>
      </c>
      <c r="E5142" s="164" t="n">
        <v>2500</v>
      </c>
      <c r="F5142" s="165" t="s">
        <v>9036</v>
      </c>
    </row>
    <row r="5143" customFormat="false" ht="15" hidden="false" customHeight="true" outlineLevel="0" collapsed="false">
      <c r="A5143" s="163" t="s">
        <v>3043</v>
      </c>
      <c r="B5143" s="163" t="s">
        <v>894</v>
      </c>
      <c r="C5143" s="163" t="s">
        <v>925</v>
      </c>
      <c r="D5143" s="163" t="s">
        <v>1931</v>
      </c>
      <c r="E5143" s="164" t="n">
        <v>2000</v>
      </c>
      <c r="F5143" s="165" t="s">
        <v>9101</v>
      </c>
    </row>
    <row r="5144" customFormat="false" ht="15" hidden="false" customHeight="true" outlineLevel="0" collapsed="false">
      <c r="A5144" s="163" t="s">
        <v>3043</v>
      </c>
      <c r="B5144" s="163" t="s">
        <v>894</v>
      </c>
      <c r="C5144" s="163" t="s">
        <v>925</v>
      </c>
      <c r="D5144" s="163" t="s">
        <v>1931</v>
      </c>
      <c r="E5144" s="164" t="n">
        <v>2000</v>
      </c>
      <c r="F5144" s="165" t="s">
        <v>9102</v>
      </c>
    </row>
    <row r="5145" customFormat="false" ht="15" hidden="false" customHeight="true" outlineLevel="0" collapsed="false">
      <c r="A5145" s="163" t="s">
        <v>3043</v>
      </c>
      <c r="B5145" s="163" t="s">
        <v>894</v>
      </c>
      <c r="C5145" s="163" t="s">
        <v>925</v>
      </c>
      <c r="D5145" s="163" t="s">
        <v>1931</v>
      </c>
      <c r="E5145" s="164" t="n">
        <v>2000</v>
      </c>
      <c r="F5145" s="165" t="s">
        <v>9103</v>
      </c>
    </row>
    <row r="5146" customFormat="false" ht="15" hidden="false" customHeight="true" outlineLevel="0" collapsed="false">
      <c r="A5146" s="163" t="s">
        <v>3043</v>
      </c>
      <c r="B5146" s="163" t="s">
        <v>894</v>
      </c>
      <c r="C5146" s="163" t="s">
        <v>925</v>
      </c>
      <c r="D5146" s="163" t="s">
        <v>1931</v>
      </c>
      <c r="E5146" s="164" t="n">
        <v>2000</v>
      </c>
      <c r="F5146" s="165" t="s">
        <v>9104</v>
      </c>
    </row>
    <row r="5147" customFormat="false" ht="15" hidden="false" customHeight="true" outlineLevel="0" collapsed="false">
      <c r="A5147" s="163" t="s">
        <v>3043</v>
      </c>
      <c r="B5147" s="163" t="s">
        <v>894</v>
      </c>
      <c r="C5147" s="163" t="s">
        <v>925</v>
      </c>
      <c r="D5147" s="163" t="s">
        <v>1931</v>
      </c>
      <c r="E5147" s="164" t="n">
        <v>2000</v>
      </c>
      <c r="F5147" s="165" t="s">
        <v>9105</v>
      </c>
    </row>
    <row r="5148" customFormat="false" ht="15" hidden="false" customHeight="true" outlineLevel="0" collapsed="false">
      <c r="A5148" s="163" t="s">
        <v>3043</v>
      </c>
      <c r="B5148" s="163" t="s">
        <v>894</v>
      </c>
      <c r="C5148" s="163" t="s">
        <v>925</v>
      </c>
      <c r="D5148" s="163" t="s">
        <v>1931</v>
      </c>
      <c r="E5148" s="164" t="n">
        <v>2000</v>
      </c>
      <c r="F5148" s="165" t="s">
        <v>9106</v>
      </c>
    </row>
    <row r="5149" customFormat="false" ht="15" hidden="false" customHeight="true" outlineLevel="0" collapsed="false">
      <c r="A5149" s="163" t="s">
        <v>3043</v>
      </c>
      <c r="B5149" s="163" t="s">
        <v>882</v>
      </c>
      <c r="C5149" s="163" t="s">
        <v>2759</v>
      </c>
      <c r="D5149" s="163" t="s">
        <v>2760</v>
      </c>
      <c r="E5149" s="164" t="n">
        <v>110000</v>
      </c>
      <c r="F5149" s="165" t="s">
        <v>3060</v>
      </c>
    </row>
    <row r="5150" customFormat="false" ht="15" hidden="false" customHeight="true" outlineLevel="0" collapsed="false">
      <c r="A5150" s="163" t="s">
        <v>3043</v>
      </c>
      <c r="B5150" s="163" t="s">
        <v>882</v>
      </c>
      <c r="C5150" s="163" t="s">
        <v>9107</v>
      </c>
      <c r="D5150" s="163" t="s">
        <v>9108</v>
      </c>
      <c r="E5150" s="164" t="n">
        <v>40000</v>
      </c>
      <c r="F5150" s="165" t="s">
        <v>3060</v>
      </c>
    </row>
    <row r="5151" customFormat="false" ht="15" hidden="false" customHeight="true" outlineLevel="0" collapsed="false">
      <c r="A5151" s="163" t="s">
        <v>3043</v>
      </c>
      <c r="B5151" s="163" t="s">
        <v>882</v>
      </c>
      <c r="C5151" s="163" t="s">
        <v>3112</v>
      </c>
      <c r="D5151" s="163" t="s">
        <v>3113</v>
      </c>
      <c r="E5151" s="164" t="n">
        <v>40000</v>
      </c>
      <c r="F5151" s="165" t="s">
        <v>3060</v>
      </c>
    </row>
    <row r="5152" customFormat="false" ht="15" hidden="false" customHeight="true" outlineLevel="0" collapsed="false">
      <c r="A5152" s="163" t="s">
        <v>3043</v>
      </c>
      <c r="B5152" s="163" t="s">
        <v>882</v>
      </c>
      <c r="C5152" s="163" t="s">
        <v>640</v>
      </c>
      <c r="D5152" s="163" t="s">
        <v>1931</v>
      </c>
      <c r="E5152" s="164" t="n">
        <v>40000</v>
      </c>
      <c r="F5152" s="165" t="s">
        <v>3060</v>
      </c>
    </row>
    <row r="5153" customFormat="false" ht="15" hidden="false" customHeight="true" outlineLevel="0" collapsed="false">
      <c r="A5153" s="163" t="s">
        <v>3043</v>
      </c>
      <c r="B5153" s="163" t="s">
        <v>2328</v>
      </c>
      <c r="C5153" s="163" t="s">
        <v>9107</v>
      </c>
      <c r="D5153" s="163" t="s">
        <v>9108</v>
      </c>
      <c r="E5153" s="164" t="n">
        <v>30000</v>
      </c>
      <c r="F5153" s="165" t="s">
        <v>3060</v>
      </c>
    </row>
    <row r="5154" customFormat="false" ht="15" hidden="false" customHeight="true" outlineLevel="0" collapsed="false">
      <c r="A5154" s="163" t="s">
        <v>3043</v>
      </c>
      <c r="B5154" s="163" t="s">
        <v>2328</v>
      </c>
      <c r="C5154" s="163" t="s">
        <v>1233</v>
      </c>
      <c r="D5154" s="163" t="s">
        <v>2151</v>
      </c>
      <c r="E5154" s="164" t="n">
        <v>20000</v>
      </c>
      <c r="F5154" s="165" t="s">
        <v>3060</v>
      </c>
    </row>
    <row r="5155" customFormat="false" ht="15" hidden="false" customHeight="true" outlineLevel="0" collapsed="false">
      <c r="A5155" s="163" t="s">
        <v>3043</v>
      </c>
      <c r="B5155" s="163" t="s">
        <v>2342</v>
      </c>
      <c r="C5155" s="163" t="s">
        <v>3956</v>
      </c>
      <c r="D5155" s="163" t="s">
        <v>3957</v>
      </c>
      <c r="E5155" s="164" t="n">
        <v>30000</v>
      </c>
      <c r="F5155" s="165" t="s">
        <v>3060</v>
      </c>
    </row>
    <row r="5156" customFormat="false" ht="15" hidden="false" customHeight="true" outlineLevel="0" collapsed="false">
      <c r="A5156" s="163" t="s">
        <v>3043</v>
      </c>
      <c r="B5156" s="163" t="s">
        <v>2342</v>
      </c>
      <c r="C5156" s="163" t="s">
        <v>4087</v>
      </c>
      <c r="D5156" s="163" t="s">
        <v>4088</v>
      </c>
      <c r="E5156" s="164" t="n">
        <v>30000</v>
      </c>
      <c r="F5156" s="165" t="s">
        <v>3060</v>
      </c>
    </row>
    <row r="5157" customFormat="false" ht="15" hidden="false" customHeight="true" outlineLevel="0" collapsed="false">
      <c r="A5157" s="163" t="s">
        <v>3043</v>
      </c>
      <c r="B5157" s="163" t="s">
        <v>2342</v>
      </c>
      <c r="C5157" s="163" t="s">
        <v>4002</v>
      </c>
      <c r="D5157" s="163" t="s">
        <v>4003</v>
      </c>
      <c r="E5157" s="164" t="n">
        <v>17500</v>
      </c>
      <c r="F5157" s="165" t="s">
        <v>3060</v>
      </c>
    </row>
    <row r="5158" customFormat="false" ht="15" hidden="false" customHeight="true" outlineLevel="0" collapsed="false">
      <c r="A5158" s="163" t="s">
        <v>3043</v>
      </c>
      <c r="B5158" s="163" t="s">
        <v>2342</v>
      </c>
      <c r="C5158" s="163" t="s">
        <v>230</v>
      </c>
      <c r="D5158" s="163" t="s">
        <v>2077</v>
      </c>
      <c r="E5158" s="164" t="n">
        <v>12500</v>
      </c>
      <c r="F5158" s="165" t="s">
        <v>3060</v>
      </c>
    </row>
    <row r="5159" customFormat="false" ht="15" hidden="false" customHeight="true" outlineLevel="0" collapsed="false">
      <c r="A5159" s="163" t="s">
        <v>3043</v>
      </c>
      <c r="B5159" s="163" t="s">
        <v>1743</v>
      </c>
      <c r="C5159" s="163" t="s">
        <v>4781</v>
      </c>
      <c r="D5159" s="163" t="s">
        <v>4782</v>
      </c>
      <c r="E5159" s="164" t="n">
        <v>77500</v>
      </c>
      <c r="F5159" s="165" t="s">
        <v>3060</v>
      </c>
    </row>
    <row r="5160" customFormat="false" ht="15" hidden="false" customHeight="true" outlineLevel="0" collapsed="false">
      <c r="A5160" s="163" t="s">
        <v>3043</v>
      </c>
      <c r="B5160" s="163" t="s">
        <v>1743</v>
      </c>
      <c r="C5160" s="163" t="s">
        <v>9034</v>
      </c>
      <c r="D5160" s="163" t="s">
        <v>9035</v>
      </c>
      <c r="E5160" s="164" t="n">
        <v>15000</v>
      </c>
      <c r="F5160" s="165" t="s">
        <v>3060</v>
      </c>
    </row>
    <row r="5161" customFormat="false" ht="15" hidden="false" customHeight="true" outlineLevel="0" collapsed="false">
      <c r="A5161" s="163" t="s">
        <v>3043</v>
      </c>
      <c r="B5161" s="163" t="s">
        <v>1743</v>
      </c>
      <c r="C5161" s="163" t="s">
        <v>4781</v>
      </c>
      <c r="D5161" s="163" t="s">
        <v>4782</v>
      </c>
      <c r="E5161" s="164" t="n">
        <v>15000</v>
      </c>
      <c r="F5161" s="165" t="s">
        <v>3060</v>
      </c>
    </row>
    <row r="5162" customFormat="false" ht="15" hidden="false" customHeight="true" outlineLevel="0" collapsed="false">
      <c r="A5162" s="163" t="s">
        <v>3043</v>
      </c>
      <c r="B5162" s="163" t="s">
        <v>1743</v>
      </c>
      <c r="C5162" s="163" t="s">
        <v>6692</v>
      </c>
      <c r="D5162" s="163" t="s">
        <v>6693</v>
      </c>
      <c r="E5162" s="164" t="n">
        <v>15000</v>
      </c>
      <c r="F5162" s="165" t="s">
        <v>3060</v>
      </c>
    </row>
    <row r="5163" customFormat="false" ht="15" hidden="false" customHeight="true" outlineLevel="0" collapsed="false">
      <c r="A5163" s="163" t="s">
        <v>3043</v>
      </c>
      <c r="B5163" s="163" t="s">
        <v>1743</v>
      </c>
      <c r="C5163" s="163" t="s">
        <v>4757</v>
      </c>
      <c r="D5163" s="163" t="s">
        <v>4758</v>
      </c>
      <c r="E5163" s="164" t="n">
        <v>15000</v>
      </c>
      <c r="F5163" s="165" t="s">
        <v>3060</v>
      </c>
    </row>
    <row r="5164" customFormat="false" ht="15" hidden="false" customHeight="true" outlineLevel="0" collapsed="false">
      <c r="A5164" s="163" t="s">
        <v>3043</v>
      </c>
      <c r="B5164" s="163" t="s">
        <v>1743</v>
      </c>
      <c r="C5164" s="163" t="s">
        <v>3805</v>
      </c>
      <c r="D5164" s="163" t="s">
        <v>3806</v>
      </c>
      <c r="E5164" s="164" t="n">
        <v>12500</v>
      </c>
      <c r="F5164" s="165" t="s">
        <v>3060</v>
      </c>
    </row>
    <row r="5165" customFormat="false" ht="15" hidden="false" customHeight="true" outlineLevel="0" collapsed="false">
      <c r="A5165" s="163" t="s">
        <v>3043</v>
      </c>
      <c r="B5165" s="163" t="s">
        <v>928</v>
      </c>
      <c r="C5165" s="163" t="s">
        <v>8150</v>
      </c>
      <c r="D5165" s="163" t="s">
        <v>8151</v>
      </c>
      <c r="E5165" s="164" t="n">
        <v>20000</v>
      </c>
      <c r="F5165" s="165" t="s">
        <v>9109</v>
      </c>
    </row>
    <row r="5166" customFormat="false" ht="15" hidden="false" customHeight="true" outlineLevel="0" collapsed="false">
      <c r="A5166" s="163" t="s">
        <v>3043</v>
      </c>
      <c r="B5166" s="163" t="s">
        <v>928</v>
      </c>
      <c r="C5166" s="163" t="s">
        <v>535</v>
      </c>
      <c r="D5166" s="163" t="s">
        <v>2232</v>
      </c>
      <c r="E5166" s="164" t="n">
        <v>20000</v>
      </c>
      <c r="F5166" s="165" t="s">
        <v>9036</v>
      </c>
    </row>
    <row r="5167" customFormat="false" ht="15" hidden="false" customHeight="true" outlineLevel="0" collapsed="false">
      <c r="A5167" s="163" t="s">
        <v>3043</v>
      </c>
      <c r="B5167" s="163" t="s">
        <v>928</v>
      </c>
      <c r="C5167" s="163" t="s">
        <v>4781</v>
      </c>
      <c r="D5167" s="163" t="s">
        <v>4782</v>
      </c>
      <c r="E5167" s="164" t="n">
        <v>15000</v>
      </c>
      <c r="F5167" s="165" t="s">
        <v>9078</v>
      </c>
    </row>
    <row r="5168" customFormat="false" ht="15" hidden="false" customHeight="true" outlineLevel="0" collapsed="false">
      <c r="A5168" s="163" t="s">
        <v>3043</v>
      </c>
      <c r="B5168" s="163" t="s">
        <v>928</v>
      </c>
      <c r="C5168" s="163" t="s">
        <v>4081</v>
      </c>
      <c r="D5168" s="163" t="s">
        <v>4082</v>
      </c>
      <c r="E5168" s="164" t="n">
        <v>15000</v>
      </c>
      <c r="F5168" s="165" t="s">
        <v>9110</v>
      </c>
    </row>
    <row r="5169" customFormat="false" ht="15" hidden="false" customHeight="true" outlineLevel="0" collapsed="false">
      <c r="A5169" s="163" t="s">
        <v>3043</v>
      </c>
      <c r="B5169" s="163" t="s">
        <v>928</v>
      </c>
      <c r="C5169" s="163" t="s">
        <v>4047</v>
      </c>
      <c r="D5169" s="163" t="s">
        <v>4048</v>
      </c>
      <c r="E5169" s="164" t="n">
        <v>10000</v>
      </c>
      <c r="F5169" s="165" t="s">
        <v>9111</v>
      </c>
    </row>
    <row r="5170" customFormat="false" ht="15" hidden="false" customHeight="true" outlineLevel="0" collapsed="false">
      <c r="A5170" s="163" t="s">
        <v>3043</v>
      </c>
      <c r="B5170" s="163" t="s">
        <v>928</v>
      </c>
      <c r="C5170" s="163" t="s">
        <v>3317</v>
      </c>
      <c r="D5170" s="163" t="s">
        <v>3318</v>
      </c>
      <c r="E5170" s="164" t="n">
        <v>10000</v>
      </c>
      <c r="F5170" s="165" t="s">
        <v>9036</v>
      </c>
    </row>
    <row r="5171" customFormat="false" ht="15" hidden="false" customHeight="true" outlineLevel="0" collapsed="false">
      <c r="A5171" s="163" t="s">
        <v>3043</v>
      </c>
      <c r="B5171" s="163" t="s">
        <v>928</v>
      </c>
      <c r="C5171" s="163" t="s">
        <v>962</v>
      </c>
      <c r="D5171" s="163" t="s">
        <v>7155</v>
      </c>
      <c r="E5171" s="164" t="n">
        <v>10000</v>
      </c>
      <c r="F5171" s="165" t="s">
        <v>7156</v>
      </c>
    </row>
    <row r="5172" customFormat="false" ht="15" hidden="false" customHeight="true" outlineLevel="0" collapsed="false">
      <c r="A5172" s="163" t="s">
        <v>3043</v>
      </c>
      <c r="B5172" s="163" t="s">
        <v>928</v>
      </c>
      <c r="C5172" s="163" t="s">
        <v>9112</v>
      </c>
      <c r="D5172" s="163" t="s">
        <v>9113</v>
      </c>
      <c r="E5172" s="164" t="n">
        <v>5000</v>
      </c>
      <c r="F5172" s="165" t="s">
        <v>9114</v>
      </c>
    </row>
    <row r="5173" customFormat="false" ht="15" hidden="false" customHeight="true" outlineLevel="0" collapsed="false">
      <c r="A5173" s="163" t="s">
        <v>3043</v>
      </c>
      <c r="B5173" s="163" t="s">
        <v>928</v>
      </c>
      <c r="C5173" s="163" t="s">
        <v>9115</v>
      </c>
      <c r="D5173" s="163" t="s">
        <v>9116</v>
      </c>
      <c r="E5173" s="164" t="n">
        <v>5000</v>
      </c>
      <c r="F5173" s="165" t="s">
        <v>9117</v>
      </c>
    </row>
    <row r="5174" customFormat="false" ht="15" hidden="false" customHeight="true" outlineLevel="0" collapsed="false">
      <c r="A5174" s="163" t="s">
        <v>3043</v>
      </c>
      <c r="B5174" s="163" t="s">
        <v>928</v>
      </c>
      <c r="C5174" s="163" t="s">
        <v>5116</v>
      </c>
      <c r="D5174" s="163" t="s">
        <v>5117</v>
      </c>
      <c r="E5174" s="164" t="n">
        <v>5000</v>
      </c>
      <c r="F5174" s="165" t="s">
        <v>9036</v>
      </c>
    </row>
    <row r="5175" customFormat="false" ht="15" hidden="false" customHeight="true" outlineLevel="0" collapsed="false">
      <c r="A5175" s="163" t="s">
        <v>3043</v>
      </c>
      <c r="B5175" s="163" t="s">
        <v>928</v>
      </c>
      <c r="C5175" s="163" t="s">
        <v>4191</v>
      </c>
      <c r="D5175" s="163" t="s">
        <v>4192</v>
      </c>
      <c r="E5175" s="164" t="n">
        <v>5000</v>
      </c>
      <c r="F5175" s="165" t="s">
        <v>9118</v>
      </c>
    </row>
    <row r="5176" customFormat="false" ht="15" hidden="false" customHeight="true" outlineLevel="0" collapsed="false">
      <c r="A5176" s="163" t="s">
        <v>3043</v>
      </c>
      <c r="B5176" s="163" t="s">
        <v>928</v>
      </c>
      <c r="C5176" s="163" t="s">
        <v>4874</v>
      </c>
      <c r="D5176" s="163" t="s">
        <v>4875</v>
      </c>
      <c r="E5176" s="164" t="n">
        <v>5000</v>
      </c>
      <c r="F5176" s="165" t="s">
        <v>9119</v>
      </c>
    </row>
    <row r="5177" customFormat="false" ht="15" hidden="false" customHeight="true" outlineLevel="0" collapsed="false">
      <c r="A5177" s="163" t="s">
        <v>3043</v>
      </c>
      <c r="B5177" s="163" t="s">
        <v>928</v>
      </c>
      <c r="C5177" s="163" t="s">
        <v>395</v>
      </c>
      <c r="D5177" s="163" t="s">
        <v>2196</v>
      </c>
      <c r="E5177" s="164" t="n">
        <v>5000</v>
      </c>
      <c r="F5177" s="165" t="s">
        <v>9036</v>
      </c>
    </row>
    <row r="5178" customFormat="false" ht="15" hidden="false" customHeight="true" outlineLevel="0" collapsed="false">
      <c r="A5178" s="163" t="s">
        <v>3043</v>
      </c>
      <c r="B5178" s="163" t="s">
        <v>928</v>
      </c>
      <c r="C5178" s="163" t="s">
        <v>3856</v>
      </c>
      <c r="D5178" s="163" t="s">
        <v>3857</v>
      </c>
      <c r="E5178" s="164" t="n">
        <v>5000</v>
      </c>
      <c r="F5178" s="165" t="s">
        <v>9036</v>
      </c>
    </row>
    <row r="5179" customFormat="false" ht="15" hidden="false" customHeight="true" outlineLevel="0" collapsed="false">
      <c r="A5179" s="163" t="s">
        <v>3043</v>
      </c>
      <c r="B5179" s="163" t="s">
        <v>928</v>
      </c>
      <c r="C5179" s="163" t="s">
        <v>6169</v>
      </c>
      <c r="D5179" s="163" t="s">
        <v>6170</v>
      </c>
      <c r="E5179" s="164" t="n">
        <v>5000</v>
      </c>
      <c r="F5179" s="165" t="s">
        <v>9036</v>
      </c>
    </row>
    <row r="5180" customFormat="false" ht="15" hidden="false" customHeight="true" outlineLevel="0" collapsed="false">
      <c r="A5180" s="163" t="s">
        <v>3043</v>
      </c>
      <c r="B5180" s="163" t="s">
        <v>928</v>
      </c>
      <c r="C5180" s="163" t="s">
        <v>1159</v>
      </c>
      <c r="D5180" s="163" t="s">
        <v>1936</v>
      </c>
      <c r="E5180" s="164" t="n">
        <v>5000</v>
      </c>
      <c r="F5180" s="165" t="s">
        <v>9120</v>
      </c>
    </row>
    <row r="5181" customFormat="false" ht="15" hidden="false" customHeight="true" outlineLevel="0" collapsed="false">
      <c r="A5181" s="163" t="s">
        <v>3043</v>
      </c>
      <c r="B5181" s="163" t="s">
        <v>928</v>
      </c>
      <c r="C5181" s="163" t="s">
        <v>6597</v>
      </c>
      <c r="D5181" s="163" t="s">
        <v>6598</v>
      </c>
      <c r="E5181" s="164" t="n">
        <v>5000</v>
      </c>
      <c r="F5181" s="165" t="s">
        <v>9121</v>
      </c>
    </row>
    <row r="5182" customFormat="false" ht="15" hidden="false" customHeight="true" outlineLevel="0" collapsed="false">
      <c r="A5182" s="163" t="s">
        <v>3007</v>
      </c>
      <c r="B5182" s="163" t="s">
        <v>926</v>
      </c>
      <c r="C5182" s="163" t="s">
        <v>395</v>
      </c>
      <c r="D5182" s="163" t="s">
        <v>2196</v>
      </c>
      <c r="E5182" s="164" t="n">
        <v>20000</v>
      </c>
      <c r="F5182" s="165" t="s">
        <v>9122</v>
      </c>
    </row>
    <row r="5183" customFormat="false" ht="15" hidden="false" customHeight="true" outlineLevel="0" collapsed="false">
      <c r="A5183" s="163" t="s">
        <v>3007</v>
      </c>
      <c r="B5183" s="163" t="s">
        <v>926</v>
      </c>
      <c r="C5183" s="163" t="s">
        <v>3063</v>
      </c>
      <c r="D5183" s="163" t="s">
        <v>3064</v>
      </c>
      <c r="E5183" s="164" t="n">
        <v>20000</v>
      </c>
      <c r="F5183" s="165" t="s">
        <v>9123</v>
      </c>
    </row>
    <row r="5184" customFormat="false" ht="15" hidden="false" customHeight="true" outlineLevel="0" collapsed="false">
      <c r="A5184" s="163" t="s">
        <v>3007</v>
      </c>
      <c r="B5184" s="163" t="s">
        <v>926</v>
      </c>
      <c r="C5184" s="163" t="s">
        <v>4717</v>
      </c>
      <c r="D5184" s="163" t="s">
        <v>4718</v>
      </c>
      <c r="E5184" s="164" t="n">
        <v>12000</v>
      </c>
      <c r="F5184" s="165" t="s">
        <v>9124</v>
      </c>
    </row>
    <row r="5185" customFormat="false" ht="15" hidden="false" customHeight="true" outlineLevel="0" collapsed="false">
      <c r="A5185" s="163" t="s">
        <v>3007</v>
      </c>
      <c r="B5185" s="163" t="s">
        <v>926</v>
      </c>
      <c r="C5185" s="163" t="s">
        <v>3334</v>
      </c>
      <c r="D5185" s="163" t="s">
        <v>3335</v>
      </c>
      <c r="E5185" s="164" t="n">
        <v>10000</v>
      </c>
      <c r="F5185" s="165" t="s">
        <v>9125</v>
      </c>
    </row>
    <row r="5186" customFormat="false" ht="15" hidden="false" customHeight="true" outlineLevel="0" collapsed="false">
      <c r="A5186" s="163" t="s">
        <v>3007</v>
      </c>
      <c r="B5186" s="163" t="s">
        <v>926</v>
      </c>
      <c r="C5186" s="163" t="s">
        <v>9126</v>
      </c>
      <c r="D5186" s="163" t="s">
        <v>9127</v>
      </c>
      <c r="E5186" s="164" t="n">
        <v>10000</v>
      </c>
      <c r="F5186" s="165" t="s">
        <v>9128</v>
      </c>
    </row>
    <row r="5187" customFormat="false" ht="15" hidden="false" customHeight="true" outlineLevel="0" collapsed="false">
      <c r="A5187" s="163" t="s">
        <v>3007</v>
      </c>
      <c r="B5187" s="163" t="s">
        <v>926</v>
      </c>
      <c r="C5187" s="163" t="s">
        <v>6444</v>
      </c>
      <c r="D5187" s="163" t="s">
        <v>6445</v>
      </c>
      <c r="E5187" s="164" t="n">
        <v>10000</v>
      </c>
      <c r="F5187" s="165" t="s">
        <v>9129</v>
      </c>
    </row>
    <row r="5188" customFormat="false" ht="15" hidden="false" customHeight="true" outlineLevel="0" collapsed="false">
      <c r="A5188" s="163" t="s">
        <v>3007</v>
      </c>
      <c r="B5188" s="163" t="s">
        <v>926</v>
      </c>
      <c r="C5188" s="163" t="s">
        <v>4717</v>
      </c>
      <c r="D5188" s="163" t="s">
        <v>4718</v>
      </c>
      <c r="E5188" s="164" t="n">
        <v>8000</v>
      </c>
      <c r="F5188" s="165" t="s">
        <v>9130</v>
      </c>
    </row>
    <row r="5189" customFormat="false" ht="15" hidden="false" customHeight="true" outlineLevel="0" collapsed="false">
      <c r="A5189" s="163" t="s">
        <v>3007</v>
      </c>
      <c r="B5189" s="163" t="s">
        <v>926</v>
      </c>
      <c r="C5189" s="163" t="s">
        <v>9131</v>
      </c>
      <c r="D5189" s="163" t="s">
        <v>9132</v>
      </c>
      <c r="E5189" s="164" t="n">
        <v>5000</v>
      </c>
      <c r="F5189" s="165" t="s">
        <v>9133</v>
      </c>
    </row>
    <row r="5190" customFormat="false" ht="15" hidden="false" customHeight="true" outlineLevel="0" collapsed="false">
      <c r="A5190" s="163" t="s">
        <v>3007</v>
      </c>
      <c r="B5190" s="163" t="s">
        <v>926</v>
      </c>
      <c r="C5190" s="163" t="s">
        <v>8336</v>
      </c>
      <c r="D5190" s="163" t="s">
        <v>8337</v>
      </c>
      <c r="E5190" s="164" t="n">
        <v>5000</v>
      </c>
      <c r="F5190" s="165" t="s">
        <v>9134</v>
      </c>
    </row>
    <row r="5191" customFormat="false" ht="15" hidden="false" customHeight="true" outlineLevel="0" collapsed="false">
      <c r="A5191" s="163" t="s">
        <v>3007</v>
      </c>
      <c r="B5191" s="163" t="s">
        <v>957</v>
      </c>
      <c r="C5191" s="163" t="s">
        <v>9135</v>
      </c>
      <c r="D5191" s="163" t="s">
        <v>9136</v>
      </c>
      <c r="E5191" s="164" t="n">
        <v>35000</v>
      </c>
      <c r="F5191" s="165" t="s">
        <v>9137</v>
      </c>
    </row>
    <row r="5192" customFormat="false" ht="15" hidden="false" customHeight="true" outlineLevel="0" collapsed="false">
      <c r="A5192" s="163" t="s">
        <v>3007</v>
      </c>
      <c r="B5192" s="163" t="s">
        <v>957</v>
      </c>
      <c r="C5192" s="163" t="s">
        <v>5783</v>
      </c>
      <c r="D5192" s="163" t="s">
        <v>5784</v>
      </c>
      <c r="E5192" s="164" t="n">
        <v>30000</v>
      </c>
      <c r="F5192" s="165" t="s">
        <v>9138</v>
      </c>
    </row>
    <row r="5193" customFormat="false" ht="15" hidden="false" customHeight="true" outlineLevel="0" collapsed="false">
      <c r="A5193" s="163" t="s">
        <v>3007</v>
      </c>
      <c r="B5193" s="163" t="s">
        <v>957</v>
      </c>
      <c r="C5193" s="163" t="s">
        <v>3212</v>
      </c>
      <c r="D5193" s="163" t="s">
        <v>3213</v>
      </c>
      <c r="E5193" s="164" t="n">
        <v>15000</v>
      </c>
      <c r="F5193" s="165" t="s">
        <v>9139</v>
      </c>
    </row>
    <row r="5194" customFormat="false" ht="15" hidden="false" customHeight="true" outlineLevel="0" collapsed="false">
      <c r="A5194" s="163" t="s">
        <v>3007</v>
      </c>
      <c r="B5194" s="163" t="s">
        <v>957</v>
      </c>
      <c r="C5194" s="163" t="s">
        <v>3063</v>
      </c>
      <c r="D5194" s="163" t="s">
        <v>3064</v>
      </c>
      <c r="E5194" s="164" t="n">
        <v>10000</v>
      </c>
      <c r="F5194" s="165" t="s">
        <v>9140</v>
      </c>
    </row>
    <row r="5195" customFormat="false" ht="15" hidden="false" customHeight="true" outlineLevel="0" collapsed="false">
      <c r="A5195" s="163" t="s">
        <v>3007</v>
      </c>
      <c r="B5195" s="163" t="s">
        <v>957</v>
      </c>
      <c r="C5195" s="163" t="s">
        <v>7621</v>
      </c>
      <c r="D5195" s="163" t="s">
        <v>7622</v>
      </c>
      <c r="E5195" s="164" t="n">
        <v>10000</v>
      </c>
      <c r="F5195" s="165" t="s">
        <v>9141</v>
      </c>
    </row>
    <row r="5196" customFormat="false" ht="15" hidden="false" customHeight="true" outlineLevel="0" collapsed="false">
      <c r="A5196" s="163" t="s">
        <v>3007</v>
      </c>
      <c r="B5196" s="163" t="s">
        <v>957</v>
      </c>
      <c r="C5196" s="163" t="s">
        <v>6538</v>
      </c>
      <c r="D5196" s="163" t="s">
        <v>6539</v>
      </c>
      <c r="E5196" s="164" t="n">
        <v>10000</v>
      </c>
      <c r="F5196" s="165" t="s">
        <v>9142</v>
      </c>
    </row>
    <row r="5197" customFormat="false" ht="15" hidden="false" customHeight="true" outlineLevel="0" collapsed="false">
      <c r="A5197" s="163" t="s">
        <v>3007</v>
      </c>
      <c r="B5197" s="163" t="s">
        <v>945</v>
      </c>
      <c r="C5197" s="163" t="s">
        <v>4708</v>
      </c>
      <c r="D5197" s="163" t="s">
        <v>4709</v>
      </c>
      <c r="E5197" s="164" t="n">
        <v>30000</v>
      </c>
      <c r="F5197" s="165" t="s">
        <v>9143</v>
      </c>
    </row>
    <row r="5198" customFormat="false" ht="15" hidden="false" customHeight="true" outlineLevel="0" collapsed="false">
      <c r="A5198" s="163" t="s">
        <v>3007</v>
      </c>
      <c r="B5198" s="163" t="s">
        <v>945</v>
      </c>
      <c r="C5198" s="163" t="s">
        <v>452</v>
      </c>
      <c r="D5198" s="163" t="s">
        <v>2102</v>
      </c>
      <c r="E5198" s="164" t="n">
        <v>25000</v>
      </c>
      <c r="F5198" s="165" t="s">
        <v>9144</v>
      </c>
    </row>
    <row r="5199" customFormat="false" ht="15" hidden="false" customHeight="true" outlineLevel="0" collapsed="false">
      <c r="A5199" s="163" t="s">
        <v>3007</v>
      </c>
      <c r="B5199" s="163" t="s">
        <v>945</v>
      </c>
      <c r="C5199" s="163" t="s">
        <v>3183</v>
      </c>
      <c r="D5199" s="163" t="s">
        <v>3184</v>
      </c>
      <c r="E5199" s="164" t="n">
        <v>20000</v>
      </c>
      <c r="F5199" s="165" t="s">
        <v>9145</v>
      </c>
    </row>
    <row r="5200" customFormat="false" ht="15" hidden="false" customHeight="true" outlineLevel="0" collapsed="false">
      <c r="A5200" s="163" t="s">
        <v>3007</v>
      </c>
      <c r="B5200" s="163" t="s">
        <v>945</v>
      </c>
      <c r="C5200" s="163" t="s">
        <v>1021</v>
      </c>
      <c r="D5200" s="163" t="s">
        <v>1931</v>
      </c>
      <c r="E5200" s="164" t="n">
        <v>15000</v>
      </c>
      <c r="F5200" s="165" t="s">
        <v>9146</v>
      </c>
    </row>
    <row r="5201" customFormat="false" ht="15" hidden="false" customHeight="true" outlineLevel="0" collapsed="false">
      <c r="A5201" s="163" t="s">
        <v>3007</v>
      </c>
      <c r="B5201" s="163" t="s">
        <v>945</v>
      </c>
      <c r="C5201" s="163" t="s">
        <v>3222</v>
      </c>
      <c r="D5201" s="163" t="s">
        <v>3223</v>
      </c>
      <c r="E5201" s="164" t="n">
        <v>5000</v>
      </c>
      <c r="F5201" s="165" t="s">
        <v>9147</v>
      </c>
    </row>
    <row r="5202" customFormat="false" ht="15" hidden="false" customHeight="true" outlineLevel="0" collapsed="false">
      <c r="A5202" s="163" t="s">
        <v>3007</v>
      </c>
      <c r="B5202" s="163" t="s">
        <v>945</v>
      </c>
      <c r="C5202" s="163" t="s">
        <v>7551</v>
      </c>
      <c r="D5202" s="163" t="s">
        <v>7552</v>
      </c>
      <c r="E5202" s="164" t="n">
        <v>5000</v>
      </c>
      <c r="F5202" s="165" t="s">
        <v>9148</v>
      </c>
    </row>
    <row r="5203" customFormat="false" ht="15" hidden="false" customHeight="true" outlineLevel="0" collapsed="false">
      <c r="A5203" s="163" t="s">
        <v>3007</v>
      </c>
      <c r="B5203" s="163" t="s">
        <v>3111</v>
      </c>
      <c r="C5203" s="163" t="s">
        <v>3980</v>
      </c>
      <c r="D5203" s="163" t="s">
        <v>3981</v>
      </c>
      <c r="E5203" s="164" t="n">
        <v>25000</v>
      </c>
      <c r="F5203" s="165" t="s">
        <v>9149</v>
      </c>
    </row>
    <row r="5204" customFormat="false" ht="15" hidden="false" customHeight="true" outlineLevel="0" collapsed="false">
      <c r="A5204" s="163" t="s">
        <v>3007</v>
      </c>
      <c r="B5204" s="163" t="s">
        <v>3111</v>
      </c>
      <c r="C5204" s="163" t="s">
        <v>9150</v>
      </c>
      <c r="D5204" s="163" t="s">
        <v>9151</v>
      </c>
      <c r="E5204" s="164" t="n">
        <v>20000</v>
      </c>
      <c r="F5204" s="165" t="s">
        <v>9142</v>
      </c>
    </row>
    <row r="5205" customFormat="false" ht="15" hidden="false" customHeight="true" outlineLevel="0" collapsed="false">
      <c r="A5205" s="163" t="s">
        <v>3007</v>
      </c>
      <c r="B5205" s="163" t="s">
        <v>3111</v>
      </c>
      <c r="C5205" s="163" t="s">
        <v>5208</v>
      </c>
      <c r="D5205" s="163" t="s">
        <v>5209</v>
      </c>
      <c r="E5205" s="164" t="n">
        <v>15000</v>
      </c>
      <c r="F5205" s="165" t="s">
        <v>9152</v>
      </c>
    </row>
    <row r="5206" customFormat="false" ht="15" hidden="false" customHeight="true" outlineLevel="0" collapsed="false">
      <c r="A5206" s="163" t="s">
        <v>3007</v>
      </c>
      <c r="B5206" s="163" t="s">
        <v>3111</v>
      </c>
      <c r="C5206" s="163" t="s">
        <v>8308</v>
      </c>
      <c r="D5206" s="163" t="s">
        <v>8309</v>
      </c>
      <c r="E5206" s="164" t="n">
        <v>10000</v>
      </c>
      <c r="F5206" s="165" t="s">
        <v>9153</v>
      </c>
    </row>
    <row r="5207" customFormat="false" ht="15" hidden="false" customHeight="true" outlineLevel="0" collapsed="false">
      <c r="A5207" s="163" t="s">
        <v>3007</v>
      </c>
      <c r="B5207" s="163" t="s">
        <v>3111</v>
      </c>
      <c r="C5207" s="163" t="s">
        <v>4572</v>
      </c>
      <c r="D5207" s="163" t="s">
        <v>4573</v>
      </c>
      <c r="E5207" s="164" t="n">
        <v>10000</v>
      </c>
      <c r="F5207" s="165" t="s">
        <v>9154</v>
      </c>
    </row>
    <row r="5208" customFormat="false" ht="15" hidden="false" customHeight="true" outlineLevel="0" collapsed="false">
      <c r="A5208" s="163" t="s">
        <v>3007</v>
      </c>
      <c r="B5208" s="163" t="s">
        <v>3111</v>
      </c>
      <c r="C5208" s="163" t="s">
        <v>5142</v>
      </c>
      <c r="D5208" s="163" t="s">
        <v>5143</v>
      </c>
      <c r="E5208" s="164" t="n">
        <v>10000</v>
      </c>
      <c r="F5208" s="165" t="s">
        <v>9155</v>
      </c>
    </row>
    <row r="5209" customFormat="false" ht="15" hidden="false" customHeight="true" outlineLevel="0" collapsed="false">
      <c r="A5209" s="163" t="s">
        <v>3007</v>
      </c>
      <c r="B5209" s="163" t="s">
        <v>3111</v>
      </c>
      <c r="C5209" s="163" t="s">
        <v>4731</v>
      </c>
      <c r="D5209" s="163" t="s">
        <v>4732</v>
      </c>
      <c r="E5209" s="164" t="n">
        <v>10000</v>
      </c>
      <c r="F5209" s="165" t="s">
        <v>4733</v>
      </c>
    </row>
    <row r="5210" customFormat="false" ht="15" hidden="false" customHeight="true" outlineLevel="0" collapsed="false">
      <c r="A5210" s="163" t="s">
        <v>3007</v>
      </c>
      <c r="B5210" s="163" t="s">
        <v>1938</v>
      </c>
      <c r="C5210" s="163" t="s">
        <v>950</v>
      </c>
      <c r="D5210" s="163" t="s">
        <v>4373</v>
      </c>
      <c r="E5210" s="164" t="n">
        <v>20000</v>
      </c>
      <c r="F5210" s="165" t="s">
        <v>9156</v>
      </c>
    </row>
    <row r="5211" customFormat="false" ht="15" hidden="false" customHeight="true" outlineLevel="0" collapsed="false">
      <c r="A5211" s="163" t="s">
        <v>3007</v>
      </c>
      <c r="B5211" s="163" t="s">
        <v>1938</v>
      </c>
      <c r="C5211" s="163" t="s">
        <v>950</v>
      </c>
      <c r="D5211" s="163" t="s">
        <v>4373</v>
      </c>
      <c r="E5211" s="164" t="n">
        <v>20000</v>
      </c>
      <c r="F5211" s="165" t="s">
        <v>9157</v>
      </c>
    </row>
    <row r="5212" customFormat="false" ht="15" hidden="false" customHeight="true" outlineLevel="0" collapsed="false">
      <c r="A5212" s="163" t="s">
        <v>3007</v>
      </c>
      <c r="B5212" s="163" t="s">
        <v>1938</v>
      </c>
      <c r="C5212" s="163" t="s">
        <v>3137</v>
      </c>
      <c r="D5212" s="163" t="s">
        <v>3138</v>
      </c>
      <c r="E5212" s="164" t="n">
        <v>20000</v>
      </c>
      <c r="F5212" s="165" t="s">
        <v>9158</v>
      </c>
    </row>
    <row r="5213" customFormat="false" ht="15" hidden="false" customHeight="true" outlineLevel="0" collapsed="false">
      <c r="A5213" s="163" t="s">
        <v>3007</v>
      </c>
      <c r="B5213" s="163" t="s">
        <v>1938</v>
      </c>
      <c r="C5213" s="163" t="s">
        <v>3137</v>
      </c>
      <c r="D5213" s="163" t="s">
        <v>3138</v>
      </c>
      <c r="E5213" s="164" t="n">
        <v>20000</v>
      </c>
      <c r="F5213" s="165" t="s">
        <v>9159</v>
      </c>
    </row>
    <row r="5214" customFormat="false" ht="15" hidden="false" customHeight="true" outlineLevel="0" collapsed="false">
      <c r="A5214" s="163" t="s">
        <v>3007</v>
      </c>
      <c r="B5214" s="163" t="s">
        <v>1938</v>
      </c>
      <c r="C5214" s="163" t="s">
        <v>3137</v>
      </c>
      <c r="D5214" s="163" t="s">
        <v>3138</v>
      </c>
      <c r="E5214" s="164" t="n">
        <v>20000</v>
      </c>
      <c r="F5214" s="165" t="s">
        <v>9160</v>
      </c>
    </row>
    <row r="5215" customFormat="false" ht="15" hidden="false" customHeight="true" outlineLevel="0" collapsed="false">
      <c r="A5215" s="163" t="s">
        <v>3007</v>
      </c>
      <c r="B5215" s="163" t="s">
        <v>1938</v>
      </c>
      <c r="C5215" s="163" t="s">
        <v>3385</v>
      </c>
      <c r="D5215" s="163" t="s">
        <v>3386</v>
      </c>
      <c r="E5215" s="164" t="n">
        <v>20000</v>
      </c>
      <c r="F5215" s="165" t="s">
        <v>9161</v>
      </c>
    </row>
    <row r="5216" customFormat="false" ht="15" hidden="false" customHeight="true" outlineLevel="0" collapsed="false">
      <c r="A5216" s="163" t="s">
        <v>3007</v>
      </c>
      <c r="B5216" s="163" t="s">
        <v>1938</v>
      </c>
      <c r="C5216" s="163" t="s">
        <v>3385</v>
      </c>
      <c r="D5216" s="163" t="s">
        <v>3386</v>
      </c>
      <c r="E5216" s="164" t="n">
        <v>20000</v>
      </c>
      <c r="F5216" s="165" t="s">
        <v>9162</v>
      </c>
    </row>
    <row r="5217" customFormat="false" ht="15" hidden="false" customHeight="true" outlineLevel="0" collapsed="false">
      <c r="A5217" s="163" t="s">
        <v>3007</v>
      </c>
      <c r="B5217" s="163" t="s">
        <v>1938</v>
      </c>
      <c r="C5217" s="163" t="s">
        <v>3808</v>
      </c>
      <c r="D5217" s="163" t="s">
        <v>3809</v>
      </c>
      <c r="E5217" s="164" t="n">
        <v>20000</v>
      </c>
      <c r="F5217" s="165" t="s">
        <v>9163</v>
      </c>
    </row>
    <row r="5218" customFormat="false" ht="15" hidden="false" customHeight="true" outlineLevel="0" collapsed="false">
      <c r="A5218" s="163" t="s">
        <v>3007</v>
      </c>
      <c r="B5218" s="163" t="s">
        <v>1938</v>
      </c>
      <c r="C5218" s="163" t="s">
        <v>5157</v>
      </c>
      <c r="D5218" s="163" t="s">
        <v>5158</v>
      </c>
      <c r="E5218" s="164" t="n">
        <v>20000</v>
      </c>
      <c r="F5218" s="165" t="s">
        <v>9164</v>
      </c>
    </row>
    <row r="5219" customFormat="false" ht="15" hidden="false" customHeight="true" outlineLevel="0" collapsed="false">
      <c r="A5219" s="163" t="s">
        <v>3007</v>
      </c>
      <c r="B5219" s="163" t="s">
        <v>1938</v>
      </c>
      <c r="C5219" s="163" t="s">
        <v>5651</v>
      </c>
      <c r="D5219" s="163" t="s">
        <v>5652</v>
      </c>
      <c r="E5219" s="164" t="n">
        <v>20000</v>
      </c>
      <c r="F5219" s="165" t="s">
        <v>9165</v>
      </c>
    </row>
    <row r="5220" customFormat="false" ht="15" hidden="false" customHeight="true" outlineLevel="0" collapsed="false">
      <c r="A5220" s="163" t="s">
        <v>3007</v>
      </c>
      <c r="B5220" s="163" t="s">
        <v>1938</v>
      </c>
      <c r="C5220" s="163" t="s">
        <v>5651</v>
      </c>
      <c r="D5220" s="163" t="s">
        <v>5652</v>
      </c>
      <c r="E5220" s="164" t="n">
        <v>20000</v>
      </c>
      <c r="F5220" s="165" t="s">
        <v>9166</v>
      </c>
    </row>
    <row r="5221" customFormat="false" ht="15" hidden="false" customHeight="true" outlineLevel="0" collapsed="false">
      <c r="A5221" s="163" t="s">
        <v>3007</v>
      </c>
      <c r="B5221" s="163" t="s">
        <v>1938</v>
      </c>
      <c r="C5221" s="163" t="s">
        <v>3176</v>
      </c>
      <c r="D5221" s="163" t="s">
        <v>3177</v>
      </c>
      <c r="E5221" s="164" t="n">
        <v>20000</v>
      </c>
      <c r="F5221" s="165" t="s">
        <v>9161</v>
      </c>
    </row>
    <row r="5222" customFormat="false" ht="15" hidden="false" customHeight="true" outlineLevel="0" collapsed="false">
      <c r="A5222" s="163" t="s">
        <v>3007</v>
      </c>
      <c r="B5222" s="163" t="s">
        <v>1938</v>
      </c>
      <c r="C5222" s="163" t="s">
        <v>5579</v>
      </c>
      <c r="D5222" s="163" t="s">
        <v>5580</v>
      </c>
      <c r="E5222" s="164" t="n">
        <v>20000</v>
      </c>
      <c r="F5222" s="165" t="s">
        <v>9167</v>
      </c>
    </row>
    <row r="5223" customFormat="false" ht="15" hidden="false" customHeight="true" outlineLevel="0" collapsed="false">
      <c r="A5223" s="163" t="s">
        <v>3007</v>
      </c>
      <c r="B5223" s="163" t="s">
        <v>1938</v>
      </c>
      <c r="C5223" s="163" t="s">
        <v>332</v>
      </c>
      <c r="D5223" s="163" t="s">
        <v>2673</v>
      </c>
      <c r="E5223" s="164" t="n">
        <v>20000</v>
      </c>
      <c r="F5223" s="165" t="s">
        <v>9168</v>
      </c>
    </row>
    <row r="5224" customFormat="false" ht="15" hidden="false" customHeight="true" outlineLevel="0" collapsed="false">
      <c r="A5224" s="163" t="s">
        <v>3007</v>
      </c>
      <c r="B5224" s="163" t="s">
        <v>1938</v>
      </c>
      <c r="C5224" s="163" t="s">
        <v>332</v>
      </c>
      <c r="D5224" s="163" t="s">
        <v>2673</v>
      </c>
      <c r="E5224" s="164" t="n">
        <v>20000</v>
      </c>
      <c r="F5224" s="165" t="s">
        <v>9169</v>
      </c>
    </row>
    <row r="5225" customFormat="false" ht="15" hidden="false" customHeight="true" outlineLevel="0" collapsed="false">
      <c r="A5225" s="163" t="s">
        <v>3007</v>
      </c>
      <c r="B5225" s="163" t="s">
        <v>1938</v>
      </c>
      <c r="C5225" s="163" t="s">
        <v>4648</v>
      </c>
      <c r="D5225" s="163" t="s">
        <v>4649</v>
      </c>
      <c r="E5225" s="164" t="n">
        <v>20000</v>
      </c>
      <c r="F5225" s="165" t="s">
        <v>9157</v>
      </c>
    </row>
    <row r="5226" customFormat="false" ht="15" hidden="false" customHeight="true" outlineLevel="0" collapsed="false">
      <c r="A5226" s="163" t="s">
        <v>3007</v>
      </c>
      <c r="B5226" s="163" t="s">
        <v>1938</v>
      </c>
      <c r="C5226" s="163" t="s">
        <v>3980</v>
      </c>
      <c r="D5226" s="163" t="s">
        <v>3981</v>
      </c>
      <c r="E5226" s="164" t="n">
        <v>20000</v>
      </c>
      <c r="F5226" s="165" t="s">
        <v>9163</v>
      </c>
    </row>
    <row r="5227" customFormat="false" ht="15" hidden="false" customHeight="true" outlineLevel="0" collapsed="false">
      <c r="A5227" s="163" t="s">
        <v>3007</v>
      </c>
      <c r="B5227" s="163" t="s">
        <v>691</v>
      </c>
      <c r="C5227" s="163" t="s">
        <v>950</v>
      </c>
      <c r="D5227" s="163" t="s">
        <v>4373</v>
      </c>
      <c r="E5227" s="164" t="n">
        <v>20000</v>
      </c>
      <c r="F5227" s="165" t="s">
        <v>9170</v>
      </c>
    </row>
    <row r="5228" customFormat="false" ht="15" hidden="false" customHeight="true" outlineLevel="0" collapsed="false">
      <c r="A5228" s="163" t="s">
        <v>3007</v>
      </c>
      <c r="B5228" s="163" t="s">
        <v>691</v>
      </c>
      <c r="C5228" s="163" t="s">
        <v>5157</v>
      </c>
      <c r="D5228" s="163" t="s">
        <v>5158</v>
      </c>
      <c r="E5228" s="164" t="n">
        <v>20000</v>
      </c>
      <c r="F5228" s="165" t="s">
        <v>9171</v>
      </c>
    </row>
    <row r="5229" customFormat="false" ht="15" hidden="false" customHeight="true" outlineLevel="0" collapsed="false">
      <c r="A5229" s="163" t="s">
        <v>3007</v>
      </c>
      <c r="B5229" s="163" t="s">
        <v>691</v>
      </c>
      <c r="C5229" s="163" t="s">
        <v>3309</v>
      </c>
      <c r="D5229" s="163" t="s">
        <v>3310</v>
      </c>
      <c r="E5229" s="164" t="n">
        <v>20000</v>
      </c>
      <c r="F5229" s="165" t="s">
        <v>9172</v>
      </c>
    </row>
    <row r="5230" customFormat="false" ht="15" hidden="false" customHeight="true" outlineLevel="0" collapsed="false">
      <c r="A5230" s="163" t="s">
        <v>3007</v>
      </c>
      <c r="B5230" s="163" t="s">
        <v>691</v>
      </c>
      <c r="C5230" s="163" t="s">
        <v>3137</v>
      </c>
      <c r="D5230" s="163" t="s">
        <v>3138</v>
      </c>
      <c r="E5230" s="164" t="n">
        <v>20000</v>
      </c>
      <c r="F5230" s="165" t="s">
        <v>9173</v>
      </c>
    </row>
    <row r="5231" customFormat="false" ht="15" hidden="false" customHeight="true" outlineLevel="0" collapsed="false">
      <c r="A5231" s="163" t="s">
        <v>3007</v>
      </c>
      <c r="B5231" s="163" t="s">
        <v>691</v>
      </c>
      <c r="C5231" s="163" t="s">
        <v>9174</v>
      </c>
      <c r="D5231" s="163" t="s">
        <v>9175</v>
      </c>
      <c r="E5231" s="164" t="n">
        <v>15000</v>
      </c>
      <c r="F5231" s="165" t="s">
        <v>9176</v>
      </c>
    </row>
    <row r="5232" customFormat="false" ht="15" hidden="false" customHeight="true" outlineLevel="0" collapsed="false">
      <c r="A5232" s="163" t="s">
        <v>3007</v>
      </c>
      <c r="B5232" s="163" t="s">
        <v>691</v>
      </c>
      <c r="C5232" s="163" t="s">
        <v>5171</v>
      </c>
      <c r="D5232" s="163" t="s">
        <v>5172</v>
      </c>
      <c r="E5232" s="164" t="n">
        <v>15000</v>
      </c>
      <c r="F5232" s="165" t="s">
        <v>9177</v>
      </c>
    </row>
    <row r="5233" customFormat="false" ht="15" hidden="false" customHeight="true" outlineLevel="0" collapsed="false">
      <c r="A5233" s="163" t="s">
        <v>3007</v>
      </c>
      <c r="B5233" s="163" t="s">
        <v>691</v>
      </c>
      <c r="C5233" s="163" t="s">
        <v>9178</v>
      </c>
      <c r="D5233" s="163" t="s">
        <v>9179</v>
      </c>
      <c r="E5233" s="164" t="n">
        <v>15000</v>
      </c>
      <c r="F5233" s="165" t="s">
        <v>9180</v>
      </c>
    </row>
    <row r="5234" customFormat="false" ht="15" hidden="false" customHeight="true" outlineLevel="0" collapsed="false">
      <c r="A5234" s="163" t="s">
        <v>3007</v>
      </c>
      <c r="B5234" s="163" t="s">
        <v>691</v>
      </c>
      <c r="C5234" s="163" t="s">
        <v>935</v>
      </c>
      <c r="D5234" s="163" t="s">
        <v>3162</v>
      </c>
      <c r="E5234" s="164" t="n">
        <v>10000</v>
      </c>
      <c r="F5234" s="165" t="s">
        <v>9181</v>
      </c>
    </row>
    <row r="5235" customFormat="false" ht="15" hidden="false" customHeight="true" outlineLevel="0" collapsed="false">
      <c r="A5235" s="163" t="s">
        <v>3007</v>
      </c>
      <c r="B5235" s="163" t="s">
        <v>691</v>
      </c>
      <c r="C5235" s="163" t="s">
        <v>4717</v>
      </c>
      <c r="D5235" s="163" t="s">
        <v>4718</v>
      </c>
      <c r="E5235" s="164" t="n">
        <v>10000</v>
      </c>
      <c r="F5235" s="165" t="s">
        <v>9182</v>
      </c>
    </row>
    <row r="5236" customFormat="false" ht="15" hidden="false" customHeight="true" outlineLevel="0" collapsed="false">
      <c r="A5236" s="163" t="s">
        <v>3007</v>
      </c>
      <c r="B5236" s="163" t="s">
        <v>2027</v>
      </c>
      <c r="C5236" s="163" t="s">
        <v>3108</v>
      </c>
      <c r="D5236" s="163" t="s">
        <v>3109</v>
      </c>
      <c r="E5236" s="164" t="n">
        <v>30000</v>
      </c>
      <c r="F5236" s="165" t="s">
        <v>9183</v>
      </c>
    </row>
    <row r="5237" customFormat="false" ht="15" hidden="false" customHeight="true" outlineLevel="0" collapsed="false">
      <c r="A5237" s="163" t="s">
        <v>3007</v>
      </c>
      <c r="B5237" s="163" t="s">
        <v>2027</v>
      </c>
      <c r="C5237" s="163" t="s">
        <v>408</v>
      </c>
      <c r="D5237" s="163" t="s">
        <v>2082</v>
      </c>
      <c r="E5237" s="164" t="n">
        <v>10000</v>
      </c>
      <c r="F5237" s="165" t="s">
        <v>9184</v>
      </c>
    </row>
    <row r="5238" customFormat="false" ht="15" hidden="false" customHeight="true" outlineLevel="0" collapsed="false">
      <c r="A5238" s="163" t="s">
        <v>3007</v>
      </c>
      <c r="B5238" s="163" t="s">
        <v>2027</v>
      </c>
      <c r="C5238" s="163" t="s">
        <v>364</v>
      </c>
      <c r="D5238" s="163" t="s">
        <v>2687</v>
      </c>
      <c r="E5238" s="164" t="n">
        <v>10000</v>
      </c>
      <c r="F5238" s="165" t="s">
        <v>9164</v>
      </c>
    </row>
    <row r="5239" customFormat="false" ht="15" hidden="false" customHeight="true" outlineLevel="0" collapsed="false">
      <c r="A5239" s="163" t="s">
        <v>3007</v>
      </c>
      <c r="B5239" s="163" t="s">
        <v>2027</v>
      </c>
      <c r="C5239" s="163" t="s">
        <v>3783</v>
      </c>
      <c r="D5239" s="163" t="s">
        <v>3784</v>
      </c>
      <c r="E5239" s="164" t="n">
        <v>10000</v>
      </c>
      <c r="F5239" s="165" t="s">
        <v>9185</v>
      </c>
    </row>
    <row r="5240" customFormat="false" ht="15" hidden="false" customHeight="true" outlineLevel="0" collapsed="false">
      <c r="A5240" s="163" t="s">
        <v>3007</v>
      </c>
      <c r="B5240" s="163" t="s">
        <v>2027</v>
      </c>
      <c r="C5240" s="163" t="s">
        <v>9135</v>
      </c>
      <c r="D5240" s="163" t="s">
        <v>9136</v>
      </c>
      <c r="E5240" s="164" t="n">
        <v>10000</v>
      </c>
      <c r="F5240" s="165" t="s">
        <v>9186</v>
      </c>
    </row>
    <row r="5241" customFormat="false" ht="15" hidden="false" customHeight="true" outlineLevel="0" collapsed="false">
      <c r="A5241" s="163" t="s">
        <v>3007</v>
      </c>
      <c r="B5241" s="163" t="s">
        <v>2027</v>
      </c>
      <c r="C5241" s="163" t="s">
        <v>6521</v>
      </c>
      <c r="D5241" s="163" t="s">
        <v>1931</v>
      </c>
      <c r="E5241" s="164" t="n">
        <v>10000</v>
      </c>
      <c r="F5241" s="165" t="s">
        <v>9187</v>
      </c>
    </row>
    <row r="5242" customFormat="false" ht="15" hidden="false" customHeight="true" outlineLevel="0" collapsed="false">
      <c r="A5242" s="163" t="s">
        <v>3007</v>
      </c>
      <c r="B5242" s="163" t="s">
        <v>2027</v>
      </c>
      <c r="C5242" s="163" t="s">
        <v>3324</v>
      </c>
      <c r="D5242" s="163" t="s">
        <v>3325</v>
      </c>
      <c r="E5242" s="164" t="n">
        <v>10000</v>
      </c>
      <c r="F5242" s="165" t="s">
        <v>9188</v>
      </c>
    </row>
    <row r="5243" customFormat="false" ht="15" hidden="false" customHeight="true" outlineLevel="0" collapsed="false">
      <c r="A5243" s="163" t="s">
        <v>3007</v>
      </c>
      <c r="B5243" s="163" t="s">
        <v>2037</v>
      </c>
      <c r="C5243" s="163" t="s">
        <v>9189</v>
      </c>
      <c r="D5243" s="163" t="s">
        <v>9190</v>
      </c>
      <c r="E5243" s="164" t="n">
        <v>65000</v>
      </c>
      <c r="F5243" s="165" t="s">
        <v>9191</v>
      </c>
    </row>
    <row r="5244" customFormat="false" ht="15" hidden="false" customHeight="true" outlineLevel="0" collapsed="false">
      <c r="A5244" s="163" t="s">
        <v>3007</v>
      </c>
      <c r="B5244" s="163" t="s">
        <v>2037</v>
      </c>
      <c r="C5244" s="163" t="s">
        <v>3093</v>
      </c>
      <c r="D5244" s="163" t="s">
        <v>3094</v>
      </c>
      <c r="E5244" s="164" t="n">
        <v>45000</v>
      </c>
      <c r="F5244" s="165" t="s">
        <v>9192</v>
      </c>
    </row>
    <row r="5245" customFormat="false" ht="15" hidden="false" customHeight="true" outlineLevel="0" collapsed="false">
      <c r="A5245" s="163" t="s">
        <v>3007</v>
      </c>
      <c r="B5245" s="163" t="s">
        <v>2037</v>
      </c>
      <c r="C5245" s="163" t="s">
        <v>372</v>
      </c>
      <c r="D5245" s="163" t="s">
        <v>2692</v>
      </c>
      <c r="E5245" s="164" t="n">
        <v>35000</v>
      </c>
      <c r="F5245" s="165" t="s">
        <v>9193</v>
      </c>
    </row>
    <row r="5246" customFormat="false" ht="15" hidden="false" customHeight="true" outlineLevel="0" collapsed="false">
      <c r="A5246" s="163" t="s">
        <v>3007</v>
      </c>
      <c r="B5246" s="163" t="s">
        <v>2037</v>
      </c>
      <c r="C5246" s="163" t="s">
        <v>4701</v>
      </c>
      <c r="D5246" s="163" t="s">
        <v>4702</v>
      </c>
      <c r="E5246" s="164" t="n">
        <v>30000</v>
      </c>
      <c r="F5246" s="165" t="s">
        <v>9194</v>
      </c>
    </row>
    <row r="5247" customFormat="false" ht="15" hidden="false" customHeight="true" outlineLevel="0" collapsed="false">
      <c r="A5247" s="163" t="s">
        <v>3007</v>
      </c>
      <c r="B5247" s="163" t="s">
        <v>2037</v>
      </c>
      <c r="C5247" s="163" t="s">
        <v>3835</v>
      </c>
      <c r="D5247" s="163" t="s">
        <v>3836</v>
      </c>
      <c r="E5247" s="164" t="n">
        <v>30000</v>
      </c>
      <c r="F5247" s="165" t="s">
        <v>9195</v>
      </c>
    </row>
    <row r="5248" customFormat="false" ht="15" hidden="false" customHeight="true" outlineLevel="0" collapsed="false">
      <c r="A5248" s="163" t="s">
        <v>3007</v>
      </c>
      <c r="B5248" s="163" t="s">
        <v>2037</v>
      </c>
      <c r="C5248" s="163" t="s">
        <v>4121</v>
      </c>
      <c r="D5248" s="163" t="s">
        <v>4122</v>
      </c>
      <c r="E5248" s="164" t="n">
        <v>10000</v>
      </c>
      <c r="F5248" s="165" t="s">
        <v>9196</v>
      </c>
    </row>
    <row r="5249" customFormat="false" ht="15" hidden="false" customHeight="true" outlineLevel="0" collapsed="false">
      <c r="A5249" s="163" t="s">
        <v>3007</v>
      </c>
      <c r="B5249" s="163" t="s">
        <v>2037</v>
      </c>
      <c r="C5249" s="163" t="s">
        <v>9197</v>
      </c>
      <c r="D5249" s="163" t="s">
        <v>9198</v>
      </c>
      <c r="E5249" s="164" t="n">
        <v>10000</v>
      </c>
      <c r="F5249" s="165" t="s">
        <v>9199</v>
      </c>
    </row>
    <row r="5250" customFormat="false" ht="15" hidden="false" customHeight="true" outlineLevel="0" collapsed="false">
      <c r="A5250" s="163" t="s">
        <v>3007</v>
      </c>
      <c r="B5250" s="163" t="s">
        <v>894</v>
      </c>
      <c r="C5250" s="163" t="s">
        <v>6759</v>
      </c>
      <c r="D5250" s="163" t="s">
        <v>6760</v>
      </c>
      <c r="E5250" s="164" t="n">
        <v>35000</v>
      </c>
      <c r="F5250" s="165" t="s">
        <v>9200</v>
      </c>
    </row>
    <row r="5251" customFormat="false" ht="15" hidden="false" customHeight="true" outlineLevel="0" collapsed="false">
      <c r="A5251" s="163" t="s">
        <v>3007</v>
      </c>
      <c r="B5251" s="163" t="s">
        <v>894</v>
      </c>
      <c r="C5251" s="163" t="s">
        <v>9201</v>
      </c>
      <c r="D5251" s="163" t="s">
        <v>9202</v>
      </c>
      <c r="E5251" s="164" t="n">
        <v>35000</v>
      </c>
      <c r="F5251" s="165" t="s">
        <v>9203</v>
      </c>
    </row>
    <row r="5252" customFormat="false" ht="15" hidden="false" customHeight="true" outlineLevel="0" collapsed="false">
      <c r="A5252" s="163" t="s">
        <v>3007</v>
      </c>
      <c r="B5252" s="163" t="s">
        <v>894</v>
      </c>
      <c r="C5252" s="163" t="s">
        <v>9204</v>
      </c>
      <c r="D5252" s="163" t="s">
        <v>9205</v>
      </c>
      <c r="E5252" s="164" t="n">
        <v>35000</v>
      </c>
      <c r="F5252" s="165" t="s">
        <v>9206</v>
      </c>
    </row>
    <row r="5253" customFormat="false" ht="15" hidden="false" customHeight="true" outlineLevel="0" collapsed="false">
      <c r="A5253" s="163" t="s">
        <v>3007</v>
      </c>
      <c r="B5253" s="163" t="s">
        <v>894</v>
      </c>
      <c r="C5253" s="163" t="s">
        <v>5637</v>
      </c>
      <c r="D5253" s="163" t="s">
        <v>5638</v>
      </c>
      <c r="E5253" s="164" t="n">
        <v>34000</v>
      </c>
      <c r="F5253" s="165" t="s">
        <v>9207</v>
      </c>
    </row>
    <row r="5254" customFormat="false" ht="15" hidden="false" customHeight="true" outlineLevel="0" collapsed="false">
      <c r="A5254" s="163" t="s">
        <v>3007</v>
      </c>
      <c r="B5254" s="163" t="s">
        <v>894</v>
      </c>
      <c r="C5254" s="163" t="s">
        <v>9208</v>
      </c>
      <c r="D5254" s="163" t="s">
        <v>9209</v>
      </c>
      <c r="E5254" s="164" t="n">
        <v>25000</v>
      </c>
      <c r="F5254" s="165" t="s">
        <v>9210</v>
      </c>
    </row>
    <row r="5255" customFormat="false" ht="15" hidden="false" customHeight="true" outlineLevel="0" collapsed="false">
      <c r="A5255" s="163" t="s">
        <v>3007</v>
      </c>
      <c r="B5255" s="163" t="s">
        <v>894</v>
      </c>
      <c r="C5255" s="163" t="s">
        <v>7646</v>
      </c>
      <c r="D5255" s="163" t="s">
        <v>7647</v>
      </c>
      <c r="E5255" s="164" t="n">
        <v>20000</v>
      </c>
      <c r="F5255" s="165" t="s">
        <v>9211</v>
      </c>
    </row>
    <row r="5256" customFormat="false" ht="15" hidden="false" customHeight="true" outlineLevel="0" collapsed="false">
      <c r="A5256" s="163" t="s">
        <v>3007</v>
      </c>
      <c r="B5256" s="163" t="s">
        <v>894</v>
      </c>
      <c r="C5256" s="163" t="s">
        <v>9135</v>
      </c>
      <c r="D5256" s="163" t="s">
        <v>9136</v>
      </c>
      <c r="E5256" s="164" t="n">
        <v>18000</v>
      </c>
      <c r="F5256" s="165" t="s">
        <v>9148</v>
      </c>
    </row>
    <row r="5257" customFormat="false" ht="15" hidden="false" customHeight="true" outlineLevel="0" collapsed="false">
      <c r="A5257" s="163" t="s">
        <v>3007</v>
      </c>
      <c r="B5257" s="163" t="s">
        <v>894</v>
      </c>
      <c r="C5257" s="163" t="s">
        <v>3980</v>
      </c>
      <c r="D5257" s="163" t="s">
        <v>3981</v>
      </c>
      <c r="E5257" s="164" t="n">
        <v>18000</v>
      </c>
      <c r="F5257" s="165" t="s">
        <v>9212</v>
      </c>
    </row>
    <row r="5258" customFormat="false" ht="15" hidden="false" customHeight="true" outlineLevel="0" collapsed="false">
      <c r="A5258" s="163" t="s">
        <v>3007</v>
      </c>
      <c r="B5258" s="163" t="s">
        <v>894</v>
      </c>
      <c r="C5258" s="163" t="s">
        <v>893</v>
      </c>
      <c r="D5258" s="163" t="s">
        <v>1931</v>
      </c>
      <c r="E5258" s="164" t="n">
        <v>16000</v>
      </c>
      <c r="F5258" s="165" t="s">
        <v>9213</v>
      </c>
    </row>
    <row r="5259" customFormat="false" ht="15" hidden="false" customHeight="true" outlineLevel="0" collapsed="false">
      <c r="A5259" s="163" t="s">
        <v>3007</v>
      </c>
      <c r="B5259" s="163" t="s">
        <v>894</v>
      </c>
      <c r="C5259" s="163" t="s">
        <v>4173</v>
      </c>
      <c r="D5259" s="163" t="s">
        <v>4174</v>
      </c>
      <c r="E5259" s="164" t="n">
        <v>15000</v>
      </c>
      <c r="F5259" s="165" t="s">
        <v>9214</v>
      </c>
    </row>
    <row r="5260" customFormat="false" ht="15" hidden="false" customHeight="true" outlineLevel="0" collapsed="false">
      <c r="A5260" s="163" t="s">
        <v>3007</v>
      </c>
      <c r="B5260" s="163" t="s">
        <v>894</v>
      </c>
      <c r="C5260" s="163" t="s">
        <v>2167</v>
      </c>
      <c r="D5260" s="163" t="s">
        <v>1931</v>
      </c>
      <c r="E5260" s="164" t="n">
        <v>13000</v>
      </c>
      <c r="F5260" s="165" t="s">
        <v>3060</v>
      </c>
    </row>
    <row r="5261" customFormat="false" ht="15" hidden="false" customHeight="true" outlineLevel="0" collapsed="false">
      <c r="A5261" s="163" t="s">
        <v>3007</v>
      </c>
      <c r="B5261" s="163" t="s">
        <v>894</v>
      </c>
      <c r="C5261" s="163" t="s">
        <v>3980</v>
      </c>
      <c r="D5261" s="163" t="s">
        <v>3981</v>
      </c>
      <c r="E5261" s="164" t="n">
        <v>12000</v>
      </c>
      <c r="F5261" s="165" t="s">
        <v>9215</v>
      </c>
    </row>
    <row r="5262" customFormat="false" ht="15" hidden="false" customHeight="true" outlineLevel="0" collapsed="false">
      <c r="A5262" s="163" t="s">
        <v>3007</v>
      </c>
      <c r="B5262" s="163" t="s">
        <v>894</v>
      </c>
      <c r="C5262" s="163" t="s">
        <v>893</v>
      </c>
      <c r="D5262" s="163" t="s">
        <v>1931</v>
      </c>
      <c r="E5262" s="164" t="n">
        <v>11000</v>
      </c>
      <c r="F5262" s="165" t="s">
        <v>9216</v>
      </c>
    </row>
    <row r="5263" customFormat="false" ht="15" hidden="false" customHeight="true" outlineLevel="0" collapsed="false">
      <c r="A5263" s="163" t="s">
        <v>3007</v>
      </c>
      <c r="B5263" s="163" t="s">
        <v>894</v>
      </c>
      <c r="C5263" s="163" t="s">
        <v>6759</v>
      </c>
      <c r="D5263" s="163" t="s">
        <v>6760</v>
      </c>
      <c r="E5263" s="164" t="n">
        <v>10000</v>
      </c>
      <c r="F5263" s="165" t="s">
        <v>9148</v>
      </c>
    </row>
    <row r="5264" customFormat="false" ht="15" hidden="false" customHeight="true" outlineLevel="0" collapsed="false">
      <c r="A5264" s="163" t="s">
        <v>3007</v>
      </c>
      <c r="B5264" s="163" t="s">
        <v>894</v>
      </c>
      <c r="C5264" s="163" t="s">
        <v>893</v>
      </c>
      <c r="D5264" s="163" t="s">
        <v>1931</v>
      </c>
      <c r="E5264" s="164" t="n">
        <v>10000</v>
      </c>
      <c r="F5264" s="165" t="s">
        <v>9217</v>
      </c>
    </row>
    <row r="5265" customFormat="false" ht="15" hidden="false" customHeight="true" outlineLevel="0" collapsed="false">
      <c r="A5265" s="163" t="s">
        <v>3007</v>
      </c>
      <c r="B5265" s="163" t="s">
        <v>894</v>
      </c>
      <c r="C5265" s="163" t="s">
        <v>6283</v>
      </c>
      <c r="D5265" s="163" t="s">
        <v>6284</v>
      </c>
      <c r="E5265" s="164" t="n">
        <v>10000</v>
      </c>
      <c r="F5265" s="165" t="s">
        <v>9218</v>
      </c>
    </row>
    <row r="5266" customFormat="false" ht="15" hidden="false" customHeight="true" outlineLevel="0" collapsed="false">
      <c r="A5266" s="163" t="s">
        <v>3007</v>
      </c>
      <c r="B5266" s="163" t="s">
        <v>894</v>
      </c>
      <c r="C5266" s="163" t="s">
        <v>3441</v>
      </c>
      <c r="D5266" s="163" t="s">
        <v>3442</v>
      </c>
      <c r="E5266" s="164" t="n">
        <v>10000</v>
      </c>
      <c r="F5266" s="165" t="s">
        <v>9219</v>
      </c>
    </row>
    <row r="5267" customFormat="false" ht="15" hidden="false" customHeight="true" outlineLevel="0" collapsed="false">
      <c r="A5267" s="163" t="s">
        <v>3007</v>
      </c>
      <c r="B5267" s="163" t="s">
        <v>894</v>
      </c>
      <c r="C5267" s="163" t="s">
        <v>3122</v>
      </c>
      <c r="D5267" s="163" t="s">
        <v>3123</v>
      </c>
      <c r="E5267" s="164" t="n">
        <v>10000</v>
      </c>
      <c r="F5267" s="165" t="s">
        <v>9220</v>
      </c>
    </row>
    <row r="5268" customFormat="false" ht="15" hidden="false" customHeight="true" outlineLevel="0" collapsed="false">
      <c r="A5268" s="163" t="s">
        <v>3007</v>
      </c>
      <c r="B5268" s="163" t="s">
        <v>894</v>
      </c>
      <c r="C5268" s="163" t="s">
        <v>9221</v>
      </c>
      <c r="D5268" s="163" t="s">
        <v>9222</v>
      </c>
      <c r="E5268" s="164" t="n">
        <v>10000</v>
      </c>
      <c r="F5268" s="165" t="s">
        <v>9223</v>
      </c>
    </row>
    <row r="5269" customFormat="false" ht="15" hidden="false" customHeight="true" outlineLevel="0" collapsed="false">
      <c r="A5269" s="163" t="s">
        <v>3007</v>
      </c>
      <c r="B5269" s="163" t="s">
        <v>894</v>
      </c>
      <c r="C5269" s="163" t="s">
        <v>7671</v>
      </c>
      <c r="D5269" s="163" t="s">
        <v>7672</v>
      </c>
      <c r="E5269" s="164" t="n">
        <v>5000</v>
      </c>
      <c r="F5269" s="165" t="s">
        <v>9224</v>
      </c>
    </row>
    <row r="5270" customFormat="false" ht="15" hidden="false" customHeight="true" outlineLevel="0" collapsed="false">
      <c r="A5270" s="163" t="s">
        <v>3007</v>
      </c>
      <c r="B5270" s="163" t="s">
        <v>894</v>
      </c>
      <c r="C5270" s="163" t="s">
        <v>5071</v>
      </c>
      <c r="D5270" s="163" t="s">
        <v>5072</v>
      </c>
      <c r="E5270" s="164" t="n">
        <v>5000</v>
      </c>
      <c r="F5270" s="165" t="s">
        <v>9225</v>
      </c>
    </row>
    <row r="5271" customFormat="false" ht="15" hidden="false" customHeight="true" outlineLevel="0" collapsed="false">
      <c r="A5271" s="163" t="s">
        <v>3007</v>
      </c>
      <c r="B5271" s="163" t="s">
        <v>894</v>
      </c>
      <c r="C5271" s="163" t="s">
        <v>893</v>
      </c>
      <c r="D5271" s="163" t="s">
        <v>1931</v>
      </c>
      <c r="E5271" s="164" t="n">
        <v>5000</v>
      </c>
      <c r="F5271" s="165" t="s">
        <v>9156</v>
      </c>
    </row>
    <row r="5272" customFormat="false" ht="15" hidden="false" customHeight="true" outlineLevel="0" collapsed="false">
      <c r="A5272" s="163" t="s">
        <v>3007</v>
      </c>
      <c r="B5272" s="163" t="s">
        <v>894</v>
      </c>
      <c r="C5272" s="163" t="s">
        <v>893</v>
      </c>
      <c r="D5272" s="163" t="s">
        <v>1931</v>
      </c>
      <c r="E5272" s="164" t="n">
        <v>5000</v>
      </c>
      <c r="F5272" s="165" t="s">
        <v>9226</v>
      </c>
    </row>
    <row r="5273" customFormat="false" ht="15" hidden="false" customHeight="true" outlineLevel="0" collapsed="false">
      <c r="A5273" s="163" t="s">
        <v>3007</v>
      </c>
      <c r="B5273" s="163" t="s">
        <v>894</v>
      </c>
      <c r="C5273" s="163" t="s">
        <v>6529</v>
      </c>
      <c r="D5273" s="163" t="s">
        <v>6530</v>
      </c>
      <c r="E5273" s="164" t="n">
        <v>5000</v>
      </c>
      <c r="F5273" s="165" t="s">
        <v>9227</v>
      </c>
    </row>
    <row r="5274" customFormat="false" ht="15" hidden="false" customHeight="true" outlineLevel="0" collapsed="false">
      <c r="A5274" s="163" t="s">
        <v>3007</v>
      </c>
      <c r="B5274" s="163" t="s">
        <v>894</v>
      </c>
      <c r="C5274" s="163" t="s">
        <v>3188</v>
      </c>
      <c r="D5274" s="163" t="s">
        <v>3189</v>
      </c>
      <c r="E5274" s="164" t="n">
        <v>5000</v>
      </c>
      <c r="F5274" s="165" t="s">
        <v>9228</v>
      </c>
    </row>
    <row r="5275" customFormat="false" ht="15" hidden="false" customHeight="true" outlineLevel="0" collapsed="false">
      <c r="A5275" s="163" t="s">
        <v>3007</v>
      </c>
      <c r="B5275" s="163" t="s">
        <v>894</v>
      </c>
      <c r="C5275" s="163" t="s">
        <v>4193</v>
      </c>
      <c r="D5275" s="163" t="s">
        <v>4194</v>
      </c>
      <c r="E5275" s="164" t="n">
        <v>5000</v>
      </c>
      <c r="F5275" s="165" t="s">
        <v>9229</v>
      </c>
    </row>
    <row r="5276" customFormat="false" ht="15" hidden="false" customHeight="true" outlineLevel="0" collapsed="false">
      <c r="A5276" s="163" t="s">
        <v>3007</v>
      </c>
      <c r="B5276" s="163" t="s">
        <v>894</v>
      </c>
      <c r="C5276" s="163" t="s">
        <v>893</v>
      </c>
      <c r="D5276" s="163" t="s">
        <v>1931</v>
      </c>
      <c r="E5276" s="164" t="n">
        <v>5000</v>
      </c>
      <c r="F5276" s="165" t="s">
        <v>9230</v>
      </c>
    </row>
    <row r="5277" customFormat="false" ht="15" hidden="false" customHeight="true" outlineLevel="0" collapsed="false">
      <c r="A5277" s="163" t="s">
        <v>3007</v>
      </c>
      <c r="B5277" s="163" t="s">
        <v>894</v>
      </c>
      <c r="C5277" s="163" t="s">
        <v>3856</v>
      </c>
      <c r="D5277" s="163" t="s">
        <v>3857</v>
      </c>
      <c r="E5277" s="164" t="n">
        <v>5000</v>
      </c>
      <c r="F5277" s="165" t="s">
        <v>9231</v>
      </c>
    </row>
    <row r="5278" customFormat="false" ht="15" hidden="false" customHeight="true" outlineLevel="0" collapsed="false">
      <c r="A5278" s="163" t="s">
        <v>3007</v>
      </c>
      <c r="B5278" s="163" t="s">
        <v>894</v>
      </c>
      <c r="C5278" s="163" t="s">
        <v>925</v>
      </c>
      <c r="D5278" s="163" t="s">
        <v>1931</v>
      </c>
      <c r="E5278" s="164" t="n">
        <v>3000</v>
      </c>
      <c r="F5278" s="165" t="s">
        <v>9232</v>
      </c>
    </row>
    <row r="5279" customFormat="false" ht="15" hidden="false" customHeight="true" outlineLevel="0" collapsed="false">
      <c r="A5279" s="163" t="s">
        <v>3007</v>
      </c>
      <c r="B5279" s="163" t="s">
        <v>894</v>
      </c>
      <c r="C5279" s="163" t="s">
        <v>925</v>
      </c>
      <c r="D5279" s="163" t="s">
        <v>1931</v>
      </c>
      <c r="E5279" s="164" t="n">
        <v>2000</v>
      </c>
      <c r="F5279" s="165" t="s">
        <v>9233</v>
      </c>
    </row>
    <row r="5280" customFormat="false" ht="15" hidden="false" customHeight="true" outlineLevel="0" collapsed="false">
      <c r="A5280" s="163" t="s">
        <v>3007</v>
      </c>
      <c r="B5280" s="163" t="s">
        <v>894</v>
      </c>
      <c r="C5280" s="163" t="s">
        <v>925</v>
      </c>
      <c r="D5280" s="163" t="s">
        <v>1931</v>
      </c>
      <c r="E5280" s="164" t="n">
        <v>2000</v>
      </c>
      <c r="F5280" s="165" t="s">
        <v>9234</v>
      </c>
    </row>
    <row r="5281" customFormat="false" ht="15" hidden="false" customHeight="true" outlineLevel="0" collapsed="false">
      <c r="A5281" s="163" t="s">
        <v>3007</v>
      </c>
      <c r="B5281" s="163" t="s">
        <v>894</v>
      </c>
      <c r="C5281" s="163" t="s">
        <v>925</v>
      </c>
      <c r="D5281" s="163" t="s">
        <v>1931</v>
      </c>
      <c r="E5281" s="164" t="n">
        <v>1000</v>
      </c>
      <c r="F5281" s="165" t="s">
        <v>9235</v>
      </c>
    </row>
    <row r="5282" customFormat="false" ht="15" hidden="false" customHeight="true" outlineLevel="0" collapsed="false">
      <c r="A5282" s="163" t="s">
        <v>3007</v>
      </c>
      <c r="B5282" s="163" t="s">
        <v>882</v>
      </c>
      <c r="C5282" s="163" t="s">
        <v>2759</v>
      </c>
      <c r="D5282" s="163" t="s">
        <v>2760</v>
      </c>
      <c r="E5282" s="164" t="n">
        <v>90000</v>
      </c>
      <c r="F5282" s="165" t="s">
        <v>9236</v>
      </c>
    </row>
    <row r="5283" customFormat="false" ht="15" hidden="false" customHeight="true" outlineLevel="0" collapsed="false">
      <c r="A5283" s="163" t="s">
        <v>3007</v>
      </c>
      <c r="B5283" s="163" t="s">
        <v>882</v>
      </c>
      <c r="C5283" s="163" t="s">
        <v>3112</v>
      </c>
      <c r="D5283" s="163" t="s">
        <v>3113</v>
      </c>
      <c r="E5283" s="164" t="n">
        <v>80000</v>
      </c>
      <c r="F5283" s="165" t="s">
        <v>9237</v>
      </c>
    </row>
    <row r="5284" customFormat="false" ht="15" hidden="false" customHeight="true" outlineLevel="0" collapsed="false">
      <c r="A5284" s="163" t="s">
        <v>3007</v>
      </c>
      <c r="B5284" s="163" t="s">
        <v>882</v>
      </c>
      <c r="C5284" s="163" t="s">
        <v>197</v>
      </c>
      <c r="D5284" s="163" t="s">
        <v>1931</v>
      </c>
      <c r="E5284" s="164" t="n">
        <v>30000</v>
      </c>
      <c r="F5284" s="165" t="s">
        <v>9238</v>
      </c>
    </row>
    <row r="5285" customFormat="false" ht="15" hidden="false" customHeight="true" outlineLevel="0" collapsed="false">
      <c r="A5285" s="163" t="s">
        <v>3007</v>
      </c>
      <c r="B5285" s="163" t="s">
        <v>882</v>
      </c>
      <c r="C5285" s="163" t="s">
        <v>640</v>
      </c>
      <c r="D5285" s="163" t="s">
        <v>1931</v>
      </c>
      <c r="E5285" s="164" t="n">
        <v>30000</v>
      </c>
      <c r="F5285" s="165" t="s">
        <v>9239</v>
      </c>
    </row>
    <row r="5286" customFormat="false" ht="15" hidden="false" customHeight="true" outlineLevel="0" collapsed="false">
      <c r="A5286" s="163" t="s">
        <v>3007</v>
      </c>
      <c r="B5286" s="163" t="s">
        <v>882</v>
      </c>
      <c r="C5286" s="163" t="s">
        <v>9240</v>
      </c>
      <c r="D5286" s="163" t="s">
        <v>9241</v>
      </c>
      <c r="E5286" s="164" t="n">
        <v>20000</v>
      </c>
      <c r="F5286" s="165" t="s">
        <v>9242</v>
      </c>
    </row>
    <row r="5287" customFormat="false" ht="15" hidden="false" customHeight="true" outlineLevel="0" collapsed="false">
      <c r="A5287" s="163" t="s">
        <v>3007</v>
      </c>
      <c r="B5287" s="163" t="s">
        <v>882</v>
      </c>
      <c r="C5287" s="163" t="s">
        <v>3063</v>
      </c>
      <c r="D5287" s="163" t="s">
        <v>3064</v>
      </c>
      <c r="E5287" s="164" t="n">
        <v>20000</v>
      </c>
      <c r="F5287" s="165" t="s">
        <v>9243</v>
      </c>
    </row>
    <row r="5288" customFormat="false" ht="15" hidden="false" customHeight="true" outlineLevel="0" collapsed="false">
      <c r="A5288" s="163" t="s">
        <v>3007</v>
      </c>
      <c r="B5288" s="163" t="s">
        <v>882</v>
      </c>
      <c r="C5288" s="163" t="s">
        <v>640</v>
      </c>
      <c r="D5288" s="163" t="s">
        <v>1931</v>
      </c>
      <c r="E5288" s="164" t="n">
        <v>10000</v>
      </c>
      <c r="F5288" s="165" t="s">
        <v>9244</v>
      </c>
    </row>
    <row r="5289" customFormat="false" ht="15" hidden="false" customHeight="true" outlineLevel="0" collapsed="false">
      <c r="A5289" s="163" t="s">
        <v>3007</v>
      </c>
      <c r="B5289" s="163" t="s">
        <v>2328</v>
      </c>
      <c r="C5289" s="163" t="s">
        <v>9245</v>
      </c>
      <c r="D5289" s="163" t="s">
        <v>9246</v>
      </c>
      <c r="E5289" s="164" t="n">
        <v>20000</v>
      </c>
      <c r="F5289" s="165" t="s">
        <v>9247</v>
      </c>
    </row>
    <row r="5290" customFormat="false" ht="15" hidden="false" customHeight="true" outlineLevel="0" collapsed="false">
      <c r="A5290" s="163" t="s">
        <v>3007</v>
      </c>
      <c r="B5290" s="163" t="s">
        <v>2328</v>
      </c>
      <c r="C5290" s="163" t="s">
        <v>6503</v>
      </c>
      <c r="D5290" s="163" t="s">
        <v>6504</v>
      </c>
      <c r="E5290" s="164" t="n">
        <v>10000</v>
      </c>
      <c r="F5290" s="165" t="s">
        <v>9248</v>
      </c>
    </row>
    <row r="5291" customFormat="false" ht="15" hidden="false" customHeight="true" outlineLevel="0" collapsed="false">
      <c r="A5291" s="163" t="s">
        <v>3007</v>
      </c>
      <c r="B5291" s="163" t="s">
        <v>2328</v>
      </c>
      <c r="C5291" s="163" t="s">
        <v>9208</v>
      </c>
      <c r="D5291" s="163" t="s">
        <v>9209</v>
      </c>
      <c r="E5291" s="164" t="n">
        <v>10000</v>
      </c>
      <c r="F5291" s="165" t="s">
        <v>9249</v>
      </c>
    </row>
    <row r="5292" customFormat="false" ht="15" hidden="false" customHeight="true" outlineLevel="0" collapsed="false">
      <c r="A5292" s="163" t="s">
        <v>3007</v>
      </c>
      <c r="B5292" s="163" t="s">
        <v>2328</v>
      </c>
      <c r="C5292" s="163" t="s">
        <v>9174</v>
      </c>
      <c r="D5292" s="163" t="s">
        <v>9175</v>
      </c>
      <c r="E5292" s="164" t="n">
        <v>10000</v>
      </c>
      <c r="F5292" s="165" t="s">
        <v>9250</v>
      </c>
    </row>
    <row r="5293" customFormat="false" ht="15" hidden="false" customHeight="true" outlineLevel="0" collapsed="false">
      <c r="A5293" s="163" t="s">
        <v>3007</v>
      </c>
      <c r="B5293" s="163" t="s">
        <v>2342</v>
      </c>
      <c r="C5293" s="163" t="s">
        <v>197</v>
      </c>
      <c r="D5293" s="163" t="s">
        <v>1931</v>
      </c>
      <c r="E5293" s="164" t="n">
        <v>80000</v>
      </c>
      <c r="F5293" s="165" t="s">
        <v>9142</v>
      </c>
    </row>
    <row r="5294" customFormat="false" ht="15" hidden="false" customHeight="true" outlineLevel="0" collapsed="false">
      <c r="A5294" s="163" t="s">
        <v>3007</v>
      </c>
      <c r="B5294" s="163" t="s">
        <v>2342</v>
      </c>
      <c r="C5294" s="163" t="s">
        <v>395</v>
      </c>
      <c r="D5294" s="163" t="s">
        <v>2196</v>
      </c>
      <c r="E5294" s="164" t="n">
        <v>10000</v>
      </c>
      <c r="F5294" s="165" t="s">
        <v>9251</v>
      </c>
    </row>
    <row r="5295" customFormat="false" ht="15" hidden="false" customHeight="true" outlineLevel="0" collapsed="false">
      <c r="A5295" s="163" t="s">
        <v>3007</v>
      </c>
      <c r="B5295" s="163" t="s">
        <v>2766</v>
      </c>
      <c r="C5295" s="163" t="s">
        <v>7817</v>
      </c>
      <c r="D5295" s="163" t="s">
        <v>7818</v>
      </c>
      <c r="E5295" s="164" t="n">
        <v>15000</v>
      </c>
      <c r="F5295" s="165" t="s">
        <v>9252</v>
      </c>
    </row>
    <row r="5296" customFormat="false" ht="15" hidden="false" customHeight="true" outlineLevel="0" collapsed="false">
      <c r="A5296" s="163" t="s">
        <v>3007</v>
      </c>
      <c r="B5296" s="163" t="s">
        <v>2766</v>
      </c>
      <c r="C5296" s="163" t="s">
        <v>7817</v>
      </c>
      <c r="D5296" s="163" t="s">
        <v>7818</v>
      </c>
      <c r="E5296" s="164" t="n">
        <v>15000</v>
      </c>
      <c r="F5296" s="165" t="s">
        <v>9253</v>
      </c>
    </row>
    <row r="5297" customFormat="false" ht="15" hidden="false" customHeight="true" outlineLevel="0" collapsed="false">
      <c r="A5297" s="163" t="s">
        <v>3007</v>
      </c>
      <c r="B5297" s="163" t="s">
        <v>1743</v>
      </c>
      <c r="C5297" s="163" t="s">
        <v>3093</v>
      </c>
      <c r="D5297" s="163" t="s">
        <v>3094</v>
      </c>
      <c r="E5297" s="164" t="n">
        <v>20000</v>
      </c>
      <c r="F5297" s="165" t="s">
        <v>9254</v>
      </c>
    </row>
    <row r="5298" customFormat="false" ht="15" hidden="false" customHeight="true" outlineLevel="0" collapsed="false">
      <c r="A5298" s="163" t="s">
        <v>3007</v>
      </c>
      <c r="B5298" s="163" t="s">
        <v>1743</v>
      </c>
      <c r="C5298" s="163" t="s">
        <v>3478</v>
      </c>
      <c r="D5298" s="163" t="s">
        <v>3479</v>
      </c>
      <c r="E5298" s="164" t="n">
        <v>20000</v>
      </c>
      <c r="F5298" s="165" t="s">
        <v>9255</v>
      </c>
    </row>
    <row r="5299" customFormat="false" ht="15" hidden="false" customHeight="true" outlineLevel="0" collapsed="false">
      <c r="A5299" s="163" t="s">
        <v>3007</v>
      </c>
      <c r="B5299" s="163" t="s">
        <v>1743</v>
      </c>
      <c r="C5299" s="163" t="s">
        <v>7817</v>
      </c>
      <c r="D5299" s="163" t="s">
        <v>7818</v>
      </c>
      <c r="E5299" s="164" t="n">
        <v>15000</v>
      </c>
      <c r="F5299" s="165" t="s">
        <v>9138</v>
      </c>
    </row>
    <row r="5300" customFormat="false" ht="15" hidden="false" customHeight="true" outlineLevel="0" collapsed="false">
      <c r="A5300" s="163" t="s">
        <v>3007</v>
      </c>
      <c r="B5300" s="163" t="s">
        <v>1743</v>
      </c>
      <c r="C5300" s="163" t="s">
        <v>9256</v>
      </c>
      <c r="D5300" s="163" t="s">
        <v>9257</v>
      </c>
      <c r="E5300" s="164" t="n">
        <v>15000</v>
      </c>
      <c r="F5300" s="165" t="s">
        <v>9258</v>
      </c>
    </row>
    <row r="5301" customFormat="false" ht="15" hidden="false" customHeight="true" outlineLevel="0" collapsed="false">
      <c r="A5301" s="163" t="s">
        <v>3007</v>
      </c>
      <c r="B5301" s="163" t="s">
        <v>1743</v>
      </c>
      <c r="C5301" s="163" t="s">
        <v>8972</v>
      </c>
      <c r="D5301" s="163" t="s">
        <v>8973</v>
      </c>
      <c r="E5301" s="164" t="n">
        <v>15000</v>
      </c>
      <c r="F5301" s="165" t="s">
        <v>9259</v>
      </c>
    </row>
    <row r="5302" customFormat="false" ht="15" hidden="false" customHeight="true" outlineLevel="0" collapsed="false">
      <c r="A5302" s="163" t="s">
        <v>3007</v>
      </c>
      <c r="B5302" s="163" t="s">
        <v>1743</v>
      </c>
      <c r="C5302" s="163" t="s">
        <v>6538</v>
      </c>
      <c r="D5302" s="163" t="s">
        <v>6539</v>
      </c>
      <c r="E5302" s="164" t="n">
        <v>15000</v>
      </c>
      <c r="F5302" s="165" t="s">
        <v>9260</v>
      </c>
    </row>
    <row r="5303" customFormat="false" ht="15" hidden="false" customHeight="true" outlineLevel="0" collapsed="false">
      <c r="A5303" s="163" t="s">
        <v>3007</v>
      </c>
      <c r="B5303" s="163" t="s">
        <v>1743</v>
      </c>
      <c r="C5303" s="163" t="s">
        <v>5710</v>
      </c>
      <c r="D5303" s="163" t="s">
        <v>5711</v>
      </c>
      <c r="E5303" s="164" t="n">
        <v>10000</v>
      </c>
      <c r="F5303" s="165" t="s">
        <v>9261</v>
      </c>
    </row>
    <row r="5304" customFormat="false" ht="15" hidden="false" customHeight="true" outlineLevel="0" collapsed="false">
      <c r="A5304" s="163" t="s">
        <v>3007</v>
      </c>
      <c r="B5304" s="163" t="s">
        <v>1743</v>
      </c>
      <c r="C5304" s="163" t="s">
        <v>5783</v>
      </c>
      <c r="D5304" s="163" t="s">
        <v>5784</v>
      </c>
      <c r="E5304" s="164" t="n">
        <v>10000</v>
      </c>
      <c r="F5304" s="165" t="s">
        <v>9262</v>
      </c>
    </row>
    <row r="5305" customFormat="false" ht="15" hidden="false" customHeight="true" outlineLevel="0" collapsed="false">
      <c r="A5305" s="163" t="s">
        <v>3007</v>
      </c>
      <c r="B5305" s="163" t="s">
        <v>1743</v>
      </c>
      <c r="C5305" s="163" t="s">
        <v>5783</v>
      </c>
      <c r="D5305" s="163" t="s">
        <v>5784</v>
      </c>
      <c r="E5305" s="164" t="n">
        <v>10000</v>
      </c>
      <c r="F5305" s="165" t="s">
        <v>9263</v>
      </c>
    </row>
    <row r="5306" customFormat="false" ht="15" hidden="false" customHeight="true" outlineLevel="0" collapsed="false">
      <c r="A5306" s="163" t="s">
        <v>3007</v>
      </c>
      <c r="B5306" s="163" t="s">
        <v>1743</v>
      </c>
      <c r="C5306" s="163" t="s">
        <v>3102</v>
      </c>
      <c r="D5306" s="163" t="s">
        <v>3103</v>
      </c>
      <c r="E5306" s="164" t="n">
        <v>10000</v>
      </c>
      <c r="F5306" s="165" t="s">
        <v>9264</v>
      </c>
    </row>
    <row r="5307" customFormat="false" ht="15" hidden="false" customHeight="true" outlineLevel="0" collapsed="false">
      <c r="A5307" s="163" t="s">
        <v>3007</v>
      </c>
      <c r="B5307" s="163" t="s">
        <v>1743</v>
      </c>
      <c r="C5307" s="163" t="s">
        <v>7621</v>
      </c>
      <c r="D5307" s="163" t="s">
        <v>7622</v>
      </c>
      <c r="E5307" s="164" t="n">
        <v>10000</v>
      </c>
      <c r="F5307" s="165" t="s">
        <v>9265</v>
      </c>
    </row>
    <row r="5308" customFormat="false" ht="15" hidden="false" customHeight="true" outlineLevel="0" collapsed="false">
      <c r="A5308" s="163" t="s">
        <v>3007</v>
      </c>
      <c r="B5308" s="163" t="s">
        <v>928</v>
      </c>
      <c r="C5308" s="163" t="s">
        <v>3317</v>
      </c>
      <c r="D5308" s="163" t="s">
        <v>3318</v>
      </c>
      <c r="E5308" s="164" t="n">
        <v>30000</v>
      </c>
      <c r="F5308" s="165" t="s">
        <v>9266</v>
      </c>
    </row>
    <row r="5309" customFormat="false" ht="15" hidden="false" customHeight="true" outlineLevel="0" collapsed="false">
      <c r="A5309" s="163" t="s">
        <v>3007</v>
      </c>
      <c r="B5309" s="163" t="s">
        <v>928</v>
      </c>
      <c r="C5309" s="163" t="s">
        <v>9245</v>
      </c>
      <c r="D5309" s="163" t="s">
        <v>9246</v>
      </c>
      <c r="E5309" s="164" t="n">
        <v>25000</v>
      </c>
      <c r="F5309" s="165" t="s">
        <v>9267</v>
      </c>
    </row>
    <row r="5310" customFormat="false" ht="15" hidden="false" customHeight="true" outlineLevel="0" collapsed="false">
      <c r="A5310" s="163" t="s">
        <v>3007</v>
      </c>
      <c r="B5310" s="163" t="s">
        <v>928</v>
      </c>
      <c r="C5310" s="163" t="s">
        <v>4701</v>
      </c>
      <c r="D5310" s="163" t="s">
        <v>4702</v>
      </c>
      <c r="E5310" s="164" t="n">
        <v>25000</v>
      </c>
      <c r="F5310" s="165" t="s">
        <v>9268</v>
      </c>
    </row>
    <row r="5311" customFormat="false" ht="15" hidden="false" customHeight="true" outlineLevel="0" collapsed="false">
      <c r="A5311" s="163" t="s">
        <v>3007</v>
      </c>
      <c r="B5311" s="163" t="s">
        <v>928</v>
      </c>
      <c r="C5311" s="163" t="s">
        <v>3462</v>
      </c>
      <c r="D5311" s="163" t="s">
        <v>3463</v>
      </c>
      <c r="E5311" s="164" t="n">
        <v>20000</v>
      </c>
      <c r="F5311" s="165" t="s">
        <v>9269</v>
      </c>
    </row>
    <row r="5312" customFormat="false" ht="15" hidden="false" customHeight="true" outlineLevel="0" collapsed="false">
      <c r="A5312" s="163" t="s">
        <v>3007</v>
      </c>
      <c r="B5312" s="163" t="s">
        <v>928</v>
      </c>
      <c r="C5312" s="163" t="s">
        <v>3274</v>
      </c>
      <c r="D5312" s="163" t="s">
        <v>3275</v>
      </c>
      <c r="E5312" s="164" t="n">
        <v>20000</v>
      </c>
      <c r="F5312" s="165" t="s">
        <v>9157</v>
      </c>
    </row>
    <row r="5313" customFormat="false" ht="15" hidden="false" customHeight="true" outlineLevel="0" collapsed="false">
      <c r="A5313" s="163" t="s">
        <v>3007</v>
      </c>
      <c r="B5313" s="163" t="s">
        <v>928</v>
      </c>
      <c r="C5313" s="163" t="s">
        <v>9270</v>
      </c>
      <c r="D5313" s="163" t="s">
        <v>9271</v>
      </c>
      <c r="E5313" s="164" t="n">
        <v>10000</v>
      </c>
      <c r="F5313" s="165" t="s">
        <v>9272</v>
      </c>
    </row>
    <row r="5314" customFormat="false" ht="15" hidden="false" customHeight="true" outlineLevel="0" collapsed="false">
      <c r="A5314" s="163" t="s">
        <v>3007</v>
      </c>
      <c r="B5314" s="163" t="s">
        <v>928</v>
      </c>
      <c r="C5314" s="163" t="s">
        <v>3808</v>
      </c>
      <c r="D5314" s="163" t="s">
        <v>3809</v>
      </c>
      <c r="E5314" s="164" t="n">
        <v>10000</v>
      </c>
      <c r="F5314" s="165" t="s">
        <v>9163</v>
      </c>
    </row>
    <row r="5315" customFormat="false" ht="15" hidden="false" customHeight="true" outlineLevel="0" collapsed="false">
      <c r="A5315" s="163" t="s">
        <v>3007</v>
      </c>
      <c r="B5315" s="163" t="s">
        <v>928</v>
      </c>
      <c r="C5315" s="163" t="s">
        <v>3602</v>
      </c>
      <c r="D5315" s="163" t="s">
        <v>3603</v>
      </c>
      <c r="E5315" s="164" t="n">
        <v>5000</v>
      </c>
      <c r="F5315" s="165" t="s">
        <v>9273</v>
      </c>
    </row>
    <row r="5316" customFormat="false" ht="15" hidden="false" customHeight="true" outlineLevel="0" collapsed="false">
      <c r="A5316" s="163" t="s">
        <v>3007</v>
      </c>
      <c r="B5316" s="163" t="s">
        <v>928</v>
      </c>
      <c r="C5316" s="163" t="s">
        <v>3319</v>
      </c>
      <c r="D5316" s="163" t="s">
        <v>3320</v>
      </c>
      <c r="E5316" s="164" t="n">
        <v>5000</v>
      </c>
      <c r="F5316" s="165" t="s">
        <v>9274</v>
      </c>
    </row>
    <row r="5317" customFormat="false" ht="15" hidden="false" customHeight="true" outlineLevel="0" collapsed="false">
      <c r="A5317" s="163" t="s">
        <v>3038</v>
      </c>
      <c r="B5317" s="163" t="s">
        <v>926</v>
      </c>
      <c r="C5317" s="163" t="s">
        <v>5148</v>
      </c>
      <c r="D5317" s="163" t="s">
        <v>5149</v>
      </c>
      <c r="E5317" s="164" t="n">
        <v>50000</v>
      </c>
      <c r="F5317" s="165" t="s">
        <v>7593</v>
      </c>
    </row>
    <row r="5318" customFormat="false" ht="15" hidden="false" customHeight="true" outlineLevel="0" collapsed="false">
      <c r="A5318" s="163" t="s">
        <v>3038</v>
      </c>
      <c r="B5318" s="163" t="s">
        <v>926</v>
      </c>
      <c r="C5318" s="163" t="s">
        <v>3112</v>
      </c>
      <c r="D5318" s="163" t="s">
        <v>3113</v>
      </c>
      <c r="E5318" s="164" t="n">
        <v>30000</v>
      </c>
      <c r="F5318" s="165" t="s">
        <v>7593</v>
      </c>
    </row>
    <row r="5319" customFormat="false" ht="15" hidden="false" customHeight="true" outlineLevel="0" collapsed="false">
      <c r="A5319" s="163" t="s">
        <v>3038</v>
      </c>
      <c r="B5319" s="163" t="s">
        <v>926</v>
      </c>
      <c r="C5319" s="163" t="s">
        <v>9275</v>
      </c>
      <c r="D5319" s="163" t="s">
        <v>9276</v>
      </c>
      <c r="E5319" s="164" t="n">
        <v>20000</v>
      </c>
      <c r="F5319" s="165" t="s">
        <v>7593</v>
      </c>
    </row>
    <row r="5320" customFormat="false" ht="15" hidden="false" customHeight="true" outlineLevel="0" collapsed="false">
      <c r="A5320" s="163" t="s">
        <v>3038</v>
      </c>
      <c r="B5320" s="163" t="s">
        <v>957</v>
      </c>
      <c r="C5320" s="163" t="s">
        <v>6612</v>
      </c>
      <c r="D5320" s="163" t="s">
        <v>6613</v>
      </c>
      <c r="E5320" s="164" t="n">
        <v>20000</v>
      </c>
      <c r="F5320" s="165" t="s">
        <v>9277</v>
      </c>
    </row>
    <row r="5321" customFormat="false" ht="15" hidden="false" customHeight="true" outlineLevel="0" collapsed="false">
      <c r="A5321" s="163" t="s">
        <v>3038</v>
      </c>
      <c r="B5321" s="163" t="s">
        <v>957</v>
      </c>
      <c r="C5321" s="163" t="s">
        <v>5121</v>
      </c>
      <c r="D5321" s="163" t="s">
        <v>5122</v>
      </c>
      <c r="E5321" s="164" t="n">
        <v>20000</v>
      </c>
      <c r="F5321" s="165" t="s">
        <v>9278</v>
      </c>
    </row>
    <row r="5322" customFormat="false" ht="15" hidden="false" customHeight="true" outlineLevel="0" collapsed="false">
      <c r="A5322" s="163" t="s">
        <v>3038</v>
      </c>
      <c r="B5322" s="163" t="s">
        <v>957</v>
      </c>
      <c r="C5322" s="163" t="s">
        <v>6612</v>
      </c>
      <c r="D5322" s="163" t="s">
        <v>6613</v>
      </c>
      <c r="E5322" s="164" t="n">
        <v>15000</v>
      </c>
      <c r="F5322" s="165" t="s">
        <v>9279</v>
      </c>
    </row>
    <row r="5323" customFormat="false" ht="15" hidden="false" customHeight="true" outlineLevel="0" collapsed="false">
      <c r="A5323" s="163" t="s">
        <v>3038</v>
      </c>
      <c r="B5323" s="163" t="s">
        <v>957</v>
      </c>
      <c r="C5323" s="163" t="s">
        <v>6612</v>
      </c>
      <c r="D5323" s="163" t="s">
        <v>6613</v>
      </c>
      <c r="E5323" s="164" t="n">
        <v>10000</v>
      </c>
      <c r="F5323" s="165" t="s">
        <v>9280</v>
      </c>
    </row>
    <row r="5324" customFormat="false" ht="15" hidden="false" customHeight="true" outlineLevel="0" collapsed="false">
      <c r="A5324" s="163" t="s">
        <v>3038</v>
      </c>
      <c r="B5324" s="163" t="s">
        <v>957</v>
      </c>
      <c r="C5324" s="163" t="s">
        <v>7794</v>
      </c>
      <c r="D5324" s="163" t="s">
        <v>7795</v>
      </c>
      <c r="E5324" s="164" t="n">
        <v>10000</v>
      </c>
      <c r="F5324" s="165" t="s">
        <v>9281</v>
      </c>
    </row>
    <row r="5325" customFormat="false" ht="15" hidden="false" customHeight="true" outlineLevel="0" collapsed="false">
      <c r="A5325" s="163" t="s">
        <v>3038</v>
      </c>
      <c r="B5325" s="163" t="s">
        <v>957</v>
      </c>
      <c r="C5325" s="163" t="s">
        <v>4635</v>
      </c>
      <c r="D5325" s="163" t="s">
        <v>4636</v>
      </c>
      <c r="E5325" s="164" t="n">
        <v>10000</v>
      </c>
      <c r="F5325" s="165" t="s">
        <v>9282</v>
      </c>
    </row>
    <row r="5326" customFormat="false" ht="15" hidden="false" customHeight="true" outlineLevel="0" collapsed="false">
      <c r="A5326" s="163" t="s">
        <v>3038</v>
      </c>
      <c r="B5326" s="163" t="s">
        <v>957</v>
      </c>
      <c r="C5326" s="163" t="s">
        <v>4887</v>
      </c>
      <c r="D5326" s="163" t="s">
        <v>4888</v>
      </c>
      <c r="E5326" s="164" t="n">
        <v>10000</v>
      </c>
      <c r="F5326" s="165" t="s">
        <v>7919</v>
      </c>
    </row>
    <row r="5327" customFormat="false" ht="15" hidden="false" customHeight="true" outlineLevel="0" collapsed="false">
      <c r="A5327" s="163" t="s">
        <v>3038</v>
      </c>
      <c r="B5327" s="163" t="s">
        <v>957</v>
      </c>
      <c r="C5327" s="163" t="s">
        <v>3564</v>
      </c>
      <c r="D5327" s="163" t="s">
        <v>3565</v>
      </c>
      <c r="E5327" s="164" t="n">
        <v>5000</v>
      </c>
      <c r="F5327" s="165" t="s">
        <v>9283</v>
      </c>
    </row>
    <row r="5328" customFormat="false" ht="15" hidden="false" customHeight="true" outlineLevel="0" collapsed="false">
      <c r="A5328" s="163" t="s">
        <v>3038</v>
      </c>
      <c r="B5328" s="163" t="s">
        <v>957</v>
      </c>
      <c r="C5328" s="163" t="s">
        <v>4635</v>
      </c>
      <c r="D5328" s="163" t="s">
        <v>4636</v>
      </c>
      <c r="E5328" s="164" t="n">
        <v>5000</v>
      </c>
      <c r="F5328" s="165" t="s">
        <v>9284</v>
      </c>
    </row>
    <row r="5329" customFormat="false" ht="15" hidden="false" customHeight="true" outlineLevel="0" collapsed="false">
      <c r="A5329" s="163" t="s">
        <v>3038</v>
      </c>
      <c r="B5329" s="163" t="s">
        <v>957</v>
      </c>
      <c r="C5329" s="163" t="s">
        <v>1264</v>
      </c>
      <c r="D5329" s="163" t="s">
        <v>2227</v>
      </c>
      <c r="E5329" s="164" t="n">
        <v>5000</v>
      </c>
      <c r="F5329" s="165" t="s">
        <v>9285</v>
      </c>
    </row>
    <row r="5330" customFormat="false" ht="15" hidden="false" customHeight="true" outlineLevel="0" collapsed="false">
      <c r="A5330" s="163" t="s">
        <v>3038</v>
      </c>
      <c r="B5330" s="163" t="s">
        <v>945</v>
      </c>
      <c r="C5330" s="163" t="s">
        <v>3188</v>
      </c>
      <c r="D5330" s="163" t="s">
        <v>3189</v>
      </c>
      <c r="E5330" s="164" t="n">
        <v>10000</v>
      </c>
      <c r="F5330" s="165" t="s">
        <v>9286</v>
      </c>
    </row>
    <row r="5331" customFormat="false" ht="15" hidden="false" customHeight="true" outlineLevel="0" collapsed="false">
      <c r="A5331" s="163" t="s">
        <v>3038</v>
      </c>
      <c r="B5331" s="163" t="s">
        <v>945</v>
      </c>
      <c r="C5331" s="163" t="s">
        <v>3635</v>
      </c>
      <c r="D5331" s="163" t="s">
        <v>3636</v>
      </c>
      <c r="E5331" s="164" t="n">
        <v>10000</v>
      </c>
      <c r="F5331" s="165" t="s">
        <v>9287</v>
      </c>
    </row>
    <row r="5332" customFormat="false" ht="15" hidden="false" customHeight="true" outlineLevel="0" collapsed="false">
      <c r="A5332" s="163" t="s">
        <v>3038</v>
      </c>
      <c r="B5332" s="163" t="s">
        <v>945</v>
      </c>
      <c r="C5332" s="163" t="s">
        <v>6078</v>
      </c>
      <c r="D5332" s="163" t="s">
        <v>6079</v>
      </c>
      <c r="E5332" s="164" t="n">
        <v>5000</v>
      </c>
      <c r="F5332" s="165" t="s">
        <v>9288</v>
      </c>
    </row>
    <row r="5333" customFormat="false" ht="15" hidden="false" customHeight="true" outlineLevel="0" collapsed="false">
      <c r="A5333" s="163" t="s">
        <v>3038</v>
      </c>
      <c r="B5333" s="163" t="s">
        <v>3111</v>
      </c>
      <c r="C5333" s="163" t="s">
        <v>5148</v>
      </c>
      <c r="D5333" s="163" t="s">
        <v>5149</v>
      </c>
      <c r="E5333" s="164" t="n">
        <v>25000</v>
      </c>
      <c r="F5333" s="165" t="s">
        <v>9289</v>
      </c>
    </row>
    <row r="5334" customFormat="false" ht="15" hidden="false" customHeight="true" outlineLevel="0" collapsed="false">
      <c r="A5334" s="163" t="s">
        <v>3038</v>
      </c>
      <c r="B5334" s="163" t="s">
        <v>3111</v>
      </c>
      <c r="C5334" s="163" t="s">
        <v>9290</v>
      </c>
      <c r="D5334" s="163" t="s">
        <v>9291</v>
      </c>
      <c r="E5334" s="164" t="n">
        <v>25000</v>
      </c>
      <c r="F5334" s="165" t="s">
        <v>9292</v>
      </c>
    </row>
    <row r="5335" customFormat="false" ht="15" hidden="false" customHeight="true" outlineLevel="0" collapsed="false">
      <c r="A5335" s="163" t="s">
        <v>3038</v>
      </c>
      <c r="B5335" s="163" t="s">
        <v>3111</v>
      </c>
      <c r="C5335" s="163" t="s">
        <v>6612</v>
      </c>
      <c r="D5335" s="163" t="s">
        <v>6613</v>
      </c>
      <c r="E5335" s="164" t="n">
        <v>10000</v>
      </c>
      <c r="F5335" s="165" t="s">
        <v>9293</v>
      </c>
    </row>
    <row r="5336" customFormat="false" ht="15" hidden="false" customHeight="true" outlineLevel="0" collapsed="false">
      <c r="A5336" s="163" t="s">
        <v>3038</v>
      </c>
      <c r="B5336" s="163" t="s">
        <v>3111</v>
      </c>
      <c r="C5336" s="163" t="s">
        <v>197</v>
      </c>
      <c r="D5336" s="163" t="s">
        <v>1931</v>
      </c>
      <c r="E5336" s="164" t="n">
        <v>10000</v>
      </c>
      <c r="F5336" s="165" t="s">
        <v>9294</v>
      </c>
    </row>
    <row r="5337" customFormat="false" ht="15" hidden="false" customHeight="true" outlineLevel="0" collapsed="false">
      <c r="A5337" s="163" t="s">
        <v>3038</v>
      </c>
      <c r="B5337" s="163" t="s">
        <v>3111</v>
      </c>
      <c r="C5337" s="163" t="s">
        <v>7794</v>
      </c>
      <c r="D5337" s="163" t="s">
        <v>7795</v>
      </c>
      <c r="E5337" s="164" t="n">
        <v>10000</v>
      </c>
      <c r="F5337" s="165" t="s">
        <v>5716</v>
      </c>
    </row>
    <row r="5338" customFormat="false" ht="15" hidden="false" customHeight="true" outlineLevel="0" collapsed="false">
      <c r="A5338" s="163" t="s">
        <v>3038</v>
      </c>
      <c r="B5338" s="163" t="s">
        <v>3111</v>
      </c>
      <c r="C5338" s="163" t="s">
        <v>3498</v>
      </c>
      <c r="D5338" s="163" t="s">
        <v>3499</v>
      </c>
      <c r="E5338" s="164" t="n">
        <v>10000</v>
      </c>
      <c r="F5338" s="165" t="s">
        <v>9295</v>
      </c>
    </row>
    <row r="5339" customFormat="false" ht="15" hidden="false" customHeight="true" outlineLevel="0" collapsed="false">
      <c r="A5339" s="163" t="s">
        <v>3038</v>
      </c>
      <c r="B5339" s="163" t="s">
        <v>3111</v>
      </c>
      <c r="C5339" s="163" t="s">
        <v>9296</v>
      </c>
      <c r="D5339" s="163" t="s">
        <v>9297</v>
      </c>
      <c r="E5339" s="164" t="n">
        <v>10000</v>
      </c>
      <c r="F5339" s="165" t="s">
        <v>9298</v>
      </c>
    </row>
    <row r="5340" customFormat="false" ht="15" hidden="false" customHeight="true" outlineLevel="0" collapsed="false">
      <c r="A5340" s="163" t="s">
        <v>3038</v>
      </c>
      <c r="B5340" s="163" t="s">
        <v>1938</v>
      </c>
      <c r="C5340" s="163" t="s">
        <v>5148</v>
      </c>
      <c r="D5340" s="163" t="s">
        <v>5149</v>
      </c>
      <c r="E5340" s="164" t="n">
        <v>20000</v>
      </c>
      <c r="F5340" s="165" t="s">
        <v>9299</v>
      </c>
    </row>
    <row r="5341" customFormat="false" ht="15" hidden="false" customHeight="true" outlineLevel="0" collapsed="false">
      <c r="A5341" s="163" t="s">
        <v>3038</v>
      </c>
      <c r="B5341" s="163" t="s">
        <v>1938</v>
      </c>
      <c r="C5341" s="163" t="s">
        <v>3808</v>
      </c>
      <c r="D5341" s="163" t="s">
        <v>3809</v>
      </c>
      <c r="E5341" s="164" t="n">
        <v>20000</v>
      </c>
      <c r="F5341" s="165" t="s">
        <v>9300</v>
      </c>
    </row>
    <row r="5342" customFormat="false" ht="15" hidden="false" customHeight="true" outlineLevel="0" collapsed="false">
      <c r="A5342" s="163" t="s">
        <v>3038</v>
      </c>
      <c r="B5342" s="163" t="s">
        <v>1938</v>
      </c>
      <c r="C5342" s="163" t="s">
        <v>9301</v>
      </c>
      <c r="D5342" s="163" t="s">
        <v>9302</v>
      </c>
      <c r="E5342" s="164" t="n">
        <v>20000</v>
      </c>
      <c r="F5342" s="165" t="s">
        <v>9303</v>
      </c>
    </row>
    <row r="5343" customFormat="false" ht="15" hidden="false" customHeight="true" outlineLevel="0" collapsed="false">
      <c r="A5343" s="163" t="s">
        <v>3038</v>
      </c>
      <c r="B5343" s="163" t="s">
        <v>1938</v>
      </c>
      <c r="C5343" s="163" t="s">
        <v>5160</v>
      </c>
      <c r="D5343" s="163" t="s">
        <v>5161</v>
      </c>
      <c r="E5343" s="164" t="n">
        <v>20000</v>
      </c>
      <c r="F5343" s="165" t="s">
        <v>9304</v>
      </c>
    </row>
    <row r="5344" customFormat="false" ht="15" hidden="false" customHeight="true" outlineLevel="0" collapsed="false">
      <c r="A5344" s="163" t="s">
        <v>3038</v>
      </c>
      <c r="B5344" s="163" t="s">
        <v>1938</v>
      </c>
      <c r="C5344" s="163" t="s">
        <v>5102</v>
      </c>
      <c r="D5344" s="163" t="s">
        <v>5103</v>
      </c>
      <c r="E5344" s="164" t="n">
        <v>20000</v>
      </c>
      <c r="F5344" s="165" t="s">
        <v>9305</v>
      </c>
    </row>
    <row r="5345" customFormat="false" ht="15" hidden="false" customHeight="true" outlineLevel="0" collapsed="false">
      <c r="A5345" s="163" t="s">
        <v>3038</v>
      </c>
      <c r="B5345" s="163" t="s">
        <v>1938</v>
      </c>
      <c r="C5345" s="163" t="s">
        <v>9306</v>
      </c>
      <c r="D5345" s="163" t="s">
        <v>9307</v>
      </c>
      <c r="E5345" s="164" t="n">
        <v>20000</v>
      </c>
      <c r="F5345" s="165" t="s">
        <v>9308</v>
      </c>
    </row>
    <row r="5346" customFormat="false" ht="15" hidden="false" customHeight="true" outlineLevel="0" collapsed="false">
      <c r="A5346" s="163" t="s">
        <v>3038</v>
      </c>
      <c r="B5346" s="163" t="s">
        <v>1938</v>
      </c>
      <c r="C5346" s="163" t="s">
        <v>9306</v>
      </c>
      <c r="D5346" s="163" t="s">
        <v>9307</v>
      </c>
      <c r="E5346" s="164" t="n">
        <v>20000</v>
      </c>
      <c r="F5346" s="165" t="s">
        <v>9309</v>
      </c>
    </row>
    <row r="5347" customFormat="false" ht="15" hidden="false" customHeight="true" outlineLevel="0" collapsed="false">
      <c r="A5347" s="163" t="s">
        <v>3038</v>
      </c>
      <c r="B5347" s="163" t="s">
        <v>1938</v>
      </c>
      <c r="C5347" s="163" t="s">
        <v>332</v>
      </c>
      <c r="D5347" s="163" t="s">
        <v>2673</v>
      </c>
      <c r="E5347" s="164" t="n">
        <v>20000</v>
      </c>
      <c r="F5347" s="165" t="s">
        <v>9310</v>
      </c>
    </row>
    <row r="5348" customFormat="false" ht="15" hidden="false" customHeight="true" outlineLevel="0" collapsed="false">
      <c r="A5348" s="163" t="s">
        <v>3038</v>
      </c>
      <c r="B5348" s="163" t="s">
        <v>1938</v>
      </c>
      <c r="C5348" s="163" t="s">
        <v>332</v>
      </c>
      <c r="D5348" s="163" t="s">
        <v>2673</v>
      </c>
      <c r="E5348" s="164" t="n">
        <v>20000</v>
      </c>
      <c r="F5348" s="165" t="s">
        <v>9309</v>
      </c>
    </row>
    <row r="5349" customFormat="false" ht="15" hidden="false" customHeight="true" outlineLevel="0" collapsed="false">
      <c r="A5349" s="163" t="s">
        <v>3038</v>
      </c>
      <c r="B5349" s="163" t="s">
        <v>1938</v>
      </c>
      <c r="C5349" s="163" t="s">
        <v>332</v>
      </c>
      <c r="D5349" s="163" t="s">
        <v>2673</v>
      </c>
      <c r="E5349" s="164" t="n">
        <v>20000</v>
      </c>
      <c r="F5349" s="165" t="s">
        <v>9311</v>
      </c>
    </row>
    <row r="5350" customFormat="false" ht="15" hidden="false" customHeight="true" outlineLevel="0" collapsed="false">
      <c r="A5350" s="163" t="s">
        <v>3038</v>
      </c>
      <c r="B5350" s="163" t="s">
        <v>1938</v>
      </c>
      <c r="C5350" s="163" t="s">
        <v>332</v>
      </c>
      <c r="D5350" s="163" t="s">
        <v>2673</v>
      </c>
      <c r="E5350" s="164" t="n">
        <v>20000</v>
      </c>
      <c r="F5350" s="165" t="s">
        <v>9312</v>
      </c>
    </row>
    <row r="5351" customFormat="false" ht="15" hidden="false" customHeight="true" outlineLevel="0" collapsed="false">
      <c r="A5351" s="163" t="s">
        <v>3038</v>
      </c>
      <c r="B5351" s="163" t="s">
        <v>1938</v>
      </c>
      <c r="C5351" s="163" t="s">
        <v>3602</v>
      </c>
      <c r="D5351" s="163" t="s">
        <v>3603</v>
      </c>
      <c r="E5351" s="164" t="n">
        <v>20000</v>
      </c>
      <c r="F5351" s="165" t="s">
        <v>9313</v>
      </c>
    </row>
    <row r="5352" customFormat="false" ht="15" hidden="false" customHeight="true" outlineLevel="0" collapsed="false">
      <c r="A5352" s="163" t="s">
        <v>3038</v>
      </c>
      <c r="B5352" s="163" t="s">
        <v>1938</v>
      </c>
      <c r="C5352" s="163" t="s">
        <v>7893</v>
      </c>
      <c r="D5352" s="163" t="s">
        <v>7894</v>
      </c>
      <c r="E5352" s="164" t="n">
        <v>20000</v>
      </c>
      <c r="F5352" s="165" t="s">
        <v>3060</v>
      </c>
    </row>
    <row r="5353" customFormat="false" ht="15" hidden="false" customHeight="true" outlineLevel="0" collapsed="false">
      <c r="A5353" s="163" t="s">
        <v>3038</v>
      </c>
      <c r="B5353" s="163" t="s">
        <v>1938</v>
      </c>
      <c r="C5353" s="163" t="s">
        <v>5165</v>
      </c>
      <c r="D5353" s="163" t="s">
        <v>5166</v>
      </c>
      <c r="E5353" s="164" t="n">
        <v>20000</v>
      </c>
      <c r="F5353" s="165" t="s">
        <v>9314</v>
      </c>
    </row>
    <row r="5354" customFormat="false" ht="15" hidden="false" customHeight="true" outlineLevel="0" collapsed="false">
      <c r="A5354" s="163" t="s">
        <v>3038</v>
      </c>
      <c r="B5354" s="163" t="s">
        <v>1938</v>
      </c>
      <c r="C5354" s="163" t="s">
        <v>4946</v>
      </c>
      <c r="D5354" s="163" t="s">
        <v>4947</v>
      </c>
      <c r="E5354" s="164" t="n">
        <v>20000</v>
      </c>
      <c r="F5354" s="165" t="s">
        <v>9315</v>
      </c>
    </row>
    <row r="5355" customFormat="false" ht="15" hidden="false" customHeight="true" outlineLevel="0" collapsed="false">
      <c r="A5355" s="163" t="s">
        <v>3038</v>
      </c>
      <c r="B5355" s="163" t="s">
        <v>1938</v>
      </c>
      <c r="C5355" s="163" t="s">
        <v>4946</v>
      </c>
      <c r="D5355" s="163" t="s">
        <v>4947</v>
      </c>
      <c r="E5355" s="164" t="n">
        <v>20000</v>
      </c>
      <c r="F5355" s="165" t="s">
        <v>9316</v>
      </c>
    </row>
    <row r="5356" customFormat="false" ht="15" hidden="false" customHeight="true" outlineLevel="0" collapsed="false">
      <c r="A5356" s="163" t="s">
        <v>3038</v>
      </c>
      <c r="B5356" s="163" t="s">
        <v>1938</v>
      </c>
      <c r="C5356" s="163" t="s">
        <v>3835</v>
      </c>
      <c r="D5356" s="163" t="s">
        <v>3836</v>
      </c>
      <c r="E5356" s="164" t="n">
        <v>20000</v>
      </c>
      <c r="F5356" s="165" t="s">
        <v>9317</v>
      </c>
    </row>
    <row r="5357" customFormat="false" ht="15" hidden="false" customHeight="true" outlineLevel="0" collapsed="false">
      <c r="A5357" s="163" t="s">
        <v>3038</v>
      </c>
      <c r="B5357" s="163" t="s">
        <v>691</v>
      </c>
      <c r="C5357" s="163" t="s">
        <v>3560</v>
      </c>
      <c r="D5357" s="163" t="s">
        <v>3561</v>
      </c>
      <c r="E5357" s="164" t="n">
        <v>50000</v>
      </c>
      <c r="F5357" s="165" t="s">
        <v>9318</v>
      </c>
    </row>
    <row r="5358" customFormat="false" ht="15" hidden="false" customHeight="true" outlineLevel="0" collapsed="false">
      <c r="A5358" s="163" t="s">
        <v>3038</v>
      </c>
      <c r="B5358" s="163" t="s">
        <v>691</v>
      </c>
      <c r="C5358" s="163" t="s">
        <v>7975</v>
      </c>
      <c r="D5358" s="163" t="s">
        <v>7976</v>
      </c>
      <c r="E5358" s="164" t="n">
        <v>40000</v>
      </c>
      <c r="F5358" s="165" t="s">
        <v>9285</v>
      </c>
    </row>
    <row r="5359" customFormat="false" ht="15" hidden="false" customHeight="true" outlineLevel="0" collapsed="false">
      <c r="A5359" s="163" t="s">
        <v>3038</v>
      </c>
      <c r="B5359" s="163" t="s">
        <v>691</v>
      </c>
      <c r="C5359" s="163" t="s">
        <v>431</v>
      </c>
      <c r="D5359" s="163" t="s">
        <v>2678</v>
      </c>
      <c r="E5359" s="164" t="n">
        <v>30000</v>
      </c>
      <c r="F5359" s="165" t="s">
        <v>9285</v>
      </c>
    </row>
    <row r="5360" customFormat="false" ht="15" hidden="false" customHeight="true" outlineLevel="0" collapsed="false">
      <c r="A5360" s="163" t="s">
        <v>3038</v>
      </c>
      <c r="B5360" s="163" t="s">
        <v>691</v>
      </c>
      <c r="C5360" s="163" t="s">
        <v>9301</v>
      </c>
      <c r="D5360" s="163" t="s">
        <v>9302</v>
      </c>
      <c r="E5360" s="164" t="n">
        <v>25000</v>
      </c>
      <c r="F5360" s="165" t="s">
        <v>9285</v>
      </c>
    </row>
    <row r="5361" customFormat="false" ht="15" hidden="false" customHeight="true" outlineLevel="0" collapsed="false">
      <c r="A5361" s="163" t="s">
        <v>3038</v>
      </c>
      <c r="B5361" s="163" t="s">
        <v>2027</v>
      </c>
      <c r="C5361" s="163" t="s">
        <v>6612</v>
      </c>
      <c r="D5361" s="163" t="s">
        <v>6613</v>
      </c>
      <c r="E5361" s="164" t="n">
        <v>25000</v>
      </c>
      <c r="F5361" s="165" t="s">
        <v>9285</v>
      </c>
    </row>
    <row r="5362" customFormat="false" ht="15" hidden="false" customHeight="true" outlineLevel="0" collapsed="false">
      <c r="A5362" s="163" t="s">
        <v>3038</v>
      </c>
      <c r="B5362" s="163" t="s">
        <v>2027</v>
      </c>
      <c r="C5362" s="163" t="s">
        <v>3425</v>
      </c>
      <c r="D5362" s="163" t="s">
        <v>3426</v>
      </c>
      <c r="E5362" s="164" t="n">
        <v>25000</v>
      </c>
      <c r="F5362" s="165" t="s">
        <v>9319</v>
      </c>
    </row>
    <row r="5363" customFormat="false" ht="15" hidden="false" customHeight="true" outlineLevel="0" collapsed="false">
      <c r="A5363" s="163" t="s">
        <v>3038</v>
      </c>
      <c r="B5363" s="163" t="s">
        <v>2027</v>
      </c>
      <c r="C5363" s="163" t="s">
        <v>4269</v>
      </c>
      <c r="D5363" s="163" t="s">
        <v>4270</v>
      </c>
      <c r="E5363" s="164" t="n">
        <v>20000</v>
      </c>
      <c r="F5363" s="165" t="s">
        <v>9285</v>
      </c>
    </row>
    <row r="5364" customFormat="false" ht="15" hidden="false" customHeight="true" outlineLevel="0" collapsed="false">
      <c r="A5364" s="163" t="s">
        <v>3038</v>
      </c>
      <c r="B5364" s="163" t="s">
        <v>2027</v>
      </c>
      <c r="C5364" s="163" t="s">
        <v>4635</v>
      </c>
      <c r="D5364" s="163" t="s">
        <v>4636</v>
      </c>
      <c r="E5364" s="164" t="n">
        <v>20000</v>
      </c>
      <c r="F5364" s="165" t="s">
        <v>9320</v>
      </c>
    </row>
    <row r="5365" customFormat="false" ht="15" hidden="false" customHeight="true" outlineLevel="0" collapsed="false">
      <c r="A5365" s="163" t="s">
        <v>3038</v>
      </c>
      <c r="B5365" s="163" t="s">
        <v>2037</v>
      </c>
      <c r="C5365" s="163" t="s">
        <v>9290</v>
      </c>
      <c r="D5365" s="163" t="s">
        <v>9291</v>
      </c>
      <c r="E5365" s="164" t="n">
        <v>45000</v>
      </c>
      <c r="F5365" s="165" t="s">
        <v>9321</v>
      </c>
    </row>
    <row r="5366" customFormat="false" ht="15" hidden="false" customHeight="true" outlineLevel="0" collapsed="false">
      <c r="A5366" s="163" t="s">
        <v>3038</v>
      </c>
      <c r="B5366" s="163" t="s">
        <v>2037</v>
      </c>
      <c r="C5366" s="163" t="s">
        <v>3210</v>
      </c>
      <c r="D5366" s="163" t="s">
        <v>3211</v>
      </c>
      <c r="E5366" s="164" t="n">
        <v>44000</v>
      </c>
      <c r="F5366" s="165" t="s">
        <v>9321</v>
      </c>
    </row>
    <row r="5367" customFormat="false" ht="15" hidden="false" customHeight="true" outlineLevel="0" collapsed="false">
      <c r="A5367" s="163" t="s">
        <v>3038</v>
      </c>
      <c r="B5367" s="163" t="s">
        <v>2037</v>
      </c>
      <c r="C5367" s="163" t="s">
        <v>2879</v>
      </c>
      <c r="D5367" s="163" t="s">
        <v>1931</v>
      </c>
      <c r="E5367" s="164" t="n">
        <v>44000</v>
      </c>
      <c r="F5367" s="165" t="s">
        <v>9322</v>
      </c>
    </row>
    <row r="5368" customFormat="false" ht="15" hidden="false" customHeight="true" outlineLevel="0" collapsed="false">
      <c r="A5368" s="163" t="s">
        <v>3038</v>
      </c>
      <c r="B5368" s="163" t="s">
        <v>894</v>
      </c>
      <c r="C5368" s="163" t="s">
        <v>7975</v>
      </c>
      <c r="D5368" s="163" t="s">
        <v>7976</v>
      </c>
      <c r="E5368" s="164" t="n">
        <v>76000</v>
      </c>
      <c r="F5368" s="165" t="s">
        <v>9323</v>
      </c>
    </row>
    <row r="5369" customFormat="false" ht="15" hidden="false" customHeight="true" outlineLevel="0" collapsed="false">
      <c r="A5369" s="163" t="s">
        <v>3038</v>
      </c>
      <c r="B5369" s="163" t="s">
        <v>894</v>
      </c>
      <c r="C5369" s="163" t="s">
        <v>3635</v>
      </c>
      <c r="D5369" s="163" t="s">
        <v>3636</v>
      </c>
      <c r="E5369" s="164" t="n">
        <v>23000</v>
      </c>
      <c r="F5369" s="165" t="s">
        <v>9324</v>
      </c>
    </row>
    <row r="5370" customFormat="false" ht="15" hidden="false" customHeight="true" outlineLevel="0" collapsed="false">
      <c r="A5370" s="163" t="s">
        <v>3038</v>
      </c>
      <c r="B5370" s="163" t="s">
        <v>894</v>
      </c>
      <c r="C5370" s="163" t="s">
        <v>8014</v>
      </c>
      <c r="D5370" s="163" t="s">
        <v>8015</v>
      </c>
      <c r="E5370" s="164" t="n">
        <v>22500</v>
      </c>
      <c r="F5370" s="165" t="s">
        <v>9325</v>
      </c>
    </row>
    <row r="5371" customFormat="false" ht="15" hidden="false" customHeight="true" outlineLevel="0" collapsed="false">
      <c r="A5371" s="163" t="s">
        <v>3038</v>
      </c>
      <c r="B5371" s="163" t="s">
        <v>894</v>
      </c>
      <c r="C5371" s="163" t="s">
        <v>9326</v>
      </c>
      <c r="D5371" s="163" t="s">
        <v>9327</v>
      </c>
      <c r="E5371" s="164" t="n">
        <v>22000</v>
      </c>
      <c r="F5371" s="165" t="s">
        <v>9328</v>
      </c>
    </row>
    <row r="5372" customFormat="false" ht="15" hidden="false" customHeight="true" outlineLevel="0" collapsed="false">
      <c r="A5372" s="163" t="s">
        <v>3038</v>
      </c>
      <c r="B5372" s="163" t="s">
        <v>894</v>
      </c>
      <c r="C5372" s="163" t="s">
        <v>9301</v>
      </c>
      <c r="D5372" s="163" t="s">
        <v>9302</v>
      </c>
      <c r="E5372" s="164" t="n">
        <v>20000</v>
      </c>
      <c r="F5372" s="165" t="s">
        <v>9329</v>
      </c>
    </row>
    <row r="5373" customFormat="false" ht="15" hidden="false" customHeight="true" outlineLevel="0" collapsed="false">
      <c r="A5373" s="163" t="s">
        <v>3038</v>
      </c>
      <c r="B5373" s="163" t="s">
        <v>894</v>
      </c>
      <c r="C5373" s="163" t="s">
        <v>3684</v>
      </c>
      <c r="D5373" s="163" t="s">
        <v>3685</v>
      </c>
      <c r="E5373" s="164" t="n">
        <v>10000</v>
      </c>
      <c r="F5373" s="165" t="s">
        <v>9330</v>
      </c>
    </row>
    <row r="5374" customFormat="false" ht="15" hidden="false" customHeight="true" outlineLevel="0" collapsed="false">
      <c r="A5374" s="163" t="s">
        <v>3038</v>
      </c>
      <c r="B5374" s="163" t="s">
        <v>894</v>
      </c>
      <c r="C5374" s="163" t="s">
        <v>9331</v>
      </c>
      <c r="D5374" s="163" t="s">
        <v>9332</v>
      </c>
      <c r="E5374" s="164" t="n">
        <v>8500</v>
      </c>
      <c r="F5374" s="165" t="s">
        <v>9333</v>
      </c>
    </row>
    <row r="5375" customFormat="false" ht="15" hidden="false" customHeight="true" outlineLevel="0" collapsed="false">
      <c r="A5375" s="163" t="s">
        <v>3038</v>
      </c>
      <c r="B5375" s="163" t="s">
        <v>894</v>
      </c>
      <c r="C5375" s="163" t="s">
        <v>9334</v>
      </c>
      <c r="D5375" s="163" t="s">
        <v>9335</v>
      </c>
      <c r="E5375" s="164" t="n">
        <v>7500</v>
      </c>
      <c r="F5375" s="165" t="s">
        <v>9336</v>
      </c>
    </row>
    <row r="5376" customFormat="false" ht="15" hidden="false" customHeight="true" outlineLevel="0" collapsed="false">
      <c r="A5376" s="163" t="s">
        <v>3038</v>
      </c>
      <c r="B5376" s="163" t="s">
        <v>894</v>
      </c>
      <c r="C5376" s="163" t="s">
        <v>3468</v>
      </c>
      <c r="D5376" s="163" t="s">
        <v>3469</v>
      </c>
      <c r="E5376" s="164" t="n">
        <v>7500</v>
      </c>
      <c r="F5376" s="165" t="s">
        <v>9337</v>
      </c>
    </row>
    <row r="5377" customFormat="false" ht="15" hidden="false" customHeight="true" outlineLevel="0" collapsed="false">
      <c r="A5377" s="163" t="s">
        <v>3038</v>
      </c>
      <c r="B5377" s="163" t="s">
        <v>894</v>
      </c>
      <c r="C5377" s="163" t="s">
        <v>9338</v>
      </c>
      <c r="D5377" s="163" t="s">
        <v>9339</v>
      </c>
      <c r="E5377" s="164" t="n">
        <v>7500</v>
      </c>
      <c r="F5377" s="165" t="s">
        <v>9340</v>
      </c>
    </row>
    <row r="5378" customFormat="false" ht="15" hidden="false" customHeight="true" outlineLevel="0" collapsed="false">
      <c r="A5378" s="163" t="s">
        <v>3038</v>
      </c>
      <c r="B5378" s="163" t="s">
        <v>894</v>
      </c>
      <c r="C5378" s="163" t="s">
        <v>9341</v>
      </c>
      <c r="D5378" s="163" t="s">
        <v>9342</v>
      </c>
      <c r="E5378" s="164" t="n">
        <v>7500</v>
      </c>
      <c r="F5378" s="165" t="s">
        <v>9343</v>
      </c>
    </row>
    <row r="5379" customFormat="false" ht="15" hidden="false" customHeight="true" outlineLevel="0" collapsed="false">
      <c r="A5379" s="163" t="s">
        <v>3038</v>
      </c>
      <c r="B5379" s="163" t="s">
        <v>894</v>
      </c>
      <c r="C5379" s="163" t="s">
        <v>9344</v>
      </c>
      <c r="D5379" s="163" t="s">
        <v>9345</v>
      </c>
      <c r="E5379" s="164" t="n">
        <v>7500</v>
      </c>
      <c r="F5379" s="165" t="s">
        <v>9346</v>
      </c>
    </row>
    <row r="5380" customFormat="false" ht="15" hidden="false" customHeight="true" outlineLevel="0" collapsed="false">
      <c r="A5380" s="163" t="s">
        <v>3038</v>
      </c>
      <c r="B5380" s="163" t="s">
        <v>894</v>
      </c>
      <c r="C5380" s="163" t="s">
        <v>9347</v>
      </c>
      <c r="D5380" s="163" t="s">
        <v>9348</v>
      </c>
      <c r="E5380" s="164" t="n">
        <v>7500</v>
      </c>
      <c r="F5380" s="165" t="s">
        <v>9349</v>
      </c>
    </row>
    <row r="5381" customFormat="false" ht="15" hidden="false" customHeight="true" outlineLevel="0" collapsed="false">
      <c r="A5381" s="163" t="s">
        <v>3038</v>
      </c>
      <c r="B5381" s="163" t="s">
        <v>894</v>
      </c>
      <c r="C5381" s="163" t="s">
        <v>4343</v>
      </c>
      <c r="D5381" s="163" t="s">
        <v>4344</v>
      </c>
      <c r="E5381" s="164" t="n">
        <v>7500</v>
      </c>
      <c r="F5381" s="165" t="s">
        <v>9285</v>
      </c>
    </row>
    <row r="5382" customFormat="false" ht="15" hidden="false" customHeight="true" outlineLevel="0" collapsed="false">
      <c r="A5382" s="163" t="s">
        <v>3038</v>
      </c>
      <c r="B5382" s="163" t="s">
        <v>894</v>
      </c>
      <c r="C5382" s="163" t="s">
        <v>1264</v>
      </c>
      <c r="D5382" s="163" t="s">
        <v>2227</v>
      </c>
      <c r="E5382" s="164" t="n">
        <v>7500</v>
      </c>
      <c r="F5382" s="165" t="s">
        <v>9350</v>
      </c>
    </row>
    <row r="5383" customFormat="false" ht="15" hidden="false" customHeight="true" outlineLevel="0" collapsed="false">
      <c r="A5383" s="163" t="s">
        <v>3038</v>
      </c>
      <c r="B5383" s="163" t="s">
        <v>894</v>
      </c>
      <c r="C5383" s="163" t="s">
        <v>9351</v>
      </c>
      <c r="D5383" s="163" t="s">
        <v>9352</v>
      </c>
      <c r="E5383" s="164" t="n">
        <v>7500</v>
      </c>
      <c r="F5383" s="165" t="s">
        <v>9353</v>
      </c>
    </row>
    <row r="5384" customFormat="false" ht="15" hidden="false" customHeight="true" outlineLevel="0" collapsed="false">
      <c r="A5384" s="163" t="s">
        <v>3038</v>
      </c>
      <c r="B5384" s="163" t="s">
        <v>894</v>
      </c>
      <c r="C5384" s="163" t="s">
        <v>9354</v>
      </c>
      <c r="D5384" s="163" t="s">
        <v>9355</v>
      </c>
      <c r="E5384" s="164" t="n">
        <v>7500</v>
      </c>
      <c r="F5384" s="165" t="s">
        <v>9356</v>
      </c>
    </row>
    <row r="5385" customFormat="false" ht="15" hidden="false" customHeight="true" outlineLevel="0" collapsed="false">
      <c r="A5385" s="163" t="s">
        <v>3038</v>
      </c>
      <c r="B5385" s="163" t="s">
        <v>894</v>
      </c>
      <c r="C5385" s="163" t="s">
        <v>9357</v>
      </c>
      <c r="D5385" s="163" t="s">
        <v>9358</v>
      </c>
      <c r="E5385" s="164" t="n">
        <v>6000</v>
      </c>
      <c r="F5385" s="165" t="s">
        <v>9359</v>
      </c>
    </row>
    <row r="5386" customFormat="false" ht="15" hidden="false" customHeight="true" outlineLevel="0" collapsed="false">
      <c r="A5386" s="163" t="s">
        <v>3038</v>
      </c>
      <c r="B5386" s="163" t="s">
        <v>894</v>
      </c>
      <c r="C5386" s="163" t="s">
        <v>3635</v>
      </c>
      <c r="D5386" s="163" t="s">
        <v>3636</v>
      </c>
      <c r="E5386" s="164" t="n">
        <v>6000</v>
      </c>
      <c r="F5386" s="165" t="s">
        <v>9360</v>
      </c>
    </row>
    <row r="5387" customFormat="false" ht="15" hidden="false" customHeight="true" outlineLevel="0" collapsed="false">
      <c r="A5387" s="163" t="s">
        <v>3038</v>
      </c>
      <c r="B5387" s="163" t="s">
        <v>894</v>
      </c>
      <c r="C5387" s="163" t="s">
        <v>9361</v>
      </c>
      <c r="D5387" s="163" t="s">
        <v>9362</v>
      </c>
      <c r="E5387" s="164" t="n">
        <v>5000</v>
      </c>
      <c r="F5387" s="165" t="s">
        <v>9285</v>
      </c>
    </row>
    <row r="5388" customFormat="false" ht="15" hidden="false" customHeight="true" outlineLevel="0" collapsed="false">
      <c r="A5388" s="163" t="s">
        <v>3038</v>
      </c>
      <c r="B5388" s="163" t="s">
        <v>894</v>
      </c>
      <c r="C5388" s="163" t="s">
        <v>5253</v>
      </c>
      <c r="D5388" s="163" t="s">
        <v>5254</v>
      </c>
      <c r="E5388" s="164" t="n">
        <v>5000</v>
      </c>
      <c r="F5388" s="165" t="s">
        <v>9363</v>
      </c>
    </row>
    <row r="5389" customFormat="false" ht="15" hidden="false" customHeight="true" outlineLevel="0" collapsed="false">
      <c r="A5389" s="163" t="s">
        <v>3038</v>
      </c>
      <c r="B5389" s="163" t="s">
        <v>894</v>
      </c>
      <c r="C5389" s="163" t="s">
        <v>5148</v>
      </c>
      <c r="D5389" s="163" t="s">
        <v>5149</v>
      </c>
      <c r="E5389" s="164" t="n">
        <v>5000</v>
      </c>
      <c r="F5389" s="165" t="s">
        <v>9289</v>
      </c>
    </row>
    <row r="5390" customFormat="false" ht="15" hidden="false" customHeight="true" outlineLevel="0" collapsed="false">
      <c r="A5390" s="163" t="s">
        <v>3038</v>
      </c>
      <c r="B5390" s="163" t="s">
        <v>894</v>
      </c>
      <c r="C5390" s="163" t="s">
        <v>5290</v>
      </c>
      <c r="D5390" s="163" t="s">
        <v>5291</v>
      </c>
      <c r="E5390" s="164" t="n">
        <v>5000</v>
      </c>
      <c r="F5390" s="165" t="s">
        <v>9364</v>
      </c>
    </row>
    <row r="5391" customFormat="false" ht="15" hidden="false" customHeight="true" outlineLevel="0" collapsed="false">
      <c r="A5391" s="163" t="s">
        <v>3038</v>
      </c>
      <c r="B5391" s="163" t="s">
        <v>894</v>
      </c>
      <c r="C5391" s="163" t="s">
        <v>424</v>
      </c>
      <c r="D5391" s="163" t="s">
        <v>2630</v>
      </c>
      <c r="E5391" s="164" t="n">
        <v>5000</v>
      </c>
      <c r="F5391" s="165" t="s">
        <v>9365</v>
      </c>
    </row>
    <row r="5392" customFormat="false" ht="15" hidden="false" customHeight="true" outlineLevel="0" collapsed="false">
      <c r="A5392" s="163" t="s">
        <v>3038</v>
      </c>
      <c r="B5392" s="163" t="s">
        <v>894</v>
      </c>
      <c r="C5392" s="163" t="s">
        <v>893</v>
      </c>
      <c r="D5392" s="163" t="s">
        <v>1931</v>
      </c>
      <c r="E5392" s="164" t="n">
        <v>5000</v>
      </c>
      <c r="F5392" s="165" t="s">
        <v>9366</v>
      </c>
    </row>
    <row r="5393" customFormat="false" ht="15" hidden="false" customHeight="true" outlineLevel="0" collapsed="false">
      <c r="A5393" s="163" t="s">
        <v>3038</v>
      </c>
      <c r="B5393" s="163" t="s">
        <v>894</v>
      </c>
      <c r="C5393" s="163" t="s">
        <v>197</v>
      </c>
      <c r="D5393" s="163" t="s">
        <v>1931</v>
      </c>
      <c r="E5393" s="164" t="n">
        <v>5000</v>
      </c>
      <c r="F5393" s="165" t="s">
        <v>9367</v>
      </c>
    </row>
    <row r="5394" customFormat="false" ht="15" hidden="false" customHeight="true" outlineLevel="0" collapsed="false">
      <c r="A5394" s="163" t="s">
        <v>3038</v>
      </c>
      <c r="B5394" s="163" t="s">
        <v>894</v>
      </c>
      <c r="C5394" s="163" t="s">
        <v>197</v>
      </c>
      <c r="D5394" s="163" t="s">
        <v>1931</v>
      </c>
      <c r="E5394" s="164" t="n">
        <v>5000</v>
      </c>
      <c r="F5394" s="165" t="s">
        <v>9368</v>
      </c>
    </row>
    <row r="5395" customFormat="false" ht="15" hidden="false" customHeight="true" outlineLevel="0" collapsed="false">
      <c r="A5395" s="163" t="s">
        <v>3038</v>
      </c>
      <c r="B5395" s="163" t="s">
        <v>894</v>
      </c>
      <c r="C5395" s="163" t="s">
        <v>197</v>
      </c>
      <c r="D5395" s="163" t="s">
        <v>1931</v>
      </c>
      <c r="E5395" s="164" t="n">
        <v>5000</v>
      </c>
      <c r="F5395" s="165" t="s">
        <v>9369</v>
      </c>
    </row>
    <row r="5396" customFormat="false" ht="15" hidden="false" customHeight="true" outlineLevel="0" collapsed="false">
      <c r="A5396" s="163" t="s">
        <v>3038</v>
      </c>
      <c r="B5396" s="163" t="s">
        <v>894</v>
      </c>
      <c r="C5396" s="163" t="s">
        <v>9370</v>
      </c>
      <c r="D5396" s="163" t="s">
        <v>9371</v>
      </c>
      <c r="E5396" s="164" t="n">
        <v>5000</v>
      </c>
      <c r="F5396" s="165" t="s">
        <v>9372</v>
      </c>
    </row>
    <row r="5397" customFormat="false" ht="15" hidden="false" customHeight="true" outlineLevel="0" collapsed="false">
      <c r="A5397" s="163" t="s">
        <v>3038</v>
      </c>
      <c r="B5397" s="163" t="s">
        <v>894</v>
      </c>
      <c r="C5397" s="163" t="s">
        <v>1221</v>
      </c>
      <c r="D5397" s="163" t="s">
        <v>1895</v>
      </c>
      <c r="E5397" s="164" t="n">
        <v>5000</v>
      </c>
      <c r="F5397" s="165" t="s">
        <v>9373</v>
      </c>
    </row>
    <row r="5398" customFormat="false" ht="15" hidden="false" customHeight="true" outlineLevel="0" collapsed="false">
      <c r="A5398" s="163" t="s">
        <v>3038</v>
      </c>
      <c r="B5398" s="163" t="s">
        <v>894</v>
      </c>
      <c r="C5398" s="163" t="s">
        <v>9374</v>
      </c>
      <c r="D5398" s="163" t="s">
        <v>9375</v>
      </c>
      <c r="E5398" s="164" t="n">
        <v>5000</v>
      </c>
      <c r="F5398" s="165" t="s">
        <v>9376</v>
      </c>
    </row>
    <row r="5399" customFormat="false" ht="15" hidden="false" customHeight="true" outlineLevel="0" collapsed="false">
      <c r="A5399" s="163" t="s">
        <v>3038</v>
      </c>
      <c r="B5399" s="163" t="s">
        <v>894</v>
      </c>
      <c r="C5399" s="163" t="s">
        <v>2879</v>
      </c>
      <c r="D5399" s="163" t="s">
        <v>1931</v>
      </c>
      <c r="E5399" s="164" t="n">
        <v>5000</v>
      </c>
      <c r="F5399" s="165" t="s">
        <v>9377</v>
      </c>
    </row>
    <row r="5400" customFormat="false" ht="15" hidden="false" customHeight="true" outlineLevel="0" collapsed="false">
      <c r="A5400" s="163" t="s">
        <v>3038</v>
      </c>
      <c r="B5400" s="163" t="s">
        <v>894</v>
      </c>
      <c r="C5400" s="163" t="s">
        <v>5026</v>
      </c>
      <c r="D5400" s="163" t="s">
        <v>5027</v>
      </c>
      <c r="E5400" s="164" t="n">
        <v>5000</v>
      </c>
      <c r="F5400" s="165" t="s">
        <v>9378</v>
      </c>
    </row>
    <row r="5401" customFormat="false" ht="15" hidden="false" customHeight="true" outlineLevel="0" collapsed="false">
      <c r="A5401" s="163" t="s">
        <v>3038</v>
      </c>
      <c r="B5401" s="163" t="s">
        <v>894</v>
      </c>
      <c r="C5401" s="163" t="s">
        <v>1017</v>
      </c>
      <c r="D5401" s="163" t="s">
        <v>2698</v>
      </c>
      <c r="E5401" s="164" t="n">
        <v>5000</v>
      </c>
      <c r="F5401" s="165" t="s">
        <v>9379</v>
      </c>
    </row>
    <row r="5402" customFormat="false" ht="15" hidden="false" customHeight="true" outlineLevel="0" collapsed="false">
      <c r="A5402" s="163" t="s">
        <v>3038</v>
      </c>
      <c r="B5402" s="163" t="s">
        <v>894</v>
      </c>
      <c r="C5402" s="163" t="s">
        <v>3116</v>
      </c>
      <c r="D5402" s="163" t="s">
        <v>3117</v>
      </c>
      <c r="E5402" s="164" t="n">
        <v>5000</v>
      </c>
      <c r="F5402" s="165" t="s">
        <v>9380</v>
      </c>
    </row>
    <row r="5403" customFormat="false" ht="15" hidden="false" customHeight="true" outlineLevel="0" collapsed="false">
      <c r="A5403" s="163" t="s">
        <v>3038</v>
      </c>
      <c r="B5403" s="163" t="s">
        <v>894</v>
      </c>
      <c r="C5403" s="163" t="s">
        <v>3116</v>
      </c>
      <c r="D5403" s="163" t="s">
        <v>3117</v>
      </c>
      <c r="E5403" s="164" t="n">
        <v>5000</v>
      </c>
      <c r="F5403" s="165" t="s">
        <v>9381</v>
      </c>
    </row>
    <row r="5404" customFormat="false" ht="15" hidden="false" customHeight="true" outlineLevel="0" collapsed="false">
      <c r="A5404" s="163" t="s">
        <v>3038</v>
      </c>
      <c r="B5404" s="163" t="s">
        <v>894</v>
      </c>
      <c r="C5404" s="163" t="s">
        <v>9290</v>
      </c>
      <c r="D5404" s="163" t="s">
        <v>9291</v>
      </c>
      <c r="E5404" s="164" t="n">
        <v>5000</v>
      </c>
      <c r="F5404" s="165" t="s">
        <v>9382</v>
      </c>
    </row>
    <row r="5405" customFormat="false" ht="15" hidden="false" customHeight="true" outlineLevel="0" collapsed="false">
      <c r="A5405" s="163" t="s">
        <v>3038</v>
      </c>
      <c r="B5405" s="163" t="s">
        <v>894</v>
      </c>
      <c r="C5405" s="163" t="s">
        <v>3163</v>
      </c>
      <c r="D5405" s="163" t="s">
        <v>3164</v>
      </c>
      <c r="E5405" s="164" t="n">
        <v>5000</v>
      </c>
      <c r="F5405" s="165" t="s">
        <v>9285</v>
      </c>
    </row>
    <row r="5406" customFormat="false" ht="15" hidden="false" customHeight="true" outlineLevel="0" collapsed="false">
      <c r="A5406" s="163" t="s">
        <v>3038</v>
      </c>
      <c r="B5406" s="163" t="s">
        <v>894</v>
      </c>
      <c r="C5406" s="163" t="s">
        <v>3503</v>
      </c>
      <c r="D5406" s="163" t="s">
        <v>3504</v>
      </c>
      <c r="E5406" s="164" t="n">
        <v>5000</v>
      </c>
      <c r="F5406" s="165" t="s">
        <v>9285</v>
      </c>
    </row>
    <row r="5407" customFormat="false" ht="15" hidden="false" customHeight="true" outlineLevel="0" collapsed="false">
      <c r="A5407" s="163" t="s">
        <v>3038</v>
      </c>
      <c r="B5407" s="163" t="s">
        <v>894</v>
      </c>
      <c r="C5407" s="163" t="s">
        <v>5102</v>
      </c>
      <c r="D5407" s="163" t="s">
        <v>5103</v>
      </c>
      <c r="E5407" s="164" t="n">
        <v>5000</v>
      </c>
      <c r="F5407" s="165" t="s">
        <v>9383</v>
      </c>
    </row>
    <row r="5408" customFormat="false" ht="15" hidden="false" customHeight="true" outlineLevel="0" collapsed="false">
      <c r="A5408" s="163" t="s">
        <v>3038</v>
      </c>
      <c r="B5408" s="163" t="s">
        <v>894</v>
      </c>
      <c r="C5408" s="163" t="s">
        <v>893</v>
      </c>
      <c r="D5408" s="163" t="s">
        <v>1931</v>
      </c>
      <c r="E5408" s="164" t="n">
        <v>1000</v>
      </c>
      <c r="F5408" s="165" t="s">
        <v>9384</v>
      </c>
    </row>
    <row r="5409" customFormat="false" ht="15" hidden="false" customHeight="true" outlineLevel="0" collapsed="false">
      <c r="A5409" s="163" t="s">
        <v>3038</v>
      </c>
      <c r="B5409" s="163" t="s">
        <v>894</v>
      </c>
      <c r="C5409" s="163" t="s">
        <v>893</v>
      </c>
      <c r="D5409" s="163" t="s">
        <v>1931</v>
      </c>
      <c r="E5409" s="164" t="n">
        <v>1000</v>
      </c>
      <c r="F5409" s="165" t="s">
        <v>9385</v>
      </c>
    </row>
    <row r="5410" customFormat="false" ht="15" hidden="false" customHeight="true" outlineLevel="0" collapsed="false">
      <c r="A5410" s="163" t="s">
        <v>3038</v>
      </c>
      <c r="B5410" s="163" t="s">
        <v>894</v>
      </c>
      <c r="C5410" s="163" t="s">
        <v>893</v>
      </c>
      <c r="D5410" s="163" t="s">
        <v>1931</v>
      </c>
      <c r="E5410" s="164" t="n">
        <v>1000</v>
      </c>
      <c r="F5410" s="165" t="s">
        <v>9386</v>
      </c>
    </row>
    <row r="5411" customFormat="false" ht="15" hidden="false" customHeight="true" outlineLevel="0" collapsed="false">
      <c r="A5411" s="163" t="s">
        <v>3038</v>
      </c>
      <c r="B5411" s="163" t="s">
        <v>894</v>
      </c>
      <c r="C5411" s="163" t="s">
        <v>893</v>
      </c>
      <c r="D5411" s="163" t="s">
        <v>1931</v>
      </c>
      <c r="E5411" s="164" t="n">
        <v>1000</v>
      </c>
      <c r="F5411" s="165" t="s">
        <v>9387</v>
      </c>
    </row>
    <row r="5412" customFormat="false" ht="15" hidden="false" customHeight="true" outlineLevel="0" collapsed="false">
      <c r="A5412" s="163" t="s">
        <v>3038</v>
      </c>
      <c r="B5412" s="163" t="s">
        <v>894</v>
      </c>
      <c r="C5412" s="163" t="s">
        <v>893</v>
      </c>
      <c r="D5412" s="163" t="s">
        <v>1931</v>
      </c>
      <c r="E5412" s="164" t="n">
        <v>1000</v>
      </c>
      <c r="F5412" s="165" t="s">
        <v>9388</v>
      </c>
    </row>
    <row r="5413" customFormat="false" ht="15" hidden="false" customHeight="true" outlineLevel="0" collapsed="false">
      <c r="A5413" s="163" t="s">
        <v>3038</v>
      </c>
      <c r="B5413" s="163" t="s">
        <v>894</v>
      </c>
      <c r="C5413" s="163" t="s">
        <v>893</v>
      </c>
      <c r="D5413" s="163" t="s">
        <v>1931</v>
      </c>
      <c r="E5413" s="164" t="n">
        <v>1000</v>
      </c>
      <c r="F5413" s="165" t="s">
        <v>9389</v>
      </c>
    </row>
    <row r="5414" customFormat="false" ht="15" hidden="false" customHeight="true" outlineLevel="0" collapsed="false">
      <c r="A5414" s="163" t="s">
        <v>3038</v>
      </c>
      <c r="B5414" s="163" t="s">
        <v>894</v>
      </c>
      <c r="C5414" s="163" t="s">
        <v>893</v>
      </c>
      <c r="D5414" s="163" t="s">
        <v>1931</v>
      </c>
      <c r="E5414" s="164" t="n">
        <v>1000</v>
      </c>
      <c r="F5414" s="165" t="s">
        <v>9390</v>
      </c>
    </row>
    <row r="5415" customFormat="false" ht="15" hidden="false" customHeight="true" outlineLevel="0" collapsed="false">
      <c r="A5415" s="163" t="s">
        <v>3038</v>
      </c>
      <c r="B5415" s="163" t="s">
        <v>894</v>
      </c>
      <c r="C5415" s="163" t="s">
        <v>893</v>
      </c>
      <c r="D5415" s="163" t="s">
        <v>1931</v>
      </c>
      <c r="E5415" s="164" t="n">
        <v>1000</v>
      </c>
      <c r="F5415" s="165" t="s">
        <v>9391</v>
      </c>
    </row>
    <row r="5416" customFormat="false" ht="15" hidden="false" customHeight="true" outlineLevel="0" collapsed="false">
      <c r="A5416" s="163" t="s">
        <v>3038</v>
      </c>
      <c r="B5416" s="163" t="s">
        <v>894</v>
      </c>
      <c r="C5416" s="163" t="s">
        <v>893</v>
      </c>
      <c r="D5416" s="163" t="s">
        <v>1931</v>
      </c>
      <c r="E5416" s="164" t="n">
        <v>1000</v>
      </c>
      <c r="F5416" s="165" t="s">
        <v>9392</v>
      </c>
    </row>
    <row r="5417" customFormat="false" ht="15" hidden="false" customHeight="true" outlineLevel="0" collapsed="false">
      <c r="A5417" s="163" t="s">
        <v>3038</v>
      </c>
      <c r="B5417" s="163" t="s">
        <v>894</v>
      </c>
      <c r="C5417" s="163" t="s">
        <v>893</v>
      </c>
      <c r="D5417" s="163" t="s">
        <v>1931</v>
      </c>
      <c r="E5417" s="164" t="n">
        <v>1000</v>
      </c>
      <c r="F5417" s="165" t="s">
        <v>9393</v>
      </c>
    </row>
    <row r="5418" customFormat="false" ht="15" hidden="false" customHeight="true" outlineLevel="0" collapsed="false">
      <c r="A5418" s="163" t="s">
        <v>3038</v>
      </c>
      <c r="B5418" s="163" t="s">
        <v>894</v>
      </c>
      <c r="C5418" s="163" t="s">
        <v>893</v>
      </c>
      <c r="D5418" s="163" t="s">
        <v>1931</v>
      </c>
      <c r="E5418" s="164" t="n">
        <v>1000</v>
      </c>
      <c r="F5418" s="165" t="s">
        <v>9394</v>
      </c>
    </row>
    <row r="5419" customFormat="false" ht="15" hidden="false" customHeight="true" outlineLevel="0" collapsed="false">
      <c r="A5419" s="163" t="s">
        <v>3038</v>
      </c>
      <c r="B5419" s="163" t="s">
        <v>894</v>
      </c>
      <c r="C5419" s="163" t="s">
        <v>893</v>
      </c>
      <c r="D5419" s="163" t="s">
        <v>1931</v>
      </c>
      <c r="E5419" s="164" t="n">
        <v>1000</v>
      </c>
      <c r="F5419" s="165" t="s">
        <v>9395</v>
      </c>
    </row>
    <row r="5420" customFormat="false" ht="15" hidden="false" customHeight="true" outlineLevel="0" collapsed="false">
      <c r="A5420" s="163" t="s">
        <v>3038</v>
      </c>
      <c r="B5420" s="163" t="s">
        <v>894</v>
      </c>
      <c r="C5420" s="163" t="s">
        <v>893</v>
      </c>
      <c r="D5420" s="163" t="s">
        <v>1931</v>
      </c>
      <c r="E5420" s="164" t="n">
        <v>1000</v>
      </c>
      <c r="F5420" s="165" t="s">
        <v>9396</v>
      </c>
    </row>
    <row r="5421" customFormat="false" ht="15" hidden="false" customHeight="true" outlineLevel="0" collapsed="false">
      <c r="A5421" s="163" t="s">
        <v>3038</v>
      </c>
      <c r="B5421" s="163" t="s">
        <v>894</v>
      </c>
      <c r="C5421" s="163" t="s">
        <v>893</v>
      </c>
      <c r="D5421" s="163" t="s">
        <v>1931</v>
      </c>
      <c r="E5421" s="164" t="n">
        <v>1000</v>
      </c>
      <c r="F5421" s="165" t="s">
        <v>9397</v>
      </c>
    </row>
    <row r="5422" customFormat="false" ht="15" hidden="false" customHeight="true" outlineLevel="0" collapsed="false">
      <c r="A5422" s="163" t="s">
        <v>3038</v>
      </c>
      <c r="B5422" s="163" t="s">
        <v>894</v>
      </c>
      <c r="C5422" s="163" t="s">
        <v>893</v>
      </c>
      <c r="D5422" s="163" t="s">
        <v>1931</v>
      </c>
      <c r="E5422" s="164" t="n">
        <v>1000</v>
      </c>
      <c r="F5422" s="165" t="s">
        <v>9398</v>
      </c>
    </row>
    <row r="5423" customFormat="false" ht="15" hidden="false" customHeight="true" outlineLevel="0" collapsed="false">
      <c r="A5423" s="163" t="s">
        <v>3038</v>
      </c>
      <c r="B5423" s="163" t="s">
        <v>894</v>
      </c>
      <c r="C5423" s="163" t="s">
        <v>893</v>
      </c>
      <c r="D5423" s="163" t="s">
        <v>1931</v>
      </c>
      <c r="E5423" s="164" t="n">
        <v>1000</v>
      </c>
      <c r="F5423" s="165" t="s">
        <v>9399</v>
      </c>
    </row>
    <row r="5424" customFormat="false" ht="15" hidden="false" customHeight="true" outlineLevel="0" collapsed="false">
      <c r="A5424" s="163" t="s">
        <v>3038</v>
      </c>
      <c r="B5424" s="163" t="s">
        <v>894</v>
      </c>
      <c r="C5424" s="163" t="s">
        <v>893</v>
      </c>
      <c r="D5424" s="163" t="s">
        <v>1931</v>
      </c>
      <c r="E5424" s="164" t="n">
        <v>1000</v>
      </c>
      <c r="F5424" s="165" t="s">
        <v>9400</v>
      </c>
    </row>
    <row r="5425" customFormat="false" ht="15" hidden="false" customHeight="true" outlineLevel="0" collapsed="false">
      <c r="A5425" s="163" t="s">
        <v>3038</v>
      </c>
      <c r="B5425" s="163" t="s">
        <v>894</v>
      </c>
      <c r="C5425" s="163" t="s">
        <v>893</v>
      </c>
      <c r="D5425" s="163" t="s">
        <v>1931</v>
      </c>
      <c r="E5425" s="164" t="n">
        <v>1000</v>
      </c>
      <c r="F5425" s="165" t="s">
        <v>9401</v>
      </c>
    </row>
    <row r="5426" customFormat="false" ht="15" hidden="false" customHeight="true" outlineLevel="0" collapsed="false">
      <c r="A5426" s="163" t="s">
        <v>3038</v>
      </c>
      <c r="B5426" s="163" t="s">
        <v>894</v>
      </c>
      <c r="C5426" s="163" t="s">
        <v>893</v>
      </c>
      <c r="D5426" s="163" t="s">
        <v>1931</v>
      </c>
      <c r="E5426" s="164" t="n">
        <v>1000</v>
      </c>
      <c r="F5426" s="165" t="s">
        <v>9402</v>
      </c>
    </row>
    <row r="5427" customFormat="false" ht="15" hidden="false" customHeight="true" outlineLevel="0" collapsed="false">
      <c r="A5427" s="163" t="s">
        <v>3038</v>
      </c>
      <c r="B5427" s="163" t="s">
        <v>894</v>
      </c>
      <c r="C5427" s="163" t="s">
        <v>893</v>
      </c>
      <c r="D5427" s="163" t="s">
        <v>1931</v>
      </c>
      <c r="E5427" s="164" t="n">
        <v>1000</v>
      </c>
      <c r="F5427" s="165" t="s">
        <v>9403</v>
      </c>
    </row>
    <row r="5428" customFormat="false" ht="15" hidden="false" customHeight="true" outlineLevel="0" collapsed="false">
      <c r="A5428" s="163" t="s">
        <v>3038</v>
      </c>
      <c r="B5428" s="163" t="s">
        <v>894</v>
      </c>
      <c r="C5428" s="163" t="s">
        <v>893</v>
      </c>
      <c r="D5428" s="163" t="s">
        <v>1931</v>
      </c>
      <c r="E5428" s="164" t="n">
        <v>1000</v>
      </c>
      <c r="F5428" s="165" t="s">
        <v>9404</v>
      </c>
    </row>
    <row r="5429" customFormat="false" ht="15" hidden="false" customHeight="true" outlineLevel="0" collapsed="false">
      <c r="A5429" s="163" t="s">
        <v>3038</v>
      </c>
      <c r="B5429" s="163" t="s">
        <v>882</v>
      </c>
      <c r="C5429" s="163" t="s">
        <v>640</v>
      </c>
      <c r="D5429" s="163" t="s">
        <v>1931</v>
      </c>
      <c r="E5429" s="164" t="n">
        <v>180000</v>
      </c>
      <c r="F5429" s="165" t="s">
        <v>9405</v>
      </c>
    </row>
    <row r="5430" customFormat="false" ht="15" hidden="false" customHeight="true" outlineLevel="0" collapsed="false">
      <c r="A5430" s="163" t="s">
        <v>3038</v>
      </c>
      <c r="B5430" s="163" t="s">
        <v>882</v>
      </c>
      <c r="C5430" s="163" t="s">
        <v>3112</v>
      </c>
      <c r="D5430" s="163" t="s">
        <v>3113</v>
      </c>
      <c r="E5430" s="164" t="n">
        <v>100000</v>
      </c>
      <c r="F5430" s="165" t="s">
        <v>9405</v>
      </c>
    </row>
    <row r="5431" customFormat="false" ht="15" hidden="false" customHeight="true" outlineLevel="0" collapsed="false">
      <c r="A5431" s="163" t="s">
        <v>3038</v>
      </c>
      <c r="B5431" s="163" t="s">
        <v>2328</v>
      </c>
      <c r="C5431" s="163" t="s">
        <v>3635</v>
      </c>
      <c r="D5431" s="163" t="s">
        <v>3636</v>
      </c>
      <c r="E5431" s="164" t="n">
        <v>50000</v>
      </c>
      <c r="F5431" s="165" t="s">
        <v>9406</v>
      </c>
    </row>
    <row r="5432" customFormat="false" ht="15" hidden="false" customHeight="true" outlineLevel="0" collapsed="false">
      <c r="A5432" s="163" t="s">
        <v>3038</v>
      </c>
      <c r="B5432" s="163" t="s">
        <v>2342</v>
      </c>
      <c r="C5432" s="163" t="s">
        <v>9407</v>
      </c>
      <c r="D5432" s="163" t="s">
        <v>9408</v>
      </c>
      <c r="E5432" s="164" t="n">
        <v>90000</v>
      </c>
      <c r="F5432" s="165" t="s">
        <v>9409</v>
      </c>
    </row>
    <row r="5433" customFormat="false" ht="15" hidden="false" customHeight="true" outlineLevel="0" collapsed="false">
      <c r="A5433" s="163" t="s">
        <v>3038</v>
      </c>
      <c r="B5433" s="163" t="s">
        <v>1743</v>
      </c>
      <c r="C5433" s="163" t="s">
        <v>4635</v>
      </c>
      <c r="D5433" s="163" t="s">
        <v>4636</v>
      </c>
      <c r="E5433" s="164" t="n">
        <v>130000</v>
      </c>
      <c r="F5433" s="165" t="s">
        <v>9410</v>
      </c>
    </row>
    <row r="5434" customFormat="false" ht="15" hidden="false" customHeight="true" outlineLevel="0" collapsed="false">
      <c r="A5434" s="163" t="s">
        <v>3038</v>
      </c>
      <c r="B5434" s="163" t="s">
        <v>1743</v>
      </c>
      <c r="C5434" s="163" t="s">
        <v>3112</v>
      </c>
      <c r="D5434" s="163" t="s">
        <v>3113</v>
      </c>
      <c r="E5434" s="164" t="n">
        <v>20000</v>
      </c>
      <c r="F5434" s="165" t="s">
        <v>9411</v>
      </c>
    </row>
    <row r="5435" customFormat="false" ht="15" hidden="false" customHeight="true" outlineLevel="0" collapsed="false">
      <c r="A5435" s="163" t="s">
        <v>3038</v>
      </c>
      <c r="B5435" s="163" t="s">
        <v>928</v>
      </c>
      <c r="C5435" s="163" t="s">
        <v>9412</v>
      </c>
      <c r="D5435" s="163" t="s">
        <v>9413</v>
      </c>
      <c r="E5435" s="164" t="n">
        <v>21000</v>
      </c>
      <c r="F5435" s="165" t="s">
        <v>9414</v>
      </c>
    </row>
    <row r="5436" customFormat="false" ht="15" hidden="false" customHeight="true" outlineLevel="0" collapsed="false">
      <c r="A5436" s="163" t="s">
        <v>3038</v>
      </c>
      <c r="B5436" s="163" t="s">
        <v>928</v>
      </c>
      <c r="C5436" s="163" t="s">
        <v>3700</v>
      </c>
      <c r="D5436" s="163" t="s">
        <v>3701</v>
      </c>
      <c r="E5436" s="164" t="n">
        <v>21000</v>
      </c>
      <c r="F5436" s="165" t="s">
        <v>9415</v>
      </c>
    </row>
    <row r="5437" customFormat="false" ht="15" hidden="false" customHeight="true" outlineLevel="0" collapsed="false">
      <c r="A5437" s="163" t="s">
        <v>3038</v>
      </c>
      <c r="B5437" s="163" t="s">
        <v>928</v>
      </c>
      <c r="C5437" s="163" t="s">
        <v>6612</v>
      </c>
      <c r="D5437" s="163" t="s">
        <v>6613</v>
      </c>
      <c r="E5437" s="164" t="n">
        <v>17500</v>
      </c>
      <c r="F5437" s="165" t="s">
        <v>9416</v>
      </c>
    </row>
    <row r="5438" customFormat="false" ht="15" hidden="false" customHeight="true" outlineLevel="0" collapsed="false">
      <c r="A5438" s="163" t="s">
        <v>3038</v>
      </c>
      <c r="B5438" s="163" t="s">
        <v>928</v>
      </c>
      <c r="C5438" s="163" t="s">
        <v>9407</v>
      </c>
      <c r="D5438" s="163" t="s">
        <v>9408</v>
      </c>
      <c r="E5438" s="164" t="n">
        <v>16000</v>
      </c>
      <c r="F5438" s="165" t="s">
        <v>9417</v>
      </c>
    </row>
    <row r="5439" customFormat="false" ht="15" hidden="false" customHeight="true" outlineLevel="0" collapsed="false">
      <c r="A5439" s="163" t="s">
        <v>3038</v>
      </c>
      <c r="B5439" s="163" t="s">
        <v>928</v>
      </c>
      <c r="C5439" s="163" t="s">
        <v>6612</v>
      </c>
      <c r="D5439" s="163" t="s">
        <v>6613</v>
      </c>
      <c r="E5439" s="164" t="n">
        <v>12500</v>
      </c>
      <c r="F5439" s="165" t="s">
        <v>9418</v>
      </c>
    </row>
    <row r="5440" customFormat="false" ht="15" hidden="false" customHeight="true" outlineLevel="0" collapsed="false">
      <c r="A5440" s="163" t="s">
        <v>3038</v>
      </c>
      <c r="B5440" s="163" t="s">
        <v>928</v>
      </c>
      <c r="C5440" s="163" t="s">
        <v>3425</v>
      </c>
      <c r="D5440" s="163" t="s">
        <v>3426</v>
      </c>
      <c r="E5440" s="164" t="n">
        <v>10000</v>
      </c>
      <c r="F5440" s="165" t="s">
        <v>9419</v>
      </c>
    </row>
    <row r="5441" customFormat="false" ht="15" hidden="false" customHeight="true" outlineLevel="0" collapsed="false">
      <c r="A5441" s="163" t="s">
        <v>3038</v>
      </c>
      <c r="B5441" s="163" t="s">
        <v>928</v>
      </c>
      <c r="C5441" s="163" t="s">
        <v>2953</v>
      </c>
      <c r="D5441" s="163" t="s">
        <v>2954</v>
      </c>
      <c r="E5441" s="164" t="n">
        <v>10000</v>
      </c>
      <c r="F5441" s="165" t="s">
        <v>9420</v>
      </c>
    </row>
    <row r="5442" customFormat="false" ht="15" hidden="false" customHeight="true" outlineLevel="0" collapsed="false">
      <c r="A5442" s="163" t="s">
        <v>3038</v>
      </c>
      <c r="B5442" s="163" t="s">
        <v>928</v>
      </c>
      <c r="C5442" s="163" t="s">
        <v>8012</v>
      </c>
      <c r="D5442" s="163" t="s">
        <v>8013</v>
      </c>
      <c r="E5442" s="164" t="n">
        <v>8500</v>
      </c>
      <c r="F5442" s="165" t="s">
        <v>9421</v>
      </c>
    </row>
    <row r="5443" customFormat="false" ht="15" hidden="false" customHeight="true" outlineLevel="0" collapsed="false">
      <c r="A5443" s="163" t="s">
        <v>3038</v>
      </c>
      <c r="B5443" s="163" t="s">
        <v>928</v>
      </c>
      <c r="C5443" s="163" t="s">
        <v>8014</v>
      </c>
      <c r="D5443" s="163" t="s">
        <v>8015</v>
      </c>
      <c r="E5443" s="164" t="n">
        <v>7500</v>
      </c>
      <c r="F5443" s="165" t="s">
        <v>9422</v>
      </c>
    </row>
    <row r="5444" customFormat="false" ht="15" hidden="false" customHeight="true" outlineLevel="0" collapsed="false">
      <c r="A5444" s="163" t="s">
        <v>3038</v>
      </c>
      <c r="B5444" s="163" t="s">
        <v>928</v>
      </c>
      <c r="C5444" s="163" t="s">
        <v>9423</v>
      </c>
      <c r="D5444" s="163" t="s">
        <v>9424</v>
      </c>
      <c r="E5444" s="164" t="n">
        <v>6000</v>
      </c>
      <c r="F5444" s="165" t="s">
        <v>4756</v>
      </c>
    </row>
    <row r="5445" customFormat="false" ht="15" hidden="false" customHeight="true" outlineLevel="0" collapsed="false">
      <c r="A5445" s="163" t="s">
        <v>3038</v>
      </c>
      <c r="B5445" s="163" t="s">
        <v>928</v>
      </c>
      <c r="C5445" s="163" t="s">
        <v>3145</v>
      </c>
      <c r="D5445" s="163" t="s">
        <v>3146</v>
      </c>
      <c r="E5445" s="164" t="n">
        <v>5000</v>
      </c>
      <c r="F5445" s="165" t="s">
        <v>9425</v>
      </c>
    </row>
    <row r="5446" customFormat="false" ht="15" hidden="false" customHeight="true" outlineLevel="0" collapsed="false">
      <c r="A5446" s="163" t="s">
        <v>3038</v>
      </c>
      <c r="B5446" s="163" t="s">
        <v>928</v>
      </c>
      <c r="C5446" s="163" t="s">
        <v>9426</v>
      </c>
      <c r="D5446" s="163" t="s">
        <v>9427</v>
      </c>
      <c r="E5446" s="164" t="n">
        <v>5000</v>
      </c>
      <c r="F5446" s="165" t="s">
        <v>9285</v>
      </c>
    </row>
    <row r="5447" customFormat="false" ht="15" hidden="false" customHeight="true" outlineLevel="0" collapsed="false">
      <c r="A5447" s="163" t="s">
        <v>3038</v>
      </c>
      <c r="B5447" s="163" t="s">
        <v>928</v>
      </c>
      <c r="C5447" s="163" t="s">
        <v>3145</v>
      </c>
      <c r="D5447" s="163" t="s">
        <v>3146</v>
      </c>
      <c r="E5447" s="164" t="n">
        <v>5000</v>
      </c>
      <c r="F5447" s="165" t="s">
        <v>9428</v>
      </c>
    </row>
    <row r="5448" customFormat="false" ht="15" hidden="false" customHeight="true" outlineLevel="0" collapsed="false">
      <c r="A5448" s="163" t="s">
        <v>3038</v>
      </c>
      <c r="B5448" s="163" t="s">
        <v>928</v>
      </c>
      <c r="C5448" s="163" t="s">
        <v>3145</v>
      </c>
      <c r="D5448" s="163" t="s">
        <v>3146</v>
      </c>
      <c r="E5448" s="164" t="n">
        <v>5000</v>
      </c>
      <c r="F5448" s="165" t="s">
        <v>9425</v>
      </c>
    </row>
    <row r="5449" customFormat="false" ht="15" hidden="false" customHeight="true" outlineLevel="0" collapsed="false">
      <c r="A5449" s="163" t="s">
        <v>3053</v>
      </c>
      <c r="B5449" s="163" t="s">
        <v>3053</v>
      </c>
      <c r="C5449" s="163" t="s">
        <v>8932</v>
      </c>
      <c r="D5449" s="163" t="s">
        <v>8933</v>
      </c>
      <c r="E5449" s="164" t="n">
        <v>38000</v>
      </c>
      <c r="F5449" s="165" t="s">
        <v>9429</v>
      </c>
    </row>
    <row r="5450" customFormat="false" ht="15" hidden="false" customHeight="true" outlineLevel="0" collapsed="false">
      <c r="A5450" s="163" t="s">
        <v>3053</v>
      </c>
      <c r="B5450" s="163" t="s">
        <v>3053</v>
      </c>
      <c r="C5450" s="163" t="s">
        <v>3635</v>
      </c>
      <c r="D5450" s="163" t="s">
        <v>3636</v>
      </c>
      <c r="E5450" s="164" t="n">
        <v>28000</v>
      </c>
      <c r="F5450" s="165" t="s">
        <v>9285</v>
      </c>
    </row>
    <row r="5451" customFormat="false" ht="15" hidden="false" customHeight="true" outlineLevel="0" collapsed="false">
      <c r="A5451" s="163" t="s">
        <v>3053</v>
      </c>
      <c r="B5451" s="163" t="s">
        <v>3053</v>
      </c>
      <c r="C5451" s="163" t="s">
        <v>3706</v>
      </c>
      <c r="D5451" s="163" t="s">
        <v>3707</v>
      </c>
      <c r="E5451" s="164" t="n">
        <v>19000</v>
      </c>
      <c r="F5451" s="165" t="s">
        <v>3060</v>
      </c>
    </row>
    <row r="5452" customFormat="false" ht="15" hidden="false" customHeight="true" outlineLevel="0" collapsed="false">
      <c r="A5452" s="163" t="s">
        <v>3053</v>
      </c>
      <c r="B5452" s="163" t="s">
        <v>3053</v>
      </c>
      <c r="C5452" s="163" t="s">
        <v>4635</v>
      </c>
      <c r="D5452" s="163" t="s">
        <v>4636</v>
      </c>
      <c r="E5452" s="164" t="n">
        <v>19000</v>
      </c>
      <c r="F5452" s="165" t="s">
        <v>3060</v>
      </c>
    </row>
    <row r="5453" customFormat="false" ht="15" hidden="false" customHeight="true" outlineLevel="0" collapsed="false">
      <c r="A5453" s="163" t="s">
        <v>3053</v>
      </c>
      <c r="B5453" s="163" t="s">
        <v>3053</v>
      </c>
      <c r="C5453" s="163" t="s">
        <v>5225</v>
      </c>
      <c r="D5453" s="163" t="s">
        <v>5226</v>
      </c>
      <c r="E5453" s="164" t="n">
        <v>18000</v>
      </c>
      <c r="F5453" s="165" t="s">
        <v>9430</v>
      </c>
    </row>
    <row r="5454" customFormat="false" ht="15" hidden="false" customHeight="true" outlineLevel="0" collapsed="false">
      <c r="A5454" s="163" t="s">
        <v>3053</v>
      </c>
      <c r="B5454" s="163" t="s">
        <v>3053</v>
      </c>
      <c r="C5454" s="163" t="s">
        <v>3560</v>
      </c>
      <c r="D5454" s="163" t="s">
        <v>3561</v>
      </c>
      <c r="E5454" s="164" t="n">
        <v>16000</v>
      </c>
      <c r="F5454" s="165" t="s">
        <v>3060</v>
      </c>
    </row>
    <row r="5455" customFormat="false" ht="15" hidden="false" customHeight="true" outlineLevel="0" collapsed="false">
      <c r="A5455" s="163" t="s">
        <v>3053</v>
      </c>
      <c r="B5455" s="163" t="s">
        <v>3053</v>
      </c>
      <c r="C5455" s="163" t="s">
        <v>3652</v>
      </c>
      <c r="D5455" s="163" t="s">
        <v>3653</v>
      </c>
      <c r="E5455" s="164" t="n">
        <v>14000</v>
      </c>
      <c r="F5455" s="165" t="s">
        <v>3060</v>
      </c>
    </row>
    <row r="5456" customFormat="false" ht="15" hidden="false" customHeight="true" outlineLevel="0" collapsed="false">
      <c r="A5456" s="163" t="s">
        <v>3053</v>
      </c>
      <c r="B5456" s="163" t="s">
        <v>3053</v>
      </c>
      <c r="C5456" s="163" t="s">
        <v>5068</v>
      </c>
      <c r="D5456" s="163" t="s">
        <v>5069</v>
      </c>
      <c r="E5456" s="164" t="n">
        <v>14000</v>
      </c>
      <c r="F5456" s="165" t="s">
        <v>3060</v>
      </c>
    </row>
    <row r="5457" customFormat="false" ht="15" hidden="false" customHeight="true" outlineLevel="0" collapsed="false">
      <c r="A5457" s="163" t="s">
        <v>3053</v>
      </c>
      <c r="B5457" s="163" t="s">
        <v>3053</v>
      </c>
      <c r="C5457" s="163" t="s">
        <v>4923</v>
      </c>
      <c r="D5457" s="163" t="s">
        <v>4924</v>
      </c>
      <c r="E5457" s="164" t="n">
        <v>14000</v>
      </c>
      <c r="F5457" s="165" t="s">
        <v>3060</v>
      </c>
    </row>
    <row r="5458" customFormat="false" ht="15" hidden="false" customHeight="true" outlineLevel="0" collapsed="false">
      <c r="A5458" s="163" t="s">
        <v>3053</v>
      </c>
      <c r="B5458" s="163" t="s">
        <v>3053</v>
      </c>
      <c r="C5458" s="163" t="s">
        <v>5244</v>
      </c>
      <c r="D5458" s="163" t="s">
        <v>5245</v>
      </c>
      <c r="E5458" s="164" t="n">
        <v>14000</v>
      </c>
      <c r="F5458" s="165" t="s">
        <v>3060</v>
      </c>
    </row>
    <row r="5459" customFormat="false" ht="15" hidden="false" customHeight="true" outlineLevel="0" collapsed="false">
      <c r="A5459" s="163" t="s">
        <v>3053</v>
      </c>
      <c r="B5459" s="163" t="s">
        <v>3053</v>
      </c>
      <c r="C5459" s="163" t="s">
        <v>9431</v>
      </c>
      <c r="D5459" s="163" t="s">
        <v>9432</v>
      </c>
      <c r="E5459" s="164" t="n">
        <v>14000</v>
      </c>
      <c r="F5459" s="165" t="s">
        <v>3060</v>
      </c>
    </row>
    <row r="5460" customFormat="false" ht="15" hidden="false" customHeight="true" outlineLevel="0" collapsed="false">
      <c r="A5460" s="163" t="s">
        <v>3053</v>
      </c>
      <c r="B5460" s="163" t="s">
        <v>3053</v>
      </c>
      <c r="C5460" s="163" t="s">
        <v>4986</v>
      </c>
      <c r="D5460" s="163" t="s">
        <v>4987</v>
      </c>
      <c r="E5460" s="164" t="n">
        <v>14000</v>
      </c>
      <c r="F5460" s="165" t="s">
        <v>3060</v>
      </c>
    </row>
    <row r="5461" customFormat="false" ht="15" hidden="false" customHeight="true" outlineLevel="0" collapsed="false">
      <c r="A5461" s="163" t="s">
        <v>3053</v>
      </c>
      <c r="B5461" s="163" t="s">
        <v>3053</v>
      </c>
      <c r="C5461" s="163" t="s">
        <v>4884</v>
      </c>
      <c r="D5461" s="163" t="s">
        <v>4885</v>
      </c>
      <c r="E5461" s="164" t="n">
        <v>14000</v>
      </c>
      <c r="F5461" s="165" t="s">
        <v>3060</v>
      </c>
    </row>
    <row r="5462" customFormat="false" ht="15" hidden="false" customHeight="true" outlineLevel="0" collapsed="false">
      <c r="A5462" s="163" t="s">
        <v>3053</v>
      </c>
      <c r="B5462" s="163" t="s">
        <v>3053</v>
      </c>
      <c r="C5462" s="163" t="s">
        <v>6627</v>
      </c>
      <c r="D5462" s="163" t="s">
        <v>6628</v>
      </c>
      <c r="E5462" s="164" t="n">
        <v>13000</v>
      </c>
      <c r="F5462" s="165" t="s">
        <v>3060</v>
      </c>
    </row>
    <row r="5463" customFormat="false" ht="15" hidden="false" customHeight="true" outlineLevel="0" collapsed="false">
      <c r="A5463" s="163" t="s">
        <v>3053</v>
      </c>
      <c r="B5463" s="163" t="s">
        <v>3053</v>
      </c>
      <c r="C5463" s="163" t="s">
        <v>6562</v>
      </c>
      <c r="D5463" s="163" t="s">
        <v>6563</v>
      </c>
      <c r="E5463" s="164" t="n">
        <v>13000</v>
      </c>
      <c r="F5463" s="165" t="s">
        <v>3060</v>
      </c>
    </row>
    <row r="5464" customFormat="false" ht="15" hidden="false" customHeight="true" outlineLevel="0" collapsed="false">
      <c r="A5464" s="163" t="s">
        <v>3053</v>
      </c>
      <c r="B5464" s="163" t="s">
        <v>3053</v>
      </c>
      <c r="C5464" s="163" t="s">
        <v>3278</v>
      </c>
      <c r="D5464" s="163" t="s">
        <v>3279</v>
      </c>
      <c r="E5464" s="164" t="n">
        <v>13000</v>
      </c>
      <c r="F5464" s="165" t="s">
        <v>7917</v>
      </c>
    </row>
    <row r="5465" customFormat="false" ht="15" hidden="false" customHeight="true" outlineLevel="0" collapsed="false">
      <c r="A5465" s="163" t="s">
        <v>3053</v>
      </c>
      <c r="B5465" s="163" t="s">
        <v>3053</v>
      </c>
      <c r="C5465" s="163" t="s">
        <v>5026</v>
      </c>
      <c r="D5465" s="163" t="s">
        <v>5027</v>
      </c>
      <c r="E5465" s="164" t="n">
        <v>13000</v>
      </c>
      <c r="F5465" s="165" t="s">
        <v>3060</v>
      </c>
    </row>
    <row r="5466" customFormat="false" ht="15" hidden="false" customHeight="true" outlineLevel="0" collapsed="false">
      <c r="A5466" s="163" t="s">
        <v>3053</v>
      </c>
      <c r="B5466" s="163" t="s">
        <v>3053</v>
      </c>
      <c r="C5466" s="163" t="s">
        <v>7068</v>
      </c>
      <c r="D5466" s="163" t="s">
        <v>7069</v>
      </c>
      <c r="E5466" s="164" t="n">
        <v>13000</v>
      </c>
      <c r="F5466" s="165" t="s">
        <v>7038</v>
      </c>
    </row>
    <row r="5467" customFormat="false" ht="15" hidden="false" customHeight="true" outlineLevel="0" collapsed="false">
      <c r="A5467" s="163" t="s">
        <v>3053</v>
      </c>
      <c r="B5467" s="163" t="s">
        <v>3053</v>
      </c>
      <c r="C5467" s="163" t="s">
        <v>7773</v>
      </c>
      <c r="D5467" s="163" t="s">
        <v>7774</v>
      </c>
      <c r="E5467" s="164" t="n">
        <v>12500</v>
      </c>
      <c r="F5467" s="165" t="s">
        <v>3060</v>
      </c>
    </row>
    <row r="5468" customFormat="false" ht="15" hidden="false" customHeight="true" outlineLevel="0" collapsed="false">
      <c r="A5468" s="163" t="s">
        <v>3053</v>
      </c>
      <c r="B5468" s="163" t="s">
        <v>3053</v>
      </c>
      <c r="C5468" s="163" t="s">
        <v>7984</v>
      </c>
      <c r="D5468" s="163" t="s">
        <v>7985</v>
      </c>
      <c r="E5468" s="164" t="n">
        <v>12500</v>
      </c>
      <c r="F5468" s="165" t="s">
        <v>3060</v>
      </c>
    </row>
    <row r="5469" customFormat="false" ht="15" hidden="false" customHeight="true" outlineLevel="0" collapsed="false">
      <c r="A5469" s="163" t="s">
        <v>3053</v>
      </c>
      <c r="B5469" s="163" t="s">
        <v>3053</v>
      </c>
      <c r="C5469" s="163" t="s">
        <v>4914</v>
      </c>
      <c r="D5469" s="163" t="s">
        <v>4915</v>
      </c>
      <c r="E5469" s="164" t="n">
        <v>12500</v>
      </c>
      <c r="F5469" s="165" t="s">
        <v>9433</v>
      </c>
    </row>
    <row r="5470" customFormat="false" ht="15" hidden="false" customHeight="true" outlineLevel="0" collapsed="false">
      <c r="A5470" s="163" t="s">
        <v>3053</v>
      </c>
      <c r="B5470" s="163" t="s">
        <v>3053</v>
      </c>
      <c r="C5470" s="163" t="s">
        <v>3163</v>
      </c>
      <c r="D5470" s="163" t="s">
        <v>3164</v>
      </c>
      <c r="E5470" s="164" t="n">
        <v>12500</v>
      </c>
      <c r="F5470" s="165" t="s">
        <v>3060</v>
      </c>
    </row>
    <row r="5471" customFormat="false" ht="15" hidden="false" customHeight="true" outlineLevel="0" collapsed="false">
      <c r="A5471" s="163" t="s">
        <v>3053</v>
      </c>
      <c r="B5471" s="163" t="s">
        <v>3053</v>
      </c>
      <c r="C5471" s="163" t="s">
        <v>3735</v>
      </c>
      <c r="D5471" s="163" t="s">
        <v>3736</v>
      </c>
      <c r="E5471" s="164" t="n">
        <v>12000</v>
      </c>
      <c r="F5471" s="165" t="s">
        <v>3060</v>
      </c>
    </row>
    <row r="5472" customFormat="false" ht="15" hidden="false" customHeight="true" outlineLevel="0" collapsed="false">
      <c r="A5472" s="163" t="s">
        <v>3053</v>
      </c>
      <c r="B5472" s="163" t="s">
        <v>3053</v>
      </c>
      <c r="C5472" s="163" t="s">
        <v>3697</v>
      </c>
      <c r="D5472" s="163" t="s">
        <v>3698</v>
      </c>
      <c r="E5472" s="164" t="n">
        <v>12000</v>
      </c>
      <c r="F5472" s="165" t="s">
        <v>3060</v>
      </c>
    </row>
    <row r="5473" customFormat="false" ht="15" hidden="false" customHeight="true" outlineLevel="0" collapsed="false">
      <c r="A5473" s="163" t="s">
        <v>3053</v>
      </c>
      <c r="B5473" s="163" t="s">
        <v>3053</v>
      </c>
      <c r="C5473" s="163" t="s">
        <v>6597</v>
      </c>
      <c r="D5473" s="163" t="s">
        <v>6598</v>
      </c>
      <c r="E5473" s="164" t="n">
        <v>12000</v>
      </c>
      <c r="F5473" s="165" t="s">
        <v>3060</v>
      </c>
    </row>
    <row r="5474" customFormat="false" ht="15" hidden="false" customHeight="true" outlineLevel="0" collapsed="false">
      <c r="A5474" s="163" t="s">
        <v>3053</v>
      </c>
      <c r="B5474" s="163" t="s">
        <v>3053</v>
      </c>
      <c r="C5474" s="163" t="s">
        <v>9434</v>
      </c>
      <c r="D5474" s="163" t="s">
        <v>9435</v>
      </c>
      <c r="E5474" s="164" t="n">
        <v>12000</v>
      </c>
      <c r="F5474" s="165" t="s">
        <v>3060</v>
      </c>
    </row>
    <row r="5475" customFormat="false" ht="15" hidden="false" customHeight="true" outlineLevel="0" collapsed="false">
      <c r="A5475" s="163" t="s">
        <v>3053</v>
      </c>
      <c r="B5475" s="163" t="s">
        <v>3053</v>
      </c>
      <c r="C5475" s="163" t="s">
        <v>9436</v>
      </c>
      <c r="D5475" s="163" t="s">
        <v>9437</v>
      </c>
      <c r="E5475" s="164" t="n">
        <v>12000</v>
      </c>
      <c r="F5475" s="165" t="s">
        <v>3060</v>
      </c>
    </row>
    <row r="5476" customFormat="false" ht="15" hidden="false" customHeight="true" outlineLevel="0" collapsed="false">
      <c r="A5476" s="163" t="s">
        <v>3053</v>
      </c>
      <c r="B5476" s="163" t="s">
        <v>3053</v>
      </c>
      <c r="C5476" s="163" t="s">
        <v>9290</v>
      </c>
      <c r="D5476" s="163" t="s">
        <v>9291</v>
      </c>
      <c r="E5476" s="164" t="n">
        <v>12000</v>
      </c>
      <c r="F5476" s="165" t="s">
        <v>3060</v>
      </c>
    </row>
    <row r="5477" customFormat="false" ht="15" hidden="false" customHeight="true" outlineLevel="0" collapsed="false">
      <c r="A5477" s="163" t="s">
        <v>3053</v>
      </c>
      <c r="B5477" s="163" t="s">
        <v>3053</v>
      </c>
      <c r="C5477" s="163" t="s">
        <v>4023</v>
      </c>
      <c r="D5477" s="163" t="s">
        <v>4024</v>
      </c>
      <c r="E5477" s="164" t="n">
        <v>12000</v>
      </c>
      <c r="F5477" s="165" t="s">
        <v>3060</v>
      </c>
    </row>
    <row r="5478" customFormat="false" ht="15" hidden="false" customHeight="true" outlineLevel="0" collapsed="false">
      <c r="A5478" s="163" t="s">
        <v>3053</v>
      </c>
      <c r="B5478" s="163" t="s">
        <v>3053</v>
      </c>
      <c r="C5478" s="163" t="s">
        <v>9438</v>
      </c>
      <c r="D5478" s="163" t="s">
        <v>9439</v>
      </c>
      <c r="E5478" s="164" t="n">
        <v>12000</v>
      </c>
      <c r="F5478" s="165" t="s">
        <v>9440</v>
      </c>
    </row>
    <row r="5479" customFormat="false" ht="15" hidden="false" customHeight="true" outlineLevel="0" collapsed="false">
      <c r="A5479" s="163" t="s">
        <v>3053</v>
      </c>
      <c r="B5479" s="163" t="s">
        <v>3053</v>
      </c>
      <c r="C5479" s="163" t="s">
        <v>4166</v>
      </c>
      <c r="D5479" s="163" t="s">
        <v>4167</v>
      </c>
      <c r="E5479" s="164" t="n">
        <v>12000</v>
      </c>
      <c r="F5479" s="165" t="s">
        <v>3060</v>
      </c>
    </row>
    <row r="5480" customFormat="false" ht="15" hidden="false" customHeight="true" outlineLevel="0" collapsed="false">
      <c r="A5480" s="163" t="s">
        <v>3053</v>
      </c>
      <c r="B5480" s="163" t="s">
        <v>3053</v>
      </c>
      <c r="C5480" s="163" t="s">
        <v>400</v>
      </c>
      <c r="D5480" s="163" t="s">
        <v>2628</v>
      </c>
      <c r="E5480" s="164" t="n">
        <v>10000</v>
      </c>
      <c r="F5480" s="165" t="s">
        <v>3060</v>
      </c>
    </row>
    <row r="5481" customFormat="false" ht="15" hidden="false" customHeight="true" outlineLevel="0" collapsed="false">
      <c r="A5481" s="163" t="s">
        <v>3053</v>
      </c>
      <c r="B5481" s="163" t="s">
        <v>3053</v>
      </c>
      <c r="C5481" s="163" t="s">
        <v>5045</v>
      </c>
      <c r="D5481" s="163" t="s">
        <v>5046</v>
      </c>
      <c r="E5481" s="164" t="n">
        <v>10000</v>
      </c>
      <c r="F5481" s="165" t="s">
        <v>9441</v>
      </c>
    </row>
    <row r="5482" customFormat="false" ht="15" hidden="false" customHeight="true" outlineLevel="0" collapsed="false">
      <c r="A5482" s="163" t="s">
        <v>3053</v>
      </c>
      <c r="B5482" s="163" t="s">
        <v>3053</v>
      </c>
      <c r="C5482" s="163" t="s">
        <v>473</v>
      </c>
      <c r="D5482" s="163" t="s">
        <v>2764</v>
      </c>
      <c r="E5482" s="164" t="n">
        <v>10000</v>
      </c>
      <c r="F5482" s="165" t="s">
        <v>5310</v>
      </c>
    </row>
    <row r="5483" customFormat="false" ht="15" hidden="false" customHeight="true" outlineLevel="0" collapsed="false">
      <c r="A5483" s="163" t="s">
        <v>3053</v>
      </c>
      <c r="B5483" s="163" t="s">
        <v>3053</v>
      </c>
      <c r="C5483" s="163" t="s">
        <v>5121</v>
      </c>
      <c r="D5483" s="163" t="s">
        <v>5122</v>
      </c>
      <c r="E5483" s="164" t="n">
        <v>10000</v>
      </c>
      <c r="F5483" s="165" t="s">
        <v>3060</v>
      </c>
    </row>
    <row r="5484" customFormat="false" ht="15" hidden="false" customHeight="true" outlineLevel="0" collapsed="false">
      <c r="A5484" s="163" t="s">
        <v>3053</v>
      </c>
      <c r="B5484" s="163" t="s">
        <v>3053</v>
      </c>
      <c r="C5484" s="163" t="s">
        <v>4884</v>
      </c>
      <c r="D5484" s="163" t="s">
        <v>4885</v>
      </c>
      <c r="E5484" s="164" t="n">
        <v>10000</v>
      </c>
      <c r="F5484" s="165" t="s">
        <v>7038</v>
      </c>
    </row>
    <row r="5485" customFormat="false" ht="15" hidden="false" customHeight="true" outlineLevel="0" collapsed="false">
      <c r="A5485" s="163" t="s">
        <v>3053</v>
      </c>
      <c r="B5485" s="163" t="s">
        <v>3053</v>
      </c>
      <c r="C5485" s="163" t="s">
        <v>4874</v>
      </c>
      <c r="D5485" s="163" t="s">
        <v>4875</v>
      </c>
      <c r="E5485" s="164" t="n">
        <v>10000</v>
      </c>
      <c r="F5485" s="165" t="s">
        <v>3060</v>
      </c>
    </row>
    <row r="5486" customFormat="false" ht="15" hidden="false" customHeight="true" outlineLevel="0" collapsed="false">
      <c r="A5486" s="163" t="s">
        <v>3053</v>
      </c>
      <c r="B5486" s="163" t="s">
        <v>3053</v>
      </c>
      <c r="C5486" s="163" t="s">
        <v>4635</v>
      </c>
      <c r="D5486" s="163" t="s">
        <v>4636</v>
      </c>
      <c r="E5486" s="164" t="n">
        <v>10000</v>
      </c>
      <c r="F5486" s="165" t="s">
        <v>9442</v>
      </c>
    </row>
    <row r="5487" customFormat="false" ht="15" hidden="false" customHeight="true" outlineLevel="0" collapsed="false">
      <c r="A5487" s="163" t="s">
        <v>3053</v>
      </c>
      <c r="B5487" s="163" t="s">
        <v>3053</v>
      </c>
      <c r="C5487" s="163" t="s">
        <v>3700</v>
      </c>
      <c r="D5487" s="163" t="s">
        <v>3701</v>
      </c>
      <c r="E5487" s="164" t="n">
        <v>8000</v>
      </c>
      <c r="F5487" s="165" t="s">
        <v>9443</v>
      </c>
    </row>
    <row r="5488" customFormat="false" ht="15" hidden="false" customHeight="true" outlineLevel="0" collapsed="false">
      <c r="A5488" s="163" t="s">
        <v>3053</v>
      </c>
      <c r="B5488" s="163" t="s">
        <v>3053</v>
      </c>
      <c r="C5488" s="163" t="s">
        <v>4884</v>
      </c>
      <c r="D5488" s="163" t="s">
        <v>4885</v>
      </c>
      <c r="E5488" s="164" t="n">
        <v>3000</v>
      </c>
      <c r="F5488" s="165" t="s">
        <v>7038</v>
      </c>
    </row>
    <row r="5489" customFormat="false" ht="15" hidden="false" customHeight="true" outlineLevel="0" collapsed="false">
      <c r="A5489" s="163" t="s">
        <v>3032</v>
      </c>
      <c r="B5489" s="163" t="s">
        <v>926</v>
      </c>
      <c r="C5489" s="163" t="s">
        <v>9444</v>
      </c>
      <c r="D5489" s="163" t="s">
        <v>9445</v>
      </c>
      <c r="E5489" s="164" t="n">
        <v>41000</v>
      </c>
      <c r="F5489" s="165" t="s">
        <v>3060</v>
      </c>
    </row>
    <row r="5490" customFormat="false" ht="15" hidden="false" customHeight="true" outlineLevel="0" collapsed="false">
      <c r="A5490" s="163" t="s">
        <v>3032</v>
      </c>
      <c r="B5490" s="163" t="s">
        <v>926</v>
      </c>
      <c r="C5490" s="163" t="s">
        <v>197</v>
      </c>
      <c r="D5490" s="163" t="s">
        <v>1931</v>
      </c>
      <c r="E5490" s="164" t="n">
        <v>34000</v>
      </c>
      <c r="F5490" s="165" t="s">
        <v>3060</v>
      </c>
    </row>
    <row r="5491" customFormat="false" ht="15" hidden="false" customHeight="true" outlineLevel="0" collapsed="false">
      <c r="A5491" s="163" t="s">
        <v>3032</v>
      </c>
      <c r="B5491" s="163" t="s">
        <v>926</v>
      </c>
      <c r="C5491" s="163" t="s">
        <v>3145</v>
      </c>
      <c r="D5491" s="163" t="s">
        <v>3146</v>
      </c>
      <c r="E5491" s="164" t="n">
        <v>15000</v>
      </c>
      <c r="F5491" s="165" t="s">
        <v>9446</v>
      </c>
    </row>
    <row r="5492" customFormat="false" ht="15" hidden="false" customHeight="true" outlineLevel="0" collapsed="false">
      <c r="A5492" s="163" t="s">
        <v>3032</v>
      </c>
      <c r="B5492" s="163" t="s">
        <v>926</v>
      </c>
      <c r="C5492" s="163" t="s">
        <v>3063</v>
      </c>
      <c r="D5492" s="163" t="s">
        <v>3064</v>
      </c>
      <c r="E5492" s="164" t="n">
        <v>10000</v>
      </c>
      <c r="F5492" s="165" t="s">
        <v>9447</v>
      </c>
    </row>
    <row r="5493" customFormat="false" ht="15" hidden="false" customHeight="true" outlineLevel="0" collapsed="false">
      <c r="A5493" s="163" t="s">
        <v>3032</v>
      </c>
      <c r="B5493" s="163" t="s">
        <v>957</v>
      </c>
      <c r="C5493" s="163" t="s">
        <v>4757</v>
      </c>
      <c r="D5493" s="163" t="s">
        <v>4758</v>
      </c>
      <c r="E5493" s="164" t="n">
        <v>56000</v>
      </c>
      <c r="F5493" s="165" t="s">
        <v>9448</v>
      </c>
    </row>
    <row r="5494" customFormat="false" ht="15" hidden="false" customHeight="true" outlineLevel="0" collapsed="false">
      <c r="A5494" s="163" t="s">
        <v>3032</v>
      </c>
      <c r="B5494" s="163" t="s">
        <v>957</v>
      </c>
      <c r="C5494" s="163" t="s">
        <v>9449</v>
      </c>
      <c r="D5494" s="163" t="s">
        <v>9450</v>
      </c>
      <c r="E5494" s="164" t="n">
        <v>24000</v>
      </c>
      <c r="F5494" s="165" t="s">
        <v>9451</v>
      </c>
    </row>
    <row r="5495" customFormat="false" ht="15" hidden="false" customHeight="true" outlineLevel="0" collapsed="false">
      <c r="A5495" s="163" t="s">
        <v>3032</v>
      </c>
      <c r="B5495" s="163" t="s">
        <v>957</v>
      </c>
      <c r="C5495" s="163" t="s">
        <v>3567</v>
      </c>
      <c r="D5495" s="163" t="s">
        <v>3568</v>
      </c>
      <c r="E5495" s="164" t="n">
        <v>10000</v>
      </c>
      <c r="F5495" s="165" t="s">
        <v>9452</v>
      </c>
    </row>
    <row r="5496" customFormat="false" ht="15" hidden="false" customHeight="true" outlineLevel="0" collapsed="false">
      <c r="A5496" s="163" t="s">
        <v>3032</v>
      </c>
      <c r="B5496" s="163" t="s">
        <v>957</v>
      </c>
      <c r="C5496" s="163" t="s">
        <v>7462</v>
      </c>
      <c r="D5496" s="163" t="s">
        <v>7463</v>
      </c>
      <c r="E5496" s="164" t="n">
        <v>5000</v>
      </c>
      <c r="F5496" s="165" t="s">
        <v>9453</v>
      </c>
    </row>
    <row r="5497" customFormat="false" ht="15" hidden="false" customHeight="true" outlineLevel="0" collapsed="false">
      <c r="A5497" s="163" t="s">
        <v>3032</v>
      </c>
      <c r="B5497" s="163" t="s">
        <v>957</v>
      </c>
      <c r="C5497" s="163" t="s">
        <v>9454</v>
      </c>
      <c r="D5497" s="163" t="s">
        <v>9455</v>
      </c>
      <c r="E5497" s="164" t="n">
        <v>5000</v>
      </c>
      <c r="F5497" s="165" t="s">
        <v>9456</v>
      </c>
    </row>
    <row r="5498" customFormat="false" ht="15" hidden="false" customHeight="true" outlineLevel="0" collapsed="false">
      <c r="A5498" s="163" t="s">
        <v>3032</v>
      </c>
      <c r="B5498" s="163" t="s">
        <v>957</v>
      </c>
      <c r="C5498" s="163" t="s">
        <v>1135</v>
      </c>
      <c r="D5498" s="163" t="s">
        <v>2507</v>
      </c>
      <c r="E5498" s="164" t="n">
        <v>5000</v>
      </c>
      <c r="F5498" s="165" t="s">
        <v>9457</v>
      </c>
    </row>
    <row r="5499" customFormat="false" ht="15" hidden="false" customHeight="true" outlineLevel="0" collapsed="false">
      <c r="A5499" s="163" t="s">
        <v>3032</v>
      </c>
      <c r="B5499" s="163" t="s">
        <v>957</v>
      </c>
      <c r="C5499" s="163" t="s">
        <v>3210</v>
      </c>
      <c r="D5499" s="163" t="s">
        <v>3211</v>
      </c>
      <c r="E5499" s="164" t="n">
        <v>5000</v>
      </c>
      <c r="F5499" s="165" t="s">
        <v>9458</v>
      </c>
    </row>
    <row r="5500" customFormat="false" ht="15" hidden="false" customHeight="true" outlineLevel="0" collapsed="false">
      <c r="A5500" s="163" t="s">
        <v>3032</v>
      </c>
      <c r="B5500" s="163" t="s">
        <v>945</v>
      </c>
      <c r="C5500" s="163" t="s">
        <v>6964</v>
      </c>
      <c r="D5500" s="163" t="s">
        <v>6965</v>
      </c>
      <c r="E5500" s="164" t="n">
        <v>10000</v>
      </c>
      <c r="F5500" s="165" t="s">
        <v>9459</v>
      </c>
    </row>
    <row r="5501" customFormat="false" ht="15" hidden="false" customHeight="true" outlineLevel="0" collapsed="false">
      <c r="A5501" s="163" t="s">
        <v>3032</v>
      </c>
      <c r="B5501" s="163" t="s">
        <v>945</v>
      </c>
      <c r="C5501" s="163" t="s">
        <v>4784</v>
      </c>
      <c r="D5501" s="163" t="s">
        <v>4785</v>
      </c>
      <c r="E5501" s="164" t="n">
        <v>10000</v>
      </c>
      <c r="F5501" s="165" t="s">
        <v>9460</v>
      </c>
    </row>
    <row r="5502" customFormat="false" ht="15" hidden="false" customHeight="true" outlineLevel="0" collapsed="false">
      <c r="A5502" s="163" t="s">
        <v>3032</v>
      </c>
      <c r="B5502" s="163" t="s">
        <v>945</v>
      </c>
      <c r="C5502" s="163" t="s">
        <v>4856</v>
      </c>
      <c r="D5502" s="163" t="s">
        <v>4857</v>
      </c>
      <c r="E5502" s="164" t="n">
        <v>8000</v>
      </c>
      <c r="F5502" s="165" t="s">
        <v>9461</v>
      </c>
    </row>
    <row r="5503" customFormat="false" ht="15" hidden="false" customHeight="true" outlineLevel="0" collapsed="false">
      <c r="A5503" s="163" t="s">
        <v>3032</v>
      </c>
      <c r="B5503" s="163" t="s">
        <v>945</v>
      </c>
      <c r="C5503" s="163" t="s">
        <v>6899</v>
      </c>
      <c r="D5503" s="163" t="s">
        <v>6900</v>
      </c>
      <c r="E5503" s="164" t="n">
        <v>7000</v>
      </c>
      <c r="F5503" s="165" t="s">
        <v>6901</v>
      </c>
    </row>
    <row r="5504" customFormat="false" ht="15" hidden="false" customHeight="true" outlineLevel="0" collapsed="false">
      <c r="A5504" s="163" t="s">
        <v>3032</v>
      </c>
      <c r="B5504" s="163" t="s">
        <v>945</v>
      </c>
      <c r="C5504" s="163" t="s">
        <v>7214</v>
      </c>
      <c r="D5504" s="163" t="s">
        <v>7215</v>
      </c>
      <c r="E5504" s="164" t="n">
        <v>5000</v>
      </c>
      <c r="F5504" s="165" t="s">
        <v>9462</v>
      </c>
    </row>
    <row r="5505" customFormat="false" ht="15" hidden="false" customHeight="true" outlineLevel="0" collapsed="false">
      <c r="A5505" s="163" t="s">
        <v>3032</v>
      </c>
      <c r="B5505" s="163" t="s">
        <v>945</v>
      </c>
      <c r="C5505" s="163" t="s">
        <v>9463</v>
      </c>
      <c r="D5505" s="163" t="s">
        <v>9464</v>
      </c>
      <c r="E5505" s="164" t="n">
        <v>5000</v>
      </c>
      <c r="F5505" s="165" t="s">
        <v>9465</v>
      </c>
    </row>
    <row r="5506" customFormat="false" ht="15" hidden="false" customHeight="true" outlineLevel="0" collapsed="false">
      <c r="A5506" s="163" t="s">
        <v>3032</v>
      </c>
      <c r="B5506" s="163" t="s">
        <v>945</v>
      </c>
      <c r="C5506" s="163" t="s">
        <v>8723</v>
      </c>
      <c r="D5506" s="163" t="s">
        <v>8724</v>
      </c>
      <c r="E5506" s="164" t="n">
        <v>5000</v>
      </c>
      <c r="F5506" s="165" t="s">
        <v>9451</v>
      </c>
    </row>
    <row r="5507" customFormat="false" ht="15" hidden="false" customHeight="true" outlineLevel="0" collapsed="false">
      <c r="A5507" s="163" t="s">
        <v>3032</v>
      </c>
      <c r="B5507" s="163" t="s">
        <v>945</v>
      </c>
      <c r="C5507" s="163" t="s">
        <v>372</v>
      </c>
      <c r="D5507" s="163" t="s">
        <v>2692</v>
      </c>
      <c r="E5507" s="164" t="n">
        <v>5000</v>
      </c>
      <c r="F5507" s="165" t="s">
        <v>9466</v>
      </c>
    </row>
    <row r="5508" customFormat="false" ht="15" hidden="false" customHeight="true" outlineLevel="0" collapsed="false">
      <c r="A5508" s="163" t="s">
        <v>3032</v>
      </c>
      <c r="B5508" s="163" t="s">
        <v>945</v>
      </c>
      <c r="C5508" s="163" t="s">
        <v>3783</v>
      </c>
      <c r="D5508" s="163" t="s">
        <v>3784</v>
      </c>
      <c r="E5508" s="164" t="n">
        <v>5000</v>
      </c>
      <c r="F5508" s="165" t="s">
        <v>9451</v>
      </c>
    </row>
    <row r="5509" customFormat="false" ht="15" hidden="false" customHeight="true" outlineLevel="0" collapsed="false">
      <c r="A5509" s="163" t="s">
        <v>3032</v>
      </c>
      <c r="B5509" s="163" t="s">
        <v>945</v>
      </c>
      <c r="C5509" s="163" t="s">
        <v>9467</v>
      </c>
      <c r="D5509" s="163" t="s">
        <v>9468</v>
      </c>
      <c r="E5509" s="164" t="n">
        <v>5000</v>
      </c>
      <c r="F5509" s="165" t="s">
        <v>9451</v>
      </c>
    </row>
    <row r="5510" customFormat="false" ht="15" hidden="false" customHeight="true" outlineLevel="0" collapsed="false">
      <c r="A5510" s="163" t="s">
        <v>3032</v>
      </c>
      <c r="B5510" s="163" t="s">
        <v>945</v>
      </c>
      <c r="C5510" s="163" t="s">
        <v>5376</v>
      </c>
      <c r="D5510" s="163" t="s">
        <v>5377</v>
      </c>
      <c r="E5510" s="164" t="n">
        <v>5000</v>
      </c>
      <c r="F5510" s="165" t="s">
        <v>9469</v>
      </c>
    </row>
    <row r="5511" customFormat="false" ht="15" hidden="false" customHeight="true" outlineLevel="0" collapsed="false">
      <c r="A5511" s="163" t="s">
        <v>3032</v>
      </c>
      <c r="B5511" s="163" t="s">
        <v>945</v>
      </c>
      <c r="C5511" s="163" t="s">
        <v>6680</v>
      </c>
      <c r="D5511" s="163" t="s">
        <v>6681</v>
      </c>
      <c r="E5511" s="164" t="n">
        <v>5000</v>
      </c>
      <c r="F5511" s="165" t="s">
        <v>3060</v>
      </c>
    </row>
    <row r="5512" customFormat="false" ht="15" hidden="false" customHeight="true" outlineLevel="0" collapsed="false">
      <c r="A5512" s="163" t="s">
        <v>3032</v>
      </c>
      <c r="B5512" s="163" t="s">
        <v>3111</v>
      </c>
      <c r="C5512" s="163" t="s">
        <v>9470</v>
      </c>
      <c r="D5512" s="163" t="s">
        <v>9471</v>
      </c>
      <c r="E5512" s="164" t="n">
        <v>40000</v>
      </c>
      <c r="F5512" s="165" t="s">
        <v>9472</v>
      </c>
    </row>
    <row r="5513" customFormat="false" ht="15" hidden="false" customHeight="true" outlineLevel="0" collapsed="false">
      <c r="A5513" s="163" t="s">
        <v>3032</v>
      </c>
      <c r="B5513" s="163" t="s">
        <v>3111</v>
      </c>
      <c r="C5513" s="163" t="s">
        <v>6794</v>
      </c>
      <c r="D5513" s="163" t="s">
        <v>6795</v>
      </c>
      <c r="E5513" s="164" t="n">
        <v>25000</v>
      </c>
      <c r="F5513" s="165" t="s">
        <v>9473</v>
      </c>
    </row>
    <row r="5514" customFormat="false" ht="15" hidden="false" customHeight="true" outlineLevel="0" collapsed="false">
      <c r="A5514" s="163" t="s">
        <v>3032</v>
      </c>
      <c r="B5514" s="163" t="s">
        <v>3111</v>
      </c>
      <c r="C5514" s="163" t="s">
        <v>6683</v>
      </c>
      <c r="D5514" s="163" t="s">
        <v>6684</v>
      </c>
      <c r="E5514" s="164" t="n">
        <v>15000</v>
      </c>
      <c r="F5514" s="165" t="s">
        <v>9474</v>
      </c>
    </row>
    <row r="5515" customFormat="false" ht="15" hidden="false" customHeight="true" outlineLevel="0" collapsed="false">
      <c r="A5515" s="163" t="s">
        <v>3032</v>
      </c>
      <c r="B5515" s="163" t="s">
        <v>3111</v>
      </c>
      <c r="C5515" s="163" t="s">
        <v>9475</v>
      </c>
      <c r="D5515" s="163" t="s">
        <v>9476</v>
      </c>
      <c r="E5515" s="164" t="n">
        <v>10000</v>
      </c>
      <c r="F5515" s="165" t="s">
        <v>9477</v>
      </c>
    </row>
    <row r="5516" customFormat="false" ht="15" hidden="false" customHeight="true" outlineLevel="0" collapsed="false">
      <c r="A5516" s="163" t="s">
        <v>3032</v>
      </c>
      <c r="B5516" s="163" t="s">
        <v>3111</v>
      </c>
      <c r="C5516" s="163" t="s">
        <v>8932</v>
      </c>
      <c r="D5516" s="163" t="s">
        <v>8933</v>
      </c>
      <c r="E5516" s="164" t="n">
        <v>10000</v>
      </c>
      <c r="F5516" s="165" t="s">
        <v>9478</v>
      </c>
    </row>
    <row r="5517" customFormat="false" ht="15" hidden="false" customHeight="true" outlineLevel="0" collapsed="false">
      <c r="A5517" s="163" t="s">
        <v>3032</v>
      </c>
      <c r="B5517" s="163" t="s">
        <v>1938</v>
      </c>
      <c r="C5517" s="163" t="s">
        <v>4087</v>
      </c>
      <c r="D5517" s="163" t="s">
        <v>4088</v>
      </c>
      <c r="E5517" s="164" t="n">
        <v>20000</v>
      </c>
      <c r="F5517" s="165" t="s">
        <v>9479</v>
      </c>
    </row>
    <row r="5518" customFormat="false" ht="15" hidden="false" customHeight="true" outlineLevel="0" collapsed="false">
      <c r="A5518" s="163" t="s">
        <v>3032</v>
      </c>
      <c r="B5518" s="163" t="s">
        <v>1938</v>
      </c>
      <c r="C5518" s="163" t="s">
        <v>6957</v>
      </c>
      <c r="D5518" s="163" t="s">
        <v>6958</v>
      </c>
      <c r="E5518" s="164" t="n">
        <v>20000</v>
      </c>
      <c r="F5518" s="165" t="s">
        <v>9480</v>
      </c>
    </row>
    <row r="5519" customFormat="false" ht="15" hidden="false" customHeight="true" outlineLevel="0" collapsed="false">
      <c r="A5519" s="163" t="s">
        <v>3032</v>
      </c>
      <c r="B5519" s="163" t="s">
        <v>1938</v>
      </c>
      <c r="C5519" s="163" t="s">
        <v>6982</v>
      </c>
      <c r="D5519" s="163" t="s">
        <v>6983</v>
      </c>
      <c r="E5519" s="164" t="n">
        <v>20000</v>
      </c>
      <c r="F5519" s="165" t="s">
        <v>9481</v>
      </c>
    </row>
    <row r="5520" customFormat="false" ht="15" hidden="false" customHeight="true" outlineLevel="0" collapsed="false">
      <c r="A5520" s="163" t="s">
        <v>3032</v>
      </c>
      <c r="B5520" s="163" t="s">
        <v>1938</v>
      </c>
      <c r="C5520" s="163" t="s">
        <v>4808</v>
      </c>
      <c r="D5520" s="163" t="s">
        <v>4809</v>
      </c>
      <c r="E5520" s="164" t="n">
        <v>20000</v>
      </c>
      <c r="F5520" s="165" t="s">
        <v>9482</v>
      </c>
    </row>
    <row r="5521" customFormat="false" ht="15" hidden="false" customHeight="true" outlineLevel="0" collapsed="false">
      <c r="A5521" s="163" t="s">
        <v>3032</v>
      </c>
      <c r="B5521" s="163" t="s">
        <v>1938</v>
      </c>
      <c r="C5521" s="163" t="s">
        <v>4808</v>
      </c>
      <c r="D5521" s="163" t="s">
        <v>4809</v>
      </c>
      <c r="E5521" s="164" t="n">
        <v>20000</v>
      </c>
      <c r="F5521" s="165" t="s">
        <v>9483</v>
      </c>
    </row>
    <row r="5522" customFormat="false" ht="15" hidden="false" customHeight="true" outlineLevel="0" collapsed="false">
      <c r="A5522" s="163" t="s">
        <v>3032</v>
      </c>
      <c r="B5522" s="163" t="s">
        <v>1938</v>
      </c>
      <c r="C5522" s="163" t="s">
        <v>4808</v>
      </c>
      <c r="D5522" s="163" t="s">
        <v>4809</v>
      </c>
      <c r="E5522" s="164" t="n">
        <v>20000</v>
      </c>
      <c r="F5522" s="165" t="s">
        <v>9484</v>
      </c>
    </row>
    <row r="5523" customFormat="false" ht="15" hidden="false" customHeight="true" outlineLevel="0" collapsed="false">
      <c r="A5523" s="163" t="s">
        <v>3032</v>
      </c>
      <c r="B5523" s="163" t="s">
        <v>1938</v>
      </c>
      <c r="C5523" s="163" t="s">
        <v>3063</v>
      </c>
      <c r="D5523" s="163" t="s">
        <v>3064</v>
      </c>
      <c r="E5523" s="164" t="n">
        <v>20000</v>
      </c>
      <c r="F5523" s="165" t="s">
        <v>9485</v>
      </c>
    </row>
    <row r="5524" customFormat="false" ht="15" hidden="false" customHeight="true" outlineLevel="0" collapsed="false">
      <c r="A5524" s="163" t="s">
        <v>3032</v>
      </c>
      <c r="B5524" s="163" t="s">
        <v>1938</v>
      </c>
      <c r="C5524" s="163" t="s">
        <v>3063</v>
      </c>
      <c r="D5524" s="163" t="s">
        <v>3064</v>
      </c>
      <c r="E5524" s="164" t="n">
        <v>20000</v>
      </c>
      <c r="F5524" s="165" t="s">
        <v>9486</v>
      </c>
    </row>
    <row r="5525" customFormat="false" ht="15" hidden="false" customHeight="true" outlineLevel="0" collapsed="false">
      <c r="A5525" s="163" t="s">
        <v>3032</v>
      </c>
      <c r="B5525" s="163" t="s">
        <v>1938</v>
      </c>
      <c r="C5525" s="163" t="s">
        <v>336</v>
      </c>
      <c r="D5525" s="163" t="s">
        <v>2671</v>
      </c>
      <c r="E5525" s="164" t="n">
        <v>20000</v>
      </c>
      <c r="F5525" s="165" t="s">
        <v>9487</v>
      </c>
    </row>
    <row r="5526" customFormat="false" ht="15" hidden="false" customHeight="true" outlineLevel="0" collapsed="false">
      <c r="A5526" s="163" t="s">
        <v>3032</v>
      </c>
      <c r="B5526" s="163" t="s">
        <v>1938</v>
      </c>
      <c r="C5526" s="163" t="s">
        <v>336</v>
      </c>
      <c r="D5526" s="163" t="s">
        <v>2671</v>
      </c>
      <c r="E5526" s="164" t="n">
        <v>20000</v>
      </c>
      <c r="F5526" s="165" t="s">
        <v>9488</v>
      </c>
    </row>
    <row r="5527" customFormat="false" ht="15" hidden="false" customHeight="true" outlineLevel="0" collapsed="false">
      <c r="A5527" s="163" t="s">
        <v>3032</v>
      </c>
      <c r="B5527" s="163" t="s">
        <v>1938</v>
      </c>
      <c r="C5527" s="163" t="s">
        <v>336</v>
      </c>
      <c r="D5527" s="163" t="s">
        <v>2671</v>
      </c>
      <c r="E5527" s="164" t="n">
        <v>20000</v>
      </c>
      <c r="F5527" s="165" t="s">
        <v>9489</v>
      </c>
    </row>
    <row r="5528" customFormat="false" ht="15" hidden="false" customHeight="true" outlineLevel="0" collapsed="false">
      <c r="A5528" s="163" t="s">
        <v>3032</v>
      </c>
      <c r="B5528" s="163" t="s">
        <v>1938</v>
      </c>
      <c r="C5528" s="163" t="s">
        <v>336</v>
      </c>
      <c r="D5528" s="163" t="s">
        <v>2671</v>
      </c>
      <c r="E5528" s="164" t="n">
        <v>20000</v>
      </c>
      <c r="F5528" s="165" t="s">
        <v>9490</v>
      </c>
    </row>
    <row r="5529" customFormat="false" ht="15" hidden="false" customHeight="true" outlineLevel="0" collapsed="false">
      <c r="A5529" s="163" t="s">
        <v>3032</v>
      </c>
      <c r="B5529" s="163" t="s">
        <v>1938</v>
      </c>
      <c r="C5529" s="163" t="s">
        <v>336</v>
      </c>
      <c r="D5529" s="163" t="s">
        <v>2671</v>
      </c>
      <c r="E5529" s="164" t="n">
        <v>20000</v>
      </c>
      <c r="F5529" s="165" t="s">
        <v>9491</v>
      </c>
    </row>
    <row r="5530" customFormat="false" ht="15" hidden="false" customHeight="true" outlineLevel="0" collapsed="false">
      <c r="A5530" s="163" t="s">
        <v>3032</v>
      </c>
      <c r="B5530" s="163" t="s">
        <v>1938</v>
      </c>
      <c r="C5530" s="163" t="s">
        <v>336</v>
      </c>
      <c r="D5530" s="163" t="s">
        <v>2671</v>
      </c>
      <c r="E5530" s="164" t="n">
        <v>20000</v>
      </c>
      <c r="F5530" s="165" t="s">
        <v>9492</v>
      </c>
    </row>
    <row r="5531" customFormat="false" ht="15" hidden="false" customHeight="true" outlineLevel="0" collapsed="false">
      <c r="A5531" s="163" t="s">
        <v>3032</v>
      </c>
      <c r="B5531" s="163" t="s">
        <v>1938</v>
      </c>
      <c r="C5531" s="163" t="s">
        <v>5400</v>
      </c>
      <c r="D5531" s="163" t="s">
        <v>5401</v>
      </c>
      <c r="E5531" s="164" t="n">
        <v>20000</v>
      </c>
      <c r="F5531" s="165" t="s">
        <v>9493</v>
      </c>
    </row>
    <row r="5532" customFormat="false" ht="15" hidden="false" customHeight="true" outlineLevel="0" collapsed="false">
      <c r="A5532" s="163" t="s">
        <v>3032</v>
      </c>
      <c r="B5532" s="163" t="s">
        <v>1938</v>
      </c>
      <c r="C5532" s="163" t="s">
        <v>4388</v>
      </c>
      <c r="D5532" s="163" t="s">
        <v>4389</v>
      </c>
      <c r="E5532" s="164" t="n">
        <v>20000</v>
      </c>
      <c r="F5532" s="165" t="s">
        <v>9494</v>
      </c>
    </row>
    <row r="5533" customFormat="false" ht="15" hidden="false" customHeight="true" outlineLevel="0" collapsed="false">
      <c r="A5533" s="163" t="s">
        <v>3032</v>
      </c>
      <c r="B5533" s="163" t="s">
        <v>1938</v>
      </c>
      <c r="C5533" s="163" t="s">
        <v>336</v>
      </c>
      <c r="D5533" s="163" t="s">
        <v>2671</v>
      </c>
      <c r="E5533" s="164" t="n">
        <v>20000</v>
      </c>
      <c r="F5533" s="165" t="s">
        <v>9495</v>
      </c>
    </row>
    <row r="5534" customFormat="false" ht="15" hidden="false" customHeight="true" outlineLevel="0" collapsed="false">
      <c r="A5534" s="163" t="s">
        <v>3032</v>
      </c>
      <c r="B5534" s="163" t="s">
        <v>691</v>
      </c>
      <c r="C5534" s="163" t="s">
        <v>4808</v>
      </c>
      <c r="D5534" s="163" t="s">
        <v>4809</v>
      </c>
      <c r="E5534" s="164" t="n">
        <v>35000</v>
      </c>
      <c r="F5534" s="165" t="s">
        <v>9496</v>
      </c>
    </row>
    <row r="5535" customFormat="false" ht="15" hidden="false" customHeight="true" outlineLevel="0" collapsed="false">
      <c r="A5535" s="163" t="s">
        <v>3032</v>
      </c>
      <c r="B5535" s="163" t="s">
        <v>691</v>
      </c>
      <c r="C5535" s="163" t="s">
        <v>5901</v>
      </c>
      <c r="D5535" s="163" t="s">
        <v>5902</v>
      </c>
      <c r="E5535" s="164" t="n">
        <v>25000</v>
      </c>
      <c r="F5535" s="165" t="s">
        <v>9451</v>
      </c>
    </row>
    <row r="5536" customFormat="false" ht="15" hidden="false" customHeight="true" outlineLevel="0" collapsed="false">
      <c r="A5536" s="163" t="s">
        <v>3032</v>
      </c>
      <c r="B5536" s="163" t="s">
        <v>691</v>
      </c>
      <c r="C5536" s="163" t="s">
        <v>9497</v>
      </c>
      <c r="D5536" s="163" t="s">
        <v>9498</v>
      </c>
      <c r="E5536" s="164" t="n">
        <v>22000</v>
      </c>
      <c r="F5536" s="165" t="s">
        <v>9496</v>
      </c>
    </row>
    <row r="5537" customFormat="false" ht="15" hidden="false" customHeight="true" outlineLevel="0" collapsed="false">
      <c r="A5537" s="163" t="s">
        <v>3032</v>
      </c>
      <c r="B5537" s="163" t="s">
        <v>691</v>
      </c>
      <c r="C5537" s="163" t="s">
        <v>4874</v>
      </c>
      <c r="D5537" s="163" t="s">
        <v>4875</v>
      </c>
      <c r="E5537" s="164" t="n">
        <v>18000</v>
      </c>
      <c r="F5537" s="165" t="s">
        <v>9499</v>
      </c>
    </row>
    <row r="5538" customFormat="false" ht="15" hidden="false" customHeight="true" outlineLevel="0" collapsed="false">
      <c r="A5538" s="163" t="s">
        <v>3032</v>
      </c>
      <c r="B5538" s="163" t="s">
        <v>691</v>
      </c>
      <c r="C5538" s="163" t="s">
        <v>4866</v>
      </c>
      <c r="D5538" s="163" t="s">
        <v>4867</v>
      </c>
      <c r="E5538" s="164" t="n">
        <v>15000</v>
      </c>
      <c r="F5538" s="165" t="s">
        <v>9499</v>
      </c>
    </row>
    <row r="5539" customFormat="false" ht="15" hidden="false" customHeight="true" outlineLevel="0" collapsed="false">
      <c r="A5539" s="163" t="s">
        <v>3032</v>
      </c>
      <c r="B5539" s="163" t="s">
        <v>691</v>
      </c>
      <c r="C5539" s="163" t="s">
        <v>4084</v>
      </c>
      <c r="D5539" s="163" t="s">
        <v>4085</v>
      </c>
      <c r="E5539" s="164" t="n">
        <v>10000</v>
      </c>
      <c r="F5539" s="165" t="s">
        <v>9499</v>
      </c>
    </row>
    <row r="5540" customFormat="false" ht="15" hidden="false" customHeight="true" outlineLevel="0" collapsed="false">
      <c r="A5540" s="163" t="s">
        <v>3032</v>
      </c>
      <c r="B5540" s="163" t="s">
        <v>691</v>
      </c>
      <c r="C5540" s="163" t="s">
        <v>9500</v>
      </c>
      <c r="D5540" s="163" t="s">
        <v>9501</v>
      </c>
      <c r="E5540" s="164" t="n">
        <v>10000</v>
      </c>
      <c r="F5540" s="165" t="s">
        <v>3060</v>
      </c>
    </row>
    <row r="5541" customFormat="false" ht="15" hidden="false" customHeight="true" outlineLevel="0" collapsed="false">
      <c r="A5541" s="163" t="s">
        <v>3032</v>
      </c>
      <c r="B5541" s="163" t="s">
        <v>691</v>
      </c>
      <c r="C5541" s="163" t="s">
        <v>3835</v>
      </c>
      <c r="D5541" s="163" t="s">
        <v>3836</v>
      </c>
      <c r="E5541" s="164" t="n">
        <v>10000</v>
      </c>
      <c r="F5541" s="165" t="s">
        <v>9502</v>
      </c>
    </row>
    <row r="5542" customFormat="false" ht="15" hidden="false" customHeight="true" outlineLevel="0" collapsed="false">
      <c r="A5542" s="163" t="s">
        <v>3032</v>
      </c>
      <c r="B5542" s="163" t="s">
        <v>2027</v>
      </c>
      <c r="C5542" s="163" t="s">
        <v>1109</v>
      </c>
      <c r="D5542" s="163" t="s">
        <v>3755</v>
      </c>
      <c r="E5542" s="164" t="n">
        <v>40000</v>
      </c>
      <c r="F5542" s="165" t="s">
        <v>9503</v>
      </c>
    </row>
    <row r="5543" customFormat="false" ht="15" hidden="false" customHeight="true" outlineLevel="0" collapsed="false">
      <c r="A5543" s="163" t="s">
        <v>3032</v>
      </c>
      <c r="B5543" s="163" t="s">
        <v>2027</v>
      </c>
      <c r="C5543" s="163" t="s">
        <v>473</v>
      </c>
      <c r="D5543" s="163" t="s">
        <v>2764</v>
      </c>
      <c r="E5543" s="164" t="n">
        <v>25000</v>
      </c>
      <c r="F5543" s="165" t="s">
        <v>9504</v>
      </c>
    </row>
    <row r="5544" customFormat="false" ht="15" hidden="false" customHeight="true" outlineLevel="0" collapsed="false">
      <c r="A5544" s="163" t="s">
        <v>3032</v>
      </c>
      <c r="B5544" s="163" t="s">
        <v>2027</v>
      </c>
      <c r="C5544" s="163" t="s">
        <v>4757</v>
      </c>
      <c r="D5544" s="163" t="s">
        <v>4758</v>
      </c>
      <c r="E5544" s="164" t="n">
        <v>25000</v>
      </c>
      <c r="F5544" s="165" t="s">
        <v>9451</v>
      </c>
    </row>
    <row r="5545" customFormat="false" ht="15" hidden="false" customHeight="true" outlineLevel="0" collapsed="false">
      <c r="A5545" s="163" t="s">
        <v>3032</v>
      </c>
      <c r="B5545" s="163" t="s">
        <v>2037</v>
      </c>
      <c r="C5545" s="163" t="s">
        <v>4735</v>
      </c>
      <c r="D5545" s="163" t="s">
        <v>4736</v>
      </c>
      <c r="E5545" s="164" t="n">
        <v>50000</v>
      </c>
      <c r="F5545" s="165" t="s">
        <v>9451</v>
      </c>
    </row>
    <row r="5546" customFormat="false" ht="15" hidden="false" customHeight="true" outlineLevel="0" collapsed="false">
      <c r="A5546" s="163" t="s">
        <v>3032</v>
      </c>
      <c r="B5546" s="163" t="s">
        <v>2037</v>
      </c>
      <c r="C5546" s="163" t="s">
        <v>2695</v>
      </c>
      <c r="D5546" s="163" t="s">
        <v>2696</v>
      </c>
      <c r="E5546" s="164" t="n">
        <v>42000</v>
      </c>
      <c r="F5546" s="165" t="s">
        <v>9451</v>
      </c>
    </row>
    <row r="5547" customFormat="false" ht="15" hidden="false" customHeight="true" outlineLevel="0" collapsed="false">
      <c r="A5547" s="163" t="s">
        <v>3032</v>
      </c>
      <c r="B5547" s="163" t="s">
        <v>2037</v>
      </c>
      <c r="C5547" s="163" t="s">
        <v>1860</v>
      </c>
      <c r="D5547" s="163" t="s">
        <v>1861</v>
      </c>
      <c r="E5547" s="164" t="n">
        <v>23000</v>
      </c>
      <c r="F5547" s="165" t="s">
        <v>9451</v>
      </c>
    </row>
    <row r="5548" customFormat="false" ht="15" hidden="false" customHeight="true" outlineLevel="0" collapsed="false">
      <c r="A5548" s="163" t="s">
        <v>3032</v>
      </c>
      <c r="B5548" s="163" t="s">
        <v>2037</v>
      </c>
      <c r="C5548" s="163" t="s">
        <v>7287</v>
      </c>
      <c r="D5548" s="163" t="s">
        <v>7288</v>
      </c>
      <c r="E5548" s="164" t="n">
        <v>12000</v>
      </c>
      <c r="F5548" s="165" t="s">
        <v>9451</v>
      </c>
    </row>
    <row r="5549" customFormat="false" ht="15" hidden="false" customHeight="true" outlineLevel="0" collapsed="false">
      <c r="A5549" s="163" t="s">
        <v>3032</v>
      </c>
      <c r="B5549" s="163" t="s">
        <v>2037</v>
      </c>
      <c r="C5549" s="163" t="s">
        <v>5694</v>
      </c>
      <c r="D5549" s="163" t="s">
        <v>5695</v>
      </c>
      <c r="E5549" s="164" t="n">
        <v>6000</v>
      </c>
      <c r="F5549" s="165" t="s">
        <v>9451</v>
      </c>
    </row>
    <row r="5550" customFormat="false" ht="15" hidden="false" customHeight="true" outlineLevel="0" collapsed="false">
      <c r="A5550" s="163" t="s">
        <v>3032</v>
      </c>
      <c r="B5550" s="163" t="s">
        <v>894</v>
      </c>
      <c r="C5550" s="163" t="s">
        <v>893</v>
      </c>
      <c r="D5550" s="163" t="s">
        <v>1931</v>
      </c>
      <c r="E5550" s="164" t="n">
        <v>25000</v>
      </c>
      <c r="F5550" s="165" t="s">
        <v>9505</v>
      </c>
    </row>
    <row r="5551" customFormat="false" ht="15" hidden="false" customHeight="true" outlineLevel="0" collapsed="false">
      <c r="A5551" s="163" t="s">
        <v>3032</v>
      </c>
      <c r="B5551" s="163" t="s">
        <v>894</v>
      </c>
      <c r="C5551" s="163" t="s">
        <v>4784</v>
      </c>
      <c r="D5551" s="163" t="s">
        <v>4785</v>
      </c>
      <c r="E5551" s="164" t="n">
        <v>25000</v>
      </c>
      <c r="F5551" s="165" t="s">
        <v>9506</v>
      </c>
    </row>
    <row r="5552" customFormat="false" ht="15" hidden="false" customHeight="true" outlineLevel="0" collapsed="false">
      <c r="A5552" s="163" t="s">
        <v>3032</v>
      </c>
      <c r="B5552" s="163" t="s">
        <v>894</v>
      </c>
      <c r="C5552" s="163" t="s">
        <v>9507</v>
      </c>
      <c r="D5552" s="163" t="s">
        <v>9508</v>
      </c>
      <c r="E5552" s="164" t="n">
        <v>20000</v>
      </c>
      <c r="F5552" s="165" t="s">
        <v>9509</v>
      </c>
    </row>
    <row r="5553" customFormat="false" ht="15" hidden="false" customHeight="true" outlineLevel="0" collapsed="false">
      <c r="A5553" s="163" t="s">
        <v>3032</v>
      </c>
      <c r="B5553" s="163" t="s">
        <v>894</v>
      </c>
      <c r="C5553" s="163" t="s">
        <v>8932</v>
      </c>
      <c r="D5553" s="163" t="s">
        <v>8933</v>
      </c>
      <c r="E5553" s="164" t="n">
        <v>15000</v>
      </c>
      <c r="F5553" s="165" t="s">
        <v>9478</v>
      </c>
    </row>
    <row r="5554" customFormat="false" ht="15" hidden="false" customHeight="true" outlineLevel="0" collapsed="false">
      <c r="A5554" s="163" t="s">
        <v>3032</v>
      </c>
      <c r="B5554" s="163" t="s">
        <v>894</v>
      </c>
      <c r="C5554" s="163" t="s">
        <v>2167</v>
      </c>
      <c r="D5554" s="163" t="s">
        <v>1931</v>
      </c>
      <c r="E5554" s="164" t="n">
        <v>15000</v>
      </c>
      <c r="F5554" s="165" t="s">
        <v>3060</v>
      </c>
    </row>
    <row r="5555" customFormat="false" ht="15" hidden="false" customHeight="true" outlineLevel="0" collapsed="false">
      <c r="A5555" s="163" t="s">
        <v>3032</v>
      </c>
      <c r="B5555" s="163" t="s">
        <v>894</v>
      </c>
      <c r="C5555" s="163" t="s">
        <v>974</v>
      </c>
      <c r="D5555" s="163" t="s">
        <v>1931</v>
      </c>
      <c r="E5555" s="164" t="n">
        <v>14000</v>
      </c>
      <c r="F5555" s="165" t="s">
        <v>9510</v>
      </c>
    </row>
    <row r="5556" customFormat="false" ht="15" hidden="false" customHeight="true" outlineLevel="0" collapsed="false">
      <c r="A5556" s="163" t="s">
        <v>3032</v>
      </c>
      <c r="B5556" s="163" t="s">
        <v>894</v>
      </c>
      <c r="C5556" s="163" t="s">
        <v>6421</v>
      </c>
      <c r="D5556" s="163" t="s">
        <v>6422</v>
      </c>
      <c r="E5556" s="164" t="n">
        <v>11500</v>
      </c>
      <c r="F5556" s="165" t="s">
        <v>9511</v>
      </c>
    </row>
    <row r="5557" customFormat="false" ht="15" hidden="false" customHeight="true" outlineLevel="0" collapsed="false">
      <c r="A5557" s="163" t="s">
        <v>3032</v>
      </c>
      <c r="B5557" s="163" t="s">
        <v>894</v>
      </c>
      <c r="C5557" s="163" t="s">
        <v>9512</v>
      </c>
      <c r="D5557" s="163" t="s">
        <v>9513</v>
      </c>
      <c r="E5557" s="164" t="n">
        <v>10000</v>
      </c>
      <c r="F5557" s="165" t="s">
        <v>9451</v>
      </c>
    </row>
    <row r="5558" customFormat="false" ht="15" hidden="false" customHeight="true" outlineLevel="0" collapsed="false">
      <c r="A5558" s="163" t="s">
        <v>3032</v>
      </c>
      <c r="B5558" s="163" t="s">
        <v>894</v>
      </c>
      <c r="C5558" s="163" t="s">
        <v>893</v>
      </c>
      <c r="D5558" s="163" t="s">
        <v>1931</v>
      </c>
      <c r="E5558" s="164" t="n">
        <v>10000</v>
      </c>
      <c r="F5558" s="165" t="s">
        <v>9514</v>
      </c>
    </row>
    <row r="5559" customFormat="false" ht="15" hidden="false" customHeight="true" outlineLevel="0" collapsed="false">
      <c r="A5559" s="163" t="s">
        <v>3032</v>
      </c>
      <c r="B5559" s="163" t="s">
        <v>894</v>
      </c>
      <c r="C5559" s="163" t="s">
        <v>3895</v>
      </c>
      <c r="D5559" s="163" t="s">
        <v>3896</v>
      </c>
      <c r="E5559" s="164" t="n">
        <v>10000</v>
      </c>
      <c r="F5559" s="165" t="s">
        <v>9515</v>
      </c>
    </row>
    <row r="5560" customFormat="false" ht="15" hidden="false" customHeight="true" outlineLevel="0" collapsed="false">
      <c r="A5560" s="163" t="s">
        <v>3032</v>
      </c>
      <c r="B5560" s="163" t="s">
        <v>894</v>
      </c>
      <c r="C5560" s="163" t="s">
        <v>9516</v>
      </c>
      <c r="D5560" s="163" t="s">
        <v>9517</v>
      </c>
      <c r="E5560" s="164" t="n">
        <v>7000</v>
      </c>
      <c r="F5560" s="165" t="s">
        <v>9518</v>
      </c>
    </row>
    <row r="5561" customFormat="false" ht="15" hidden="false" customHeight="true" outlineLevel="0" collapsed="false">
      <c r="A5561" s="163" t="s">
        <v>3032</v>
      </c>
      <c r="B5561" s="163" t="s">
        <v>894</v>
      </c>
      <c r="C5561" s="163" t="s">
        <v>6943</v>
      </c>
      <c r="D5561" s="163" t="s">
        <v>6944</v>
      </c>
      <c r="E5561" s="164" t="n">
        <v>7000</v>
      </c>
      <c r="F5561" s="165" t="s">
        <v>9451</v>
      </c>
    </row>
    <row r="5562" customFormat="false" ht="15" hidden="false" customHeight="true" outlineLevel="0" collapsed="false">
      <c r="A5562" s="163" t="s">
        <v>3032</v>
      </c>
      <c r="B5562" s="163" t="s">
        <v>894</v>
      </c>
      <c r="C5562" s="163" t="s">
        <v>9519</v>
      </c>
      <c r="D5562" s="163" t="s">
        <v>9520</v>
      </c>
      <c r="E5562" s="164" t="n">
        <v>6000</v>
      </c>
      <c r="F5562" s="165" t="s">
        <v>9521</v>
      </c>
    </row>
    <row r="5563" customFormat="false" ht="15" hidden="false" customHeight="true" outlineLevel="0" collapsed="false">
      <c r="A5563" s="163" t="s">
        <v>3032</v>
      </c>
      <c r="B5563" s="163" t="s">
        <v>894</v>
      </c>
      <c r="C5563" s="163" t="s">
        <v>3805</v>
      </c>
      <c r="D5563" s="163" t="s">
        <v>3806</v>
      </c>
      <c r="E5563" s="164" t="n">
        <v>5000</v>
      </c>
      <c r="F5563" s="165" t="s">
        <v>9451</v>
      </c>
    </row>
    <row r="5564" customFormat="false" ht="15" hidden="false" customHeight="true" outlineLevel="0" collapsed="false">
      <c r="A5564" s="163" t="s">
        <v>3032</v>
      </c>
      <c r="B5564" s="163" t="s">
        <v>894</v>
      </c>
      <c r="C5564" s="163" t="s">
        <v>9444</v>
      </c>
      <c r="D5564" s="163" t="s">
        <v>9445</v>
      </c>
      <c r="E5564" s="164" t="n">
        <v>5000</v>
      </c>
      <c r="F5564" s="165" t="s">
        <v>9451</v>
      </c>
    </row>
    <row r="5565" customFormat="false" ht="15" hidden="false" customHeight="true" outlineLevel="0" collapsed="false">
      <c r="A5565" s="163" t="s">
        <v>3032</v>
      </c>
      <c r="B5565" s="163" t="s">
        <v>894</v>
      </c>
      <c r="C5565" s="163" t="s">
        <v>8336</v>
      </c>
      <c r="D5565" s="163" t="s">
        <v>8337</v>
      </c>
      <c r="E5565" s="164" t="n">
        <v>5000</v>
      </c>
      <c r="F5565" s="165" t="s">
        <v>9522</v>
      </c>
    </row>
    <row r="5566" customFormat="false" ht="15" hidden="false" customHeight="true" outlineLevel="0" collapsed="false">
      <c r="A5566" s="163" t="s">
        <v>3032</v>
      </c>
      <c r="B5566" s="163" t="s">
        <v>894</v>
      </c>
      <c r="C5566" s="163" t="s">
        <v>6788</v>
      </c>
      <c r="D5566" s="163" t="s">
        <v>6789</v>
      </c>
      <c r="E5566" s="164" t="n">
        <v>5000</v>
      </c>
      <c r="F5566" s="165" t="s">
        <v>9523</v>
      </c>
    </row>
    <row r="5567" customFormat="false" ht="15" hidden="false" customHeight="true" outlineLevel="0" collapsed="false">
      <c r="A5567" s="163" t="s">
        <v>3032</v>
      </c>
      <c r="B5567" s="163" t="s">
        <v>894</v>
      </c>
      <c r="C5567" s="163" t="s">
        <v>473</v>
      </c>
      <c r="D5567" s="163" t="s">
        <v>2764</v>
      </c>
      <c r="E5567" s="164" t="n">
        <v>5000</v>
      </c>
      <c r="F5567" s="165" t="s">
        <v>9524</v>
      </c>
    </row>
    <row r="5568" customFormat="false" ht="15" hidden="false" customHeight="true" outlineLevel="0" collapsed="false">
      <c r="A5568" s="163" t="s">
        <v>3032</v>
      </c>
      <c r="B5568" s="163" t="s">
        <v>894</v>
      </c>
      <c r="C5568" s="163" t="s">
        <v>9525</v>
      </c>
      <c r="D5568" s="163" t="s">
        <v>9526</v>
      </c>
      <c r="E5568" s="164" t="n">
        <v>5000</v>
      </c>
      <c r="F5568" s="165" t="s">
        <v>9527</v>
      </c>
    </row>
    <row r="5569" customFormat="false" ht="15" hidden="false" customHeight="true" outlineLevel="0" collapsed="false">
      <c r="A5569" s="163" t="s">
        <v>3032</v>
      </c>
      <c r="B5569" s="163" t="s">
        <v>894</v>
      </c>
      <c r="C5569" s="163" t="s">
        <v>9528</v>
      </c>
      <c r="D5569" s="163" t="s">
        <v>9529</v>
      </c>
      <c r="E5569" s="164" t="n">
        <v>5000</v>
      </c>
      <c r="F5569" s="165" t="s">
        <v>9530</v>
      </c>
    </row>
    <row r="5570" customFormat="false" ht="15" hidden="false" customHeight="true" outlineLevel="0" collapsed="false">
      <c r="A5570" s="163" t="s">
        <v>3032</v>
      </c>
      <c r="B5570" s="163" t="s">
        <v>894</v>
      </c>
      <c r="C5570" s="163" t="s">
        <v>9531</v>
      </c>
      <c r="D5570" s="163" t="s">
        <v>9532</v>
      </c>
      <c r="E5570" s="164" t="n">
        <v>5000</v>
      </c>
      <c r="F5570" s="165" t="s">
        <v>9533</v>
      </c>
    </row>
    <row r="5571" customFormat="false" ht="15" hidden="false" customHeight="true" outlineLevel="0" collapsed="false">
      <c r="A5571" s="163" t="s">
        <v>3032</v>
      </c>
      <c r="B5571" s="163" t="s">
        <v>894</v>
      </c>
      <c r="C5571" s="163" t="s">
        <v>5266</v>
      </c>
      <c r="D5571" s="163" t="s">
        <v>5267</v>
      </c>
      <c r="E5571" s="164" t="n">
        <v>5000</v>
      </c>
      <c r="F5571" s="165" t="s">
        <v>9534</v>
      </c>
    </row>
    <row r="5572" customFormat="false" ht="15" hidden="false" customHeight="true" outlineLevel="0" collapsed="false">
      <c r="A5572" s="163" t="s">
        <v>3032</v>
      </c>
      <c r="B5572" s="163" t="s">
        <v>894</v>
      </c>
      <c r="C5572" s="163" t="s">
        <v>7328</v>
      </c>
      <c r="D5572" s="163" t="s">
        <v>7329</v>
      </c>
      <c r="E5572" s="164" t="n">
        <v>5000</v>
      </c>
      <c r="F5572" s="165" t="s">
        <v>9535</v>
      </c>
    </row>
    <row r="5573" customFormat="false" ht="15" hidden="false" customHeight="true" outlineLevel="0" collapsed="false">
      <c r="A5573" s="163" t="s">
        <v>3032</v>
      </c>
      <c r="B5573" s="163" t="s">
        <v>894</v>
      </c>
      <c r="C5573" s="163" t="s">
        <v>3786</v>
      </c>
      <c r="D5573" s="163" t="s">
        <v>3787</v>
      </c>
      <c r="E5573" s="164" t="n">
        <v>5000</v>
      </c>
      <c r="F5573" s="165" t="s">
        <v>9536</v>
      </c>
    </row>
    <row r="5574" customFormat="false" ht="15" hidden="false" customHeight="true" outlineLevel="0" collapsed="false">
      <c r="A5574" s="163" t="s">
        <v>3032</v>
      </c>
      <c r="B5574" s="163" t="s">
        <v>894</v>
      </c>
      <c r="C5574" s="163" t="s">
        <v>3835</v>
      </c>
      <c r="D5574" s="163" t="s">
        <v>3836</v>
      </c>
      <c r="E5574" s="164" t="n">
        <v>5000</v>
      </c>
      <c r="F5574" s="165" t="s">
        <v>9505</v>
      </c>
    </row>
    <row r="5575" customFormat="false" ht="15" hidden="false" customHeight="true" outlineLevel="0" collapsed="false">
      <c r="A5575" s="163" t="s">
        <v>3032</v>
      </c>
      <c r="B5575" s="163" t="s">
        <v>894</v>
      </c>
      <c r="C5575" s="163" t="s">
        <v>9537</v>
      </c>
      <c r="D5575" s="163" t="s">
        <v>9538</v>
      </c>
      <c r="E5575" s="164" t="n">
        <v>5000</v>
      </c>
      <c r="F5575" s="165" t="s">
        <v>9539</v>
      </c>
    </row>
    <row r="5576" customFormat="false" ht="15" hidden="false" customHeight="true" outlineLevel="0" collapsed="false">
      <c r="A5576" s="163" t="s">
        <v>3032</v>
      </c>
      <c r="B5576" s="163" t="s">
        <v>894</v>
      </c>
      <c r="C5576" s="163" t="s">
        <v>9540</v>
      </c>
      <c r="D5576" s="163" t="s">
        <v>9541</v>
      </c>
      <c r="E5576" s="164" t="n">
        <v>5000</v>
      </c>
      <c r="F5576" s="165" t="s">
        <v>9542</v>
      </c>
    </row>
    <row r="5577" customFormat="false" ht="15" hidden="false" customHeight="true" outlineLevel="0" collapsed="false">
      <c r="A5577" s="163" t="s">
        <v>3032</v>
      </c>
      <c r="B5577" s="163" t="s">
        <v>894</v>
      </c>
      <c r="C5577" s="163" t="s">
        <v>6782</v>
      </c>
      <c r="D5577" s="163" t="s">
        <v>6783</v>
      </c>
      <c r="E5577" s="164" t="n">
        <v>5000</v>
      </c>
      <c r="F5577" s="165" t="s">
        <v>9451</v>
      </c>
    </row>
    <row r="5578" customFormat="false" ht="15" hidden="false" customHeight="true" outlineLevel="0" collapsed="false">
      <c r="A5578" s="163" t="s">
        <v>3032</v>
      </c>
      <c r="B5578" s="163" t="s">
        <v>894</v>
      </c>
      <c r="C5578" s="163" t="s">
        <v>3334</v>
      </c>
      <c r="D5578" s="163" t="s">
        <v>3335</v>
      </c>
      <c r="E5578" s="164" t="n">
        <v>5000</v>
      </c>
      <c r="F5578" s="165" t="s">
        <v>9543</v>
      </c>
    </row>
    <row r="5579" customFormat="false" ht="15" hidden="false" customHeight="true" outlineLevel="0" collapsed="false">
      <c r="A5579" s="163" t="s">
        <v>3032</v>
      </c>
      <c r="B5579" s="163" t="s">
        <v>894</v>
      </c>
      <c r="C5579" s="163" t="s">
        <v>9544</v>
      </c>
      <c r="D5579" s="163" t="s">
        <v>9545</v>
      </c>
      <c r="E5579" s="164" t="n">
        <v>5000</v>
      </c>
      <c r="F5579" s="165" t="s">
        <v>9546</v>
      </c>
    </row>
    <row r="5580" customFormat="false" ht="15" hidden="false" customHeight="true" outlineLevel="0" collapsed="false">
      <c r="A5580" s="163" t="s">
        <v>3032</v>
      </c>
      <c r="B5580" s="163" t="s">
        <v>894</v>
      </c>
      <c r="C5580" s="163" t="s">
        <v>9547</v>
      </c>
      <c r="D5580" s="163" t="s">
        <v>9548</v>
      </c>
      <c r="E5580" s="164" t="n">
        <v>5000</v>
      </c>
      <c r="F5580" s="165" t="s">
        <v>9549</v>
      </c>
    </row>
    <row r="5581" customFormat="false" ht="15" hidden="false" customHeight="true" outlineLevel="0" collapsed="false">
      <c r="A5581" s="163" t="s">
        <v>3032</v>
      </c>
      <c r="B5581" s="163" t="s">
        <v>894</v>
      </c>
      <c r="C5581" s="163" t="s">
        <v>4859</v>
      </c>
      <c r="D5581" s="163" t="s">
        <v>4860</v>
      </c>
      <c r="E5581" s="164" t="n">
        <v>5000</v>
      </c>
      <c r="F5581" s="165" t="s">
        <v>9451</v>
      </c>
    </row>
    <row r="5582" customFormat="false" ht="15" hidden="false" customHeight="true" outlineLevel="0" collapsed="false">
      <c r="A5582" s="163" t="s">
        <v>3032</v>
      </c>
      <c r="B5582" s="163" t="s">
        <v>894</v>
      </c>
      <c r="C5582" s="163" t="s">
        <v>893</v>
      </c>
      <c r="D5582" s="163" t="s">
        <v>1931</v>
      </c>
      <c r="E5582" s="164" t="n">
        <v>5000</v>
      </c>
      <c r="F5582" s="165" t="s">
        <v>9550</v>
      </c>
    </row>
    <row r="5583" customFormat="false" ht="15" hidden="false" customHeight="true" outlineLevel="0" collapsed="false">
      <c r="A5583" s="163" t="s">
        <v>3032</v>
      </c>
      <c r="B5583" s="163" t="s">
        <v>894</v>
      </c>
      <c r="C5583" s="163" t="s">
        <v>893</v>
      </c>
      <c r="D5583" s="163" t="s">
        <v>1931</v>
      </c>
      <c r="E5583" s="164" t="n">
        <v>5000</v>
      </c>
      <c r="F5583" s="165" t="s">
        <v>9551</v>
      </c>
    </row>
    <row r="5584" customFormat="false" ht="15" hidden="false" customHeight="true" outlineLevel="0" collapsed="false">
      <c r="A5584" s="163" t="s">
        <v>3032</v>
      </c>
      <c r="B5584" s="163" t="s">
        <v>894</v>
      </c>
      <c r="C5584" s="163" t="s">
        <v>893</v>
      </c>
      <c r="D5584" s="163" t="s">
        <v>1931</v>
      </c>
      <c r="E5584" s="164" t="n">
        <v>5000</v>
      </c>
      <c r="F5584" s="165" t="s">
        <v>9552</v>
      </c>
    </row>
    <row r="5585" customFormat="false" ht="15" hidden="false" customHeight="true" outlineLevel="0" collapsed="false">
      <c r="A5585" s="163" t="s">
        <v>3032</v>
      </c>
      <c r="B5585" s="163" t="s">
        <v>894</v>
      </c>
      <c r="C5585" s="163" t="s">
        <v>8587</v>
      </c>
      <c r="D5585" s="163" t="s">
        <v>8588</v>
      </c>
      <c r="E5585" s="164" t="n">
        <v>5000</v>
      </c>
      <c r="F5585" s="165" t="s">
        <v>9553</v>
      </c>
    </row>
    <row r="5586" customFormat="false" ht="15" hidden="false" customHeight="true" outlineLevel="0" collapsed="false">
      <c r="A5586" s="163" t="s">
        <v>3032</v>
      </c>
      <c r="B5586" s="163" t="s">
        <v>894</v>
      </c>
      <c r="C5586" s="163" t="s">
        <v>9554</v>
      </c>
      <c r="D5586" s="163" t="s">
        <v>9555</v>
      </c>
      <c r="E5586" s="164" t="n">
        <v>5000</v>
      </c>
      <c r="F5586" s="165" t="s">
        <v>9556</v>
      </c>
    </row>
    <row r="5587" customFormat="false" ht="15" hidden="false" customHeight="true" outlineLevel="0" collapsed="false">
      <c r="A5587" s="163" t="s">
        <v>3032</v>
      </c>
      <c r="B5587" s="163" t="s">
        <v>894</v>
      </c>
      <c r="C5587" s="163" t="s">
        <v>9557</v>
      </c>
      <c r="D5587" s="163" t="s">
        <v>9558</v>
      </c>
      <c r="E5587" s="164" t="n">
        <v>5000</v>
      </c>
      <c r="F5587" s="165" t="s">
        <v>3060</v>
      </c>
    </row>
    <row r="5588" customFormat="false" ht="15" hidden="false" customHeight="true" outlineLevel="0" collapsed="false">
      <c r="A5588" s="163" t="s">
        <v>3032</v>
      </c>
      <c r="B5588" s="163" t="s">
        <v>894</v>
      </c>
      <c r="C5588" s="163" t="s">
        <v>5017</v>
      </c>
      <c r="D5588" s="163" t="s">
        <v>5018</v>
      </c>
      <c r="E5588" s="164" t="n">
        <v>5000</v>
      </c>
      <c r="F5588" s="165" t="s">
        <v>9451</v>
      </c>
    </row>
    <row r="5589" customFormat="false" ht="15" hidden="false" customHeight="true" outlineLevel="0" collapsed="false">
      <c r="A5589" s="163" t="s">
        <v>3032</v>
      </c>
      <c r="B5589" s="163" t="s">
        <v>894</v>
      </c>
      <c r="C5589" s="163" t="s">
        <v>9559</v>
      </c>
      <c r="D5589" s="163" t="s">
        <v>9560</v>
      </c>
      <c r="E5589" s="164" t="n">
        <v>5000</v>
      </c>
      <c r="F5589" s="165" t="s">
        <v>9561</v>
      </c>
    </row>
    <row r="5590" customFormat="false" ht="15" hidden="false" customHeight="true" outlineLevel="0" collapsed="false">
      <c r="A5590" s="163" t="s">
        <v>3032</v>
      </c>
      <c r="B5590" s="163" t="s">
        <v>894</v>
      </c>
      <c r="C5590" s="163" t="s">
        <v>6978</v>
      </c>
      <c r="D5590" s="163" t="s">
        <v>6979</v>
      </c>
      <c r="E5590" s="164" t="n">
        <v>5000</v>
      </c>
      <c r="F5590" s="165" t="s">
        <v>9562</v>
      </c>
    </row>
    <row r="5591" customFormat="false" ht="15" hidden="false" customHeight="true" outlineLevel="0" collapsed="false">
      <c r="A5591" s="163" t="s">
        <v>3032</v>
      </c>
      <c r="B5591" s="163" t="s">
        <v>894</v>
      </c>
      <c r="C5591" s="163" t="s">
        <v>6718</v>
      </c>
      <c r="D5591" s="163" t="s">
        <v>6719</v>
      </c>
      <c r="E5591" s="164" t="n">
        <v>5000</v>
      </c>
      <c r="F5591" s="165" t="s">
        <v>9563</v>
      </c>
    </row>
    <row r="5592" customFormat="false" ht="15" hidden="false" customHeight="true" outlineLevel="0" collapsed="false">
      <c r="A5592" s="163" t="s">
        <v>3032</v>
      </c>
      <c r="B5592" s="163" t="s">
        <v>894</v>
      </c>
      <c r="C5592" s="163" t="s">
        <v>6968</v>
      </c>
      <c r="D5592" s="163" t="s">
        <v>6969</v>
      </c>
      <c r="E5592" s="164" t="n">
        <v>5000</v>
      </c>
      <c r="F5592" s="165" t="s">
        <v>9564</v>
      </c>
    </row>
    <row r="5593" customFormat="false" ht="15" hidden="false" customHeight="true" outlineLevel="0" collapsed="false">
      <c r="A5593" s="163" t="s">
        <v>3032</v>
      </c>
      <c r="B5593" s="163" t="s">
        <v>894</v>
      </c>
      <c r="C5593" s="163" t="s">
        <v>9565</v>
      </c>
      <c r="D5593" s="163" t="s">
        <v>9566</v>
      </c>
      <c r="E5593" s="164" t="n">
        <v>5000</v>
      </c>
      <c r="F5593" s="165" t="s">
        <v>9451</v>
      </c>
    </row>
    <row r="5594" customFormat="false" ht="15" hidden="false" customHeight="true" outlineLevel="0" collapsed="false">
      <c r="A5594" s="163" t="s">
        <v>3032</v>
      </c>
      <c r="B5594" s="163" t="s">
        <v>894</v>
      </c>
      <c r="C5594" s="163" t="s">
        <v>9567</v>
      </c>
      <c r="D5594" s="163" t="s">
        <v>9568</v>
      </c>
      <c r="E5594" s="164" t="n">
        <v>5000</v>
      </c>
      <c r="F5594" s="165" t="s">
        <v>9569</v>
      </c>
    </row>
    <row r="5595" customFormat="false" ht="15" hidden="false" customHeight="true" outlineLevel="0" collapsed="false">
      <c r="A5595" s="163" t="s">
        <v>3032</v>
      </c>
      <c r="B5595" s="163" t="s">
        <v>894</v>
      </c>
      <c r="C5595" s="163" t="s">
        <v>9570</v>
      </c>
      <c r="D5595" s="163" t="s">
        <v>9571</v>
      </c>
      <c r="E5595" s="164" t="n">
        <v>5000</v>
      </c>
      <c r="F5595" s="165" t="s">
        <v>9572</v>
      </c>
    </row>
    <row r="5596" customFormat="false" ht="15" hidden="false" customHeight="true" outlineLevel="0" collapsed="false">
      <c r="A5596" s="163" t="s">
        <v>3032</v>
      </c>
      <c r="B5596" s="163" t="s">
        <v>894</v>
      </c>
      <c r="C5596" s="163" t="s">
        <v>4914</v>
      </c>
      <c r="D5596" s="163" t="s">
        <v>4915</v>
      </c>
      <c r="E5596" s="164" t="n">
        <v>5000</v>
      </c>
      <c r="F5596" s="165" t="s">
        <v>9451</v>
      </c>
    </row>
    <row r="5597" customFormat="false" ht="15" hidden="false" customHeight="true" outlineLevel="0" collapsed="false">
      <c r="A5597" s="163" t="s">
        <v>3032</v>
      </c>
      <c r="B5597" s="163" t="s">
        <v>894</v>
      </c>
      <c r="C5597" s="163" t="s">
        <v>9573</v>
      </c>
      <c r="D5597" s="163" t="s">
        <v>9574</v>
      </c>
      <c r="E5597" s="164" t="n">
        <v>5000</v>
      </c>
      <c r="F5597" s="165" t="s">
        <v>9575</v>
      </c>
    </row>
    <row r="5598" customFormat="false" ht="15" hidden="false" customHeight="true" outlineLevel="0" collapsed="false">
      <c r="A5598" s="163" t="s">
        <v>3032</v>
      </c>
      <c r="B5598" s="163" t="s">
        <v>894</v>
      </c>
      <c r="C5598" s="163" t="s">
        <v>7028</v>
      </c>
      <c r="D5598" s="163" t="s">
        <v>7029</v>
      </c>
      <c r="E5598" s="164" t="n">
        <v>5000</v>
      </c>
      <c r="F5598" s="165" t="s">
        <v>9576</v>
      </c>
    </row>
    <row r="5599" customFormat="false" ht="15" hidden="false" customHeight="true" outlineLevel="0" collapsed="false">
      <c r="A5599" s="163" t="s">
        <v>3032</v>
      </c>
      <c r="B5599" s="163" t="s">
        <v>894</v>
      </c>
      <c r="C5599" s="163" t="s">
        <v>5071</v>
      </c>
      <c r="D5599" s="163" t="s">
        <v>5072</v>
      </c>
      <c r="E5599" s="164" t="n">
        <v>5000</v>
      </c>
      <c r="F5599" s="165" t="s">
        <v>9577</v>
      </c>
    </row>
    <row r="5600" customFormat="false" ht="15" hidden="false" customHeight="true" outlineLevel="0" collapsed="false">
      <c r="A5600" s="163" t="s">
        <v>3032</v>
      </c>
      <c r="B5600" s="163" t="s">
        <v>894</v>
      </c>
      <c r="C5600" s="163" t="s">
        <v>273</v>
      </c>
      <c r="D5600" s="163" t="s">
        <v>1891</v>
      </c>
      <c r="E5600" s="164" t="n">
        <v>5000</v>
      </c>
      <c r="F5600" s="165" t="s">
        <v>9578</v>
      </c>
    </row>
    <row r="5601" customFormat="false" ht="15" hidden="false" customHeight="true" outlineLevel="0" collapsed="false">
      <c r="A5601" s="163" t="s">
        <v>3032</v>
      </c>
      <c r="B5601" s="163" t="s">
        <v>894</v>
      </c>
      <c r="C5601" s="163" t="s">
        <v>8259</v>
      </c>
      <c r="D5601" s="163" t="s">
        <v>8260</v>
      </c>
      <c r="E5601" s="164" t="n">
        <v>5000</v>
      </c>
      <c r="F5601" s="165" t="s">
        <v>9579</v>
      </c>
    </row>
    <row r="5602" customFormat="false" ht="15" hidden="false" customHeight="true" outlineLevel="0" collapsed="false">
      <c r="A5602" s="163" t="s">
        <v>3032</v>
      </c>
      <c r="B5602" s="163" t="s">
        <v>894</v>
      </c>
      <c r="C5602" s="163" t="s">
        <v>9580</v>
      </c>
      <c r="D5602" s="163" t="s">
        <v>9581</v>
      </c>
      <c r="E5602" s="164" t="n">
        <v>5000</v>
      </c>
      <c r="F5602" s="165" t="s">
        <v>9582</v>
      </c>
    </row>
    <row r="5603" customFormat="false" ht="15" hidden="false" customHeight="true" outlineLevel="0" collapsed="false">
      <c r="A5603" s="163" t="s">
        <v>3032</v>
      </c>
      <c r="B5603" s="163" t="s">
        <v>894</v>
      </c>
      <c r="C5603" s="163" t="s">
        <v>6810</v>
      </c>
      <c r="D5603" s="163" t="s">
        <v>6811</v>
      </c>
      <c r="E5603" s="164" t="n">
        <v>5000</v>
      </c>
      <c r="F5603" s="165" t="s">
        <v>9583</v>
      </c>
    </row>
    <row r="5604" customFormat="false" ht="15" hidden="false" customHeight="true" outlineLevel="0" collapsed="false">
      <c r="A5604" s="163" t="s">
        <v>3032</v>
      </c>
      <c r="B5604" s="163" t="s">
        <v>894</v>
      </c>
      <c r="C5604" s="163" t="s">
        <v>9584</v>
      </c>
      <c r="D5604" s="163" t="s">
        <v>9585</v>
      </c>
      <c r="E5604" s="164" t="n">
        <v>5000</v>
      </c>
      <c r="F5604" s="165" t="s">
        <v>9586</v>
      </c>
    </row>
    <row r="5605" customFormat="false" ht="15" hidden="false" customHeight="true" outlineLevel="0" collapsed="false">
      <c r="A5605" s="163" t="s">
        <v>3032</v>
      </c>
      <c r="B5605" s="163" t="s">
        <v>894</v>
      </c>
      <c r="C5605" s="163" t="s">
        <v>4173</v>
      </c>
      <c r="D5605" s="163" t="s">
        <v>4174</v>
      </c>
      <c r="E5605" s="164" t="n">
        <v>5000</v>
      </c>
      <c r="F5605" s="165" t="s">
        <v>3060</v>
      </c>
    </row>
    <row r="5606" customFormat="false" ht="15" hidden="false" customHeight="true" outlineLevel="0" collapsed="false">
      <c r="A5606" s="163" t="s">
        <v>3032</v>
      </c>
      <c r="B5606" s="163" t="s">
        <v>894</v>
      </c>
      <c r="C5606" s="163" t="s">
        <v>3923</v>
      </c>
      <c r="D5606" s="163" t="s">
        <v>3924</v>
      </c>
      <c r="E5606" s="164" t="n">
        <v>5000</v>
      </c>
      <c r="F5606" s="165" t="s">
        <v>9587</v>
      </c>
    </row>
    <row r="5607" customFormat="false" ht="15" hidden="false" customHeight="true" outlineLevel="0" collapsed="false">
      <c r="A5607" s="163" t="s">
        <v>3032</v>
      </c>
      <c r="B5607" s="163" t="s">
        <v>894</v>
      </c>
      <c r="C5607" s="163" t="s">
        <v>7347</v>
      </c>
      <c r="D5607" s="163" t="s">
        <v>1931</v>
      </c>
      <c r="E5607" s="164" t="n">
        <v>4500</v>
      </c>
      <c r="F5607" s="165" t="s">
        <v>3060</v>
      </c>
    </row>
    <row r="5608" customFormat="false" ht="15" hidden="false" customHeight="true" outlineLevel="0" collapsed="false">
      <c r="A5608" s="163" t="s">
        <v>3032</v>
      </c>
      <c r="B5608" s="163" t="s">
        <v>882</v>
      </c>
      <c r="C5608" s="163" t="s">
        <v>2759</v>
      </c>
      <c r="D5608" s="163" t="s">
        <v>2760</v>
      </c>
      <c r="E5608" s="164" t="n">
        <v>160000</v>
      </c>
      <c r="F5608" s="165" t="s">
        <v>9588</v>
      </c>
    </row>
    <row r="5609" customFormat="false" ht="15" hidden="false" customHeight="true" outlineLevel="0" collapsed="false">
      <c r="A5609" s="163" t="s">
        <v>3032</v>
      </c>
      <c r="B5609" s="163" t="s">
        <v>882</v>
      </c>
      <c r="C5609" s="163" t="s">
        <v>640</v>
      </c>
      <c r="D5609" s="163" t="s">
        <v>1931</v>
      </c>
      <c r="E5609" s="164" t="n">
        <v>40000</v>
      </c>
      <c r="F5609" s="165" t="s">
        <v>9589</v>
      </c>
    </row>
    <row r="5610" customFormat="false" ht="15" hidden="false" customHeight="true" outlineLevel="0" collapsed="false">
      <c r="A5610" s="163" t="s">
        <v>3032</v>
      </c>
      <c r="B5610" s="163" t="s">
        <v>882</v>
      </c>
      <c r="C5610" s="163" t="s">
        <v>640</v>
      </c>
      <c r="D5610" s="163" t="s">
        <v>1931</v>
      </c>
      <c r="E5610" s="164" t="n">
        <v>22000</v>
      </c>
      <c r="F5610" s="165" t="s">
        <v>3060</v>
      </c>
    </row>
    <row r="5611" customFormat="false" ht="15" hidden="false" customHeight="true" outlineLevel="0" collapsed="false">
      <c r="A5611" s="163" t="s">
        <v>3032</v>
      </c>
      <c r="B5611" s="163" t="s">
        <v>882</v>
      </c>
      <c r="C5611" s="163" t="s">
        <v>3061</v>
      </c>
      <c r="D5611" s="163" t="s">
        <v>3062</v>
      </c>
      <c r="E5611" s="164" t="n">
        <v>20000</v>
      </c>
      <c r="F5611" s="165" t="s">
        <v>3060</v>
      </c>
    </row>
    <row r="5612" customFormat="false" ht="15" hidden="false" customHeight="true" outlineLevel="0" collapsed="false">
      <c r="A5612" s="163" t="s">
        <v>3032</v>
      </c>
      <c r="B5612" s="163" t="s">
        <v>882</v>
      </c>
      <c r="C5612" s="163" t="s">
        <v>197</v>
      </c>
      <c r="D5612" s="163" t="s">
        <v>1931</v>
      </c>
      <c r="E5612" s="164" t="n">
        <v>18000</v>
      </c>
      <c r="F5612" s="165" t="s">
        <v>9590</v>
      </c>
    </row>
    <row r="5613" customFormat="false" ht="15" hidden="false" customHeight="true" outlineLevel="0" collapsed="false">
      <c r="A5613" s="163" t="s">
        <v>3032</v>
      </c>
      <c r="B5613" s="163" t="s">
        <v>882</v>
      </c>
      <c r="C5613" s="163" t="s">
        <v>4757</v>
      </c>
      <c r="D5613" s="163" t="s">
        <v>4758</v>
      </c>
      <c r="E5613" s="164" t="n">
        <v>10000</v>
      </c>
      <c r="F5613" s="165" t="s">
        <v>9591</v>
      </c>
    </row>
    <row r="5614" customFormat="false" ht="15" hidden="false" customHeight="true" outlineLevel="0" collapsed="false">
      <c r="A5614" s="163" t="s">
        <v>3032</v>
      </c>
      <c r="B5614" s="163" t="s">
        <v>882</v>
      </c>
      <c r="C5614" s="163" t="s">
        <v>6401</v>
      </c>
      <c r="D5614" s="163" t="s">
        <v>6402</v>
      </c>
      <c r="E5614" s="164" t="n">
        <v>10000</v>
      </c>
      <c r="F5614" s="165" t="s">
        <v>3060</v>
      </c>
    </row>
    <row r="5615" customFormat="false" ht="15" hidden="false" customHeight="true" outlineLevel="0" collapsed="false">
      <c r="A5615" s="163" t="s">
        <v>3032</v>
      </c>
      <c r="B5615" s="163" t="s">
        <v>2328</v>
      </c>
      <c r="C5615" s="163" t="s">
        <v>6810</v>
      </c>
      <c r="D5615" s="163" t="s">
        <v>6811</v>
      </c>
      <c r="E5615" s="164" t="n">
        <v>35000</v>
      </c>
      <c r="F5615" s="165" t="s">
        <v>3060</v>
      </c>
    </row>
    <row r="5616" customFormat="false" ht="15" hidden="false" customHeight="true" outlineLevel="0" collapsed="false">
      <c r="A5616" s="163" t="s">
        <v>3032</v>
      </c>
      <c r="B5616" s="163" t="s">
        <v>2328</v>
      </c>
      <c r="C5616" s="163" t="s">
        <v>6835</v>
      </c>
      <c r="D5616" s="163" t="s">
        <v>6836</v>
      </c>
      <c r="E5616" s="164" t="n">
        <v>15000</v>
      </c>
      <c r="F5616" s="165" t="s">
        <v>6835</v>
      </c>
    </row>
    <row r="5617" customFormat="false" ht="15" hidden="false" customHeight="true" outlineLevel="0" collapsed="false">
      <c r="A5617" s="163" t="s">
        <v>3032</v>
      </c>
      <c r="B5617" s="163" t="s">
        <v>2342</v>
      </c>
      <c r="C5617" s="163" t="s">
        <v>6810</v>
      </c>
      <c r="D5617" s="163" t="s">
        <v>6811</v>
      </c>
      <c r="E5617" s="164" t="n">
        <v>30000</v>
      </c>
      <c r="F5617" s="165" t="s">
        <v>3060</v>
      </c>
    </row>
    <row r="5618" customFormat="false" ht="15" hidden="false" customHeight="true" outlineLevel="0" collapsed="false">
      <c r="A5618" s="163" t="s">
        <v>3032</v>
      </c>
      <c r="B5618" s="163" t="s">
        <v>2342</v>
      </c>
      <c r="C5618" s="163" t="s">
        <v>6671</v>
      </c>
      <c r="D5618" s="163" t="s">
        <v>6672</v>
      </c>
      <c r="E5618" s="164" t="n">
        <v>20000</v>
      </c>
      <c r="F5618" s="165" t="s">
        <v>3060</v>
      </c>
    </row>
    <row r="5619" customFormat="false" ht="15" hidden="false" customHeight="true" outlineLevel="0" collapsed="false">
      <c r="A5619" s="163" t="s">
        <v>3032</v>
      </c>
      <c r="B5619" s="163" t="s">
        <v>2342</v>
      </c>
      <c r="C5619" s="163" t="s">
        <v>3063</v>
      </c>
      <c r="D5619" s="163" t="s">
        <v>3064</v>
      </c>
      <c r="E5619" s="164" t="n">
        <v>20000</v>
      </c>
      <c r="F5619" s="165" t="s">
        <v>3060</v>
      </c>
    </row>
    <row r="5620" customFormat="false" ht="15" hidden="false" customHeight="true" outlineLevel="0" collapsed="false">
      <c r="A5620" s="163" t="s">
        <v>3032</v>
      </c>
      <c r="B5620" s="163" t="s">
        <v>2342</v>
      </c>
      <c r="C5620" s="163" t="s">
        <v>5343</v>
      </c>
      <c r="D5620" s="163" t="s">
        <v>5344</v>
      </c>
      <c r="E5620" s="164" t="n">
        <v>10000</v>
      </c>
      <c r="F5620" s="165" t="s">
        <v>3060</v>
      </c>
    </row>
    <row r="5621" customFormat="false" ht="15" hidden="false" customHeight="true" outlineLevel="0" collapsed="false">
      <c r="A5621" s="163" t="s">
        <v>3032</v>
      </c>
      <c r="B5621" s="163" t="s">
        <v>2342</v>
      </c>
      <c r="C5621" s="163" t="s">
        <v>197</v>
      </c>
      <c r="D5621" s="163" t="s">
        <v>1931</v>
      </c>
      <c r="E5621" s="164" t="n">
        <v>10000</v>
      </c>
      <c r="F5621" s="165" t="s">
        <v>9451</v>
      </c>
    </row>
    <row r="5622" customFormat="false" ht="15" hidden="false" customHeight="true" outlineLevel="0" collapsed="false">
      <c r="A5622" s="163" t="s">
        <v>3032</v>
      </c>
      <c r="B5622" s="163" t="s">
        <v>1743</v>
      </c>
      <c r="C5622" s="163" t="s">
        <v>3567</v>
      </c>
      <c r="D5622" s="163" t="s">
        <v>3568</v>
      </c>
      <c r="E5622" s="164" t="n">
        <v>30000</v>
      </c>
      <c r="F5622" s="165" t="s">
        <v>3060</v>
      </c>
    </row>
    <row r="5623" customFormat="false" ht="15" hidden="false" customHeight="true" outlineLevel="0" collapsed="false">
      <c r="A5623" s="163" t="s">
        <v>3032</v>
      </c>
      <c r="B5623" s="163" t="s">
        <v>1743</v>
      </c>
      <c r="C5623" s="163" t="s">
        <v>3210</v>
      </c>
      <c r="D5623" s="163" t="s">
        <v>3211</v>
      </c>
      <c r="E5623" s="164" t="n">
        <v>25000</v>
      </c>
      <c r="F5623" s="165" t="s">
        <v>9592</v>
      </c>
    </row>
    <row r="5624" customFormat="false" ht="15" hidden="false" customHeight="true" outlineLevel="0" collapsed="false">
      <c r="A5624" s="163" t="s">
        <v>3032</v>
      </c>
      <c r="B5624" s="163" t="s">
        <v>1743</v>
      </c>
      <c r="C5624" s="163" t="s">
        <v>3967</v>
      </c>
      <c r="D5624" s="163" t="s">
        <v>3968</v>
      </c>
      <c r="E5624" s="164" t="n">
        <v>18000</v>
      </c>
      <c r="F5624" s="165" t="s">
        <v>9593</v>
      </c>
    </row>
    <row r="5625" customFormat="false" ht="15" hidden="false" customHeight="true" outlineLevel="0" collapsed="false">
      <c r="A5625" s="163" t="s">
        <v>3032</v>
      </c>
      <c r="B5625" s="163" t="s">
        <v>1743</v>
      </c>
      <c r="C5625" s="163" t="s">
        <v>3210</v>
      </c>
      <c r="D5625" s="163" t="s">
        <v>3211</v>
      </c>
      <c r="E5625" s="164" t="n">
        <v>15000</v>
      </c>
      <c r="F5625" s="165" t="s">
        <v>9458</v>
      </c>
    </row>
    <row r="5626" customFormat="false" ht="15" hidden="false" customHeight="true" outlineLevel="0" collapsed="false">
      <c r="A5626" s="163" t="s">
        <v>3032</v>
      </c>
      <c r="B5626" s="163" t="s">
        <v>1743</v>
      </c>
      <c r="C5626" s="163" t="s">
        <v>3567</v>
      </c>
      <c r="D5626" s="163" t="s">
        <v>3568</v>
      </c>
      <c r="E5626" s="164" t="n">
        <v>15000</v>
      </c>
      <c r="F5626" s="165" t="s">
        <v>9594</v>
      </c>
    </row>
    <row r="5627" customFormat="false" ht="15" hidden="false" customHeight="true" outlineLevel="0" collapsed="false">
      <c r="A5627" s="163" t="s">
        <v>3032</v>
      </c>
      <c r="B5627" s="163" t="s">
        <v>1743</v>
      </c>
      <c r="C5627" s="163" t="s">
        <v>7316</v>
      </c>
      <c r="D5627" s="163" t="s">
        <v>7317</v>
      </c>
      <c r="E5627" s="164" t="n">
        <v>11000</v>
      </c>
      <c r="F5627" s="165" t="s">
        <v>9595</v>
      </c>
    </row>
    <row r="5628" customFormat="false" ht="15" hidden="false" customHeight="true" outlineLevel="0" collapsed="false">
      <c r="A5628" s="163" t="s">
        <v>3032</v>
      </c>
      <c r="B5628" s="163" t="s">
        <v>1743</v>
      </c>
      <c r="C5628" s="163" t="s">
        <v>3762</v>
      </c>
      <c r="D5628" s="163" t="s">
        <v>3763</v>
      </c>
      <c r="E5628" s="164" t="n">
        <v>10000</v>
      </c>
      <c r="F5628" s="165" t="s">
        <v>9451</v>
      </c>
    </row>
    <row r="5629" customFormat="false" ht="15" hidden="false" customHeight="true" outlineLevel="0" collapsed="false">
      <c r="A5629" s="163" t="s">
        <v>3032</v>
      </c>
      <c r="B5629" s="163" t="s">
        <v>1743</v>
      </c>
      <c r="C5629" s="163" t="s">
        <v>9596</v>
      </c>
      <c r="D5629" s="163" t="s">
        <v>9597</v>
      </c>
      <c r="E5629" s="164" t="n">
        <v>10000</v>
      </c>
      <c r="F5629" s="165" t="s">
        <v>9451</v>
      </c>
    </row>
    <row r="5630" customFormat="false" ht="15" hidden="false" customHeight="true" outlineLevel="0" collapsed="false">
      <c r="A5630" s="163" t="s">
        <v>3032</v>
      </c>
      <c r="B5630" s="163" t="s">
        <v>1743</v>
      </c>
      <c r="C5630" s="163" t="s">
        <v>7203</v>
      </c>
      <c r="D5630" s="163" t="s">
        <v>7204</v>
      </c>
      <c r="E5630" s="164" t="n">
        <v>10000</v>
      </c>
      <c r="F5630" s="165" t="s">
        <v>9598</v>
      </c>
    </row>
    <row r="5631" customFormat="false" ht="15" hidden="false" customHeight="true" outlineLevel="0" collapsed="false">
      <c r="A5631" s="163" t="s">
        <v>3032</v>
      </c>
      <c r="B5631" s="163" t="s">
        <v>1743</v>
      </c>
      <c r="C5631" s="163" t="s">
        <v>3354</v>
      </c>
      <c r="D5631" s="163" t="s">
        <v>1931</v>
      </c>
      <c r="E5631" s="164" t="n">
        <v>6000</v>
      </c>
      <c r="F5631" s="165" t="s">
        <v>3060</v>
      </c>
    </row>
    <row r="5632" customFormat="false" ht="15" hidden="false" customHeight="true" outlineLevel="0" collapsed="false">
      <c r="A5632" s="163" t="s">
        <v>3032</v>
      </c>
      <c r="B5632" s="163" t="s">
        <v>928</v>
      </c>
      <c r="C5632" s="163" t="s">
        <v>473</v>
      </c>
      <c r="D5632" s="163" t="s">
        <v>2764</v>
      </c>
      <c r="E5632" s="164" t="n">
        <v>25000</v>
      </c>
      <c r="F5632" s="165" t="s">
        <v>9599</v>
      </c>
    </row>
    <row r="5633" customFormat="false" ht="15" hidden="false" customHeight="true" outlineLevel="0" collapsed="false">
      <c r="A5633" s="163" t="s">
        <v>3032</v>
      </c>
      <c r="B5633" s="163" t="s">
        <v>928</v>
      </c>
      <c r="C5633" s="163" t="s">
        <v>6415</v>
      </c>
      <c r="D5633" s="163" t="s">
        <v>6416</v>
      </c>
      <c r="E5633" s="164" t="n">
        <v>20000</v>
      </c>
      <c r="F5633" s="165" t="s">
        <v>9451</v>
      </c>
    </row>
    <row r="5634" customFormat="false" ht="15" hidden="false" customHeight="true" outlineLevel="0" collapsed="false">
      <c r="A5634" s="163" t="s">
        <v>3032</v>
      </c>
      <c r="B5634" s="163" t="s">
        <v>928</v>
      </c>
      <c r="C5634" s="163" t="s">
        <v>4191</v>
      </c>
      <c r="D5634" s="163" t="s">
        <v>4192</v>
      </c>
      <c r="E5634" s="164" t="n">
        <v>15000</v>
      </c>
      <c r="F5634" s="165" t="s">
        <v>9600</v>
      </c>
    </row>
    <row r="5635" customFormat="false" ht="15" hidden="false" customHeight="true" outlineLevel="0" collapsed="false">
      <c r="A5635" s="163" t="s">
        <v>3032</v>
      </c>
      <c r="B5635" s="163" t="s">
        <v>928</v>
      </c>
      <c r="C5635" s="163" t="s">
        <v>4191</v>
      </c>
      <c r="D5635" s="163" t="s">
        <v>4192</v>
      </c>
      <c r="E5635" s="164" t="n">
        <v>10000</v>
      </c>
      <c r="F5635" s="165" t="s">
        <v>9601</v>
      </c>
    </row>
    <row r="5636" customFormat="false" ht="15" hidden="false" customHeight="true" outlineLevel="0" collapsed="false">
      <c r="A5636" s="163" t="s">
        <v>3032</v>
      </c>
      <c r="B5636" s="163" t="s">
        <v>928</v>
      </c>
      <c r="C5636" s="163" t="s">
        <v>3145</v>
      </c>
      <c r="D5636" s="163" t="s">
        <v>3146</v>
      </c>
      <c r="E5636" s="164" t="n">
        <v>10000</v>
      </c>
      <c r="F5636" s="165" t="s">
        <v>9602</v>
      </c>
    </row>
    <row r="5637" customFormat="false" ht="15" hidden="false" customHeight="true" outlineLevel="0" collapsed="false">
      <c r="A5637" s="163" t="s">
        <v>3032</v>
      </c>
      <c r="B5637" s="163" t="s">
        <v>928</v>
      </c>
      <c r="C5637" s="163" t="s">
        <v>7748</v>
      </c>
      <c r="D5637" s="163" t="s">
        <v>7749</v>
      </c>
      <c r="E5637" s="164" t="n">
        <v>5000</v>
      </c>
      <c r="F5637" s="165" t="s">
        <v>9603</v>
      </c>
    </row>
    <row r="5638" customFormat="false" ht="15" hidden="false" customHeight="true" outlineLevel="0" collapsed="false">
      <c r="A5638" s="163" t="s">
        <v>3032</v>
      </c>
      <c r="B5638" s="163" t="s">
        <v>928</v>
      </c>
      <c r="C5638" s="163" t="s">
        <v>3202</v>
      </c>
      <c r="D5638" s="163" t="s">
        <v>3203</v>
      </c>
      <c r="E5638" s="164" t="n">
        <v>5000</v>
      </c>
      <c r="F5638" s="165" t="s">
        <v>9604</v>
      </c>
    </row>
    <row r="5639" customFormat="false" ht="15" hidden="false" customHeight="true" outlineLevel="0" collapsed="false">
      <c r="A5639" s="163" t="s">
        <v>3032</v>
      </c>
      <c r="B5639" s="163" t="s">
        <v>928</v>
      </c>
      <c r="C5639" s="163" t="s">
        <v>6879</v>
      </c>
      <c r="D5639" s="163" t="s">
        <v>6880</v>
      </c>
      <c r="E5639" s="164" t="n">
        <v>5000</v>
      </c>
      <c r="F5639" s="165" t="s">
        <v>9451</v>
      </c>
    </row>
    <row r="5640" customFormat="false" ht="15" hidden="false" customHeight="true" outlineLevel="0" collapsed="false">
      <c r="A5640" s="163" t="s">
        <v>3032</v>
      </c>
      <c r="B5640" s="163" t="s">
        <v>928</v>
      </c>
      <c r="C5640" s="163" t="s">
        <v>1159</v>
      </c>
      <c r="D5640" s="163" t="s">
        <v>1936</v>
      </c>
      <c r="E5640" s="164" t="n">
        <v>5000</v>
      </c>
      <c r="F5640" s="165" t="s">
        <v>9605</v>
      </c>
    </row>
    <row r="5641" customFormat="false" ht="15" hidden="false" customHeight="true" outlineLevel="0" collapsed="false">
      <c r="A5641" s="163" t="s">
        <v>3032</v>
      </c>
      <c r="B5641" s="163" t="s">
        <v>928</v>
      </c>
      <c r="C5641" s="163" t="s">
        <v>1159</v>
      </c>
      <c r="D5641" s="163" t="s">
        <v>1936</v>
      </c>
      <c r="E5641" s="164" t="n">
        <v>5000</v>
      </c>
      <c r="F5641" s="165" t="s">
        <v>9606</v>
      </c>
    </row>
    <row r="5642" customFormat="false" ht="15" hidden="false" customHeight="true" outlineLevel="0" collapsed="false">
      <c r="A5642" s="163" t="s">
        <v>3032</v>
      </c>
      <c r="B5642" s="163" t="s">
        <v>928</v>
      </c>
      <c r="C5642" s="163" t="s">
        <v>9607</v>
      </c>
      <c r="D5642" s="163" t="s">
        <v>9608</v>
      </c>
      <c r="E5642" s="164" t="n">
        <v>5000</v>
      </c>
      <c r="F5642" s="165" t="s">
        <v>9609</v>
      </c>
    </row>
    <row r="5643" customFormat="false" ht="15" hidden="false" customHeight="true" outlineLevel="0" collapsed="false">
      <c r="A5643" s="163" t="s">
        <v>3032</v>
      </c>
      <c r="B5643" s="163" t="s">
        <v>928</v>
      </c>
      <c r="C5643" s="163" t="s">
        <v>9610</v>
      </c>
      <c r="D5643" s="163" t="s">
        <v>9611</v>
      </c>
      <c r="E5643" s="164" t="n">
        <v>5000</v>
      </c>
      <c r="F5643" s="165" t="s">
        <v>9612</v>
      </c>
    </row>
    <row r="5644" customFormat="false" ht="15" hidden="false" customHeight="true" outlineLevel="0" collapsed="false">
      <c r="A5644" s="163" t="s">
        <v>3032</v>
      </c>
      <c r="B5644" s="163" t="s">
        <v>928</v>
      </c>
      <c r="C5644" s="163" t="s">
        <v>4781</v>
      </c>
      <c r="D5644" s="163" t="s">
        <v>4782</v>
      </c>
      <c r="E5644" s="164" t="n">
        <v>5000</v>
      </c>
      <c r="F5644" s="165" t="s">
        <v>9451</v>
      </c>
    </row>
    <row r="5645" customFormat="false" ht="15" hidden="false" customHeight="true" outlineLevel="0" collapsed="false">
      <c r="A5645" s="163" t="s">
        <v>3032</v>
      </c>
      <c r="B5645" s="163" t="s">
        <v>928</v>
      </c>
      <c r="C5645" s="163" t="s">
        <v>9613</v>
      </c>
      <c r="D5645" s="163" t="s">
        <v>9614</v>
      </c>
      <c r="E5645" s="164" t="n">
        <v>5000</v>
      </c>
      <c r="F5645" s="165" t="s">
        <v>9615</v>
      </c>
    </row>
    <row r="5646" customFormat="false" ht="15" hidden="false" customHeight="true" outlineLevel="0" collapsed="false">
      <c r="A5646" s="163" t="s">
        <v>3032</v>
      </c>
      <c r="B5646" s="163" t="s">
        <v>928</v>
      </c>
      <c r="C5646" s="163" t="s">
        <v>4427</v>
      </c>
      <c r="D5646" s="163" t="s">
        <v>4428</v>
      </c>
      <c r="E5646" s="164" t="n">
        <v>5000</v>
      </c>
      <c r="F5646" s="165" t="s">
        <v>9616</v>
      </c>
    </row>
    <row r="5647" customFormat="false" ht="15" hidden="false" customHeight="true" outlineLevel="0" collapsed="false">
      <c r="A5647" s="163" t="s">
        <v>3032</v>
      </c>
      <c r="B5647" s="163" t="s">
        <v>928</v>
      </c>
      <c r="C5647" s="163" t="s">
        <v>7439</v>
      </c>
      <c r="D5647" s="163" t="s">
        <v>7440</v>
      </c>
      <c r="E5647" s="164" t="n">
        <v>5000</v>
      </c>
      <c r="F5647" s="165" t="s">
        <v>7441</v>
      </c>
    </row>
    <row r="5648" customFormat="false" ht="15" hidden="false" customHeight="true" outlineLevel="0" collapsed="false">
      <c r="A5648" s="163" t="s">
        <v>3032</v>
      </c>
      <c r="B5648" s="163" t="s">
        <v>928</v>
      </c>
      <c r="C5648" s="163" t="s">
        <v>9617</v>
      </c>
      <c r="D5648" s="163" t="s">
        <v>9618</v>
      </c>
      <c r="E5648" s="164" t="n">
        <v>5000</v>
      </c>
      <c r="F5648" s="165" t="s">
        <v>9451</v>
      </c>
    </row>
    <row r="5649" customFormat="false" ht="15" hidden="false" customHeight="true" outlineLevel="0" collapsed="false">
      <c r="A5649" s="163" t="s">
        <v>3032</v>
      </c>
      <c r="B5649" s="163" t="s">
        <v>928</v>
      </c>
      <c r="C5649" s="163" t="s">
        <v>3859</v>
      </c>
      <c r="D5649" s="163" t="s">
        <v>3860</v>
      </c>
      <c r="E5649" s="164" t="n">
        <v>5000</v>
      </c>
      <c r="F5649" s="165" t="s">
        <v>9619</v>
      </c>
    </row>
    <row r="5650" customFormat="false" ht="15" hidden="false" customHeight="true" outlineLevel="0" collapsed="false">
      <c r="A5650" s="163" t="s">
        <v>3032</v>
      </c>
      <c r="B5650" s="163" t="s">
        <v>928</v>
      </c>
      <c r="C5650" s="163" t="s">
        <v>3980</v>
      </c>
      <c r="D5650" s="163" t="s">
        <v>3981</v>
      </c>
      <c r="E5650" s="164" t="n">
        <v>5000</v>
      </c>
      <c r="F5650" s="165" t="s">
        <v>9620</v>
      </c>
    </row>
    <row r="5651" customFormat="false" ht="15" hidden="false" customHeight="true" outlineLevel="0" collapsed="false">
      <c r="A5651" s="163" t="s">
        <v>3015</v>
      </c>
      <c r="B5651" s="163" t="s">
        <v>926</v>
      </c>
      <c r="C5651" s="163" t="s">
        <v>9621</v>
      </c>
      <c r="D5651" s="163" t="s">
        <v>9622</v>
      </c>
      <c r="E5651" s="164" t="n">
        <v>35000</v>
      </c>
      <c r="F5651" s="165" t="s">
        <v>9623</v>
      </c>
    </row>
    <row r="5652" customFormat="false" ht="15" hidden="false" customHeight="true" outlineLevel="0" collapsed="false">
      <c r="A5652" s="163" t="s">
        <v>3015</v>
      </c>
      <c r="B5652" s="163" t="s">
        <v>926</v>
      </c>
      <c r="C5652" s="163" t="s">
        <v>395</v>
      </c>
      <c r="D5652" s="163" t="s">
        <v>2196</v>
      </c>
      <c r="E5652" s="164" t="n">
        <v>35000</v>
      </c>
      <c r="F5652" s="165" t="s">
        <v>9624</v>
      </c>
    </row>
    <row r="5653" customFormat="false" ht="15" hidden="false" customHeight="true" outlineLevel="0" collapsed="false">
      <c r="A5653" s="163" t="s">
        <v>3015</v>
      </c>
      <c r="B5653" s="163" t="s">
        <v>926</v>
      </c>
      <c r="C5653" s="163" t="s">
        <v>3406</v>
      </c>
      <c r="D5653" s="163" t="s">
        <v>3407</v>
      </c>
      <c r="E5653" s="164" t="n">
        <v>20000</v>
      </c>
      <c r="F5653" s="165" t="s">
        <v>9625</v>
      </c>
    </row>
    <row r="5654" customFormat="false" ht="15" hidden="false" customHeight="true" outlineLevel="0" collapsed="false">
      <c r="A5654" s="163" t="s">
        <v>3015</v>
      </c>
      <c r="B5654" s="163" t="s">
        <v>926</v>
      </c>
      <c r="C5654" s="163" t="s">
        <v>3334</v>
      </c>
      <c r="D5654" s="163" t="s">
        <v>3335</v>
      </c>
      <c r="E5654" s="164" t="n">
        <v>10000</v>
      </c>
      <c r="F5654" s="165" t="s">
        <v>9626</v>
      </c>
    </row>
    <row r="5655" customFormat="false" ht="15" hidden="false" customHeight="true" outlineLevel="0" collapsed="false">
      <c r="A5655" s="163" t="s">
        <v>3015</v>
      </c>
      <c r="B5655" s="163" t="s">
        <v>957</v>
      </c>
      <c r="C5655" s="163" t="s">
        <v>3478</v>
      </c>
      <c r="D5655" s="163" t="s">
        <v>3479</v>
      </c>
      <c r="E5655" s="164" t="n">
        <v>30000</v>
      </c>
      <c r="F5655" s="165" t="s">
        <v>9627</v>
      </c>
    </row>
    <row r="5656" customFormat="false" ht="15" hidden="false" customHeight="true" outlineLevel="0" collapsed="false">
      <c r="A5656" s="163" t="s">
        <v>3015</v>
      </c>
      <c r="B5656" s="163" t="s">
        <v>957</v>
      </c>
      <c r="C5656" s="163" t="s">
        <v>3478</v>
      </c>
      <c r="D5656" s="163" t="s">
        <v>3479</v>
      </c>
      <c r="E5656" s="164" t="n">
        <v>30000</v>
      </c>
      <c r="F5656" s="165" t="s">
        <v>9628</v>
      </c>
    </row>
    <row r="5657" customFormat="false" ht="15" hidden="false" customHeight="true" outlineLevel="0" collapsed="false">
      <c r="A5657" s="163" t="s">
        <v>3015</v>
      </c>
      <c r="B5657" s="163" t="s">
        <v>957</v>
      </c>
      <c r="C5657" s="163" t="s">
        <v>3478</v>
      </c>
      <c r="D5657" s="163" t="s">
        <v>3479</v>
      </c>
      <c r="E5657" s="164" t="n">
        <v>25000</v>
      </c>
      <c r="F5657" s="165" t="s">
        <v>9629</v>
      </c>
    </row>
    <row r="5658" customFormat="false" ht="15" hidden="false" customHeight="true" outlineLevel="0" collapsed="false">
      <c r="A5658" s="163" t="s">
        <v>3015</v>
      </c>
      <c r="B5658" s="163" t="s">
        <v>957</v>
      </c>
      <c r="C5658" s="163" t="s">
        <v>3478</v>
      </c>
      <c r="D5658" s="163" t="s">
        <v>3479</v>
      </c>
      <c r="E5658" s="164" t="n">
        <v>25000</v>
      </c>
      <c r="F5658" s="165" t="s">
        <v>9630</v>
      </c>
    </row>
    <row r="5659" customFormat="false" ht="15" hidden="false" customHeight="true" outlineLevel="0" collapsed="false">
      <c r="A5659" s="163" t="s">
        <v>3015</v>
      </c>
      <c r="B5659" s="163" t="s">
        <v>945</v>
      </c>
      <c r="C5659" s="163" t="s">
        <v>4714</v>
      </c>
      <c r="D5659" s="163" t="s">
        <v>4715</v>
      </c>
      <c r="E5659" s="164" t="n">
        <v>20000</v>
      </c>
      <c r="F5659" s="165" t="s">
        <v>9631</v>
      </c>
    </row>
    <row r="5660" customFormat="false" ht="15" hidden="false" customHeight="true" outlineLevel="0" collapsed="false">
      <c r="A5660" s="163" t="s">
        <v>3015</v>
      </c>
      <c r="B5660" s="163" t="s">
        <v>945</v>
      </c>
      <c r="C5660" s="163" t="s">
        <v>3436</v>
      </c>
      <c r="D5660" s="163" t="s">
        <v>3437</v>
      </c>
      <c r="E5660" s="164" t="n">
        <v>15000</v>
      </c>
      <c r="F5660" s="165" t="s">
        <v>9632</v>
      </c>
    </row>
    <row r="5661" customFormat="false" ht="15" hidden="false" customHeight="true" outlineLevel="0" collapsed="false">
      <c r="A5661" s="163" t="s">
        <v>3015</v>
      </c>
      <c r="B5661" s="163" t="s">
        <v>945</v>
      </c>
      <c r="C5661" s="163" t="s">
        <v>3980</v>
      </c>
      <c r="D5661" s="163" t="s">
        <v>3981</v>
      </c>
      <c r="E5661" s="164" t="n">
        <v>15000</v>
      </c>
      <c r="F5661" s="165" t="s">
        <v>9633</v>
      </c>
    </row>
    <row r="5662" customFormat="false" ht="15" hidden="false" customHeight="true" outlineLevel="0" collapsed="false">
      <c r="A5662" s="163" t="s">
        <v>3015</v>
      </c>
      <c r="B5662" s="163" t="s">
        <v>3111</v>
      </c>
      <c r="C5662" s="163" t="s">
        <v>9634</v>
      </c>
      <c r="D5662" s="163" t="s">
        <v>9635</v>
      </c>
      <c r="E5662" s="164" t="n">
        <v>40000</v>
      </c>
      <c r="F5662" s="165" t="s">
        <v>9636</v>
      </c>
    </row>
    <row r="5663" customFormat="false" ht="15" hidden="false" customHeight="true" outlineLevel="0" collapsed="false">
      <c r="A5663" s="163" t="s">
        <v>3015</v>
      </c>
      <c r="B5663" s="163" t="s">
        <v>3111</v>
      </c>
      <c r="C5663" s="163" t="s">
        <v>3096</v>
      </c>
      <c r="D5663" s="163" t="s">
        <v>3097</v>
      </c>
      <c r="E5663" s="164" t="n">
        <v>20000</v>
      </c>
      <c r="F5663" s="165" t="s">
        <v>9637</v>
      </c>
    </row>
    <row r="5664" customFormat="false" ht="15" hidden="false" customHeight="true" outlineLevel="0" collapsed="false">
      <c r="A5664" s="163" t="s">
        <v>3015</v>
      </c>
      <c r="B5664" s="163" t="s">
        <v>3111</v>
      </c>
      <c r="C5664" s="163" t="s">
        <v>273</v>
      </c>
      <c r="D5664" s="163" t="s">
        <v>1891</v>
      </c>
      <c r="E5664" s="164" t="n">
        <v>10000</v>
      </c>
      <c r="F5664" s="165" t="s">
        <v>9631</v>
      </c>
    </row>
    <row r="5665" customFormat="false" ht="15" hidden="false" customHeight="true" outlineLevel="0" collapsed="false">
      <c r="A5665" s="163" t="s">
        <v>3015</v>
      </c>
      <c r="B5665" s="163" t="s">
        <v>3111</v>
      </c>
      <c r="C5665" s="163" t="s">
        <v>5157</v>
      </c>
      <c r="D5665" s="163" t="s">
        <v>5158</v>
      </c>
      <c r="E5665" s="164" t="n">
        <v>10000</v>
      </c>
      <c r="F5665" s="165" t="s">
        <v>9638</v>
      </c>
    </row>
    <row r="5666" customFormat="false" ht="15" hidden="false" customHeight="true" outlineLevel="0" collapsed="false">
      <c r="A5666" s="163" t="s">
        <v>3015</v>
      </c>
      <c r="B5666" s="163" t="s">
        <v>3111</v>
      </c>
      <c r="C5666" s="163" t="s">
        <v>9639</v>
      </c>
      <c r="D5666" s="163" t="s">
        <v>9640</v>
      </c>
      <c r="E5666" s="164" t="n">
        <v>10000</v>
      </c>
      <c r="F5666" s="165" t="s">
        <v>9641</v>
      </c>
    </row>
    <row r="5667" customFormat="false" ht="15" hidden="false" customHeight="true" outlineLevel="0" collapsed="false">
      <c r="A5667" s="163" t="s">
        <v>3015</v>
      </c>
      <c r="B5667" s="163" t="s">
        <v>3111</v>
      </c>
      <c r="C5667" s="163" t="s">
        <v>3537</v>
      </c>
      <c r="D5667" s="163" t="s">
        <v>3538</v>
      </c>
      <c r="E5667" s="164" t="n">
        <v>10000</v>
      </c>
      <c r="F5667" s="165" t="s">
        <v>9642</v>
      </c>
    </row>
    <row r="5668" customFormat="false" ht="15" hidden="false" customHeight="true" outlineLevel="0" collapsed="false">
      <c r="A5668" s="163" t="s">
        <v>3015</v>
      </c>
      <c r="B5668" s="163" t="s">
        <v>1938</v>
      </c>
      <c r="C5668" s="163" t="s">
        <v>3139</v>
      </c>
      <c r="D5668" s="163" t="s">
        <v>3140</v>
      </c>
      <c r="E5668" s="164" t="n">
        <v>20000</v>
      </c>
      <c r="F5668" s="165" t="s">
        <v>9643</v>
      </c>
    </row>
    <row r="5669" customFormat="false" ht="15" hidden="false" customHeight="true" outlineLevel="0" collapsed="false">
      <c r="A5669" s="163" t="s">
        <v>3015</v>
      </c>
      <c r="B5669" s="163" t="s">
        <v>1938</v>
      </c>
      <c r="C5669" s="163" t="s">
        <v>328</v>
      </c>
      <c r="D5669" s="163" t="s">
        <v>2660</v>
      </c>
      <c r="E5669" s="164" t="n">
        <v>20000</v>
      </c>
      <c r="F5669" s="165" t="s">
        <v>9644</v>
      </c>
    </row>
    <row r="5670" customFormat="false" ht="15" hidden="false" customHeight="true" outlineLevel="0" collapsed="false">
      <c r="A5670" s="163" t="s">
        <v>3015</v>
      </c>
      <c r="B5670" s="163" t="s">
        <v>1938</v>
      </c>
      <c r="C5670" s="163" t="s">
        <v>3176</v>
      </c>
      <c r="D5670" s="163" t="s">
        <v>3177</v>
      </c>
      <c r="E5670" s="164" t="n">
        <v>20000</v>
      </c>
      <c r="F5670" s="165" t="s">
        <v>9645</v>
      </c>
    </row>
    <row r="5671" customFormat="false" ht="15" hidden="false" customHeight="true" outlineLevel="0" collapsed="false">
      <c r="A5671" s="163" t="s">
        <v>3015</v>
      </c>
      <c r="B5671" s="163" t="s">
        <v>1938</v>
      </c>
      <c r="C5671" s="163" t="s">
        <v>3176</v>
      </c>
      <c r="D5671" s="163" t="s">
        <v>3177</v>
      </c>
      <c r="E5671" s="164" t="n">
        <v>20000</v>
      </c>
      <c r="F5671" s="165" t="s">
        <v>9646</v>
      </c>
    </row>
    <row r="5672" customFormat="false" ht="15" hidden="false" customHeight="true" outlineLevel="0" collapsed="false">
      <c r="A5672" s="163" t="s">
        <v>3015</v>
      </c>
      <c r="B5672" s="163" t="s">
        <v>1938</v>
      </c>
      <c r="C5672" s="163" t="s">
        <v>9647</v>
      </c>
      <c r="D5672" s="163" t="s">
        <v>9648</v>
      </c>
      <c r="E5672" s="164" t="n">
        <v>20000</v>
      </c>
      <c r="F5672" s="165" t="s">
        <v>9649</v>
      </c>
    </row>
    <row r="5673" customFormat="false" ht="15" hidden="false" customHeight="true" outlineLevel="0" collapsed="false">
      <c r="A5673" s="163" t="s">
        <v>3015</v>
      </c>
      <c r="B5673" s="163" t="s">
        <v>1938</v>
      </c>
      <c r="C5673" s="163" t="s">
        <v>3515</v>
      </c>
      <c r="D5673" s="163" t="s">
        <v>3516</v>
      </c>
      <c r="E5673" s="164" t="n">
        <v>20000</v>
      </c>
      <c r="F5673" s="165" t="s">
        <v>9650</v>
      </c>
    </row>
    <row r="5674" customFormat="false" ht="15" hidden="false" customHeight="true" outlineLevel="0" collapsed="false">
      <c r="A5674" s="163" t="s">
        <v>3015</v>
      </c>
      <c r="B5674" s="163" t="s">
        <v>1938</v>
      </c>
      <c r="C5674" s="163" t="s">
        <v>3515</v>
      </c>
      <c r="D5674" s="163" t="s">
        <v>3516</v>
      </c>
      <c r="E5674" s="164" t="n">
        <v>20000</v>
      </c>
      <c r="F5674" s="165" t="s">
        <v>9651</v>
      </c>
    </row>
    <row r="5675" customFormat="false" ht="15" hidden="false" customHeight="true" outlineLevel="0" collapsed="false">
      <c r="A5675" s="163" t="s">
        <v>3015</v>
      </c>
      <c r="B5675" s="163" t="s">
        <v>1938</v>
      </c>
      <c r="C5675" s="163" t="s">
        <v>431</v>
      </c>
      <c r="D5675" s="163" t="s">
        <v>2678</v>
      </c>
      <c r="E5675" s="164" t="n">
        <v>20000</v>
      </c>
      <c r="F5675" s="165" t="s">
        <v>9652</v>
      </c>
    </row>
    <row r="5676" customFormat="false" ht="15" hidden="false" customHeight="true" outlineLevel="0" collapsed="false">
      <c r="A5676" s="163" t="s">
        <v>3015</v>
      </c>
      <c r="B5676" s="163" t="s">
        <v>1938</v>
      </c>
      <c r="C5676" s="163" t="s">
        <v>431</v>
      </c>
      <c r="D5676" s="163" t="s">
        <v>2678</v>
      </c>
      <c r="E5676" s="164" t="n">
        <v>20000</v>
      </c>
      <c r="F5676" s="165" t="s">
        <v>9653</v>
      </c>
    </row>
    <row r="5677" customFormat="false" ht="15" hidden="false" customHeight="true" outlineLevel="0" collapsed="false">
      <c r="A5677" s="163" t="s">
        <v>3015</v>
      </c>
      <c r="B5677" s="163" t="s">
        <v>1938</v>
      </c>
      <c r="C5677" s="163" t="s">
        <v>431</v>
      </c>
      <c r="D5677" s="163" t="s">
        <v>2678</v>
      </c>
      <c r="E5677" s="164" t="n">
        <v>20000</v>
      </c>
      <c r="F5677" s="165" t="s">
        <v>9654</v>
      </c>
    </row>
    <row r="5678" customFormat="false" ht="15" hidden="false" customHeight="true" outlineLevel="0" collapsed="false">
      <c r="A5678" s="163" t="s">
        <v>3015</v>
      </c>
      <c r="B5678" s="163" t="s">
        <v>1938</v>
      </c>
      <c r="C5678" s="163" t="s">
        <v>431</v>
      </c>
      <c r="D5678" s="163" t="s">
        <v>2678</v>
      </c>
      <c r="E5678" s="164" t="n">
        <v>20000</v>
      </c>
      <c r="F5678" s="165" t="s">
        <v>9655</v>
      </c>
    </row>
    <row r="5679" customFormat="false" ht="15" hidden="false" customHeight="true" outlineLevel="0" collapsed="false">
      <c r="A5679" s="163" t="s">
        <v>3015</v>
      </c>
      <c r="B5679" s="163" t="s">
        <v>1938</v>
      </c>
      <c r="C5679" s="163" t="s">
        <v>431</v>
      </c>
      <c r="D5679" s="163" t="s">
        <v>2678</v>
      </c>
      <c r="E5679" s="164" t="n">
        <v>20000</v>
      </c>
      <c r="F5679" s="165" t="s">
        <v>9656</v>
      </c>
    </row>
    <row r="5680" customFormat="false" ht="15" hidden="false" customHeight="true" outlineLevel="0" collapsed="false">
      <c r="A5680" s="163" t="s">
        <v>3015</v>
      </c>
      <c r="B5680" s="163" t="s">
        <v>1938</v>
      </c>
      <c r="C5680" s="163" t="s">
        <v>3392</v>
      </c>
      <c r="D5680" s="163" t="s">
        <v>3393</v>
      </c>
      <c r="E5680" s="164" t="n">
        <v>20000</v>
      </c>
      <c r="F5680" s="165" t="s">
        <v>9657</v>
      </c>
    </row>
    <row r="5681" customFormat="false" ht="15" hidden="false" customHeight="true" outlineLevel="0" collapsed="false">
      <c r="A5681" s="163" t="s">
        <v>3015</v>
      </c>
      <c r="B5681" s="163" t="s">
        <v>1938</v>
      </c>
      <c r="C5681" s="163" t="s">
        <v>3392</v>
      </c>
      <c r="D5681" s="163" t="s">
        <v>3393</v>
      </c>
      <c r="E5681" s="164" t="n">
        <v>20000</v>
      </c>
      <c r="F5681" s="165" t="s">
        <v>9656</v>
      </c>
    </row>
    <row r="5682" customFormat="false" ht="15" hidden="false" customHeight="true" outlineLevel="0" collapsed="false">
      <c r="A5682" s="163" t="s">
        <v>3015</v>
      </c>
      <c r="B5682" s="163" t="s">
        <v>1938</v>
      </c>
      <c r="C5682" s="163" t="s">
        <v>3835</v>
      </c>
      <c r="D5682" s="163" t="s">
        <v>3836</v>
      </c>
      <c r="E5682" s="164" t="n">
        <v>20000</v>
      </c>
      <c r="F5682" s="165" t="s">
        <v>9658</v>
      </c>
    </row>
    <row r="5683" customFormat="false" ht="15" hidden="false" customHeight="true" outlineLevel="0" collapsed="false">
      <c r="A5683" s="163" t="s">
        <v>3015</v>
      </c>
      <c r="B5683" s="163" t="s">
        <v>1938</v>
      </c>
      <c r="C5683" s="163" t="s">
        <v>9659</v>
      </c>
      <c r="D5683" s="163" t="s">
        <v>9660</v>
      </c>
      <c r="E5683" s="164" t="n">
        <v>20000</v>
      </c>
      <c r="F5683" s="165" t="s">
        <v>9661</v>
      </c>
    </row>
    <row r="5684" customFormat="false" ht="15" hidden="false" customHeight="true" outlineLevel="0" collapsed="false">
      <c r="A5684" s="163" t="s">
        <v>3015</v>
      </c>
      <c r="B5684" s="163" t="s">
        <v>1938</v>
      </c>
      <c r="C5684" s="163" t="s">
        <v>9647</v>
      </c>
      <c r="D5684" s="163" t="s">
        <v>9648</v>
      </c>
      <c r="E5684" s="164" t="n">
        <v>20000</v>
      </c>
      <c r="F5684" s="165" t="s">
        <v>9662</v>
      </c>
    </row>
    <row r="5685" customFormat="false" ht="15" hidden="false" customHeight="true" outlineLevel="0" collapsed="false">
      <c r="A5685" s="163" t="s">
        <v>3015</v>
      </c>
      <c r="B5685" s="163" t="s">
        <v>691</v>
      </c>
      <c r="C5685" s="163" t="s">
        <v>5640</v>
      </c>
      <c r="D5685" s="163" t="s">
        <v>5641</v>
      </c>
      <c r="E5685" s="164" t="n">
        <v>105000</v>
      </c>
      <c r="F5685" s="165" t="s">
        <v>9663</v>
      </c>
    </row>
    <row r="5686" customFormat="false" ht="15" hidden="false" customHeight="true" outlineLevel="0" collapsed="false">
      <c r="A5686" s="163" t="s">
        <v>3015</v>
      </c>
      <c r="B5686" s="163" t="s">
        <v>691</v>
      </c>
      <c r="C5686" s="163" t="s">
        <v>4890</v>
      </c>
      <c r="D5686" s="163" t="s">
        <v>4891</v>
      </c>
      <c r="E5686" s="164" t="n">
        <v>15000</v>
      </c>
      <c r="F5686" s="165" t="s">
        <v>9664</v>
      </c>
    </row>
    <row r="5687" customFormat="false" ht="15" hidden="false" customHeight="true" outlineLevel="0" collapsed="false">
      <c r="A5687" s="163" t="s">
        <v>3015</v>
      </c>
      <c r="B5687" s="163" t="s">
        <v>691</v>
      </c>
      <c r="C5687" s="163" t="s">
        <v>3385</v>
      </c>
      <c r="D5687" s="163" t="s">
        <v>3386</v>
      </c>
      <c r="E5687" s="164" t="n">
        <v>15000</v>
      </c>
      <c r="F5687" s="165" t="s">
        <v>9665</v>
      </c>
    </row>
    <row r="5688" customFormat="false" ht="15" hidden="false" customHeight="true" outlineLevel="0" collapsed="false">
      <c r="A5688" s="163" t="s">
        <v>3015</v>
      </c>
      <c r="B5688" s="163" t="s">
        <v>691</v>
      </c>
      <c r="C5688" s="163" t="s">
        <v>4890</v>
      </c>
      <c r="D5688" s="163" t="s">
        <v>4891</v>
      </c>
      <c r="E5688" s="164" t="n">
        <v>10000</v>
      </c>
      <c r="F5688" s="165" t="s">
        <v>9666</v>
      </c>
    </row>
    <row r="5689" customFormat="false" ht="15" hidden="false" customHeight="true" outlineLevel="0" collapsed="false">
      <c r="A5689" s="163" t="s">
        <v>3015</v>
      </c>
      <c r="B5689" s="163" t="s">
        <v>2027</v>
      </c>
      <c r="C5689" s="163" t="s">
        <v>9667</v>
      </c>
      <c r="D5689" s="163" t="s">
        <v>9668</v>
      </c>
      <c r="E5689" s="164" t="n">
        <v>45000</v>
      </c>
      <c r="F5689" s="165" t="s">
        <v>9663</v>
      </c>
    </row>
    <row r="5690" customFormat="false" ht="15" hidden="false" customHeight="true" outlineLevel="0" collapsed="false">
      <c r="A5690" s="163" t="s">
        <v>3015</v>
      </c>
      <c r="B5690" s="163" t="s">
        <v>2027</v>
      </c>
      <c r="C5690" s="163" t="s">
        <v>328</v>
      </c>
      <c r="D5690" s="163" t="s">
        <v>2660</v>
      </c>
      <c r="E5690" s="164" t="n">
        <v>25000</v>
      </c>
      <c r="F5690" s="165" t="s">
        <v>3060</v>
      </c>
    </row>
    <row r="5691" customFormat="false" ht="15" hidden="false" customHeight="true" outlineLevel="0" collapsed="false">
      <c r="A5691" s="163" t="s">
        <v>3015</v>
      </c>
      <c r="B5691" s="163" t="s">
        <v>2027</v>
      </c>
      <c r="C5691" s="163" t="s">
        <v>3210</v>
      </c>
      <c r="D5691" s="163" t="s">
        <v>3211</v>
      </c>
      <c r="E5691" s="164" t="n">
        <v>20000</v>
      </c>
      <c r="F5691" s="165" t="s">
        <v>9663</v>
      </c>
    </row>
    <row r="5692" customFormat="false" ht="15" hidden="false" customHeight="true" outlineLevel="0" collapsed="false">
      <c r="A5692" s="163" t="s">
        <v>3015</v>
      </c>
      <c r="B5692" s="163" t="s">
        <v>2037</v>
      </c>
      <c r="C5692" s="163" t="s">
        <v>372</v>
      </c>
      <c r="D5692" s="163" t="s">
        <v>2692</v>
      </c>
      <c r="E5692" s="164" t="n">
        <v>75000</v>
      </c>
      <c r="F5692" s="165" t="s">
        <v>9669</v>
      </c>
    </row>
    <row r="5693" customFormat="false" ht="15" hidden="false" customHeight="true" outlineLevel="0" collapsed="false">
      <c r="A5693" s="163" t="s">
        <v>3015</v>
      </c>
      <c r="B5693" s="163" t="s">
        <v>2037</v>
      </c>
      <c r="C5693" s="163" t="s">
        <v>4173</v>
      </c>
      <c r="D5693" s="163" t="s">
        <v>4174</v>
      </c>
      <c r="E5693" s="164" t="n">
        <v>70000</v>
      </c>
      <c r="F5693" s="165" t="s">
        <v>9631</v>
      </c>
    </row>
    <row r="5694" customFormat="false" ht="15" hidden="false" customHeight="true" outlineLevel="0" collapsed="false">
      <c r="A5694" s="163" t="s">
        <v>3015</v>
      </c>
      <c r="B5694" s="163" t="s">
        <v>2037</v>
      </c>
      <c r="C5694" s="163" t="s">
        <v>3771</v>
      </c>
      <c r="D5694" s="163" t="s">
        <v>3772</v>
      </c>
      <c r="E5694" s="164" t="n">
        <v>65000</v>
      </c>
      <c r="F5694" s="165" t="s">
        <v>9669</v>
      </c>
    </row>
    <row r="5695" customFormat="false" ht="15" hidden="false" customHeight="true" outlineLevel="0" collapsed="false">
      <c r="A5695" s="163" t="s">
        <v>3015</v>
      </c>
      <c r="B5695" s="163" t="s">
        <v>2037</v>
      </c>
      <c r="C5695" s="163" t="s">
        <v>240</v>
      </c>
      <c r="D5695" s="163" t="s">
        <v>2418</v>
      </c>
      <c r="E5695" s="164" t="n">
        <v>15000</v>
      </c>
      <c r="F5695" s="165" t="s">
        <v>9670</v>
      </c>
    </row>
    <row r="5696" customFormat="false" ht="15" hidden="false" customHeight="true" outlineLevel="0" collapsed="false">
      <c r="A5696" s="163" t="s">
        <v>3015</v>
      </c>
      <c r="B5696" s="163" t="s">
        <v>894</v>
      </c>
      <c r="C5696" s="163" t="s">
        <v>4705</v>
      </c>
      <c r="D5696" s="163" t="s">
        <v>4706</v>
      </c>
      <c r="E5696" s="164" t="n">
        <v>25000</v>
      </c>
      <c r="F5696" s="165" t="s">
        <v>4707</v>
      </c>
    </row>
    <row r="5697" customFormat="false" ht="15" hidden="false" customHeight="true" outlineLevel="0" collapsed="false">
      <c r="A5697" s="163" t="s">
        <v>3015</v>
      </c>
      <c r="B5697" s="163" t="s">
        <v>894</v>
      </c>
      <c r="C5697" s="163" t="s">
        <v>9671</v>
      </c>
      <c r="D5697" s="163" t="s">
        <v>9672</v>
      </c>
      <c r="E5697" s="164" t="n">
        <v>25000</v>
      </c>
      <c r="F5697" s="165" t="s">
        <v>9673</v>
      </c>
    </row>
    <row r="5698" customFormat="false" ht="15" hidden="false" customHeight="true" outlineLevel="0" collapsed="false">
      <c r="A5698" s="163" t="s">
        <v>3015</v>
      </c>
      <c r="B5698" s="163" t="s">
        <v>894</v>
      </c>
      <c r="C5698" s="163" t="s">
        <v>2780</v>
      </c>
      <c r="D5698" s="163" t="s">
        <v>2429</v>
      </c>
      <c r="E5698" s="164" t="n">
        <v>20000</v>
      </c>
      <c r="F5698" s="165" t="s">
        <v>9631</v>
      </c>
    </row>
    <row r="5699" customFormat="false" ht="15" hidden="false" customHeight="true" outlineLevel="0" collapsed="false">
      <c r="A5699" s="163" t="s">
        <v>3015</v>
      </c>
      <c r="B5699" s="163" t="s">
        <v>894</v>
      </c>
      <c r="C5699" s="163" t="s">
        <v>9674</v>
      </c>
      <c r="D5699" s="163" t="s">
        <v>9675</v>
      </c>
      <c r="E5699" s="164" t="n">
        <v>20000</v>
      </c>
      <c r="F5699" s="165" t="s">
        <v>9676</v>
      </c>
    </row>
    <row r="5700" customFormat="false" ht="15" hidden="false" customHeight="true" outlineLevel="0" collapsed="false">
      <c r="A5700" s="163" t="s">
        <v>3015</v>
      </c>
      <c r="B5700" s="163" t="s">
        <v>894</v>
      </c>
      <c r="C5700" s="163" t="s">
        <v>3096</v>
      </c>
      <c r="D5700" s="163" t="s">
        <v>3097</v>
      </c>
      <c r="E5700" s="164" t="n">
        <v>20000</v>
      </c>
      <c r="F5700" s="165" t="s">
        <v>9677</v>
      </c>
    </row>
    <row r="5701" customFormat="false" ht="15" hidden="false" customHeight="true" outlineLevel="0" collapsed="false">
      <c r="A5701" s="163" t="s">
        <v>3015</v>
      </c>
      <c r="B5701" s="163" t="s">
        <v>894</v>
      </c>
      <c r="C5701" s="163" t="s">
        <v>893</v>
      </c>
      <c r="D5701" s="163" t="s">
        <v>1931</v>
      </c>
      <c r="E5701" s="164" t="n">
        <v>20000</v>
      </c>
      <c r="F5701" s="165" t="s">
        <v>9678</v>
      </c>
    </row>
    <row r="5702" customFormat="false" ht="15" hidden="false" customHeight="true" outlineLevel="0" collapsed="false">
      <c r="A5702" s="163" t="s">
        <v>3015</v>
      </c>
      <c r="B5702" s="163" t="s">
        <v>894</v>
      </c>
      <c r="C5702" s="163" t="s">
        <v>9679</v>
      </c>
      <c r="D5702" s="163" t="s">
        <v>9680</v>
      </c>
      <c r="E5702" s="164" t="n">
        <v>15000</v>
      </c>
      <c r="F5702" s="165" t="s">
        <v>9681</v>
      </c>
    </row>
    <row r="5703" customFormat="false" ht="15" hidden="false" customHeight="true" outlineLevel="0" collapsed="false">
      <c r="A5703" s="163" t="s">
        <v>3015</v>
      </c>
      <c r="B5703" s="163" t="s">
        <v>894</v>
      </c>
      <c r="C5703" s="163" t="s">
        <v>452</v>
      </c>
      <c r="D5703" s="163" t="s">
        <v>1931</v>
      </c>
      <c r="E5703" s="164" t="n">
        <v>15000</v>
      </c>
      <c r="F5703" s="165" t="s">
        <v>9682</v>
      </c>
    </row>
    <row r="5704" customFormat="false" ht="15" hidden="false" customHeight="true" outlineLevel="0" collapsed="false">
      <c r="A5704" s="163" t="s">
        <v>3015</v>
      </c>
      <c r="B5704" s="163" t="s">
        <v>894</v>
      </c>
      <c r="C5704" s="163" t="s">
        <v>9683</v>
      </c>
      <c r="D5704" s="163" t="s">
        <v>9684</v>
      </c>
      <c r="E5704" s="164" t="n">
        <v>15000</v>
      </c>
      <c r="F5704" s="165" t="s">
        <v>9685</v>
      </c>
    </row>
    <row r="5705" customFormat="false" ht="15" hidden="false" customHeight="true" outlineLevel="0" collapsed="false">
      <c r="A5705" s="163" t="s">
        <v>3015</v>
      </c>
      <c r="B5705" s="163" t="s">
        <v>894</v>
      </c>
      <c r="C5705" s="163" t="s">
        <v>5611</v>
      </c>
      <c r="D5705" s="163" t="s">
        <v>5612</v>
      </c>
      <c r="E5705" s="164" t="n">
        <v>15000</v>
      </c>
      <c r="F5705" s="165" t="s">
        <v>9685</v>
      </c>
    </row>
    <row r="5706" customFormat="false" ht="15" hidden="false" customHeight="true" outlineLevel="0" collapsed="false">
      <c r="A5706" s="163" t="s">
        <v>3015</v>
      </c>
      <c r="B5706" s="163" t="s">
        <v>894</v>
      </c>
      <c r="C5706" s="163" t="s">
        <v>4269</v>
      </c>
      <c r="D5706" s="163" t="s">
        <v>4270</v>
      </c>
      <c r="E5706" s="164" t="n">
        <v>10000</v>
      </c>
      <c r="F5706" s="165" t="s">
        <v>9686</v>
      </c>
    </row>
    <row r="5707" customFormat="false" ht="15" hidden="false" customHeight="true" outlineLevel="0" collapsed="false">
      <c r="A5707" s="163" t="s">
        <v>3015</v>
      </c>
      <c r="B5707" s="163" t="s">
        <v>894</v>
      </c>
      <c r="C5707" s="163" t="s">
        <v>1021</v>
      </c>
      <c r="D5707" s="163" t="s">
        <v>1931</v>
      </c>
      <c r="E5707" s="164" t="n">
        <v>10000</v>
      </c>
      <c r="F5707" s="165" t="s">
        <v>9687</v>
      </c>
    </row>
    <row r="5708" customFormat="false" ht="15" hidden="false" customHeight="true" outlineLevel="0" collapsed="false">
      <c r="A5708" s="163" t="s">
        <v>3015</v>
      </c>
      <c r="B5708" s="163" t="s">
        <v>894</v>
      </c>
      <c r="C5708" s="163" t="s">
        <v>1268</v>
      </c>
      <c r="D5708" s="163" t="s">
        <v>2426</v>
      </c>
      <c r="E5708" s="164" t="n">
        <v>10000</v>
      </c>
      <c r="F5708" s="165" t="s">
        <v>9688</v>
      </c>
    </row>
    <row r="5709" customFormat="false" ht="15" hidden="false" customHeight="true" outlineLevel="0" collapsed="false">
      <c r="A5709" s="163" t="s">
        <v>3015</v>
      </c>
      <c r="B5709" s="163" t="s">
        <v>894</v>
      </c>
      <c r="C5709" s="163" t="s">
        <v>9689</v>
      </c>
      <c r="D5709" s="163" t="s">
        <v>9690</v>
      </c>
      <c r="E5709" s="164" t="n">
        <v>10000</v>
      </c>
      <c r="F5709" s="165" t="s">
        <v>9691</v>
      </c>
    </row>
    <row r="5710" customFormat="false" ht="15" hidden="false" customHeight="true" outlineLevel="0" collapsed="false">
      <c r="A5710" s="163" t="s">
        <v>3015</v>
      </c>
      <c r="B5710" s="163" t="s">
        <v>894</v>
      </c>
      <c r="C5710" s="163" t="s">
        <v>9692</v>
      </c>
      <c r="D5710" s="163" t="s">
        <v>9693</v>
      </c>
      <c r="E5710" s="164" t="n">
        <v>10000</v>
      </c>
      <c r="F5710" s="165" t="s">
        <v>9694</v>
      </c>
    </row>
    <row r="5711" customFormat="false" ht="15" hidden="false" customHeight="true" outlineLevel="0" collapsed="false">
      <c r="A5711" s="163" t="s">
        <v>3015</v>
      </c>
      <c r="B5711" s="163" t="s">
        <v>894</v>
      </c>
      <c r="C5711" s="163" t="s">
        <v>9695</v>
      </c>
      <c r="D5711" s="163" t="s">
        <v>9696</v>
      </c>
      <c r="E5711" s="164" t="n">
        <v>10000</v>
      </c>
      <c r="F5711" s="165" t="s">
        <v>9697</v>
      </c>
    </row>
    <row r="5712" customFormat="false" ht="15" hidden="false" customHeight="true" outlineLevel="0" collapsed="false">
      <c r="A5712" s="163" t="s">
        <v>3015</v>
      </c>
      <c r="B5712" s="163" t="s">
        <v>894</v>
      </c>
      <c r="C5712" s="163" t="s">
        <v>3425</v>
      </c>
      <c r="D5712" s="163" t="s">
        <v>3426</v>
      </c>
      <c r="E5712" s="164" t="n">
        <v>10000</v>
      </c>
      <c r="F5712" s="165" t="s">
        <v>9698</v>
      </c>
    </row>
    <row r="5713" customFormat="false" ht="15" hidden="false" customHeight="true" outlineLevel="0" collapsed="false">
      <c r="A5713" s="163" t="s">
        <v>3015</v>
      </c>
      <c r="B5713" s="163" t="s">
        <v>894</v>
      </c>
      <c r="C5713" s="163" t="s">
        <v>4530</v>
      </c>
      <c r="D5713" s="163" t="s">
        <v>4531</v>
      </c>
      <c r="E5713" s="164" t="n">
        <v>10000</v>
      </c>
      <c r="F5713" s="165" t="s">
        <v>9699</v>
      </c>
    </row>
    <row r="5714" customFormat="false" ht="15" hidden="false" customHeight="true" outlineLevel="0" collapsed="false">
      <c r="A5714" s="163" t="s">
        <v>3015</v>
      </c>
      <c r="B5714" s="163" t="s">
        <v>894</v>
      </c>
      <c r="C5714" s="163" t="s">
        <v>9700</v>
      </c>
      <c r="D5714" s="163" t="s">
        <v>9701</v>
      </c>
      <c r="E5714" s="164" t="n">
        <v>10000</v>
      </c>
      <c r="F5714" s="165" t="s">
        <v>9702</v>
      </c>
    </row>
    <row r="5715" customFormat="false" ht="15" hidden="false" customHeight="true" outlineLevel="0" collapsed="false">
      <c r="A5715" s="163" t="s">
        <v>3015</v>
      </c>
      <c r="B5715" s="163" t="s">
        <v>894</v>
      </c>
      <c r="C5715" s="163" t="s">
        <v>9703</v>
      </c>
      <c r="D5715" s="163" t="s">
        <v>9704</v>
      </c>
      <c r="E5715" s="164" t="n">
        <v>10000</v>
      </c>
      <c r="F5715" s="165" t="s">
        <v>9705</v>
      </c>
    </row>
    <row r="5716" customFormat="false" ht="15" hidden="false" customHeight="true" outlineLevel="0" collapsed="false">
      <c r="A5716" s="163" t="s">
        <v>3015</v>
      </c>
      <c r="B5716" s="163" t="s">
        <v>894</v>
      </c>
      <c r="C5716" s="163" t="s">
        <v>9706</v>
      </c>
      <c r="D5716" s="163" t="s">
        <v>9707</v>
      </c>
      <c r="E5716" s="164" t="n">
        <v>10000</v>
      </c>
      <c r="F5716" s="165" t="s">
        <v>9708</v>
      </c>
    </row>
    <row r="5717" customFormat="false" ht="15" hidden="false" customHeight="true" outlineLevel="0" collapsed="false">
      <c r="A5717" s="163" t="s">
        <v>3015</v>
      </c>
      <c r="B5717" s="163" t="s">
        <v>894</v>
      </c>
      <c r="C5717" s="163" t="s">
        <v>9709</v>
      </c>
      <c r="D5717" s="163" t="s">
        <v>9710</v>
      </c>
      <c r="E5717" s="164" t="n">
        <v>10000</v>
      </c>
      <c r="F5717" s="165" t="s">
        <v>9711</v>
      </c>
    </row>
    <row r="5718" customFormat="false" ht="15" hidden="false" customHeight="true" outlineLevel="0" collapsed="false">
      <c r="A5718" s="163" t="s">
        <v>3015</v>
      </c>
      <c r="B5718" s="163" t="s">
        <v>894</v>
      </c>
      <c r="C5718" s="163" t="s">
        <v>4160</v>
      </c>
      <c r="D5718" s="163" t="s">
        <v>4161</v>
      </c>
      <c r="E5718" s="164" t="n">
        <v>10000</v>
      </c>
      <c r="F5718" s="165" t="s">
        <v>9712</v>
      </c>
    </row>
    <row r="5719" customFormat="false" ht="15" hidden="false" customHeight="true" outlineLevel="0" collapsed="false">
      <c r="A5719" s="163" t="s">
        <v>3015</v>
      </c>
      <c r="B5719" s="163" t="s">
        <v>894</v>
      </c>
      <c r="C5719" s="163" t="s">
        <v>3210</v>
      </c>
      <c r="D5719" s="163" t="s">
        <v>3211</v>
      </c>
      <c r="E5719" s="164" t="n">
        <v>10000</v>
      </c>
      <c r="F5719" s="165" t="s">
        <v>9713</v>
      </c>
    </row>
    <row r="5720" customFormat="false" ht="15" hidden="false" customHeight="true" outlineLevel="0" collapsed="false">
      <c r="A5720" s="163" t="s">
        <v>3015</v>
      </c>
      <c r="B5720" s="163" t="s">
        <v>894</v>
      </c>
      <c r="C5720" s="163" t="s">
        <v>9714</v>
      </c>
      <c r="D5720" s="163" t="s">
        <v>9715</v>
      </c>
      <c r="E5720" s="164" t="n">
        <v>10000</v>
      </c>
      <c r="F5720" s="165" t="s">
        <v>9685</v>
      </c>
    </row>
    <row r="5721" customFormat="false" ht="15" hidden="false" customHeight="true" outlineLevel="0" collapsed="false">
      <c r="A5721" s="163" t="s">
        <v>3015</v>
      </c>
      <c r="B5721" s="163" t="s">
        <v>894</v>
      </c>
      <c r="C5721" s="163" t="s">
        <v>9716</v>
      </c>
      <c r="D5721" s="163" t="s">
        <v>9717</v>
      </c>
      <c r="E5721" s="164" t="n">
        <v>10000</v>
      </c>
      <c r="F5721" s="165" t="s">
        <v>9718</v>
      </c>
    </row>
    <row r="5722" customFormat="false" ht="15" hidden="false" customHeight="true" outlineLevel="0" collapsed="false">
      <c r="A5722" s="163" t="s">
        <v>3015</v>
      </c>
      <c r="B5722" s="163" t="s">
        <v>894</v>
      </c>
      <c r="C5722" s="163" t="s">
        <v>925</v>
      </c>
      <c r="D5722" s="163" t="s">
        <v>1931</v>
      </c>
      <c r="E5722" s="164" t="n">
        <v>5000</v>
      </c>
      <c r="F5722" s="165" t="s">
        <v>9719</v>
      </c>
    </row>
    <row r="5723" customFormat="false" ht="15" hidden="false" customHeight="true" outlineLevel="0" collapsed="false">
      <c r="A5723" s="163" t="s">
        <v>3015</v>
      </c>
      <c r="B5723" s="163" t="s">
        <v>894</v>
      </c>
      <c r="C5723" s="163" t="s">
        <v>925</v>
      </c>
      <c r="D5723" s="163" t="s">
        <v>1931</v>
      </c>
      <c r="E5723" s="164" t="n">
        <v>5000</v>
      </c>
      <c r="F5723" s="165" t="s">
        <v>9720</v>
      </c>
    </row>
    <row r="5724" customFormat="false" ht="15" hidden="false" customHeight="true" outlineLevel="0" collapsed="false">
      <c r="A5724" s="163" t="s">
        <v>3015</v>
      </c>
      <c r="B5724" s="163" t="s">
        <v>894</v>
      </c>
      <c r="C5724" s="163" t="s">
        <v>925</v>
      </c>
      <c r="D5724" s="163" t="s">
        <v>1931</v>
      </c>
      <c r="E5724" s="164" t="n">
        <v>5000</v>
      </c>
      <c r="F5724" s="165" t="s">
        <v>9721</v>
      </c>
    </row>
    <row r="5725" customFormat="false" ht="15" hidden="false" customHeight="true" outlineLevel="0" collapsed="false">
      <c r="A5725" s="163" t="s">
        <v>3015</v>
      </c>
      <c r="B5725" s="163" t="s">
        <v>894</v>
      </c>
      <c r="C5725" s="163" t="s">
        <v>925</v>
      </c>
      <c r="D5725" s="163" t="s">
        <v>1931</v>
      </c>
      <c r="E5725" s="164" t="n">
        <v>5000</v>
      </c>
      <c r="F5725" s="165" t="s">
        <v>9722</v>
      </c>
    </row>
    <row r="5726" customFormat="false" ht="15" hidden="false" customHeight="true" outlineLevel="0" collapsed="false">
      <c r="A5726" s="163" t="s">
        <v>3015</v>
      </c>
      <c r="B5726" s="163" t="s">
        <v>894</v>
      </c>
      <c r="C5726" s="163" t="s">
        <v>925</v>
      </c>
      <c r="D5726" s="163" t="s">
        <v>1931</v>
      </c>
      <c r="E5726" s="164" t="n">
        <v>5000</v>
      </c>
      <c r="F5726" s="165" t="s">
        <v>9723</v>
      </c>
    </row>
    <row r="5727" customFormat="false" ht="15" hidden="false" customHeight="true" outlineLevel="0" collapsed="false">
      <c r="A5727" s="163" t="s">
        <v>3015</v>
      </c>
      <c r="B5727" s="163" t="s">
        <v>894</v>
      </c>
      <c r="C5727" s="163" t="s">
        <v>925</v>
      </c>
      <c r="D5727" s="163" t="s">
        <v>1931</v>
      </c>
      <c r="E5727" s="164" t="n">
        <v>5000</v>
      </c>
      <c r="F5727" s="165" t="s">
        <v>9724</v>
      </c>
    </row>
    <row r="5728" customFormat="false" ht="15" hidden="false" customHeight="true" outlineLevel="0" collapsed="false">
      <c r="A5728" s="163" t="s">
        <v>3015</v>
      </c>
      <c r="B5728" s="163" t="s">
        <v>894</v>
      </c>
      <c r="C5728" s="163" t="s">
        <v>9058</v>
      </c>
      <c r="D5728" s="163" t="s">
        <v>9059</v>
      </c>
      <c r="E5728" s="164" t="n">
        <v>5000</v>
      </c>
      <c r="F5728" s="165" t="s">
        <v>9725</v>
      </c>
    </row>
    <row r="5729" customFormat="false" ht="15" hidden="false" customHeight="true" outlineLevel="0" collapsed="false">
      <c r="A5729" s="163" t="s">
        <v>3015</v>
      </c>
      <c r="B5729" s="163" t="s">
        <v>894</v>
      </c>
      <c r="C5729" s="163" t="s">
        <v>9726</v>
      </c>
      <c r="D5729" s="163" t="s">
        <v>9727</v>
      </c>
      <c r="E5729" s="164" t="n">
        <v>5000</v>
      </c>
      <c r="F5729" s="165" t="s">
        <v>9728</v>
      </c>
    </row>
    <row r="5730" customFormat="false" ht="15" hidden="false" customHeight="true" outlineLevel="0" collapsed="false">
      <c r="A5730" s="163" t="s">
        <v>3015</v>
      </c>
      <c r="B5730" s="163" t="s">
        <v>894</v>
      </c>
      <c r="C5730" s="163" t="s">
        <v>8390</v>
      </c>
      <c r="D5730" s="163" t="s">
        <v>8391</v>
      </c>
      <c r="E5730" s="164" t="n">
        <v>5000</v>
      </c>
      <c r="F5730" s="165" t="s">
        <v>9729</v>
      </c>
    </row>
    <row r="5731" customFormat="false" ht="15" hidden="false" customHeight="true" outlineLevel="0" collapsed="false">
      <c r="A5731" s="163" t="s">
        <v>3015</v>
      </c>
      <c r="B5731" s="163" t="s">
        <v>894</v>
      </c>
      <c r="C5731" s="163" t="s">
        <v>9730</v>
      </c>
      <c r="D5731" s="163" t="s">
        <v>9731</v>
      </c>
      <c r="E5731" s="164" t="n">
        <v>5000</v>
      </c>
      <c r="F5731" s="165" t="s">
        <v>9732</v>
      </c>
    </row>
    <row r="5732" customFormat="false" ht="15" hidden="false" customHeight="true" outlineLevel="0" collapsed="false">
      <c r="A5732" s="163" t="s">
        <v>3015</v>
      </c>
      <c r="B5732" s="163" t="s">
        <v>882</v>
      </c>
      <c r="C5732" s="163" t="s">
        <v>640</v>
      </c>
      <c r="D5732" s="163" t="s">
        <v>1931</v>
      </c>
      <c r="E5732" s="164" t="n">
        <v>160000</v>
      </c>
      <c r="F5732" s="165" t="s">
        <v>9663</v>
      </c>
    </row>
    <row r="5733" customFormat="false" ht="15" hidden="false" customHeight="true" outlineLevel="0" collapsed="false">
      <c r="A5733" s="163" t="s">
        <v>3015</v>
      </c>
      <c r="B5733" s="163" t="s">
        <v>882</v>
      </c>
      <c r="C5733" s="163" t="s">
        <v>2759</v>
      </c>
      <c r="D5733" s="163" t="s">
        <v>2760</v>
      </c>
      <c r="E5733" s="164" t="n">
        <v>80000</v>
      </c>
      <c r="F5733" s="165" t="s">
        <v>9733</v>
      </c>
    </row>
    <row r="5734" customFormat="false" ht="15" hidden="false" customHeight="true" outlineLevel="0" collapsed="false">
      <c r="A5734" s="163" t="s">
        <v>3015</v>
      </c>
      <c r="B5734" s="163" t="s">
        <v>882</v>
      </c>
      <c r="C5734" s="163" t="s">
        <v>3112</v>
      </c>
      <c r="D5734" s="163" t="s">
        <v>3113</v>
      </c>
      <c r="E5734" s="164" t="n">
        <v>40000</v>
      </c>
      <c r="F5734" s="165" t="s">
        <v>9734</v>
      </c>
    </row>
    <row r="5735" customFormat="false" ht="15" hidden="false" customHeight="true" outlineLevel="0" collapsed="false">
      <c r="A5735" s="163" t="s">
        <v>3015</v>
      </c>
      <c r="B5735" s="163" t="s">
        <v>2328</v>
      </c>
      <c r="C5735" s="163" t="s">
        <v>5697</v>
      </c>
      <c r="D5735" s="163" t="s">
        <v>5698</v>
      </c>
      <c r="E5735" s="164" t="n">
        <v>50000</v>
      </c>
      <c r="F5735" s="165" t="s">
        <v>9735</v>
      </c>
    </row>
    <row r="5736" customFormat="false" ht="15" hidden="false" customHeight="true" outlineLevel="0" collapsed="false">
      <c r="A5736" s="163" t="s">
        <v>3015</v>
      </c>
      <c r="B5736" s="163" t="s">
        <v>2342</v>
      </c>
      <c r="C5736" s="163" t="s">
        <v>197</v>
      </c>
      <c r="D5736" s="163" t="s">
        <v>1931</v>
      </c>
      <c r="E5736" s="164" t="n">
        <v>55000</v>
      </c>
      <c r="F5736" s="165" t="s">
        <v>9736</v>
      </c>
    </row>
    <row r="5737" customFormat="false" ht="15" hidden="false" customHeight="true" outlineLevel="0" collapsed="false">
      <c r="A5737" s="163" t="s">
        <v>3015</v>
      </c>
      <c r="B5737" s="163" t="s">
        <v>2342</v>
      </c>
      <c r="C5737" s="163" t="s">
        <v>5611</v>
      </c>
      <c r="D5737" s="163" t="s">
        <v>5612</v>
      </c>
      <c r="E5737" s="164" t="n">
        <v>25000</v>
      </c>
      <c r="F5737" s="165" t="s">
        <v>9737</v>
      </c>
    </row>
    <row r="5738" customFormat="false" ht="15" hidden="false" customHeight="true" outlineLevel="0" collapsed="false">
      <c r="A5738" s="163" t="s">
        <v>3015</v>
      </c>
      <c r="B5738" s="163" t="s">
        <v>2342</v>
      </c>
      <c r="C5738" s="163" t="s">
        <v>197</v>
      </c>
      <c r="D5738" s="163" t="s">
        <v>1931</v>
      </c>
      <c r="E5738" s="164" t="n">
        <v>10000</v>
      </c>
      <c r="F5738" s="165" t="s">
        <v>9738</v>
      </c>
    </row>
    <row r="5739" customFormat="false" ht="15" hidden="false" customHeight="true" outlineLevel="0" collapsed="false">
      <c r="A5739" s="163" t="s">
        <v>3015</v>
      </c>
      <c r="B5739" s="163" t="s">
        <v>2766</v>
      </c>
      <c r="C5739" s="163" t="s">
        <v>3515</v>
      </c>
      <c r="D5739" s="163" t="s">
        <v>3516</v>
      </c>
      <c r="E5739" s="164" t="n">
        <v>15000</v>
      </c>
      <c r="F5739" s="165" t="s">
        <v>9739</v>
      </c>
    </row>
    <row r="5740" customFormat="false" ht="15" hidden="false" customHeight="true" outlineLevel="0" collapsed="false">
      <c r="A5740" s="163" t="s">
        <v>3015</v>
      </c>
      <c r="B5740" s="163" t="s">
        <v>2766</v>
      </c>
      <c r="C5740" s="163" t="s">
        <v>431</v>
      </c>
      <c r="D5740" s="163" t="s">
        <v>2678</v>
      </c>
      <c r="E5740" s="164" t="n">
        <v>15000</v>
      </c>
      <c r="F5740" s="165" t="s">
        <v>9740</v>
      </c>
    </row>
    <row r="5741" customFormat="false" ht="15" hidden="false" customHeight="true" outlineLevel="0" collapsed="false">
      <c r="A5741" s="163" t="s">
        <v>3015</v>
      </c>
      <c r="B5741" s="163" t="s">
        <v>1743</v>
      </c>
      <c r="C5741" s="163" t="s">
        <v>9741</v>
      </c>
      <c r="D5741" s="163" t="s">
        <v>9742</v>
      </c>
      <c r="E5741" s="164" t="n">
        <v>35000</v>
      </c>
      <c r="F5741" s="165" t="s">
        <v>9625</v>
      </c>
    </row>
    <row r="5742" customFormat="false" ht="15" hidden="false" customHeight="true" outlineLevel="0" collapsed="false">
      <c r="A5742" s="163" t="s">
        <v>3015</v>
      </c>
      <c r="B5742" s="163" t="s">
        <v>1743</v>
      </c>
      <c r="C5742" s="163" t="s">
        <v>3210</v>
      </c>
      <c r="D5742" s="163" t="s">
        <v>3211</v>
      </c>
      <c r="E5742" s="164" t="n">
        <v>25000</v>
      </c>
      <c r="F5742" s="165" t="s">
        <v>9713</v>
      </c>
    </row>
    <row r="5743" customFormat="false" ht="15" hidden="false" customHeight="true" outlineLevel="0" collapsed="false">
      <c r="A5743" s="163" t="s">
        <v>3015</v>
      </c>
      <c r="B5743" s="163" t="s">
        <v>1743</v>
      </c>
      <c r="C5743" s="163" t="s">
        <v>3210</v>
      </c>
      <c r="D5743" s="163" t="s">
        <v>3211</v>
      </c>
      <c r="E5743" s="164" t="n">
        <v>20000</v>
      </c>
      <c r="F5743" s="165" t="s">
        <v>9743</v>
      </c>
    </row>
    <row r="5744" customFormat="false" ht="15" hidden="false" customHeight="true" outlineLevel="0" collapsed="false">
      <c r="A5744" s="163" t="s">
        <v>3015</v>
      </c>
      <c r="B5744" s="163" t="s">
        <v>1743</v>
      </c>
      <c r="C5744" s="163" t="s">
        <v>3210</v>
      </c>
      <c r="D5744" s="163" t="s">
        <v>3211</v>
      </c>
      <c r="E5744" s="164" t="n">
        <v>20000</v>
      </c>
      <c r="F5744" s="165" t="s">
        <v>9744</v>
      </c>
    </row>
    <row r="5745" customFormat="false" ht="15" hidden="false" customHeight="true" outlineLevel="0" collapsed="false">
      <c r="A5745" s="163" t="s">
        <v>3015</v>
      </c>
      <c r="B5745" s="163" t="s">
        <v>1743</v>
      </c>
      <c r="C5745" s="163" t="s">
        <v>3210</v>
      </c>
      <c r="D5745" s="163" t="s">
        <v>3211</v>
      </c>
      <c r="E5745" s="164" t="n">
        <v>20000</v>
      </c>
      <c r="F5745" s="165" t="s">
        <v>9745</v>
      </c>
    </row>
    <row r="5746" customFormat="false" ht="15" hidden="false" customHeight="true" outlineLevel="0" collapsed="false">
      <c r="A5746" s="163" t="s">
        <v>3015</v>
      </c>
      <c r="B5746" s="163" t="s">
        <v>1743</v>
      </c>
      <c r="C5746" s="163" t="s">
        <v>3210</v>
      </c>
      <c r="D5746" s="163" t="s">
        <v>3211</v>
      </c>
      <c r="E5746" s="164" t="n">
        <v>10000</v>
      </c>
      <c r="F5746" s="165" t="s">
        <v>9746</v>
      </c>
    </row>
    <row r="5747" customFormat="false" ht="15" hidden="false" customHeight="true" outlineLevel="0" collapsed="false">
      <c r="A5747" s="163" t="s">
        <v>3015</v>
      </c>
      <c r="B5747" s="163" t="s">
        <v>1743</v>
      </c>
      <c r="C5747" s="163" t="s">
        <v>3210</v>
      </c>
      <c r="D5747" s="163" t="s">
        <v>3211</v>
      </c>
      <c r="E5747" s="164" t="n">
        <v>10000</v>
      </c>
      <c r="F5747" s="165" t="s">
        <v>9747</v>
      </c>
    </row>
    <row r="5748" customFormat="false" ht="15" hidden="false" customHeight="true" outlineLevel="0" collapsed="false">
      <c r="A5748" s="163" t="s">
        <v>3015</v>
      </c>
      <c r="B5748" s="163" t="s">
        <v>1743</v>
      </c>
      <c r="C5748" s="163" t="s">
        <v>3210</v>
      </c>
      <c r="D5748" s="163" t="s">
        <v>3211</v>
      </c>
      <c r="E5748" s="164" t="n">
        <v>10000</v>
      </c>
      <c r="F5748" s="165" t="s">
        <v>9748</v>
      </c>
    </row>
    <row r="5749" customFormat="false" ht="15" hidden="false" customHeight="true" outlineLevel="0" collapsed="false">
      <c r="A5749" s="163" t="s">
        <v>3015</v>
      </c>
      <c r="B5749" s="163" t="s">
        <v>928</v>
      </c>
      <c r="C5749" s="163" t="s">
        <v>9749</v>
      </c>
      <c r="D5749" s="163" t="s">
        <v>9750</v>
      </c>
      <c r="E5749" s="164" t="n">
        <v>50000</v>
      </c>
      <c r="F5749" s="165" t="s">
        <v>9751</v>
      </c>
    </row>
    <row r="5750" customFormat="false" ht="15" hidden="false" customHeight="true" outlineLevel="0" collapsed="false">
      <c r="A5750" s="163" t="s">
        <v>3015</v>
      </c>
      <c r="B5750" s="163" t="s">
        <v>928</v>
      </c>
      <c r="C5750" s="163" t="s">
        <v>3096</v>
      </c>
      <c r="D5750" s="163" t="s">
        <v>3097</v>
      </c>
      <c r="E5750" s="164" t="n">
        <v>35000</v>
      </c>
      <c r="F5750" s="165" t="s">
        <v>9752</v>
      </c>
    </row>
    <row r="5751" customFormat="false" ht="15" hidden="false" customHeight="true" outlineLevel="0" collapsed="false">
      <c r="A5751" s="163" t="s">
        <v>3015</v>
      </c>
      <c r="B5751" s="163" t="s">
        <v>928</v>
      </c>
      <c r="C5751" s="163" t="s">
        <v>1159</v>
      </c>
      <c r="D5751" s="163" t="s">
        <v>1936</v>
      </c>
      <c r="E5751" s="164" t="n">
        <v>25000</v>
      </c>
      <c r="F5751" s="165" t="s">
        <v>9753</v>
      </c>
    </row>
    <row r="5752" customFormat="false" ht="15" hidden="false" customHeight="true" outlineLevel="0" collapsed="false">
      <c r="A5752" s="163" t="s">
        <v>3015</v>
      </c>
      <c r="B5752" s="163" t="s">
        <v>928</v>
      </c>
      <c r="C5752" s="163" t="s">
        <v>2953</v>
      </c>
      <c r="D5752" s="163" t="s">
        <v>2954</v>
      </c>
      <c r="E5752" s="164" t="n">
        <v>20000</v>
      </c>
      <c r="F5752" s="165" t="s">
        <v>9754</v>
      </c>
    </row>
    <row r="5753" customFormat="false" ht="15" hidden="false" customHeight="true" outlineLevel="0" collapsed="false">
      <c r="A5753" s="163" t="s">
        <v>3015</v>
      </c>
      <c r="B5753" s="163" t="s">
        <v>928</v>
      </c>
      <c r="C5753" s="163" t="s">
        <v>9755</v>
      </c>
      <c r="D5753" s="163" t="s">
        <v>9756</v>
      </c>
      <c r="E5753" s="164" t="n">
        <v>10000</v>
      </c>
      <c r="F5753" s="165" t="s">
        <v>9757</v>
      </c>
    </row>
    <row r="5754" customFormat="false" ht="15" hidden="false" customHeight="true" outlineLevel="0" collapsed="false">
      <c r="A5754" s="163" t="s">
        <v>3015</v>
      </c>
      <c r="B5754" s="163" t="s">
        <v>928</v>
      </c>
      <c r="C5754" s="163" t="s">
        <v>7671</v>
      </c>
      <c r="D5754" s="163" t="s">
        <v>7672</v>
      </c>
      <c r="E5754" s="164" t="n">
        <v>10000</v>
      </c>
      <c r="F5754" s="165" t="s">
        <v>9758</v>
      </c>
    </row>
    <row r="5755" customFormat="false" ht="15" hidden="false" customHeight="true" outlineLevel="0" collapsed="false">
      <c r="A5755" s="163" t="s">
        <v>3046</v>
      </c>
      <c r="B5755" s="163" t="s">
        <v>926</v>
      </c>
      <c r="C5755" s="163" t="s">
        <v>3058</v>
      </c>
      <c r="D5755" s="163" t="s">
        <v>3059</v>
      </c>
      <c r="E5755" s="164" t="n">
        <v>15000</v>
      </c>
      <c r="F5755" s="165" t="s">
        <v>3060</v>
      </c>
    </row>
    <row r="5756" customFormat="false" ht="15" hidden="false" customHeight="true" outlineLevel="0" collapsed="false">
      <c r="A5756" s="163" t="s">
        <v>3046</v>
      </c>
      <c r="B5756" s="163" t="s">
        <v>926</v>
      </c>
      <c r="C5756" s="163" t="s">
        <v>9759</v>
      </c>
      <c r="D5756" s="163" t="s">
        <v>9760</v>
      </c>
      <c r="E5756" s="164" t="n">
        <v>15000</v>
      </c>
      <c r="F5756" s="165" t="s">
        <v>3060</v>
      </c>
    </row>
    <row r="5757" customFormat="false" ht="15" hidden="false" customHeight="true" outlineLevel="0" collapsed="false">
      <c r="A5757" s="163" t="s">
        <v>3046</v>
      </c>
      <c r="B5757" s="163" t="s">
        <v>926</v>
      </c>
      <c r="C5757" s="163" t="s">
        <v>285</v>
      </c>
      <c r="D5757" s="163" t="s">
        <v>2408</v>
      </c>
      <c r="E5757" s="164" t="n">
        <v>10000</v>
      </c>
      <c r="F5757" s="165" t="s">
        <v>9761</v>
      </c>
    </row>
    <row r="5758" customFormat="false" ht="15" hidden="false" customHeight="true" outlineLevel="0" collapsed="false">
      <c r="A5758" s="163" t="s">
        <v>3046</v>
      </c>
      <c r="B5758" s="163" t="s">
        <v>926</v>
      </c>
      <c r="C5758" s="163" t="s">
        <v>8311</v>
      </c>
      <c r="D5758" s="163" t="s">
        <v>8312</v>
      </c>
      <c r="E5758" s="164" t="n">
        <v>10000</v>
      </c>
      <c r="F5758" s="165" t="s">
        <v>3060</v>
      </c>
    </row>
    <row r="5759" customFormat="false" ht="15" hidden="false" customHeight="true" outlineLevel="0" collapsed="false">
      <c r="A5759" s="163" t="s">
        <v>3046</v>
      </c>
      <c r="B5759" s="163" t="s">
        <v>957</v>
      </c>
      <c r="C5759" s="163" t="s">
        <v>9762</v>
      </c>
      <c r="D5759" s="163" t="s">
        <v>9763</v>
      </c>
      <c r="E5759" s="164" t="n">
        <v>15000</v>
      </c>
      <c r="F5759" s="165" t="s">
        <v>9764</v>
      </c>
    </row>
    <row r="5760" customFormat="false" ht="15" hidden="false" customHeight="true" outlineLevel="0" collapsed="false">
      <c r="A5760" s="163" t="s">
        <v>3046</v>
      </c>
      <c r="B5760" s="163" t="s">
        <v>957</v>
      </c>
      <c r="C5760" s="163" t="s">
        <v>3354</v>
      </c>
      <c r="D5760" s="163" t="s">
        <v>1931</v>
      </c>
      <c r="E5760" s="164" t="n">
        <v>15000</v>
      </c>
      <c r="F5760" s="165" t="s">
        <v>3060</v>
      </c>
    </row>
    <row r="5761" customFormat="false" ht="15" hidden="false" customHeight="true" outlineLevel="0" collapsed="false">
      <c r="A5761" s="163" t="s">
        <v>3046</v>
      </c>
      <c r="B5761" s="163" t="s">
        <v>957</v>
      </c>
      <c r="C5761" s="163" t="s">
        <v>9765</v>
      </c>
      <c r="D5761" s="163" t="s">
        <v>9766</v>
      </c>
      <c r="E5761" s="164" t="n">
        <v>10000</v>
      </c>
      <c r="F5761" s="165" t="s">
        <v>3060</v>
      </c>
    </row>
    <row r="5762" customFormat="false" ht="15" hidden="false" customHeight="true" outlineLevel="0" collapsed="false">
      <c r="A5762" s="163" t="s">
        <v>3046</v>
      </c>
      <c r="B5762" s="163" t="s">
        <v>957</v>
      </c>
      <c r="C5762" s="163" t="s">
        <v>3080</v>
      </c>
      <c r="D5762" s="163" t="s">
        <v>3081</v>
      </c>
      <c r="E5762" s="164" t="n">
        <v>10000</v>
      </c>
      <c r="F5762" s="165" t="s">
        <v>3060</v>
      </c>
    </row>
    <row r="5763" customFormat="false" ht="15" hidden="false" customHeight="true" outlineLevel="0" collapsed="false">
      <c r="A5763" s="163" t="s">
        <v>3046</v>
      </c>
      <c r="B5763" s="163" t="s">
        <v>957</v>
      </c>
      <c r="C5763" s="163" t="s">
        <v>3082</v>
      </c>
      <c r="D5763" s="163" t="s">
        <v>3083</v>
      </c>
      <c r="E5763" s="164" t="n">
        <v>10000</v>
      </c>
      <c r="F5763" s="165" t="s">
        <v>9767</v>
      </c>
    </row>
    <row r="5764" customFormat="false" ht="15" hidden="false" customHeight="true" outlineLevel="0" collapsed="false">
      <c r="A5764" s="163" t="s">
        <v>3046</v>
      </c>
      <c r="B5764" s="163" t="s">
        <v>957</v>
      </c>
      <c r="C5764" s="163" t="s">
        <v>9768</v>
      </c>
      <c r="D5764" s="163" t="s">
        <v>9769</v>
      </c>
      <c r="E5764" s="164" t="n">
        <v>10000</v>
      </c>
      <c r="F5764" s="165" t="s">
        <v>3060</v>
      </c>
    </row>
    <row r="5765" customFormat="false" ht="15" hidden="false" customHeight="true" outlineLevel="0" collapsed="false">
      <c r="A5765" s="163" t="s">
        <v>3046</v>
      </c>
      <c r="B5765" s="163" t="s">
        <v>957</v>
      </c>
      <c r="C5765" s="163" t="s">
        <v>9770</v>
      </c>
      <c r="D5765" s="163" t="s">
        <v>9771</v>
      </c>
      <c r="E5765" s="164" t="n">
        <v>10000</v>
      </c>
      <c r="F5765" s="165" t="s">
        <v>3060</v>
      </c>
    </row>
    <row r="5766" customFormat="false" ht="15" hidden="false" customHeight="true" outlineLevel="0" collapsed="false">
      <c r="A5766" s="163" t="s">
        <v>3046</v>
      </c>
      <c r="B5766" s="163" t="s">
        <v>957</v>
      </c>
      <c r="C5766" s="163" t="s">
        <v>4363</v>
      </c>
      <c r="D5766" s="163" t="s">
        <v>4364</v>
      </c>
      <c r="E5766" s="164" t="n">
        <v>10000</v>
      </c>
      <c r="F5766" s="165" t="s">
        <v>3060</v>
      </c>
    </row>
    <row r="5767" customFormat="false" ht="15" hidden="false" customHeight="true" outlineLevel="0" collapsed="false">
      <c r="A5767" s="163" t="s">
        <v>3046</v>
      </c>
      <c r="B5767" s="163" t="s">
        <v>957</v>
      </c>
      <c r="C5767" s="163" t="s">
        <v>3276</v>
      </c>
      <c r="D5767" s="163" t="s">
        <v>3277</v>
      </c>
      <c r="E5767" s="164" t="n">
        <v>5000</v>
      </c>
      <c r="F5767" s="165" t="s">
        <v>3060</v>
      </c>
    </row>
    <row r="5768" customFormat="false" ht="15" hidden="false" customHeight="true" outlineLevel="0" collapsed="false">
      <c r="A5768" s="163" t="s">
        <v>3046</v>
      </c>
      <c r="B5768" s="163" t="s">
        <v>957</v>
      </c>
      <c r="C5768" s="163" t="s">
        <v>9772</v>
      </c>
      <c r="D5768" s="163" t="s">
        <v>9773</v>
      </c>
      <c r="E5768" s="164" t="n">
        <v>5000</v>
      </c>
      <c r="F5768" s="165" t="s">
        <v>3060</v>
      </c>
    </row>
    <row r="5769" customFormat="false" ht="15" hidden="false" customHeight="true" outlineLevel="0" collapsed="false">
      <c r="A5769" s="163" t="s">
        <v>3046</v>
      </c>
      <c r="B5769" s="163" t="s">
        <v>957</v>
      </c>
      <c r="C5769" s="163" t="s">
        <v>5139</v>
      </c>
      <c r="D5769" s="163" t="s">
        <v>5140</v>
      </c>
      <c r="E5769" s="164" t="n">
        <v>5000</v>
      </c>
      <c r="F5769" s="165" t="s">
        <v>3060</v>
      </c>
    </row>
    <row r="5770" customFormat="false" ht="15" hidden="false" customHeight="true" outlineLevel="0" collapsed="false">
      <c r="A5770" s="163" t="s">
        <v>3046</v>
      </c>
      <c r="B5770" s="163" t="s">
        <v>957</v>
      </c>
      <c r="C5770" s="163" t="s">
        <v>9774</v>
      </c>
      <c r="D5770" s="163" t="s">
        <v>9775</v>
      </c>
      <c r="E5770" s="164" t="n">
        <v>5000</v>
      </c>
      <c r="F5770" s="165" t="s">
        <v>3060</v>
      </c>
    </row>
    <row r="5771" customFormat="false" ht="15" hidden="false" customHeight="true" outlineLevel="0" collapsed="false">
      <c r="A5771" s="163" t="s">
        <v>3046</v>
      </c>
      <c r="B5771" s="163" t="s">
        <v>945</v>
      </c>
      <c r="C5771" s="163" t="s">
        <v>9776</v>
      </c>
      <c r="D5771" s="163" t="s">
        <v>9777</v>
      </c>
      <c r="E5771" s="164" t="n">
        <v>15000</v>
      </c>
      <c r="F5771" s="165" t="s">
        <v>3060</v>
      </c>
    </row>
    <row r="5772" customFormat="false" ht="15" hidden="false" customHeight="true" outlineLevel="0" collapsed="false">
      <c r="A5772" s="163" t="s">
        <v>3046</v>
      </c>
      <c r="B5772" s="163" t="s">
        <v>945</v>
      </c>
      <c r="C5772" s="163" t="s">
        <v>3058</v>
      </c>
      <c r="D5772" s="163" t="s">
        <v>3059</v>
      </c>
      <c r="E5772" s="164" t="n">
        <v>10000</v>
      </c>
      <c r="F5772" s="165" t="s">
        <v>3060</v>
      </c>
    </row>
    <row r="5773" customFormat="false" ht="15" hidden="false" customHeight="true" outlineLevel="0" collapsed="false">
      <c r="A5773" s="163" t="s">
        <v>3046</v>
      </c>
      <c r="B5773" s="163" t="s">
        <v>945</v>
      </c>
      <c r="C5773" s="163" t="s">
        <v>9778</v>
      </c>
      <c r="D5773" s="163" t="s">
        <v>9779</v>
      </c>
      <c r="E5773" s="164" t="n">
        <v>10000</v>
      </c>
      <c r="F5773" s="165" t="s">
        <v>3060</v>
      </c>
    </row>
    <row r="5774" customFormat="false" ht="15" hidden="false" customHeight="true" outlineLevel="0" collapsed="false">
      <c r="A5774" s="163" t="s">
        <v>3046</v>
      </c>
      <c r="B5774" s="163" t="s">
        <v>945</v>
      </c>
      <c r="C5774" s="163" t="s">
        <v>9780</v>
      </c>
      <c r="D5774" s="163" t="s">
        <v>9781</v>
      </c>
      <c r="E5774" s="164" t="n">
        <v>10000</v>
      </c>
      <c r="F5774" s="165" t="s">
        <v>3060</v>
      </c>
    </row>
    <row r="5775" customFormat="false" ht="15" hidden="false" customHeight="true" outlineLevel="0" collapsed="false">
      <c r="A5775" s="163" t="s">
        <v>3046</v>
      </c>
      <c r="B5775" s="163" t="s">
        <v>945</v>
      </c>
      <c r="C5775" s="163" t="s">
        <v>9782</v>
      </c>
      <c r="D5775" s="163" t="s">
        <v>9783</v>
      </c>
      <c r="E5775" s="164" t="n">
        <v>10000</v>
      </c>
      <c r="F5775" s="165" t="s">
        <v>3060</v>
      </c>
    </row>
    <row r="5776" customFormat="false" ht="15" hidden="false" customHeight="true" outlineLevel="0" collapsed="false">
      <c r="A5776" s="163" t="s">
        <v>3046</v>
      </c>
      <c r="B5776" s="163" t="s">
        <v>945</v>
      </c>
      <c r="C5776" s="163" t="s">
        <v>9759</v>
      </c>
      <c r="D5776" s="163" t="s">
        <v>9760</v>
      </c>
      <c r="E5776" s="164" t="n">
        <v>5000</v>
      </c>
      <c r="F5776" s="165" t="s">
        <v>3060</v>
      </c>
    </row>
    <row r="5777" customFormat="false" ht="15" hidden="false" customHeight="true" outlineLevel="0" collapsed="false">
      <c r="A5777" s="163" t="s">
        <v>3046</v>
      </c>
      <c r="B5777" s="163" t="s">
        <v>945</v>
      </c>
      <c r="C5777" s="163" t="s">
        <v>3122</v>
      </c>
      <c r="D5777" s="163" t="s">
        <v>3123</v>
      </c>
      <c r="E5777" s="164" t="n">
        <v>5000</v>
      </c>
      <c r="F5777" s="165" t="s">
        <v>3060</v>
      </c>
    </row>
    <row r="5778" customFormat="false" ht="15" hidden="false" customHeight="true" outlineLevel="0" collapsed="false">
      <c r="A5778" s="163" t="s">
        <v>3046</v>
      </c>
      <c r="B5778" s="163" t="s">
        <v>945</v>
      </c>
      <c r="C5778" s="163" t="s">
        <v>3368</v>
      </c>
      <c r="D5778" s="163" t="s">
        <v>3369</v>
      </c>
      <c r="E5778" s="164" t="n">
        <v>5000</v>
      </c>
      <c r="F5778" s="165" t="s">
        <v>9784</v>
      </c>
    </row>
    <row r="5779" customFormat="false" ht="15" hidden="false" customHeight="true" outlineLevel="0" collapsed="false">
      <c r="A5779" s="163" t="s">
        <v>3046</v>
      </c>
      <c r="B5779" s="163" t="s">
        <v>945</v>
      </c>
      <c r="C5779" s="163" t="s">
        <v>9785</v>
      </c>
      <c r="D5779" s="163" t="s">
        <v>9786</v>
      </c>
      <c r="E5779" s="164" t="n">
        <v>5000</v>
      </c>
      <c r="F5779" s="165" t="s">
        <v>3060</v>
      </c>
    </row>
    <row r="5780" customFormat="false" ht="15" hidden="false" customHeight="true" outlineLevel="0" collapsed="false">
      <c r="A5780" s="163" t="s">
        <v>3046</v>
      </c>
      <c r="B5780" s="163" t="s">
        <v>3111</v>
      </c>
      <c r="C5780" s="163" t="s">
        <v>5879</v>
      </c>
      <c r="D5780" s="163" t="s">
        <v>5880</v>
      </c>
      <c r="E5780" s="164" t="n">
        <v>15000</v>
      </c>
      <c r="F5780" s="165" t="s">
        <v>3060</v>
      </c>
    </row>
    <row r="5781" customFormat="false" ht="15" hidden="false" customHeight="true" outlineLevel="0" collapsed="false">
      <c r="A5781" s="163" t="s">
        <v>3046</v>
      </c>
      <c r="B5781" s="163" t="s">
        <v>3111</v>
      </c>
      <c r="C5781" s="163" t="s">
        <v>9787</v>
      </c>
      <c r="D5781" s="163" t="s">
        <v>9788</v>
      </c>
      <c r="E5781" s="164" t="n">
        <v>15000</v>
      </c>
      <c r="F5781" s="165" t="s">
        <v>3060</v>
      </c>
    </row>
    <row r="5782" customFormat="false" ht="15" hidden="false" customHeight="true" outlineLevel="0" collapsed="false">
      <c r="A5782" s="163" t="s">
        <v>3046</v>
      </c>
      <c r="B5782" s="163" t="s">
        <v>3111</v>
      </c>
      <c r="C5782" s="163" t="s">
        <v>9789</v>
      </c>
      <c r="D5782" s="163" t="s">
        <v>9790</v>
      </c>
      <c r="E5782" s="164" t="n">
        <v>10000</v>
      </c>
      <c r="F5782" s="165" t="s">
        <v>3060</v>
      </c>
    </row>
    <row r="5783" customFormat="false" ht="15" hidden="false" customHeight="true" outlineLevel="0" collapsed="false">
      <c r="A5783" s="163" t="s">
        <v>3046</v>
      </c>
      <c r="B5783" s="163" t="s">
        <v>3111</v>
      </c>
      <c r="C5783" s="163" t="s">
        <v>7307</v>
      </c>
      <c r="D5783" s="163" t="s">
        <v>7308</v>
      </c>
      <c r="E5783" s="164" t="n">
        <v>10000</v>
      </c>
      <c r="F5783" s="165" t="s">
        <v>3060</v>
      </c>
    </row>
    <row r="5784" customFormat="false" ht="15" hidden="false" customHeight="true" outlineLevel="0" collapsed="false">
      <c r="A5784" s="163" t="s">
        <v>3046</v>
      </c>
      <c r="B5784" s="163" t="s">
        <v>3111</v>
      </c>
      <c r="C5784" s="163" t="s">
        <v>9791</v>
      </c>
      <c r="D5784" s="163" t="s">
        <v>9792</v>
      </c>
      <c r="E5784" s="164" t="n">
        <v>10000</v>
      </c>
      <c r="F5784" s="165" t="s">
        <v>3060</v>
      </c>
    </row>
    <row r="5785" customFormat="false" ht="15" hidden="false" customHeight="true" outlineLevel="0" collapsed="false">
      <c r="A5785" s="163" t="s">
        <v>3046</v>
      </c>
      <c r="B5785" s="163" t="s">
        <v>3111</v>
      </c>
      <c r="C5785" s="163" t="s">
        <v>3168</v>
      </c>
      <c r="D5785" s="163" t="s">
        <v>3169</v>
      </c>
      <c r="E5785" s="164" t="n">
        <v>10000</v>
      </c>
      <c r="F5785" s="165" t="s">
        <v>3060</v>
      </c>
    </row>
    <row r="5786" customFormat="false" ht="15" hidden="false" customHeight="true" outlineLevel="0" collapsed="false">
      <c r="A5786" s="163" t="s">
        <v>3046</v>
      </c>
      <c r="B5786" s="163" t="s">
        <v>3111</v>
      </c>
      <c r="C5786" s="163" t="s">
        <v>9793</v>
      </c>
      <c r="D5786" s="163" t="s">
        <v>9794</v>
      </c>
      <c r="E5786" s="164" t="n">
        <v>10000</v>
      </c>
      <c r="F5786" s="165" t="s">
        <v>3060</v>
      </c>
    </row>
    <row r="5787" customFormat="false" ht="15" hidden="false" customHeight="true" outlineLevel="0" collapsed="false">
      <c r="A5787" s="163" t="s">
        <v>3046</v>
      </c>
      <c r="B5787" s="163" t="s">
        <v>3111</v>
      </c>
      <c r="C5787" s="163" t="s">
        <v>9795</v>
      </c>
      <c r="D5787" s="163" t="s">
        <v>9796</v>
      </c>
      <c r="E5787" s="164" t="n">
        <v>10000</v>
      </c>
      <c r="F5787" s="165" t="s">
        <v>3060</v>
      </c>
    </row>
    <row r="5788" customFormat="false" ht="15" hidden="false" customHeight="true" outlineLevel="0" collapsed="false">
      <c r="A5788" s="163" t="s">
        <v>3046</v>
      </c>
      <c r="B5788" s="163" t="s">
        <v>3111</v>
      </c>
      <c r="C5788" s="163" t="s">
        <v>7433</v>
      </c>
      <c r="D5788" s="163" t="s">
        <v>7434</v>
      </c>
      <c r="E5788" s="164" t="n">
        <v>10000</v>
      </c>
      <c r="F5788" s="165" t="s">
        <v>3060</v>
      </c>
    </row>
    <row r="5789" customFormat="false" ht="15" hidden="false" customHeight="true" outlineLevel="0" collapsed="false">
      <c r="A5789" s="163" t="s">
        <v>3046</v>
      </c>
      <c r="B5789" s="163" t="s">
        <v>1938</v>
      </c>
      <c r="C5789" s="163" t="s">
        <v>3284</v>
      </c>
      <c r="D5789" s="163" t="s">
        <v>3285</v>
      </c>
      <c r="E5789" s="164" t="n">
        <v>20000</v>
      </c>
      <c r="F5789" s="165" t="s">
        <v>9797</v>
      </c>
    </row>
    <row r="5790" customFormat="false" ht="15" hidden="false" customHeight="true" outlineLevel="0" collapsed="false">
      <c r="A5790" s="163" t="s">
        <v>3046</v>
      </c>
      <c r="B5790" s="163" t="s">
        <v>1938</v>
      </c>
      <c r="C5790" s="163" t="s">
        <v>481</v>
      </c>
      <c r="D5790" s="163" t="s">
        <v>2411</v>
      </c>
      <c r="E5790" s="164" t="n">
        <v>20000</v>
      </c>
      <c r="F5790" s="165" t="s">
        <v>9798</v>
      </c>
    </row>
    <row r="5791" customFormat="false" ht="15" hidden="false" customHeight="true" outlineLevel="0" collapsed="false">
      <c r="A5791" s="163" t="s">
        <v>3046</v>
      </c>
      <c r="B5791" s="163" t="s">
        <v>1938</v>
      </c>
      <c r="C5791" s="163" t="s">
        <v>9799</v>
      </c>
      <c r="D5791" s="163" t="s">
        <v>9800</v>
      </c>
      <c r="E5791" s="164" t="n">
        <v>20000</v>
      </c>
      <c r="F5791" s="165" t="s">
        <v>3060</v>
      </c>
    </row>
    <row r="5792" customFormat="false" ht="15" hidden="false" customHeight="true" outlineLevel="0" collapsed="false">
      <c r="A5792" s="163" t="s">
        <v>3046</v>
      </c>
      <c r="B5792" s="163" t="s">
        <v>1938</v>
      </c>
      <c r="C5792" s="163" t="s">
        <v>9801</v>
      </c>
      <c r="D5792" s="163" t="s">
        <v>9802</v>
      </c>
      <c r="E5792" s="164" t="n">
        <v>20000</v>
      </c>
      <c r="F5792" s="165" t="s">
        <v>9803</v>
      </c>
    </row>
    <row r="5793" customFormat="false" ht="15" hidden="false" customHeight="true" outlineLevel="0" collapsed="false">
      <c r="A5793" s="163" t="s">
        <v>3046</v>
      </c>
      <c r="B5793" s="163" t="s">
        <v>1938</v>
      </c>
      <c r="C5793" s="163" t="s">
        <v>3835</v>
      </c>
      <c r="D5793" s="163" t="s">
        <v>3836</v>
      </c>
      <c r="E5793" s="164" t="n">
        <v>20000</v>
      </c>
      <c r="F5793" s="165" t="s">
        <v>9804</v>
      </c>
    </row>
    <row r="5794" customFormat="false" ht="15" hidden="false" customHeight="true" outlineLevel="0" collapsed="false">
      <c r="A5794" s="163" t="s">
        <v>3046</v>
      </c>
      <c r="B5794" s="163" t="s">
        <v>1938</v>
      </c>
      <c r="C5794" s="163" t="s">
        <v>9805</v>
      </c>
      <c r="D5794" s="163" t="s">
        <v>9806</v>
      </c>
      <c r="E5794" s="164" t="n">
        <v>20000</v>
      </c>
      <c r="F5794" s="165" t="s">
        <v>9807</v>
      </c>
    </row>
    <row r="5795" customFormat="false" ht="15" hidden="false" customHeight="true" outlineLevel="0" collapsed="false">
      <c r="A5795" s="163" t="s">
        <v>3046</v>
      </c>
      <c r="B5795" s="163" t="s">
        <v>1938</v>
      </c>
      <c r="C5795" s="163" t="s">
        <v>9808</v>
      </c>
      <c r="D5795" s="163" t="s">
        <v>9809</v>
      </c>
      <c r="E5795" s="164" t="n">
        <v>20000</v>
      </c>
      <c r="F5795" s="165" t="s">
        <v>9810</v>
      </c>
    </row>
    <row r="5796" customFormat="false" ht="15" hidden="false" customHeight="true" outlineLevel="0" collapsed="false">
      <c r="A5796" s="163" t="s">
        <v>3046</v>
      </c>
      <c r="B5796" s="163" t="s">
        <v>1938</v>
      </c>
      <c r="C5796" s="163" t="s">
        <v>3129</v>
      </c>
      <c r="D5796" s="163" t="s">
        <v>3130</v>
      </c>
      <c r="E5796" s="164" t="n">
        <v>20000</v>
      </c>
      <c r="F5796" s="165" t="s">
        <v>9811</v>
      </c>
    </row>
    <row r="5797" customFormat="false" ht="15" hidden="false" customHeight="true" outlineLevel="0" collapsed="false">
      <c r="A5797" s="163" t="s">
        <v>3046</v>
      </c>
      <c r="B5797" s="163" t="s">
        <v>1938</v>
      </c>
      <c r="C5797" s="163" t="s">
        <v>9812</v>
      </c>
      <c r="D5797" s="163" t="s">
        <v>9813</v>
      </c>
      <c r="E5797" s="164" t="n">
        <v>20000</v>
      </c>
      <c r="F5797" s="165" t="s">
        <v>9814</v>
      </c>
    </row>
    <row r="5798" customFormat="false" ht="15" hidden="false" customHeight="true" outlineLevel="0" collapsed="false">
      <c r="A5798" s="163" t="s">
        <v>3046</v>
      </c>
      <c r="B5798" s="163" t="s">
        <v>1938</v>
      </c>
      <c r="C5798" s="163" t="s">
        <v>9815</v>
      </c>
      <c r="D5798" s="163" t="s">
        <v>9816</v>
      </c>
      <c r="E5798" s="164" t="n">
        <v>20000</v>
      </c>
      <c r="F5798" s="165" t="s">
        <v>9817</v>
      </c>
    </row>
    <row r="5799" customFormat="false" ht="15" hidden="false" customHeight="true" outlineLevel="0" collapsed="false">
      <c r="A5799" s="163" t="s">
        <v>3046</v>
      </c>
      <c r="B5799" s="163" t="s">
        <v>1938</v>
      </c>
      <c r="C5799" s="163" t="s">
        <v>9818</v>
      </c>
      <c r="D5799" s="163" t="s">
        <v>9819</v>
      </c>
      <c r="E5799" s="164" t="n">
        <v>10000</v>
      </c>
      <c r="F5799" s="165" t="s">
        <v>3060</v>
      </c>
    </row>
    <row r="5800" customFormat="false" ht="15" hidden="false" customHeight="true" outlineLevel="0" collapsed="false">
      <c r="A5800" s="163" t="s">
        <v>3046</v>
      </c>
      <c r="B5800" s="163" t="s">
        <v>691</v>
      </c>
      <c r="C5800" s="163" t="s">
        <v>9820</v>
      </c>
      <c r="D5800" s="163" t="s">
        <v>9821</v>
      </c>
      <c r="E5800" s="164" t="n">
        <v>10000</v>
      </c>
      <c r="F5800" s="165" t="s">
        <v>3060</v>
      </c>
    </row>
    <row r="5801" customFormat="false" ht="15" hidden="false" customHeight="true" outlineLevel="0" collapsed="false">
      <c r="A5801" s="163" t="s">
        <v>3046</v>
      </c>
      <c r="B5801" s="163" t="s">
        <v>691</v>
      </c>
      <c r="C5801" s="163" t="s">
        <v>8290</v>
      </c>
      <c r="D5801" s="163" t="s">
        <v>8291</v>
      </c>
      <c r="E5801" s="164" t="n">
        <v>10000</v>
      </c>
      <c r="F5801" s="165" t="s">
        <v>3060</v>
      </c>
    </row>
    <row r="5802" customFormat="false" ht="15" hidden="false" customHeight="true" outlineLevel="0" collapsed="false">
      <c r="A5802" s="163" t="s">
        <v>3046</v>
      </c>
      <c r="B5802" s="163" t="s">
        <v>691</v>
      </c>
      <c r="C5802" s="163" t="s">
        <v>3137</v>
      </c>
      <c r="D5802" s="163" t="s">
        <v>3138</v>
      </c>
      <c r="E5802" s="164" t="n">
        <v>10000</v>
      </c>
      <c r="F5802" s="165" t="s">
        <v>3060</v>
      </c>
    </row>
    <row r="5803" customFormat="false" ht="15" hidden="false" customHeight="true" outlineLevel="0" collapsed="false">
      <c r="A5803" s="163" t="s">
        <v>3046</v>
      </c>
      <c r="B5803" s="163" t="s">
        <v>691</v>
      </c>
      <c r="C5803" s="163" t="s">
        <v>9822</v>
      </c>
      <c r="D5803" s="163" t="s">
        <v>9823</v>
      </c>
      <c r="E5803" s="164" t="n">
        <v>10000</v>
      </c>
      <c r="F5803" s="165" t="s">
        <v>3060</v>
      </c>
    </row>
    <row r="5804" customFormat="false" ht="15" hidden="false" customHeight="true" outlineLevel="0" collapsed="false">
      <c r="A5804" s="163" t="s">
        <v>3046</v>
      </c>
      <c r="B5804" s="163" t="s">
        <v>691</v>
      </c>
      <c r="C5804" s="163" t="s">
        <v>3155</v>
      </c>
      <c r="D5804" s="163" t="s">
        <v>3156</v>
      </c>
      <c r="E5804" s="164" t="n">
        <v>10000</v>
      </c>
      <c r="F5804" s="165" t="s">
        <v>3060</v>
      </c>
    </row>
    <row r="5805" customFormat="false" ht="15" hidden="false" customHeight="true" outlineLevel="0" collapsed="false">
      <c r="A5805" s="163" t="s">
        <v>3046</v>
      </c>
      <c r="B5805" s="163" t="s">
        <v>691</v>
      </c>
      <c r="C5805" s="163" t="s">
        <v>3153</v>
      </c>
      <c r="D5805" s="163" t="s">
        <v>3154</v>
      </c>
      <c r="E5805" s="164" t="n">
        <v>10000</v>
      </c>
      <c r="F5805" s="165" t="s">
        <v>3060</v>
      </c>
    </row>
    <row r="5806" customFormat="false" ht="15" hidden="false" customHeight="true" outlineLevel="0" collapsed="false">
      <c r="A5806" s="163" t="s">
        <v>3046</v>
      </c>
      <c r="B5806" s="163" t="s">
        <v>691</v>
      </c>
      <c r="C5806" s="163" t="s">
        <v>9824</v>
      </c>
      <c r="D5806" s="163" t="s">
        <v>9825</v>
      </c>
      <c r="E5806" s="164" t="n">
        <v>10000</v>
      </c>
      <c r="F5806" s="165" t="s">
        <v>3060</v>
      </c>
    </row>
    <row r="5807" customFormat="false" ht="15" hidden="false" customHeight="true" outlineLevel="0" collapsed="false">
      <c r="A5807" s="163" t="s">
        <v>3046</v>
      </c>
      <c r="B5807" s="163" t="s">
        <v>691</v>
      </c>
      <c r="C5807" s="163" t="s">
        <v>9826</v>
      </c>
      <c r="D5807" s="163" t="s">
        <v>9827</v>
      </c>
      <c r="E5807" s="164" t="n">
        <v>10000</v>
      </c>
      <c r="F5807" s="165" t="s">
        <v>3060</v>
      </c>
    </row>
    <row r="5808" customFormat="false" ht="15" hidden="false" customHeight="true" outlineLevel="0" collapsed="false">
      <c r="A5808" s="163" t="s">
        <v>3046</v>
      </c>
      <c r="B5808" s="163" t="s">
        <v>2027</v>
      </c>
      <c r="C5808" s="163" t="s">
        <v>8324</v>
      </c>
      <c r="D5808" s="163" t="s">
        <v>8325</v>
      </c>
      <c r="E5808" s="164" t="n">
        <v>20000</v>
      </c>
      <c r="F5808" s="165" t="s">
        <v>3060</v>
      </c>
    </row>
    <row r="5809" customFormat="false" ht="15" hidden="false" customHeight="true" outlineLevel="0" collapsed="false">
      <c r="A5809" s="163" t="s">
        <v>3046</v>
      </c>
      <c r="B5809" s="163" t="s">
        <v>2027</v>
      </c>
      <c r="C5809" s="163" t="s">
        <v>3324</v>
      </c>
      <c r="D5809" s="163" t="s">
        <v>3325</v>
      </c>
      <c r="E5809" s="164" t="n">
        <v>20000</v>
      </c>
      <c r="F5809" s="165" t="s">
        <v>3060</v>
      </c>
    </row>
    <row r="5810" customFormat="false" ht="15" hidden="false" customHeight="true" outlineLevel="0" collapsed="false">
      <c r="A5810" s="163" t="s">
        <v>3046</v>
      </c>
      <c r="B5810" s="163" t="s">
        <v>2037</v>
      </c>
      <c r="C5810" s="163" t="s">
        <v>4129</v>
      </c>
      <c r="D5810" s="163" t="s">
        <v>4130</v>
      </c>
      <c r="E5810" s="164" t="n">
        <v>30000</v>
      </c>
      <c r="F5810" s="165" t="s">
        <v>3060</v>
      </c>
    </row>
    <row r="5811" customFormat="false" ht="15" hidden="false" customHeight="true" outlineLevel="0" collapsed="false">
      <c r="A5811" s="163" t="s">
        <v>3046</v>
      </c>
      <c r="B5811" s="163" t="s">
        <v>2037</v>
      </c>
      <c r="C5811" s="163" t="s">
        <v>9828</v>
      </c>
      <c r="D5811" s="163" t="s">
        <v>9829</v>
      </c>
      <c r="E5811" s="164" t="n">
        <v>20000</v>
      </c>
      <c r="F5811" s="165" t="s">
        <v>3060</v>
      </c>
    </row>
    <row r="5812" customFormat="false" ht="15" hidden="false" customHeight="true" outlineLevel="0" collapsed="false">
      <c r="A5812" s="163" t="s">
        <v>3046</v>
      </c>
      <c r="B5812" s="163" t="s">
        <v>2037</v>
      </c>
      <c r="C5812" s="163" t="s">
        <v>372</v>
      </c>
      <c r="D5812" s="163" t="s">
        <v>2692</v>
      </c>
      <c r="E5812" s="164" t="n">
        <v>15000</v>
      </c>
      <c r="F5812" s="165" t="s">
        <v>9830</v>
      </c>
    </row>
    <row r="5813" customFormat="false" ht="15" hidden="false" customHeight="true" outlineLevel="0" collapsed="false">
      <c r="A5813" s="163" t="s">
        <v>3046</v>
      </c>
      <c r="B5813" s="163" t="s">
        <v>2037</v>
      </c>
      <c r="C5813" s="163" t="s">
        <v>9831</v>
      </c>
      <c r="D5813" s="163" t="s">
        <v>9832</v>
      </c>
      <c r="E5813" s="164" t="n">
        <v>10000</v>
      </c>
      <c r="F5813" s="165" t="s">
        <v>3060</v>
      </c>
    </row>
    <row r="5814" customFormat="false" ht="15" hidden="false" customHeight="true" outlineLevel="0" collapsed="false">
      <c r="A5814" s="163" t="s">
        <v>3046</v>
      </c>
      <c r="B5814" s="163" t="s">
        <v>2037</v>
      </c>
      <c r="C5814" s="163" t="s">
        <v>9791</v>
      </c>
      <c r="D5814" s="163" t="s">
        <v>9792</v>
      </c>
      <c r="E5814" s="164" t="n">
        <v>10000</v>
      </c>
      <c r="F5814" s="165" t="s">
        <v>3060</v>
      </c>
    </row>
    <row r="5815" customFormat="false" ht="15" hidden="false" customHeight="true" outlineLevel="0" collapsed="false">
      <c r="A5815" s="163" t="s">
        <v>3046</v>
      </c>
      <c r="B5815" s="163" t="s">
        <v>2037</v>
      </c>
      <c r="C5815" s="163" t="s">
        <v>5139</v>
      </c>
      <c r="D5815" s="163" t="s">
        <v>5140</v>
      </c>
      <c r="E5815" s="164" t="n">
        <v>10000</v>
      </c>
      <c r="F5815" s="165" t="s">
        <v>3060</v>
      </c>
    </row>
    <row r="5816" customFormat="false" ht="15" hidden="false" customHeight="true" outlineLevel="0" collapsed="false">
      <c r="A5816" s="163" t="s">
        <v>3046</v>
      </c>
      <c r="B5816" s="163" t="s">
        <v>2037</v>
      </c>
      <c r="C5816" s="163" t="s">
        <v>4448</v>
      </c>
      <c r="D5816" s="163" t="s">
        <v>4449</v>
      </c>
      <c r="E5816" s="164" t="n">
        <v>10000</v>
      </c>
      <c r="F5816" s="165" t="s">
        <v>3060</v>
      </c>
    </row>
    <row r="5817" customFormat="false" ht="15" hidden="false" customHeight="true" outlineLevel="0" collapsed="false">
      <c r="A5817" s="163" t="s">
        <v>3046</v>
      </c>
      <c r="B5817" s="163" t="s">
        <v>2037</v>
      </c>
      <c r="C5817" s="163" t="s">
        <v>9833</v>
      </c>
      <c r="D5817" s="163" t="s">
        <v>9834</v>
      </c>
      <c r="E5817" s="164" t="n">
        <v>10000</v>
      </c>
      <c r="F5817" s="165" t="s">
        <v>3060</v>
      </c>
    </row>
    <row r="5818" customFormat="false" ht="15" hidden="false" customHeight="true" outlineLevel="0" collapsed="false">
      <c r="A5818" s="163" t="s">
        <v>3046</v>
      </c>
      <c r="B5818" s="163" t="s">
        <v>894</v>
      </c>
      <c r="C5818" s="163" t="s">
        <v>3245</v>
      </c>
      <c r="D5818" s="163" t="s">
        <v>3246</v>
      </c>
      <c r="E5818" s="164" t="n">
        <v>20000</v>
      </c>
      <c r="F5818" s="165" t="s">
        <v>3060</v>
      </c>
    </row>
    <row r="5819" customFormat="false" ht="15" hidden="false" customHeight="true" outlineLevel="0" collapsed="false">
      <c r="A5819" s="163" t="s">
        <v>3046</v>
      </c>
      <c r="B5819" s="163" t="s">
        <v>894</v>
      </c>
      <c r="C5819" s="163" t="s">
        <v>9835</v>
      </c>
      <c r="D5819" s="163" t="s">
        <v>9836</v>
      </c>
      <c r="E5819" s="164" t="n">
        <v>20000</v>
      </c>
      <c r="F5819" s="165" t="s">
        <v>3060</v>
      </c>
    </row>
    <row r="5820" customFormat="false" ht="15" hidden="false" customHeight="true" outlineLevel="0" collapsed="false">
      <c r="A5820" s="163" t="s">
        <v>3046</v>
      </c>
      <c r="B5820" s="163" t="s">
        <v>894</v>
      </c>
      <c r="C5820" s="163" t="s">
        <v>9837</v>
      </c>
      <c r="D5820" s="163" t="s">
        <v>9838</v>
      </c>
      <c r="E5820" s="164" t="n">
        <v>15000</v>
      </c>
      <c r="F5820" s="165" t="s">
        <v>3060</v>
      </c>
    </row>
    <row r="5821" customFormat="false" ht="15" hidden="false" customHeight="true" outlineLevel="0" collapsed="false">
      <c r="A5821" s="163" t="s">
        <v>3046</v>
      </c>
      <c r="B5821" s="163" t="s">
        <v>894</v>
      </c>
      <c r="C5821" s="163" t="s">
        <v>9808</v>
      </c>
      <c r="D5821" s="163" t="s">
        <v>9809</v>
      </c>
      <c r="E5821" s="164" t="n">
        <v>15000</v>
      </c>
      <c r="F5821" s="165" t="s">
        <v>3060</v>
      </c>
    </row>
    <row r="5822" customFormat="false" ht="15" hidden="false" customHeight="true" outlineLevel="0" collapsed="false">
      <c r="A5822" s="163" t="s">
        <v>3046</v>
      </c>
      <c r="B5822" s="163" t="s">
        <v>894</v>
      </c>
      <c r="C5822" s="163" t="s">
        <v>9839</v>
      </c>
      <c r="D5822" s="163" t="s">
        <v>1931</v>
      </c>
      <c r="E5822" s="164" t="n">
        <v>15000</v>
      </c>
      <c r="F5822" s="165" t="s">
        <v>3060</v>
      </c>
    </row>
    <row r="5823" customFormat="false" ht="15" hidden="false" customHeight="true" outlineLevel="0" collapsed="false">
      <c r="A5823" s="163" t="s">
        <v>3046</v>
      </c>
      <c r="B5823" s="163" t="s">
        <v>894</v>
      </c>
      <c r="C5823" s="163" t="s">
        <v>9840</v>
      </c>
      <c r="D5823" s="163" t="s">
        <v>9841</v>
      </c>
      <c r="E5823" s="164" t="n">
        <v>10000</v>
      </c>
      <c r="F5823" s="165" t="s">
        <v>3060</v>
      </c>
    </row>
    <row r="5824" customFormat="false" ht="15" hidden="false" customHeight="true" outlineLevel="0" collapsed="false">
      <c r="A5824" s="163" t="s">
        <v>3046</v>
      </c>
      <c r="B5824" s="163" t="s">
        <v>894</v>
      </c>
      <c r="C5824" s="163" t="s">
        <v>9842</v>
      </c>
      <c r="D5824" s="163" t="s">
        <v>9843</v>
      </c>
      <c r="E5824" s="164" t="n">
        <v>10000</v>
      </c>
      <c r="F5824" s="165" t="s">
        <v>3060</v>
      </c>
    </row>
    <row r="5825" customFormat="false" ht="15" hidden="false" customHeight="true" outlineLevel="0" collapsed="false">
      <c r="A5825" s="163" t="s">
        <v>3046</v>
      </c>
      <c r="B5825" s="163" t="s">
        <v>894</v>
      </c>
      <c r="C5825" s="163" t="s">
        <v>9820</v>
      </c>
      <c r="D5825" s="163" t="s">
        <v>9821</v>
      </c>
      <c r="E5825" s="164" t="n">
        <v>10000</v>
      </c>
      <c r="F5825" s="165" t="s">
        <v>3060</v>
      </c>
    </row>
    <row r="5826" customFormat="false" ht="15" hidden="false" customHeight="true" outlineLevel="0" collapsed="false">
      <c r="A5826" s="163" t="s">
        <v>3046</v>
      </c>
      <c r="B5826" s="163" t="s">
        <v>894</v>
      </c>
      <c r="C5826" s="163" t="s">
        <v>9844</v>
      </c>
      <c r="D5826" s="163" t="s">
        <v>9845</v>
      </c>
      <c r="E5826" s="164" t="n">
        <v>10000</v>
      </c>
      <c r="F5826" s="165" t="s">
        <v>3060</v>
      </c>
    </row>
    <row r="5827" customFormat="false" ht="15" hidden="false" customHeight="true" outlineLevel="0" collapsed="false">
      <c r="A5827" s="163" t="s">
        <v>3046</v>
      </c>
      <c r="B5827" s="163" t="s">
        <v>894</v>
      </c>
      <c r="C5827" s="163" t="s">
        <v>9846</v>
      </c>
      <c r="D5827" s="163" t="s">
        <v>9847</v>
      </c>
      <c r="E5827" s="164" t="n">
        <v>10000</v>
      </c>
      <c r="F5827" s="165" t="s">
        <v>3060</v>
      </c>
    </row>
    <row r="5828" customFormat="false" ht="15" hidden="false" customHeight="true" outlineLevel="0" collapsed="false">
      <c r="A5828" s="163" t="s">
        <v>3046</v>
      </c>
      <c r="B5828" s="163" t="s">
        <v>894</v>
      </c>
      <c r="C5828" s="163" t="s">
        <v>9848</v>
      </c>
      <c r="D5828" s="163" t="s">
        <v>9849</v>
      </c>
      <c r="E5828" s="164" t="n">
        <v>10000</v>
      </c>
      <c r="F5828" s="165" t="s">
        <v>3060</v>
      </c>
    </row>
    <row r="5829" customFormat="false" ht="15" hidden="false" customHeight="true" outlineLevel="0" collapsed="false">
      <c r="A5829" s="163" t="s">
        <v>3046</v>
      </c>
      <c r="B5829" s="163" t="s">
        <v>894</v>
      </c>
      <c r="C5829" s="163" t="s">
        <v>8321</v>
      </c>
      <c r="D5829" s="163" t="s">
        <v>8322</v>
      </c>
      <c r="E5829" s="164" t="n">
        <v>10000</v>
      </c>
      <c r="F5829" s="165" t="s">
        <v>3060</v>
      </c>
    </row>
    <row r="5830" customFormat="false" ht="15" hidden="false" customHeight="true" outlineLevel="0" collapsed="false">
      <c r="A5830" s="163" t="s">
        <v>3046</v>
      </c>
      <c r="B5830" s="163" t="s">
        <v>894</v>
      </c>
      <c r="C5830" s="163" t="s">
        <v>9850</v>
      </c>
      <c r="D5830" s="163" t="s">
        <v>9851</v>
      </c>
      <c r="E5830" s="164" t="n">
        <v>10000</v>
      </c>
      <c r="F5830" s="165" t="s">
        <v>3060</v>
      </c>
    </row>
    <row r="5831" customFormat="false" ht="15" hidden="false" customHeight="true" outlineLevel="0" collapsed="false">
      <c r="A5831" s="163" t="s">
        <v>3046</v>
      </c>
      <c r="B5831" s="163" t="s">
        <v>894</v>
      </c>
      <c r="C5831" s="163" t="s">
        <v>5855</v>
      </c>
      <c r="D5831" s="163" t="s">
        <v>5856</v>
      </c>
      <c r="E5831" s="164" t="n">
        <v>10000</v>
      </c>
      <c r="F5831" s="165" t="s">
        <v>3060</v>
      </c>
    </row>
    <row r="5832" customFormat="false" ht="15" hidden="false" customHeight="true" outlineLevel="0" collapsed="false">
      <c r="A5832" s="163" t="s">
        <v>3046</v>
      </c>
      <c r="B5832" s="163" t="s">
        <v>894</v>
      </c>
      <c r="C5832" s="163" t="s">
        <v>9759</v>
      </c>
      <c r="D5832" s="163" t="s">
        <v>9760</v>
      </c>
      <c r="E5832" s="164" t="n">
        <v>10000</v>
      </c>
      <c r="F5832" s="165" t="s">
        <v>3060</v>
      </c>
    </row>
    <row r="5833" customFormat="false" ht="15" hidden="false" customHeight="true" outlineLevel="0" collapsed="false">
      <c r="A5833" s="163" t="s">
        <v>3046</v>
      </c>
      <c r="B5833" s="163" t="s">
        <v>894</v>
      </c>
      <c r="C5833" s="163" t="s">
        <v>3215</v>
      </c>
      <c r="D5833" s="163" t="s">
        <v>3216</v>
      </c>
      <c r="E5833" s="164" t="n">
        <v>10000</v>
      </c>
      <c r="F5833" s="165" t="s">
        <v>3060</v>
      </c>
    </row>
    <row r="5834" customFormat="false" ht="15" hidden="false" customHeight="true" outlineLevel="0" collapsed="false">
      <c r="A5834" s="163" t="s">
        <v>3046</v>
      </c>
      <c r="B5834" s="163" t="s">
        <v>894</v>
      </c>
      <c r="C5834" s="163" t="s">
        <v>9852</v>
      </c>
      <c r="D5834" s="163" t="s">
        <v>9853</v>
      </c>
      <c r="E5834" s="164" t="n">
        <v>10000</v>
      </c>
      <c r="F5834" s="165" t="s">
        <v>3060</v>
      </c>
    </row>
    <row r="5835" customFormat="false" ht="15" hidden="false" customHeight="true" outlineLevel="0" collapsed="false">
      <c r="A5835" s="163" t="s">
        <v>3046</v>
      </c>
      <c r="B5835" s="163" t="s">
        <v>894</v>
      </c>
      <c r="C5835" s="163" t="s">
        <v>9793</v>
      </c>
      <c r="D5835" s="163" t="s">
        <v>9794</v>
      </c>
      <c r="E5835" s="164" t="n">
        <v>10000</v>
      </c>
      <c r="F5835" s="165" t="s">
        <v>3060</v>
      </c>
    </row>
    <row r="5836" customFormat="false" ht="15" hidden="false" customHeight="true" outlineLevel="0" collapsed="false">
      <c r="A5836" s="163" t="s">
        <v>3046</v>
      </c>
      <c r="B5836" s="163" t="s">
        <v>894</v>
      </c>
      <c r="C5836" s="163" t="s">
        <v>9854</v>
      </c>
      <c r="D5836" s="163" t="s">
        <v>9855</v>
      </c>
      <c r="E5836" s="164" t="n">
        <v>10000</v>
      </c>
      <c r="F5836" s="165" t="s">
        <v>3060</v>
      </c>
    </row>
    <row r="5837" customFormat="false" ht="15" hidden="false" customHeight="true" outlineLevel="0" collapsed="false">
      <c r="A5837" s="163" t="s">
        <v>3046</v>
      </c>
      <c r="B5837" s="163" t="s">
        <v>894</v>
      </c>
      <c r="C5837" s="163" t="s">
        <v>2879</v>
      </c>
      <c r="D5837" s="163" t="s">
        <v>1931</v>
      </c>
      <c r="E5837" s="164" t="n">
        <v>7500</v>
      </c>
      <c r="F5837" s="165" t="s">
        <v>9856</v>
      </c>
    </row>
    <row r="5838" customFormat="false" ht="15" hidden="false" customHeight="true" outlineLevel="0" collapsed="false">
      <c r="A5838" s="163" t="s">
        <v>3046</v>
      </c>
      <c r="B5838" s="163" t="s">
        <v>894</v>
      </c>
      <c r="C5838" s="163" t="s">
        <v>9857</v>
      </c>
      <c r="D5838" s="163" t="s">
        <v>9858</v>
      </c>
      <c r="E5838" s="164" t="n">
        <v>7500</v>
      </c>
      <c r="F5838" s="165" t="s">
        <v>3060</v>
      </c>
    </row>
    <row r="5839" customFormat="false" ht="15" hidden="false" customHeight="true" outlineLevel="0" collapsed="false">
      <c r="A5839" s="163" t="s">
        <v>3046</v>
      </c>
      <c r="B5839" s="163" t="s">
        <v>894</v>
      </c>
      <c r="C5839" s="163" t="s">
        <v>9859</v>
      </c>
      <c r="D5839" s="163" t="s">
        <v>9860</v>
      </c>
      <c r="E5839" s="164" t="n">
        <v>7500</v>
      </c>
      <c r="F5839" s="165" t="s">
        <v>3060</v>
      </c>
    </row>
    <row r="5840" customFormat="false" ht="15" hidden="false" customHeight="true" outlineLevel="0" collapsed="false">
      <c r="A5840" s="163" t="s">
        <v>3046</v>
      </c>
      <c r="B5840" s="163" t="s">
        <v>894</v>
      </c>
      <c r="C5840" s="163" t="s">
        <v>9861</v>
      </c>
      <c r="D5840" s="163" t="s">
        <v>9862</v>
      </c>
      <c r="E5840" s="164" t="n">
        <v>5000</v>
      </c>
      <c r="F5840" s="165" t="s">
        <v>3060</v>
      </c>
    </row>
    <row r="5841" customFormat="false" ht="15" hidden="false" customHeight="true" outlineLevel="0" collapsed="false">
      <c r="A5841" s="163" t="s">
        <v>3046</v>
      </c>
      <c r="B5841" s="163" t="s">
        <v>894</v>
      </c>
      <c r="C5841" s="163" t="s">
        <v>9863</v>
      </c>
      <c r="D5841" s="163" t="s">
        <v>9864</v>
      </c>
      <c r="E5841" s="164" t="n">
        <v>5000</v>
      </c>
      <c r="F5841" s="165" t="s">
        <v>3060</v>
      </c>
    </row>
    <row r="5842" customFormat="false" ht="15" hidden="false" customHeight="true" outlineLevel="0" collapsed="false">
      <c r="A5842" s="163" t="s">
        <v>3046</v>
      </c>
      <c r="B5842" s="163" t="s">
        <v>894</v>
      </c>
      <c r="C5842" s="163" t="s">
        <v>9865</v>
      </c>
      <c r="D5842" s="163" t="s">
        <v>9866</v>
      </c>
      <c r="E5842" s="164" t="n">
        <v>5000</v>
      </c>
      <c r="F5842" s="165" t="s">
        <v>3060</v>
      </c>
    </row>
    <row r="5843" customFormat="false" ht="15" hidden="false" customHeight="true" outlineLevel="0" collapsed="false">
      <c r="A5843" s="163" t="s">
        <v>3046</v>
      </c>
      <c r="B5843" s="163" t="s">
        <v>894</v>
      </c>
      <c r="C5843" s="163" t="s">
        <v>9867</v>
      </c>
      <c r="D5843" s="163" t="s">
        <v>9868</v>
      </c>
      <c r="E5843" s="164" t="n">
        <v>5000</v>
      </c>
      <c r="F5843" s="165" t="s">
        <v>3060</v>
      </c>
    </row>
    <row r="5844" customFormat="false" ht="15" hidden="false" customHeight="true" outlineLevel="0" collapsed="false">
      <c r="A5844" s="163" t="s">
        <v>3046</v>
      </c>
      <c r="B5844" s="163" t="s">
        <v>894</v>
      </c>
      <c r="C5844" s="163" t="s">
        <v>4735</v>
      </c>
      <c r="D5844" s="163" t="s">
        <v>4736</v>
      </c>
      <c r="E5844" s="164" t="n">
        <v>5000</v>
      </c>
      <c r="F5844" s="165" t="s">
        <v>3060</v>
      </c>
    </row>
    <row r="5845" customFormat="false" ht="15" hidden="false" customHeight="true" outlineLevel="0" collapsed="false">
      <c r="A5845" s="163" t="s">
        <v>3046</v>
      </c>
      <c r="B5845" s="163" t="s">
        <v>894</v>
      </c>
      <c r="C5845" s="163" t="s">
        <v>9831</v>
      </c>
      <c r="D5845" s="163" t="s">
        <v>9832</v>
      </c>
      <c r="E5845" s="164" t="n">
        <v>5000</v>
      </c>
      <c r="F5845" s="165" t="s">
        <v>3060</v>
      </c>
    </row>
    <row r="5846" customFormat="false" ht="15" hidden="false" customHeight="true" outlineLevel="0" collapsed="false">
      <c r="A5846" s="163" t="s">
        <v>3046</v>
      </c>
      <c r="B5846" s="163" t="s">
        <v>894</v>
      </c>
      <c r="C5846" s="163" t="s">
        <v>3248</v>
      </c>
      <c r="D5846" s="163" t="s">
        <v>3249</v>
      </c>
      <c r="E5846" s="164" t="n">
        <v>5000</v>
      </c>
      <c r="F5846" s="165" t="s">
        <v>3060</v>
      </c>
    </row>
    <row r="5847" customFormat="false" ht="15" hidden="false" customHeight="true" outlineLevel="0" collapsed="false">
      <c r="A5847" s="163" t="s">
        <v>3046</v>
      </c>
      <c r="B5847" s="163" t="s">
        <v>894</v>
      </c>
      <c r="C5847" s="163" t="s">
        <v>9869</v>
      </c>
      <c r="D5847" s="163" t="s">
        <v>9870</v>
      </c>
      <c r="E5847" s="164" t="n">
        <v>5000</v>
      </c>
      <c r="F5847" s="165" t="s">
        <v>3060</v>
      </c>
    </row>
    <row r="5848" customFormat="false" ht="15" hidden="false" customHeight="true" outlineLevel="0" collapsed="false">
      <c r="A5848" s="163" t="s">
        <v>3046</v>
      </c>
      <c r="B5848" s="163" t="s">
        <v>894</v>
      </c>
      <c r="C5848" s="163" t="s">
        <v>9871</v>
      </c>
      <c r="D5848" s="163" t="s">
        <v>9872</v>
      </c>
      <c r="E5848" s="164" t="n">
        <v>5000</v>
      </c>
      <c r="F5848" s="165" t="s">
        <v>3060</v>
      </c>
    </row>
    <row r="5849" customFormat="false" ht="15" hidden="false" customHeight="true" outlineLevel="0" collapsed="false">
      <c r="A5849" s="163" t="s">
        <v>3046</v>
      </c>
      <c r="B5849" s="163" t="s">
        <v>894</v>
      </c>
      <c r="C5849" s="163" t="s">
        <v>3122</v>
      </c>
      <c r="D5849" s="163" t="s">
        <v>3123</v>
      </c>
      <c r="E5849" s="164" t="n">
        <v>5000</v>
      </c>
      <c r="F5849" s="165" t="s">
        <v>3060</v>
      </c>
    </row>
    <row r="5850" customFormat="false" ht="15" hidden="false" customHeight="true" outlineLevel="0" collapsed="false">
      <c r="A5850" s="163" t="s">
        <v>3046</v>
      </c>
      <c r="B5850" s="163" t="s">
        <v>894</v>
      </c>
      <c r="C5850" s="163" t="s">
        <v>9873</v>
      </c>
      <c r="D5850" s="163" t="s">
        <v>9874</v>
      </c>
      <c r="E5850" s="164" t="n">
        <v>5000</v>
      </c>
      <c r="F5850" s="165" t="s">
        <v>3060</v>
      </c>
    </row>
    <row r="5851" customFormat="false" ht="15" hidden="false" customHeight="true" outlineLevel="0" collapsed="false">
      <c r="A5851" s="163" t="s">
        <v>3046</v>
      </c>
      <c r="B5851" s="163" t="s">
        <v>894</v>
      </c>
      <c r="C5851" s="163" t="s">
        <v>4448</v>
      </c>
      <c r="D5851" s="163" t="s">
        <v>4449</v>
      </c>
      <c r="E5851" s="164" t="n">
        <v>5000</v>
      </c>
      <c r="F5851" s="165" t="s">
        <v>3060</v>
      </c>
    </row>
    <row r="5852" customFormat="false" ht="15" hidden="false" customHeight="true" outlineLevel="0" collapsed="false">
      <c r="A5852" s="163" t="s">
        <v>3046</v>
      </c>
      <c r="B5852" s="163" t="s">
        <v>894</v>
      </c>
      <c r="C5852" s="163" t="s">
        <v>5949</v>
      </c>
      <c r="D5852" s="163" t="s">
        <v>5950</v>
      </c>
      <c r="E5852" s="164" t="n">
        <v>5000</v>
      </c>
      <c r="F5852" s="165" t="s">
        <v>3060</v>
      </c>
    </row>
    <row r="5853" customFormat="false" ht="15" hidden="false" customHeight="true" outlineLevel="0" collapsed="false">
      <c r="A5853" s="163" t="s">
        <v>3046</v>
      </c>
      <c r="B5853" s="163" t="s">
        <v>894</v>
      </c>
      <c r="C5853" s="163" t="s">
        <v>3191</v>
      </c>
      <c r="D5853" s="163" t="s">
        <v>1931</v>
      </c>
      <c r="E5853" s="164" t="n">
        <v>5000</v>
      </c>
      <c r="F5853" s="165" t="s">
        <v>3060</v>
      </c>
    </row>
    <row r="5854" customFormat="false" ht="15" hidden="false" customHeight="true" outlineLevel="0" collapsed="false">
      <c r="A5854" s="163" t="s">
        <v>3046</v>
      </c>
      <c r="B5854" s="163" t="s">
        <v>894</v>
      </c>
      <c r="C5854" s="163" t="s">
        <v>5872</v>
      </c>
      <c r="D5854" s="163" t="s">
        <v>1931</v>
      </c>
      <c r="E5854" s="164" t="n">
        <v>5000</v>
      </c>
      <c r="F5854" s="165" t="s">
        <v>3060</v>
      </c>
    </row>
    <row r="5855" customFormat="false" ht="15" hidden="false" customHeight="true" outlineLevel="0" collapsed="false">
      <c r="A5855" s="163" t="s">
        <v>3046</v>
      </c>
      <c r="B5855" s="163" t="s">
        <v>894</v>
      </c>
      <c r="C5855" s="163" t="s">
        <v>925</v>
      </c>
      <c r="D5855" s="163" t="s">
        <v>1931</v>
      </c>
      <c r="E5855" s="164" t="n">
        <v>5000</v>
      </c>
      <c r="F5855" s="165" t="s">
        <v>9875</v>
      </c>
    </row>
    <row r="5856" customFormat="false" ht="15" hidden="false" customHeight="true" outlineLevel="0" collapsed="false">
      <c r="A5856" s="163" t="s">
        <v>3046</v>
      </c>
      <c r="B5856" s="163" t="s">
        <v>894</v>
      </c>
      <c r="C5856" s="163" t="s">
        <v>925</v>
      </c>
      <c r="D5856" s="163" t="s">
        <v>1931</v>
      </c>
      <c r="E5856" s="164" t="n">
        <v>5000</v>
      </c>
      <c r="F5856" s="165" t="s">
        <v>9876</v>
      </c>
    </row>
    <row r="5857" customFormat="false" ht="15" hidden="false" customHeight="true" outlineLevel="0" collapsed="false">
      <c r="A5857" s="163" t="s">
        <v>3046</v>
      </c>
      <c r="B5857" s="163" t="s">
        <v>894</v>
      </c>
      <c r="C5857" s="163" t="s">
        <v>925</v>
      </c>
      <c r="D5857" s="163" t="s">
        <v>1931</v>
      </c>
      <c r="E5857" s="164" t="n">
        <v>5000</v>
      </c>
      <c r="F5857" s="165" t="s">
        <v>9877</v>
      </c>
    </row>
    <row r="5858" customFormat="false" ht="15" hidden="false" customHeight="true" outlineLevel="0" collapsed="false">
      <c r="A5858" s="163" t="s">
        <v>3046</v>
      </c>
      <c r="B5858" s="163" t="s">
        <v>894</v>
      </c>
      <c r="C5858" s="163" t="s">
        <v>925</v>
      </c>
      <c r="D5858" s="163" t="s">
        <v>1931</v>
      </c>
      <c r="E5858" s="164" t="n">
        <v>5000</v>
      </c>
      <c r="F5858" s="165" t="s">
        <v>9878</v>
      </c>
    </row>
    <row r="5859" customFormat="false" ht="15" hidden="false" customHeight="true" outlineLevel="0" collapsed="false">
      <c r="A5859" s="163" t="s">
        <v>3046</v>
      </c>
      <c r="B5859" s="163" t="s">
        <v>894</v>
      </c>
      <c r="C5859" s="163" t="s">
        <v>925</v>
      </c>
      <c r="D5859" s="163" t="s">
        <v>1931</v>
      </c>
      <c r="E5859" s="164" t="n">
        <v>5000</v>
      </c>
      <c r="F5859" s="165" t="s">
        <v>9879</v>
      </c>
    </row>
    <row r="5860" customFormat="false" ht="15" hidden="false" customHeight="true" outlineLevel="0" collapsed="false">
      <c r="A5860" s="163" t="s">
        <v>3046</v>
      </c>
      <c r="B5860" s="163" t="s">
        <v>894</v>
      </c>
      <c r="C5860" s="163" t="s">
        <v>925</v>
      </c>
      <c r="D5860" s="163" t="s">
        <v>1931</v>
      </c>
      <c r="E5860" s="164" t="n">
        <v>5000</v>
      </c>
      <c r="F5860" s="165" t="s">
        <v>9880</v>
      </c>
    </row>
    <row r="5861" customFormat="false" ht="15" hidden="false" customHeight="true" outlineLevel="0" collapsed="false">
      <c r="A5861" s="163" t="s">
        <v>3046</v>
      </c>
      <c r="B5861" s="163" t="s">
        <v>894</v>
      </c>
      <c r="C5861" s="163" t="s">
        <v>925</v>
      </c>
      <c r="D5861" s="163" t="s">
        <v>1931</v>
      </c>
      <c r="E5861" s="164" t="n">
        <v>5000</v>
      </c>
      <c r="F5861" s="165" t="s">
        <v>9881</v>
      </c>
    </row>
    <row r="5862" customFormat="false" ht="15" hidden="false" customHeight="true" outlineLevel="0" collapsed="false">
      <c r="A5862" s="163" t="s">
        <v>3046</v>
      </c>
      <c r="B5862" s="163" t="s">
        <v>894</v>
      </c>
      <c r="C5862" s="163" t="s">
        <v>925</v>
      </c>
      <c r="D5862" s="163" t="s">
        <v>1931</v>
      </c>
      <c r="E5862" s="164" t="n">
        <v>5000</v>
      </c>
      <c r="F5862" s="165" t="s">
        <v>9882</v>
      </c>
    </row>
    <row r="5863" customFormat="false" ht="15" hidden="false" customHeight="true" outlineLevel="0" collapsed="false">
      <c r="A5863" s="163" t="s">
        <v>3046</v>
      </c>
      <c r="B5863" s="163" t="s">
        <v>894</v>
      </c>
      <c r="C5863" s="163" t="s">
        <v>925</v>
      </c>
      <c r="D5863" s="163" t="s">
        <v>1931</v>
      </c>
      <c r="E5863" s="164" t="n">
        <v>5000</v>
      </c>
      <c r="F5863" s="165" t="s">
        <v>9883</v>
      </c>
    </row>
    <row r="5864" customFormat="false" ht="15" hidden="false" customHeight="true" outlineLevel="0" collapsed="false">
      <c r="A5864" s="163" t="s">
        <v>3046</v>
      </c>
      <c r="B5864" s="163" t="s">
        <v>894</v>
      </c>
      <c r="C5864" s="163" t="s">
        <v>925</v>
      </c>
      <c r="D5864" s="163" t="s">
        <v>1931</v>
      </c>
      <c r="E5864" s="164" t="n">
        <v>5000</v>
      </c>
      <c r="F5864" s="165" t="s">
        <v>9884</v>
      </c>
    </row>
    <row r="5865" customFormat="false" ht="15" hidden="false" customHeight="true" outlineLevel="0" collapsed="false">
      <c r="A5865" s="163" t="s">
        <v>3046</v>
      </c>
      <c r="B5865" s="163" t="s">
        <v>894</v>
      </c>
      <c r="C5865" s="163" t="s">
        <v>925</v>
      </c>
      <c r="D5865" s="163" t="s">
        <v>1931</v>
      </c>
      <c r="E5865" s="164" t="n">
        <v>5000</v>
      </c>
      <c r="F5865" s="165" t="s">
        <v>9885</v>
      </c>
    </row>
    <row r="5866" customFormat="false" ht="15" hidden="false" customHeight="true" outlineLevel="0" collapsed="false">
      <c r="A5866" s="163" t="s">
        <v>3046</v>
      </c>
      <c r="B5866" s="163" t="s">
        <v>894</v>
      </c>
      <c r="C5866" s="163" t="s">
        <v>925</v>
      </c>
      <c r="D5866" s="163" t="s">
        <v>1931</v>
      </c>
      <c r="E5866" s="164" t="n">
        <v>5000</v>
      </c>
      <c r="F5866" s="165" t="s">
        <v>9886</v>
      </c>
    </row>
    <row r="5867" customFormat="false" ht="15" hidden="false" customHeight="true" outlineLevel="0" collapsed="false">
      <c r="A5867" s="163" t="s">
        <v>3046</v>
      </c>
      <c r="B5867" s="163" t="s">
        <v>894</v>
      </c>
      <c r="C5867" s="163" t="s">
        <v>3368</v>
      </c>
      <c r="D5867" s="163" t="s">
        <v>3369</v>
      </c>
      <c r="E5867" s="164" t="n">
        <v>5000</v>
      </c>
      <c r="F5867" s="165" t="s">
        <v>9784</v>
      </c>
    </row>
    <row r="5868" customFormat="false" ht="15" hidden="false" customHeight="true" outlineLevel="0" collapsed="false">
      <c r="A5868" s="163" t="s">
        <v>3046</v>
      </c>
      <c r="B5868" s="163" t="s">
        <v>894</v>
      </c>
      <c r="C5868" s="163" t="s">
        <v>9887</v>
      </c>
      <c r="D5868" s="163" t="s">
        <v>9888</v>
      </c>
      <c r="E5868" s="164" t="n">
        <v>5000</v>
      </c>
      <c r="F5868" s="165" t="s">
        <v>3060</v>
      </c>
    </row>
    <row r="5869" customFormat="false" ht="15" hidden="false" customHeight="true" outlineLevel="0" collapsed="false">
      <c r="A5869" s="163" t="s">
        <v>3046</v>
      </c>
      <c r="B5869" s="163" t="s">
        <v>894</v>
      </c>
      <c r="C5869" s="163" t="s">
        <v>9889</v>
      </c>
      <c r="D5869" s="163" t="s">
        <v>9890</v>
      </c>
      <c r="E5869" s="164" t="n">
        <v>5000</v>
      </c>
      <c r="F5869" s="165" t="s">
        <v>3060</v>
      </c>
    </row>
    <row r="5870" customFormat="false" ht="15" hidden="false" customHeight="true" outlineLevel="0" collapsed="false">
      <c r="A5870" s="163" t="s">
        <v>3046</v>
      </c>
      <c r="B5870" s="163" t="s">
        <v>894</v>
      </c>
      <c r="C5870" s="163" t="s">
        <v>3233</v>
      </c>
      <c r="D5870" s="163" t="s">
        <v>3234</v>
      </c>
      <c r="E5870" s="164" t="n">
        <v>2500</v>
      </c>
      <c r="F5870" s="165" t="s">
        <v>3060</v>
      </c>
    </row>
    <row r="5871" customFormat="false" ht="15" hidden="false" customHeight="true" outlineLevel="0" collapsed="false">
      <c r="A5871" s="163" t="s">
        <v>3046</v>
      </c>
      <c r="B5871" s="163" t="s">
        <v>882</v>
      </c>
      <c r="C5871" s="163" t="s">
        <v>2759</v>
      </c>
      <c r="D5871" s="163" t="s">
        <v>2760</v>
      </c>
      <c r="E5871" s="164" t="n">
        <v>190000</v>
      </c>
      <c r="F5871" s="165" t="s">
        <v>9891</v>
      </c>
    </row>
    <row r="5872" customFormat="false" ht="15" hidden="false" customHeight="true" outlineLevel="0" collapsed="false">
      <c r="A5872" s="163" t="s">
        <v>3046</v>
      </c>
      <c r="B5872" s="163" t="s">
        <v>882</v>
      </c>
      <c r="C5872" s="163" t="s">
        <v>640</v>
      </c>
      <c r="D5872" s="163" t="s">
        <v>1931</v>
      </c>
      <c r="E5872" s="164" t="n">
        <v>50000</v>
      </c>
      <c r="F5872" s="165" t="s">
        <v>3060</v>
      </c>
    </row>
    <row r="5873" customFormat="false" ht="15" hidden="false" customHeight="true" outlineLevel="0" collapsed="false">
      <c r="A5873" s="163" t="s">
        <v>3046</v>
      </c>
      <c r="B5873" s="163" t="s">
        <v>882</v>
      </c>
      <c r="C5873" s="163" t="s">
        <v>8720</v>
      </c>
      <c r="D5873" s="163" t="s">
        <v>8721</v>
      </c>
      <c r="E5873" s="164" t="n">
        <v>40000</v>
      </c>
      <c r="F5873" s="165" t="s">
        <v>9892</v>
      </c>
    </row>
    <row r="5874" customFormat="false" ht="15" hidden="false" customHeight="true" outlineLevel="0" collapsed="false">
      <c r="A5874" s="163" t="s">
        <v>3046</v>
      </c>
      <c r="B5874" s="163" t="s">
        <v>2328</v>
      </c>
      <c r="C5874" s="163" t="s">
        <v>9893</v>
      </c>
      <c r="D5874" s="163" t="s">
        <v>9894</v>
      </c>
      <c r="E5874" s="164" t="n">
        <v>15000</v>
      </c>
      <c r="F5874" s="165" t="s">
        <v>3060</v>
      </c>
    </row>
    <row r="5875" customFormat="false" ht="15" hidden="false" customHeight="true" outlineLevel="0" collapsed="false">
      <c r="A5875" s="163" t="s">
        <v>3046</v>
      </c>
      <c r="B5875" s="163" t="s">
        <v>2328</v>
      </c>
      <c r="C5875" s="163" t="s">
        <v>9895</v>
      </c>
      <c r="D5875" s="163" t="s">
        <v>9896</v>
      </c>
      <c r="E5875" s="164" t="n">
        <v>15000</v>
      </c>
      <c r="F5875" s="165" t="s">
        <v>3060</v>
      </c>
    </row>
    <row r="5876" customFormat="false" ht="15" hidden="false" customHeight="true" outlineLevel="0" collapsed="false">
      <c r="A5876" s="163" t="s">
        <v>3046</v>
      </c>
      <c r="B5876" s="163" t="s">
        <v>2328</v>
      </c>
      <c r="C5876" s="163" t="s">
        <v>3159</v>
      </c>
      <c r="D5876" s="163" t="s">
        <v>3160</v>
      </c>
      <c r="E5876" s="164" t="n">
        <v>10000</v>
      </c>
      <c r="F5876" s="165" t="s">
        <v>3060</v>
      </c>
    </row>
    <row r="5877" customFormat="false" ht="15" hidden="false" customHeight="true" outlineLevel="0" collapsed="false">
      <c r="A5877" s="163" t="s">
        <v>3046</v>
      </c>
      <c r="B5877" s="163" t="s">
        <v>2328</v>
      </c>
      <c r="C5877" s="163" t="s">
        <v>4173</v>
      </c>
      <c r="D5877" s="163" t="s">
        <v>4174</v>
      </c>
      <c r="E5877" s="164" t="n">
        <v>10000</v>
      </c>
      <c r="F5877" s="165" t="s">
        <v>9897</v>
      </c>
    </row>
    <row r="5878" customFormat="false" ht="15" hidden="false" customHeight="true" outlineLevel="0" collapsed="false">
      <c r="A5878" s="163" t="s">
        <v>3046</v>
      </c>
      <c r="B5878" s="163" t="s">
        <v>2342</v>
      </c>
      <c r="C5878" s="163" t="s">
        <v>9820</v>
      </c>
      <c r="D5878" s="163" t="s">
        <v>9821</v>
      </c>
      <c r="E5878" s="164" t="n">
        <v>10000</v>
      </c>
      <c r="F5878" s="165" t="s">
        <v>3060</v>
      </c>
    </row>
    <row r="5879" customFormat="false" ht="15" hidden="false" customHeight="true" outlineLevel="0" collapsed="false">
      <c r="A5879" s="163" t="s">
        <v>3046</v>
      </c>
      <c r="B5879" s="163" t="s">
        <v>2342</v>
      </c>
      <c r="C5879" s="163" t="s">
        <v>9898</v>
      </c>
      <c r="D5879" s="163" t="s">
        <v>9899</v>
      </c>
      <c r="E5879" s="164" t="n">
        <v>10000</v>
      </c>
      <c r="F5879" s="165" t="s">
        <v>3060</v>
      </c>
    </row>
    <row r="5880" customFormat="false" ht="15" hidden="false" customHeight="true" outlineLevel="0" collapsed="false">
      <c r="A5880" s="163" t="s">
        <v>3046</v>
      </c>
      <c r="B5880" s="163" t="s">
        <v>2766</v>
      </c>
      <c r="C5880" s="163" t="s">
        <v>9900</v>
      </c>
      <c r="D5880" s="163" t="s">
        <v>9901</v>
      </c>
      <c r="E5880" s="164" t="n">
        <v>15000</v>
      </c>
      <c r="F5880" s="165" t="s">
        <v>3060</v>
      </c>
    </row>
    <row r="5881" customFormat="false" ht="15" hidden="false" customHeight="true" outlineLevel="0" collapsed="false">
      <c r="A5881" s="163" t="s">
        <v>3046</v>
      </c>
      <c r="B5881" s="163" t="s">
        <v>2766</v>
      </c>
      <c r="C5881" s="163" t="s">
        <v>8321</v>
      </c>
      <c r="D5881" s="163" t="s">
        <v>8322</v>
      </c>
      <c r="E5881" s="164" t="n">
        <v>15000</v>
      </c>
      <c r="F5881" s="165" t="s">
        <v>3060</v>
      </c>
    </row>
    <row r="5882" customFormat="false" ht="15" hidden="false" customHeight="true" outlineLevel="0" collapsed="false">
      <c r="A5882" s="163" t="s">
        <v>3046</v>
      </c>
      <c r="B5882" s="163" t="s">
        <v>1743</v>
      </c>
      <c r="C5882" s="163" t="s">
        <v>9765</v>
      </c>
      <c r="D5882" s="163" t="s">
        <v>9766</v>
      </c>
      <c r="E5882" s="164" t="n">
        <v>20000</v>
      </c>
      <c r="F5882" s="165" t="s">
        <v>3060</v>
      </c>
    </row>
    <row r="5883" customFormat="false" ht="15" hidden="false" customHeight="true" outlineLevel="0" collapsed="false">
      <c r="A5883" s="163" t="s">
        <v>3046</v>
      </c>
      <c r="B5883" s="163" t="s">
        <v>1743</v>
      </c>
      <c r="C5883" s="163" t="s">
        <v>3080</v>
      </c>
      <c r="D5883" s="163" t="s">
        <v>3081</v>
      </c>
      <c r="E5883" s="164" t="n">
        <v>15000</v>
      </c>
      <c r="F5883" s="165" t="s">
        <v>3060</v>
      </c>
    </row>
    <row r="5884" customFormat="false" ht="15" hidden="false" customHeight="true" outlineLevel="0" collapsed="false">
      <c r="A5884" s="163" t="s">
        <v>3046</v>
      </c>
      <c r="B5884" s="163" t="s">
        <v>1743</v>
      </c>
      <c r="C5884" s="163" t="s">
        <v>3276</v>
      </c>
      <c r="D5884" s="163" t="s">
        <v>3277</v>
      </c>
      <c r="E5884" s="164" t="n">
        <v>10000</v>
      </c>
      <c r="F5884" s="165" t="s">
        <v>3060</v>
      </c>
    </row>
    <row r="5885" customFormat="false" ht="15" hidden="false" customHeight="true" outlineLevel="0" collapsed="false">
      <c r="A5885" s="163" t="s">
        <v>3046</v>
      </c>
      <c r="B5885" s="163" t="s">
        <v>1743</v>
      </c>
      <c r="C5885" s="163" t="s">
        <v>6438</v>
      </c>
      <c r="D5885" s="163" t="s">
        <v>6439</v>
      </c>
      <c r="E5885" s="164" t="n">
        <v>10000</v>
      </c>
      <c r="F5885" s="165" t="s">
        <v>3060</v>
      </c>
    </row>
    <row r="5886" customFormat="false" ht="15" hidden="false" customHeight="true" outlineLevel="0" collapsed="false">
      <c r="A5886" s="163" t="s">
        <v>3046</v>
      </c>
      <c r="B5886" s="163" t="s">
        <v>1743</v>
      </c>
      <c r="C5886" s="163" t="s">
        <v>9902</v>
      </c>
      <c r="D5886" s="163" t="s">
        <v>9903</v>
      </c>
      <c r="E5886" s="164" t="n">
        <v>10000</v>
      </c>
      <c r="F5886" s="165" t="s">
        <v>3060</v>
      </c>
    </row>
    <row r="5887" customFormat="false" ht="15" hidden="false" customHeight="true" outlineLevel="0" collapsed="false">
      <c r="A5887" s="163" t="s">
        <v>3046</v>
      </c>
      <c r="B5887" s="163" t="s">
        <v>1743</v>
      </c>
      <c r="C5887" s="163" t="s">
        <v>3122</v>
      </c>
      <c r="D5887" s="163" t="s">
        <v>3123</v>
      </c>
      <c r="E5887" s="164" t="n">
        <v>10000</v>
      </c>
      <c r="F5887" s="165" t="s">
        <v>3060</v>
      </c>
    </row>
    <row r="5888" customFormat="false" ht="15" hidden="false" customHeight="true" outlineLevel="0" collapsed="false">
      <c r="A5888" s="163" t="s">
        <v>3046</v>
      </c>
      <c r="B5888" s="163" t="s">
        <v>1743</v>
      </c>
      <c r="C5888" s="163" t="s">
        <v>9768</v>
      </c>
      <c r="D5888" s="163" t="s">
        <v>9769</v>
      </c>
      <c r="E5888" s="164" t="n">
        <v>10000</v>
      </c>
      <c r="F5888" s="165" t="s">
        <v>3060</v>
      </c>
    </row>
    <row r="5889" customFormat="false" ht="15" hidden="false" customHeight="true" outlineLevel="0" collapsed="false">
      <c r="A5889" s="163" t="s">
        <v>3046</v>
      </c>
      <c r="B5889" s="163" t="s">
        <v>1743</v>
      </c>
      <c r="C5889" s="163" t="s">
        <v>9904</v>
      </c>
      <c r="D5889" s="163" t="s">
        <v>9905</v>
      </c>
      <c r="E5889" s="164" t="n">
        <v>10000</v>
      </c>
      <c r="F5889" s="165" t="s">
        <v>3060</v>
      </c>
    </row>
    <row r="5890" customFormat="false" ht="15" hidden="false" customHeight="true" outlineLevel="0" collapsed="false">
      <c r="A5890" s="163" t="s">
        <v>3046</v>
      </c>
      <c r="B5890" s="163" t="s">
        <v>1743</v>
      </c>
      <c r="C5890" s="163" t="s">
        <v>9906</v>
      </c>
      <c r="D5890" s="163" t="s">
        <v>9907</v>
      </c>
      <c r="E5890" s="164" t="n">
        <v>10000</v>
      </c>
      <c r="F5890" s="165" t="s">
        <v>3060</v>
      </c>
    </row>
    <row r="5891" customFormat="false" ht="15" hidden="false" customHeight="true" outlineLevel="0" collapsed="false">
      <c r="A5891" s="163" t="s">
        <v>3046</v>
      </c>
      <c r="B5891" s="163" t="s">
        <v>928</v>
      </c>
      <c r="C5891" s="163" t="s">
        <v>3108</v>
      </c>
      <c r="D5891" s="163" t="s">
        <v>3109</v>
      </c>
      <c r="E5891" s="164" t="n">
        <v>15000</v>
      </c>
      <c r="F5891" s="165" t="s">
        <v>3060</v>
      </c>
    </row>
    <row r="5892" customFormat="false" ht="15" hidden="false" customHeight="true" outlineLevel="0" collapsed="false">
      <c r="A5892" s="163" t="s">
        <v>3046</v>
      </c>
      <c r="B5892" s="163" t="s">
        <v>928</v>
      </c>
      <c r="C5892" s="163" t="s">
        <v>3298</v>
      </c>
      <c r="D5892" s="163" t="s">
        <v>3299</v>
      </c>
      <c r="E5892" s="164" t="n">
        <v>15000</v>
      </c>
      <c r="F5892" s="165" t="s">
        <v>3060</v>
      </c>
    </row>
    <row r="5893" customFormat="false" ht="15" hidden="false" customHeight="true" outlineLevel="0" collapsed="false">
      <c r="A5893" s="163" t="s">
        <v>3046</v>
      </c>
      <c r="B5893" s="163" t="s">
        <v>928</v>
      </c>
      <c r="C5893" s="163" t="s">
        <v>9840</v>
      </c>
      <c r="D5893" s="163" t="s">
        <v>9841</v>
      </c>
      <c r="E5893" s="164" t="n">
        <v>10000</v>
      </c>
      <c r="F5893" s="165" t="s">
        <v>3060</v>
      </c>
    </row>
    <row r="5894" customFormat="false" ht="15" hidden="false" customHeight="true" outlineLevel="0" collapsed="false">
      <c r="A5894" s="163" t="s">
        <v>3046</v>
      </c>
      <c r="B5894" s="163" t="s">
        <v>928</v>
      </c>
      <c r="C5894" s="163" t="s">
        <v>3447</v>
      </c>
      <c r="D5894" s="163" t="s">
        <v>3448</v>
      </c>
      <c r="E5894" s="164" t="n">
        <v>10000</v>
      </c>
      <c r="F5894" s="165" t="s">
        <v>3060</v>
      </c>
    </row>
    <row r="5895" customFormat="false" ht="15" hidden="false" customHeight="true" outlineLevel="0" collapsed="false">
      <c r="A5895" s="163" t="s">
        <v>3046</v>
      </c>
      <c r="B5895" s="163" t="s">
        <v>928</v>
      </c>
      <c r="C5895" s="163" t="s">
        <v>9908</v>
      </c>
      <c r="D5895" s="163" t="s">
        <v>9909</v>
      </c>
      <c r="E5895" s="164" t="n">
        <v>10000</v>
      </c>
      <c r="F5895" s="165" t="s">
        <v>9910</v>
      </c>
    </row>
    <row r="5896" customFormat="false" ht="15" hidden="false" customHeight="true" outlineLevel="0" collapsed="false">
      <c r="A5896" s="163" t="s">
        <v>3046</v>
      </c>
      <c r="B5896" s="163" t="s">
        <v>928</v>
      </c>
      <c r="C5896" s="163" t="s">
        <v>9911</v>
      </c>
      <c r="D5896" s="163" t="s">
        <v>9912</v>
      </c>
      <c r="E5896" s="164" t="n">
        <v>10000</v>
      </c>
      <c r="F5896" s="165" t="s">
        <v>3060</v>
      </c>
    </row>
    <row r="5897" customFormat="false" ht="15" hidden="false" customHeight="true" outlineLevel="0" collapsed="false">
      <c r="A5897" s="163" t="s">
        <v>3046</v>
      </c>
      <c r="B5897" s="163" t="s">
        <v>928</v>
      </c>
      <c r="C5897" s="163" t="s">
        <v>9913</v>
      </c>
      <c r="D5897" s="163" t="s">
        <v>9914</v>
      </c>
      <c r="E5897" s="164" t="n">
        <v>10000</v>
      </c>
      <c r="F5897" s="165" t="s">
        <v>3060</v>
      </c>
    </row>
    <row r="5898" customFormat="false" ht="15" hidden="false" customHeight="true" outlineLevel="0" collapsed="false">
      <c r="A5898" s="163" t="s">
        <v>3046</v>
      </c>
      <c r="B5898" s="163" t="s">
        <v>928</v>
      </c>
      <c r="C5898" s="163" t="s">
        <v>9915</v>
      </c>
      <c r="D5898" s="163" t="s">
        <v>9916</v>
      </c>
      <c r="E5898" s="164" t="n">
        <v>7500</v>
      </c>
      <c r="F5898" s="165" t="s">
        <v>3060</v>
      </c>
    </row>
    <row r="5899" customFormat="false" ht="15" hidden="false" customHeight="true" outlineLevel="0" collapsed="false">
      <c r="A5899" s="163" t="s">
        <v>3046</v>
      </c>
      <c r="B5899" s="163" t="s">
        <v>928</v>
      </c>
      <c r="C5899" s="163" t="s">
        <v>9917</v>
      </c>
      <c r="D5899" s="163" t="s">
        <v>9918</v>
      </c>
      <c r="E5899" s="164" t="n">
        <v>7500</v>
      </c>
      <c r="F5899" s="165" t="s">
        <v>3060</v>
      </c>
    </row>
    <row r="5900" customFormat="false" ht="15" hidden="false" customHeight="true" outlineLevel="0" collapsed="false">
      <c r="A5900" s="163" t="s">
        <v>3046</v>
      </c>
      <c r="B5900" s="163" t="s">
        <v>928</v>
      </c>
      <c r="C5900" s="163" t="s">
        <v>3233</v>
      </c>
      <c r="D5900" s="163" t="s">
        <v>3234</v>
      </c>
      <c r="E5900" s="164" t="n">
        <v>7500</v>
      </c>
      <c r="F5900" s="165" t="s">
        <v>3060</v>
      </c>
    </row>
    <row r="5901" customFormat="false" ht="15" hidden="false" customHeight="true" outlineLevel="0" collapsed="false">
      <c r="A5901" s="163" t="s">
        <v>3046</v>
      </c>
      <c r="B5901" s="163" t="s">
        <v>928</v>
      </c>
      <c r="C5901" s="163" t="s">
        <v>9919</v>
      </c>
      <c r="D5901" s="163" t="s">
        <v>9920</v>
      </c>
      <c r="E5901" s="164" t="n">
        <v>7500</v>
      </c>
      <c r="F5901" s="165" t="s">
        <v>3060</v>
      </c>
    </row>
    <row r="5902" customFormat="false" ht="15" hidden="false" customHeight="true" outlineLevel="0" collapsed="false">
      <c r="A5902" s="163" t="s">
        <v>3046</v>
      </c>
      <c r="B5902" s="163" t="s">
        <v>928</v>
      </c>
      <c r="C5902" s="163" t="s">
        <v>9921</v>
      </c>
      <c r="D5902" s="163" t="s">
        <v>9922</v>
      </c>
      <c r="E5902" s="164" t="n">
        <v>5000</v>
      </c>
      <c r="F5902" s="165" t="s">
        <v>3060</v>
      </c>
    </row>
    <row r="5903" customFormat="false" ht="15" hidden="false" customHeight="true" outlineLevel="0" collapsed="false">
      <c r="A5903" s="163" t="s">
        <v>3046</v>
      </c>
      <c r="B5903" s="163" t="s">
        <v>928</v>
      </c>
      <c r="C5903" s="163" t="s">
        <v>7307</v>
      </c>
      <c r="D5903" s="163" t="s">
        <v>7308</v>
      </c>
      <c r="E5903" s="164" t="n">
        <v>5000</v>
      </c>
      <c r="F5903" s="165" t="s">
        <v>3060</v>
      </c>
    </row>
    <row r="5904" customFormat="false" ht="15" hidden="false" customHeight="true" outlineLevel="0" collapsed="false">
      <c r="A5904" s="163" t="s">
        <v>3046</v>
      </c>
      <c r="B5904" s="163" t="s">
        <v>928</v>
      </c>
      <c r="C5904" s="163" t="s">
        <v>9923</v>
      </c>
      <c r="D5904" s="163" t="s">
        <v>9924</v>
      </c>
      <c r="E5904" s="164" t="n">
        <v>5000</v>
      </c>
      <c r="F5904" s="165" t="s">
        <v>3060</v>
      </c>
    </row>
    <row r="5905" customFormat="false" ht="15" hidden="false" customHeight="true" outlineLevel="0" collapsed="false">
      <c r="A5905" s="163" t="s">
        <v>3046</v>
      </c>
      <c r="B5905" s="163" t="s">
        <v>928</v>
      </c>
      <c r="C5905" s="163" t="s">
        <v>9925</v>
      </c>
      <c r="D5905" s="163" t="s">
        <v>9926</v>
      </c>
      <c r="E5905" s="164" t="n">
        <v>5000</v>
      </c>
      <c r="F5905" s="165" t="s">
        <v>3060</v>
      </c>
    </row>
    <row r="5906" customFormat="false" ht="15" hidden="false" customHeight="true" outlineLevel="0" collapsed="false">
      <c r="A5906" s="163" t="s">
        <v>3046</v>
      </c>
      <c r="B5906" s="163" t="s">
        <v>928</v>
      </c>
      <c r="C5906" s="163" t="s">
        <v>5284</v>
      </c>
      <c r="D5906" s="163" t="s">
        <v>5285</v>
      </c>
      <c r="E5906" s="164" t="n">
        <v>5000</v>
      </c>
      <c r="F5906" s="165" t="s">
        <v>3060</v>
      </c>
    </row>
    <row r="5907" customFormat="false" ht="15" hidden="false" customHeight="true" outlineLevel="0" collapsed="false">
      <c r="A5907" s="163" t="s">
        <v>3046</v>
      </c>
      <c r="B5907" s="163" t="s">
        <v>928</v>
      </c>
      <c r="C5907" s="163" t="s">
        <v>9873</v>
      </c>
      <c r="D5907" s="163" t="s">
        <v>9874</v>
      </c>
      <c r="E5907" s="164" t="n">
        <v>5000</v>
      </c>
      <c r="F5907" s="165" t="s">
        <v>3060</v>
      </c>
    </row>
    <row r="5908" customFormat="false" ht="15" hidden="false" customHeight="true" outlineLevel="0" collapsed="false">
      <c r="A5908" s="163" t="s">
        <v>3046</v>
      </c>
      <c r="B5908" s="163" t="s">
        <v>928</v>
      </c>
      <c r="C5908" s="163" t="s">
        <v>9887</v>
      </c>
      <c r="D5908" s="163" t="s">
        <v>9888</v>
      </c>
      <c r="E5908" s="164" t="n">
        <v>5000</v>
      </c>
      <c r="F5908" s="165" t="s">
        <v>3060</v>
      </c>
    </row>
    <row r="5909" customFormat="false" ht="15" hidden="false" customHeight="true" outlineLevel="0" collapsed="false">
      <c r="A5909" s="163" t="s">
        <v>3046</v>
      </c>
      <c r="B5909" s="163" t="s">
        <v>928</v>
      </c>
      <c r="C5909" s="163" t="s">
        <v>9774</v>
      </c>
      <c r="D5909" s="163" t="s">
        <v>9775</v>
      </c>
      <c r="E5909" s="164" t="n">
        <v>5000</v>
      </c>
      <c r="F5909" s="165" t="s">
        <v>3060</v>
      </c>
    </row>
    <row r="5910" customFormat="false" ht="15" hidden="false" customHeight="true" outlineLevel="0" collapsed="false">
      <c r="A5910" s="163" t="s">
        <v>2460</v>
      </c>
      <c r="B5910" s="163" t="s">
        <v>926</v>
      </c>
      <c r="C5910" s="163" t="s">
        <v>3063</v>
      </c>
      <c r="D5910" s="163" t="s">
        <v>3064</v>
      </c>
      <c r="E5910" s="164" t="n">
        <v>20000</v>
      </c>
      <c r="F5910" s="165" t="s">
        <v>9927</v>
      </c>
    </row>
    <row r="5911" customFormat="false" ht="15" hidden="false" customHeight="true" outlineLevel="0" collapsed="false">
      <c r="A5911" s="163" t="s">
        <v>2460</v>
      </c>
      <c r="B5911" s="163" t="s">
        <v>957</v>
      </c>
      <c r="C5911" s="163" t="s">
        <v>1169</v>
      </c>
      <c r="D5911" s="163" t="s">
        <v>2801</v>
      </c>
      <c r="E5911" s="164" t="n">
        <v>49000</v>
      </c>
      <c r="F5911" s="165" t="s">
        <v>9928</v>
      </c>
    </row>
    <row r="5912" customFormat="false" ht="15" hidden="false" customHeight="true" outlineLevel="0" collapsed="false">
      <c r="A5912" s="163" t="s">
        <v>2460</v>
      </c>
      <c r="B5912" s="163" t="s">
        <v>957</v>
      </c>
      <c r="C5912" s="163" t="s">
        <v>3210</v>
      </c>
      <c r="D5912" s="163" t="s">
        <v>3211</v>
      </c>
      <c r="E5912" s="164" t="n">
        <v>10000</v>
      </c>
      <c r="F5912" s="165" t="s">
        <v>9929</v>
      </c>
    </row>
    <row r="5913" customFormat="false" ht="15" hidden="false" customHeight="true" outlineLevel="0" collapsed="false">
      <c r="A5913" s="163" t="s">
        <v>2460</v>
      </c>
      <c r="B5913" s="163" t="s">
        <v>957</v>
      </c>
      <c r="C5913" s="163" t="s">
        <v>1135</v>
      </c>
      <c r="D5913" s="163" t="s">
        <v>2507</v>
      </c>
      <c r="E5913" s="164" t="n">
        <v>10000</v>
      </c>
      <c r="F5913" s="165" t="s">
        <v>9930</v>
      </c>
    </row>
    <row r="5914" customFormat="false" ht="15" hidden="false" customHeight="true" outlineLevel="0" collapsed="false">
      <c r="A5914" s="163" t="s">
        <v>2460</v>
      </c>
      <c r="B5914" s="163" t="s">
        <v>957</v>
      </c>
      <c r="C5914" s="163" t="s">
        <v>9931</v>
      </c>
      <c r="D5914" s="163" t="s">
        <v>9932</v>
      </c>
      <c r="E5914" s="164" t="n">
        <v>8500</v>
      </c>
      <c r="F5914" s="165" t="s">
        <v>9933</v>
      </c>
    </row>
    <row r="5915" customFormat="false" ht="15" hidden="false" customHeight="true" outlineLevel="0" collapsed="false">
      <c r="A5915" s="163" t="s">
        <v>2460</v>
      </c>
      <c r="B5915" s="163" t="s">
        <v>957</v>
      </c>
      <c r="C5915" s="163" t="s">
        <v>1860</v>
      </c>
      <c r="D5915" s="163" t="s">
        <v>1861</v>
      </c>
      <c r="E5915" s="164" t="n">
        <v>7500</v>
      </c>
      <c r="F5915" s="165" t="s">
        <v>9934</v>
      </c>
    </row>
    <row r="5916" customFormat="false" ht="15" hidden="false" customHeight="true" outlineLevel="0" collapsed="false">
      <c r="A5916" s="163" t="s">
        <v>2460</v>
      </c>
      <c r="B5916" s="163" t="s">
        <v>957</v>
      </c>
      <c r="C5916" s="163" t="s">
        <v>4904</v>
      </c>
      <c r="D5916" s="163" t="s">
        <v>4905</v>
      </c>
      <c r="E5916" s="164" t="n">
        <v>5000</v>
      </c>
      <c r="F5916" s="165" t="s">
        <v>9935</v>
      </c>
    </row>
    <row r="5917" customFormat="false" ht="15" hidden="false" customHeight="true" outlineLevel="0" collapsed="false">
      <c r="A5917" s="163" t="s">
        <v>2460</v>
      </c>
      <c r="B5917" s="163" t="s">
        <v>957</v>
      </c>
      <c r="C5917" s="163" t="s">
        <v>9454</v>
      </c>
      <c r="D5917" s="163" t="s">
        <v>9455</v>
      </c>
      <c r="E5917" s="164" t="n">
        <v>5000</v>
      </c>
      <c r="F5917" s="165" t="s">
        <v>9936</v>
      </c>
    </row>
    <row r="5918" customFormat="false" ht="15" hidden="false" customHeight="true" outlineLevel="0" collapsed="false">
      <c r="A5918" s="163" t="s">
        <v>2460</v>
      </c>
      <c r="B5918" s="163" t="s">
        <v>957</v>
      </c>
      <c r="C5918" s="163" t="s">
        <v>4343</v>
      </c>
      <c r="D5918" s="163" t="s">
        <v>4344</v>
      </c>
      <c r="E5918" s="164" t="n">
        <v>5000</v>
      </c>
      <c r="F5918" s="165" t="s">
        <v>9937</v>
      </c>
    </row>
    <row r="5919" customFormat="false" ht="15" hidden="false" customHeight="true" outlineLevel="0" collapsed="false">
      <c r="A5919" s="163" t="s">
        <v>2460</v>
      </c>
      <c r="B5919" s="163" t="s">
        <v>957</v>
      </c>
      <c r="C5919" s="163" t="s">
        <v>7203</v>
      </c>
      <c r="D5919" s="163" t="s">
        <v>7204</v>
      </c>
      <c r="E5919" s="164" t="n">
        <v>5000</v>
      </c>
      <c r="F5919" s="165" t="s">
        <v>9938</v>
      </c>
    </row>
    <row r="5920" customFormat="false" ht="15" hidden="false" customHeight="true" outlineLevel="0" collapsed="false">
      <c r="A5920" s="163" t="s">
        <v>2460</v>
      </c>
      <c r="B5920" s="163" t="s">
        <v>957</v>
      </c>
      <c r="C5920" s="163" t="s">
        <v>991</v>
      </c>
      <c r="D5920" s="163" t="s">
        <v>3769</v>
      </c>
      <c r="E5920" s="164" t="n">
        <v>5000</v>
      </c>
      <c r="F5920" s="165" t="s">
        <v>9939</v>
      </c>
    </row>
    <row r="5921" customFormat="false" ht="15" hidden="false" customHeight="true" outlineLevel="0" collapsed="false">
      <c r="A5921" s="163" t="s">
        <v>2460</v>
      </c>
      <c r="B5921" s="163" t="s">
        <v>945</v>
      </c>
      <c r="C5921" s="163" t="s">
        <v>3872</v>
      </c>
      <c r="D5921" s="163" t="s">
        <v>3873</v>
      </c>
      <c r="E5921" s="164" t="n">
        <v>10000</v>
      </c>
      <c r="F5921" s="165" t="s">
        <v>9934</v>
      </c>
    </row>
    <row r="5922" customFormat="false" ht="15" hidden="false" customHeight="true" outlineLevel="0" collapsed="false">
      <c r="A5922" s="163" t="s">
        <v>2460</v>
      </c>
      <c r="B5922" s="163" t="s">
        <v>945</v>
      </c>
      <c r="C5922" s="163" t="s">
        <v>9940</v>
      </c>
      <c r="D5922" s="163" t="s">
        <v>9941</v>
      </c>
      <c r="E5922" s="164" t="n">
        <v>10000</v>
      </c>
      <c r="F5922" s="165" t="s">
        <v>9942</v>
      </c>
    </row>
    <row r="5923" customFormat="false" ht="15" hidden="false" customHeight="true" outlineLevel="0" collapsed="false">
      <c r="A5923" s="163" t="s">
        <v>2460</v>
      </c>
      <c r="B5923" s="163" t="s">
        <v>945</v>
      </c>
      <c r="C5923" s="163" t="s">
        <v>9943</v>
      </c>
      <c r="D5923" s="163" t="s">
        <v>9944</v>
      </c>
      <c r="E5923" s="164" t="n">
        <v>5000</v>
      </c>
      <c r="F5923" s="165" t="s">
        <v>9945</v>
      </c>
    </row>
    <row r="5924" customFormat="false" ht="15" hidden="false" customHeight="true" outlineLevel="0" collapsed="false">
      <c r="A5924" s="163" t="s">
        <v>2460</v>
      </c>
      <c r="B5924" s="163" t="s">
        <v>945</v>
      </c>
      <c r="C5924" s="163" t="s">
        <v>3923</v>
      </c>
      <c r="D5924" s="163" t="s">
        <v>3924</v>
      </c>
      <c r="E5924" s="164" t="n">
        <v>5000</v>
      </c>
      <c r="F5924" s="165" t="s">
        <v>9946</v>
      </c>
    </row>
    <row r="5925" customFormat="false" ht="15" hidden="false" customHeight="true" outlineLevel="0" collapsed="false">
      <c r="A5925" s="163" t="s">
        <v>2460</v>
      </c>
      <c r="B5925" s="163" t="s">
        <v>945</v>
      </c>
      <c r="C5925" s="163" t="s">
        <v>3904</v>
      </c>
      <c r="D5925" s="163" t="s">
        <v>3905</v>
      </c>
      <c r="E5925" s="164" t="n">
        <v>5000</v>
      </c>
      <c r="F5925" s="165" t="s">
        <v>9947</v>
      </c>
    </row>
    <row r="5926" customFormat="false" ht="15" hidden="false" customHeight="true" outlineLevel="0" collapsed="false">
      <c r="A5926" s="163" t="s">
        <v>2460</v>
      </c>
      <c r="B5926" s="163" t="s">
        <v>945</v>
      </c>
      <c r="C5926" s="163" t="s">
        <v>3643</v>
      </c>
      <c r="D5926" s="163" t="s">
        <v>3644</v>
      </c>
      <c r="E5926" s="164" t="n">
        <v>5000</v>
      </c>
      <c r="F5926" s="165" t="s">
        <v>9948</v>
      </c>
    </row>
    <row r="5927" customFormat="false" ht="15" hidden="false" customHeight="true" outlineLevel="0" collapsed="false">
      <c r="A5927" s="163" t="s">
        <v>2460</v>
      </c>
      <c r="B5927" s="163" t="s">
        <v>945</v>
      </c>
      <c r="C5927" s="163" t="s">
        <v>9949</v>
      </c>
      <c r="D5927" s="163" t="s">
        <v>9950</v>
      </c>
      <c r="E5927" s="164" t="n">
        <v>5000</v>
      </c>
      <c r="F5927" s="165" t="s">
        <v>9951</v>
      </c>
    </row>
    <row r="5928" customFormat="false" ht="15" hidden="false" customHeight="true" outlineLevel="0" collapsed="false">
      <c r="A5928" s="163" t="s">
        <v>2460</v>
      </c>
      <c r="B5928" s="163" t="s">
        <v>945</v>
      </c>
      <c r="C5928" s="163" t="s">
        <v>3188</v>
      </c>
      <c r="D5928" s="163" t="s">
        <v>3189</v>
      </c>
      <c r="E5928" s="164" t="n">
        <v>5000</v>
      </c>
      <c r="F5928" s="165" t="s">
        <v>9952</v>
      </c>
    </row>
    <row r="5929" customFormat="false" ht="15" hidden="false" customHeight="true" outlineLevel="0" collapsed="false">
      <c r="A5929" s="163" t="s">
        <v>2460</v>
      </c>
      <c r="B5929" s="163" t="s">
        <v>3111</v>
      </c>
      <c r="C5929" s="163" t="s">
        <v>3840</v>
      </c>
      <c r="D5929" s="163" t="s">
        <v>2462</v>
      </c>
      <c r="E5929" s="164" t="n">
        <v>40000</v>
      </c>
      <c r="F5929" s="165" t="s">
        <v>9953</v>
      </c>
    </row>
    <row r="5930" customFormat="false" ht="15" hidden="false" customHeight="true" outlineLevel="0" collapsed="false">
      <c r="A5930" s="163" t="s">
        <v>2460</v>
      </c>
      <c r="B5930" s="163" t="s">
        <v>3111</v>
      </c>
      <c r="C5930" s="163" t="s">
        <v>4789</v>
      </c>
      <c r="D5930" s="163" t="s">
        <v>4790</v>
      </c>
      <c r="E5930" s="164" t="n">
        <v>20000</v>
      </c>
      <c r="F5930" s="165" t="s">
        <v>9954</v>
      </c>
    </row>
    <row r="5931" customFormat="false" ht="15" hidden="false" customHeight="true" outlineLevel="0" collapsed="false">
      <c r="A5931" s="163" t="s">
        <v>2460</v>
      </c>
      <c r="B5931" s="163" t="s">
        <v>3111</v>
      </c>
      <c r="C5931" s="163" t="s">
        <v>3848</v>
      </c>
      <c r="D5931" s="163" t="s">
        <v>3849</v>
      </c>
      <c r="E5931" s="164" t="n">
        <v>10000</v>
      </c>
      <c r="F5931" s="165" t="s">
        <v>9955</v>
      </c>
    </row>
    <row r="5932" customFormat="false" ht="15" hidden="false" customHeight="true" outlineLevel="0" collapsed="false">
      <c r="A5932" s="163" t="s">
        <v>2460</v>
      </c>
      <c r="B5932" s="163" t="s">
        <v>3111</v>
      </c>
      <c r="C5932" s="163" t="s">
        <v>3881</v>
      </c>
      <c r="D5932" s="163" t="s">
        <v>3882</v>
      </c>
      <c r="E5932" s="164" t="n">
        <v>10000</v>
      </c>
      <c r="F5932" s="165" t="s">
        <v>9956</v>
      </c>
    </row>
    <row r="5933" customFormat="false" ht="15" hidden="false" customHeight="true" outlineLevel="0" collapsed="false">
      <c r="A5933" s="163" t="s">
        <v>2460</v>
      </c>
      <c r="B5933" s="163" t="s">
        <v>3111</v>
      </c>
      <c r="C5933" s="163" t="s">
        <v>9957</v>
      </c>
      <c r="D5933" s="163" t="s">
        <v>9958</v>
      </c>
      <c r="E5933" s="164" t="n">
        <v>10000</v>
      </c>
      <c r="F5933" s="165" t="s">
        <v>3060</v>
      </c>
    </row>
    <row r="5934" customFormat="false" ht="15" hidden="false" customHeight="true" outlineLevel="0" collapsed="false">
      <c r="A5934" s="163" t="s">
        <v>2460</v>
      </c>
      <c r="B5934" s="163" t="s">
        <v>3111</v>
      </c>
      <c r="C5934" s="163" t="s">
        <v>3749</v>
      </c>
      <c r="D5934" s="163" t="s">
        <v>3750</v>
      </c>
      <c r="E5934" s="164" t="n">
        <v>10000</v>
      </c>
      <c r="F5934" s="165" t="s">
        <v>9959</v>
      </c>
    </row>
    <row r="5935" customFormat="false" ht="15" hidden="false" customHeight="true" outlineLevel="0" collapsed="false">
      <c r="A5935" s="163" t="s">
        <v>2460</v>
      </c>
      <c r="B5935" s="163" t="s">
        <v>1938</v>
      </c>
      <c r="C5935" s="163" t="s">
        <v>4478</v>
      </c>
      <c r="D5935" s="163" t="s">
        <v>4479</v>
      </c>
      <c r="E5935" s="164" t="n">
        <v>20000</v>
      </c>
      <c r="F5935" s="165" t="s">
        <v>3060</v>
      </c>
    </row>
    <row r="5936" customFormat="false" ht="15" hidden="false" customHeight="true" outlineLevel="0" collapsed="false">
      <c r="A5936" s="163" t="s">
        <v>2460</v>
      </c>
      <c r="B5936" s="163" t="s">
        <v>1938</v>
      </c>
      <c r="C5936" s="163" t="s">
        <v>4789</v>
      </c>
      <c r="D5936" s="163" t="s">
        <v>4790</v>
      </c>
      <c r="E5936" s="164" t="n">
        <v>20000</v>
      </c>
      <c r="F5936" s="165" t="s">
        <v>3060</v>
      </c>
    </row>
    <row r="5937" customFormat="false" ht="15" hidden="false" customHeight="true" outlineLevel="0" collapsed="false">
      <c r="A5937" s="163" t="s">
        <v>2460</v>
      </c>
      <c r="B5937" s="163" t="s">
        <v>1938</v>
      </c>
      <c r="C5937" s="163" t="s">
        <v>3805</v>
      </c>
      <c r="D5937" s="163" t="s">
        <v>3806</v>
      </c>
      <c r="E5937" s="164" t="n">
        <v>20000</v>
      </c>
      <c r="F5937" s="165" t="s">
        <v>3060</v>
      </c>
    </row>
    <row r="5938" customFormat="false" ht="15" hidden="false" customHeight="true" outlineLevel="0" collapsed="false">
      <c r="A5938" s="163" t="s">
        <v>2460</v>
      </c>
      <c r="B5938" s="163" t="s">
        <v>1938</v>
      </c>
      <c r="C5938" s="163" t="s">
        <v>3805</v>
      </c>
      <c r="D5938" s="163" t="s">
        <v>3806</v>
      </c>
      <c r="E5938" s="164" t="n">
        <v>20000</v>
      </c>
      <c r="F5938" s="165" t="s">
        <v>3060</v>
      </c>
    </row>
    <row r="5939" customFormat="false" ht="15" hidden="false" customHeight="true" outlineLevel="0" collapsed="false">
      <c r="A5939" s="163" t="s">
        <v>2460</v>
      </c>
      <c r="B5939" s="163" t="s">
        <v>1938</v>
      </c>
      <c r="C5939" s="163" t="s">
        <v>1129</v>
      </c>
      <c r="D5939" s="163" t="s">
        <v>2892</v>
      </c>
      <c r="E5939" s="164" t="n">
        <v>20000</v>
      </c>
      <c r="F5939" s="165" t="s">
        <v>3060</v>
      </c>
    </row>
    <row r="5940" customFormat="false" ht="15" hidden="false" customHeight="true" outlineLevel="0" collapsed="false">
      <c r="A5940" s="163" t="s">
        <v>2460</v>
      </c>
      <c r="B5940" s="163" t="s">
        <v>1938</v>
      </c>
      <c r="C5940" s="163" t="s">
        <v>1129</v>
      </c>
      <c r="D5940" s="163" t="s">
        <v>2892</v>
      </c>
      <c r="E5940" s="164" t="n">
        <v>20000</v>
      </c>
      <c r="F5940" s="165" t="s">
        <v>3060</v>
      </c>
    </row>
    <row r="5941" customFormat="false" ht="15" hidden="false" customHeight="true" outlineLevel="0" collapsed="false">
      <c r="A5941" s="163" t="s">
        <v>2460</v>
      </c>
      <c r="B5941" s="163" t="s">
        <v>1938</v>
      </c>
      <c r="C5941" s="163" t="s">
        <v>332</v>
      </c>
      <c r="D5941" s="163" t="s">
        <v>2673</v>
      </c>
      <c r="E5941" s="164" t="n">
        <v>20000</v>
      </c>
      <c r="F5941" s="165" t="s">
        <v>3060</v>
      </c>
    </row>
    <row r="5942" customFormat="false" ht="15" hidden="false" customHeight="true" outlineLevel="0" collapsed="false">
      <c r="A5942" s="163" t="s">
        <v>2460</v>
      </c>
      <c r="B5942" s="163" t="s">
        <v>1938</v>
      </c>
      <c r="C5942" s="163" t="s">
        <v>332</v>
      </c>
      <c r="D5942" s="163" t="s">
        <v>2673</v>
      </c>
      <c r="E5942" s="164" t="n">
        <v>20000</v>
      </c>
      <c r="F5942" s="165" t="s">
        <v>3060</v>
      </c>
    </row>
    <row r="5943" customFormat="false" ht="15" hidden="false" customHeight="true" outlineLevel="0" collapsed="false">
      <c r="A5943" s="163" t="s">
        <v>2460</v>
      </c>
      <c r="B5943" s="163" t="s">
        <v>1938</v>
      </c>
      <c r="C5943" s="163" t="s">
        <v>332</v>
      </c>
      <c r="D5943" s="163" t="s">
        <v>2673</v>
      </c>
      <c r="E5943" s="164" t="n">
        <v>20000</v>
      </c>
      <c r="F5943" s="165" t="s">
        <v>3060</v>
      </c>
    </row>
    <row r="5944" customFormat="false" ht="15" hidden="false" customHeight="true" outlineLevel="0" collapsed="false">
      <c r="A5944" s="163" t="s">
        <v>2460</v>
      </c>
      <c r="B5944" s="163" t="s">
        <v>1938</v>
      </c>
      <c r="C5944" s="163" t="s">
        <v>3602</v>
      </c>
      <c r="D5944" s="163" t="s">
        <v>3603</v>
      </c>
      <c r="E5944" s="164" t="n">
        <v>20000</v>
      </c>
      <c r="F5944" s="165" t="s">
        <v>3060</v>
      </c>
    </row>
    <row r="5945" customFormat="false" ht="15" hidden="false" customHeight="true" outlineLevel="0" collapsed="false">
      <c r="A5945" s="163" t="s">
        <v>2460</v>
      </c>
      <c r="B5945" s="163" t="s">
        <v>1938</v>
      </c>
      <c r="C5945" s="163" t="s">
        <v>3602</v>
      </c>
      <c r="D5945" s="163" t="s">
        <v>3603</v>
      </c>
      <c r="E5945" s="164" t="n">
        <v>20000</v>
      </c>
      <c r="F5945" s="165" t="s">
        <v>3060</v>
      </c>
    </row>
    <row r="5946" customFormat="false" ht="15" hidden="false" customHeight="true" outlineLevel="0" collapsed="false">
      <c r="A5946" s="163" t="s">
        <v>2460</v>
      </c>
      <c r="B5946" s="163" t="s">
        <v>1938</v>
      </c>
      <c r="C5946" s="163" t="s">
        <v>3602</v>
      </c>
      <c r="D5946" s="163" t="s">
        <v>3603</v>
      </c>
      <c r="E5946" s="164" t="n">
        <v>20000</v>
      </c>
      <c r="F5946" s="165" t="s">
        <v>3060</v>
      </c>
    </row>
    <row r="5947" customFormat="false" ht="15" hidden="false" customHeight="true" outlineLevel="0" collapsed="false">
      <c r="A5947" s="163" t="s">
        <v>2460</v>
      </c>
      <c r="B5947" s="163" t="s">
        <v>1938</v>
      </c>
      <c r="C5947" s="163" t="s">
        <v>431</v>
      </c>
      <c r="D5947" s="163" t="s">
        <v>2678</v>
      </c>
      <c r="E5947" s="164" t="n">
        <v>20000</v>
      </c>
      <c r="F5947" s="165" t="s">
        <v>3060</v>
      </c>
    </row>
    <row r="5948" customFormat="false" ht="15" hidden="false" customHeight="true" outlineLevel="0" collapsed="false">
      <c r="A5948" s="163" t="s">
        <v>2460</v>
      </c>
      <c r="B5948" s="163" t="s">
        <v>1938</v>
      </c>
      <c r="C5948" s="163" t="s">
        <v>1169</v>
      </c>
      <c r="D5948" s="163" t="s">
        <v>2801</v>
      </c>
      <c r="E5948" s="164" t="n">
        <v>20000</v>
      </c>
      <c r="F5948" s="165" t="s">
        <v>3060</v>
      </c>
    </row>
    <row r="5949" customFormat="false" ht="15" hidden="false" customHeight="true" outlineLevel="0" collapsed="false">
      <c r="A5949" s="163" t="s">
        <v>2460</v>
      </c>
      <c r="B5949" s="163" t="s">
        <v>1938</v>
      </c>
      <c r="C5949" s="163" t="s">
        <v>1169</v>
      </c>
      <c r="D5949" s="163" t="s">
        <v>2801</v>
      </c>
      <c r="E5949" s="164" t="n">
        <v>20000</v>
      </c>
      <c r="F5949" s="165" t="s">
        <v>3060</v>
      </c>
    </row>
    <row r="5950" customFormat="false" ht="15" hidden="false" customHeight="true" outlineLevel="0" collapsed="false">
      <c r="A5950" s="163" t="s">
        <v>2460</v>
      </c>
      <c r="B5950" s="163" t="s">
        <v>1938</v>
      </c>
      <c r="C5950" s="163" t="s">
        <v>1169</v>
      </c>
      <c r="D5950" s="163" t="s">
        <v>2801</v>
      </c>
      <c r="E5950" s="164" t="n">
        <v>20000</v>
      </c>
      <c r="F5950" s="165" t="s">
        <v>3060</v>
      </c>
    </row>
    <row r="5951" customFormat="false" ht="15" hidden="false" customHeight="true" outlineLevel="0" collapsed="false">
      <c r="A5951" s="163" t="s">
        <v>2460</v>
      </c>
      <c r="B5951" s="163" t="s">
        <v>691</v>
      </c>
      <c r="C5951" s="163" t="s">
        <v>4789</v>
      </c>
      <c r="D5951" s="163" t="s">
        <v>4790</v>
      </c>
      <c r="E5951" s="164" t="n">
        <v>70000</v>
      </c>
      <c r="F5951" s="165" t="s">
        <v>3060</v>
      </c>
    </row>
    <row r="5952" customFormat="false" ht="15" hidden="false" customHeight="true" outlineLevel="0" collapsed="false">
      <c r="A5952" s="163" t="s">
        <v>2460</v>
      </c>
      <c r="B5952" s="163" t="s">
        <v>691</v>
      </c>
      <c r="C5952" s="163" t="s">
        <v>991</v>
      </c>
      <c r="D5952" s="163" t="s">
        <v>3769</v>
      </c>
      <c r="E5952" s="164" t="n">
        <v>25000</v>
      </c>
      <c r="F5952" s="165" t="s">
        <v>3060</v>
      </c>
    </row>
    <row r="5953" customFormat="false" ht="15" hidden="false" customHeight="true" outlineLevel="0" collapsed="false">
      <c r="A5953" s="163" t="s">
        <v>2460</v>
      </c>
      <c r="B5953" s="163" t="s">
        <v>691</v>
      </c>
      <c r="C5953" s="163" t="s">
        <v>6378</v>
      </c>
      <c r="D5953" s="163" t="s">
        <v>6379</v>
      </c>
      <c r="E5953" s="164" t="n">
        <v>15000</v>
      </c>
      <c r="F5953" s="165" t="s">
        <v>3060</v>
      </c>
    </row>
    <row r="5954" customFormat="false" ht="15" hidden="false" customHeight="true" outlineLevel="0" collapsed="false">
      <c r="A5954" s="163" t="s">
        <v>2460</v>
      </c>
      <c r="B5954" s="163" t="s">
        <v>691</v>
      </c>
      <c r="C5954" s="163" t="s">
        <v>6378</v>
      </c>
      <c r="D5954" s="163" t="s">
        <v>6379</v>
      </c>
      <c r="E5954" s="164" t="n">
        <v>15000</v>
      </c>
      <c r="F5954" s="165" t="s">
        <v>3060</v>
      </c>
    </row>
    <row r="5955" customFormat="false" ht="15" hidden="false" customHeight="true" outlineLevel="0" collapsed="false">
      <c r="A5955" s="163" t="s">
        <v>2460</v>
      </c>
      <c r="B5955" s="163" t="s">
        <v>691</v>
      </c>
      <c r="C5955" s="163" t="s">
        <v>950</v>
      </c>
      <c r="D5955" s="163" t="s">
        <v>4373</v>
      </c>
      <c r="E5955" s="164" t="n">
        <v>10000</v>
      </c>
      <c r="F5955" s="165" t="s">
        <v>3060</v>
      </c>
    </row>
    <row r="5956" customFormat="false" ht="15" hidden="false" customHeight="true" outlineLevel="0" collapsed="false">
      <c r="A5956" s="163" t="s">
        <v>2460</v>
      </c>
      <c r="B5956" s="163" t="s">
        <v>691</v>
      </c>
      <c r="C5956" s="163" t="s">
        <v>3840</v>
      </c>
      <c r="D5956" s="163" t="s">
        <v>2462</v>
      </c>
      <c r="E5956" s="164" t="n">
        <v>10000</v>
      </c>
      <c r="F5956" s="165" t="s">
        <v>3060</v>
      </c>
    </row>
    <row r="5957" customFormat="false" ht="15" hidden="false" customHeight="true" outlineLevel="0" collapsed="false">
      <c r="A5957" s="163" t="s">
        <v>2460</v>
      </c>
      <c r="B5957" s="163" t="s">
        <v>2027</v>
      </c>
      <c r="C5957" s="163" t="s">
        <v>9931</v>
      </c>
      <c r="D5957" s="163" t="s">
        <v>9932</v>
      </c>
      <c r="E5957" s="164" t="n">
        <v>25000</v>
      </c>
      <c r="F5957" s="165" t="s">
        <v>3060</v>
      </c>
    </row>
    <row r="5958" customFormat="false" ht="15" hidden="false" customHeight="true" outlineLevel="0" collapsed="false">
      <c r="A5958" s="163" t="s">
        <v>2460</v>
      </c>
      <c r="B5958" s="163" t="s">
        <v>2027</v>
      </c>
      <c r="C5958" s="163" t="s">
        <v>991</v>
      </c>
      <c r="D5958" s="163" t="s">
        <v>3769</v>
      </c>
      <c r="E5958" s="164" t="n">
        <v>24999</v>
      </c>
      <c r="F5958" s="165" t="s">
        <v>3060</v>
      </c>
    </row>
    <row r="5959" customFormat="false" ht="15" hidden="false" customHeight="true" outlineLevel="0" collapsed="false">
      <c r="A5959" s="163" t="s">
        <v>2460</v>
      </c>
      <c r="B5959" s="163" t="s">
        <v>2027</v>
      </c>
      <c r="C5959" s="163" t="s">
        <v>991</v>
      </c>
      <c r="D5959" s="163" t="s">
        <v>3769</v>
      </c>
      <c r="E5959" s="164" t="n">
        <v>20000</v>
      </c>
      <c r="F5959" s="165" t="s">
        <v>3060</v>
      </c>
    </row>
    <row r="5960" customFormat="false" ht="15" hidden="false" customHeight="true" outlineLevel="0" collapsed="false">
      <c r="A5960" s="163" t="s">
        <v>2460</v>
      </c>
      <c r="B5960" s="163" t="s">
        <v>2027</v>
      </c>
      <c r="C5960" s="163" t="s">
        <v>408</v>
      </c>
      <c r="D5960" s="163" t="s">
        <v>2082</v>
      </c>
      <c r="E5960" s="164" t="n">
        <v>20000</v>
      </c>
      <c r="F5960" s="165" t="s">
        <v>3060</v>
      </c>
    </row>
    <row r="5961" customFormat="false" ht="15" hidden="false" customHeight="true" outlineLevel="0" collapsed="false">
      <c r="A5961" s="163" t="s">
        <v>2460</v>
      </c>
      <c r="B5961" s="163" t="s">
        <v>2037</v>
      </c>
      <c r="C5961" s="163" t="s">
        <v>3802</v>
      </c>
      <c r="D5961" s="163" t="s">
        <v>3803</v>
      </c>
      <c r="E5961" s="164" t="n">
        <v>64500</v>
      </c>
      <c r="F5961" s="165" t="s">
        <v>3060</v>
      </c>
    </row>
    <row r="5962" customFormat="false" ht="15" hidden="false" customHeight="true" outlineLevel="0" collapsed="false">
      <c r="A5962" s="163" t="s">
        <v>2460</v>
      </c>
      <c r="B5962" s="163" t="s">
        <v>2037</v>
      </c>
      <c r="C5962" s="163" t="s">
        <v>991</v>
      </c>
      <c r="D5962" s="163" t="s">
        <v>3769</v>
      </c>
      <c r="E5962" s="164" t="n">
        <v>29999</v>
      </c>
      <c r="F5962" s="165" t="s">
        <v>3060</v>
      </c>
    </row>
    <row r="5963" customFormat="false" ht="15" hidden="false" customHeight="true" outlineLevel="0" collapsed="false">
      <c r="A5963" s="163" t="s">
        <v>2460</v>
      </c>
      <c r="B5963" s="163" t="s">
        <v>2037</v>
      </c>
      <c r="C5963" s="163" t="s">
        <v>3796</v>
      </c>
      <c r="D5963" s="163" t="s">
        <v>3797</v>
      </c>
      <c r="E5963" s="164" t="n">
        <v>20000</v>
      </c>
      <c r="F5963" s="165" t="s">
        <v>3060</v>
      </c>
    </row>
    <row r="5964" customFormat="false" ht="15" hidden="false" customHeight="true" outlineLevel="0" collapsed="false">
      <c r="A5964" s="163" t="s">
        <v>2460</v>
      </c>
      <c r="B5964" s="163" t="s">
        <v>2037</v>
      </c>
      <c r="C5964" s="163" t="s">
        <v>1860</v>
      </c>
      <c r="D5964" s="163" t="s">
        <v>1861</v>
      </c>
      <c r="E5964" s="164" t="n">
        <v>13500</v>
      </c>
      <c r="F5964" s="165" t="s">
        <v>3060</v>
      </c>
    </row>
    <row r="5965" customFormat="false" ht="15" hidden="false" customHeight="true" outlineLevel="0" collapsed="false">
      <c r="A5965" s="163" t="s">
        <v>2460</v>
      </c>
      <c r="B5965" s="163" t="s">
        <v>2037</v>
      </c>
      <c r="C5965" s="163" t="s">
        <v>3872</v>
      </c>
      <c r="D5965" s="163" t="s">
        <v>3873</v>
      </c>
      <c r="E5965" s="164" t="n">
        <v>5000</v>
      </c>
      <c r="F5965" s="165" t="s">
        <v>3060</v>
      </c>
    </row>
    <row r="5966" customFormat="false" ht="15" hidden="false" customHeight="true" outlineLevel="0" collapsed="false">
      <c r="A5966" s="163" t="s">
        <v>2460</v>
      </c>
      <c r="B5966" s="163" t="s">
        <v>894</v>
      </c>
      <c r="C5966" s="163" t="s">
        <v>4792</v>
      </c>
      <c r="D5966" s="163" t="s">
        <v>4793</v>
      </c>
      <c r="E5966" s="164" t="n">
        <v>42000</v>
      </c>
      <c r="F5966" s="165" t="s">
        <v>9960</v>
      </c>
    </row>
    <row r="5967" customFormat="false" ht="15" hidden="false" customHeight="true" outlineLevel="0" collapsed="false">
      <c r="A5967" s="163" t="s">
        <v>2460</v>
      </c>
      <c r="B5967" s="163" t="s">
        <v>894</v>
      </c>
      <c r="C5967" s="163" t="s">
        <v>1233</v>
      </c>
      <c r="D5967" s="163" t="s">
        <v>2151</v>
      </c>
      <c r="E5967" s="164" t="n">
        <v>30000</v>
      </c>
      <c r="F5967" s="165" t="s">
        <v>9961</v>
      </c>
    </row>
    <row r="5968" customFormat="false" ht="15" hidden="false" customHeight="true" outlineLevel="0" collapsed="false">
      <c r="A5968" s="163" t="s">
        <v>2460</v>
      </c>
      <c r="B5968" s="163" t="s">
        <v>894</v>
      </c>
      <c r="C5968" s="163" t="s">
        <v>9962</v>
      </c>
      <c r="D5968" s="163" t="s">
        <v>9963</v>
      </c>
      <c r="E5968" s="164" t="n">
        <v>25000</v>
      </c>
      <c r="F5968" s="165" t="s">
        <v>4765</v>
      </c>
    </row>
    <row r="5969" customFormat="false" ht="15" hidden="false" customHeight="true" outlineLevel="0" collapsed="false">
      <c r="A5969" s="163" t="s">
        <v>2460</v>
      </c>
      <c r="B5969" s="163" t="s">
        <v>894</v>
      </c>
      <c r="C5969" s="163" t="s">
        <v>431</v>
      </c>
      <c r="D5969" s="163" t="s">
        <v>2678</v>
      </c>
      <c r="E5969" s="164" t="n">
        <v>24000</v>
      </c>
      <c r="F5969" s="165" t="s">
        <v>9964</v>
      </c>
    </row>
    <row r="5970" customFormat="false" ht="15" hidden="false" customHeight="true" outlineLevel="0" collapsed="false">
      <c r="A5970" s="163" t="s">
        <v>2460</v>
      </c>
      <c r="B5970" s="163" t="s">
        <v>894</v>
      </c>
      <c r="C5970" s="163" t="s">
        <v>3602</v>
      </c>
      <c r="D5970" s="163" t="s">
        <v>3603</v>
      </c>
      <c r="E5970" s="164" t="n">
        <v>20000</v>
      </c>
      <c r="F5970" s="165" t="s">
        <v>9965</v>
      </c>
    </row>
    <row r="5971" customFormat="false" ht="15" hidden="false" customHeight="true" outlineLevel="0" collapsed="false">
      <c r="A5971" s="163" t="s">
        <v>2460</v>
      </c>
      <c r="B5971" s="163" t="s">
        <v>894</v>
      </c>
      <c r="C5971" s="163" t="s">
        <v>9966</v>
      </c>
      <c r="D5971" s="163" t="s">
        <v>9967</v>
      </c>
      <c r="E5971" s="164" t="n">
        <v>20000</v>
      </c>
      <c r="F5971" s="165" t="s">
        <v>9968</v>
      </c>
    </row>
    <row r="5972" customFormat="false" ht="15" hidden="false" customHeight="true" outlineLevel="0" collapsed="false">
      <c r="A5972" s="163" t="s">
        <v>2460</v>
      </c>
      <c r="B5972" s="163" t="s">
        <v>894</v>
      </c>
      <c r="C5972" s="163" t="s">
        <v>3848</v>
      </c>
      <c r="D5972" s="163" t="s">
        <v>3849</v>
      </c>
      <c r="E5972" s="164" t="n">
        <v>15000</v>
      </c>
      <c r="F5972" s="165" t="s">
        <v>9969</v>
      </c>
    </row>
    <row r="5973" customFormat="false" ht="15" hidden="false" customHeight="true" outlineLevel="0" collapsed="false">
      <c r="A5973" s="163" t="s">
        <v>2460</v>
      </c>
      <c r="B5973" s="163" t="s">
        <v>894</v>
      </c>
      <c r="C5973" s="163" t="s">
        <v>9957</v>
      </c>
      <c r="D5973" s="163" t="s">
        <v>9958</v>
      </c>
      <c r="E5973" s="164" t="n">
        <v>15000</v>
      </c>
      <c r="F5973" s="165" t="s">
        <v>9970</v>
      </c>
    </row>
    <row r="5974" customFormat="false" ht="15" hidden="false" customHeight="true" outlineLevel="0" collapsed="false">
      <c r="A5974" s="163" t="s">
        <v>2460</v>
      </c>
      <c r="B5974" s="163" t="s">
        <v>894</v>
      </c>
      <c r="C5974" s="163" t="s">
        <v>3840</v>
      </c>
      <c r="D5974" s="163" t="s">
        <v>2462</v>
      </c>
      <c r="E5974" s="164" t="n">
        <v>15000</v>
      </c>
      <c r="F5974" s="165" t="s">
        <v>9971</v>
      </c>
    </row>
    <row r="5975" customFormat="false" ht="15" hidden="false" customHeight="true" outlineLevel="0" collapsed="false">
      <c r="A5975" s="163" t="s">
        <v>2460</v>
      </c>
      <c r="B5975" s="163" t="s">
        <v>894</v>
      </c>
      <c r="C5975" s="163" t="s">
        <v>4789</v>
      </c>
      <c r="D5975" s="163" t="s">
        <v>4790</v>
      </c>
      <c r="E5975" s="164" t="n">
        <v>11000</v>
      </c>
      <c r="F5975" s="165" t="s">
        <v>9972</v>
      </c>
    </row>
    <row r="5976" customFormat="false" ht="15" hidden="false" customHeight="true" outlineLevel="0" collapsed="false">
      <c r="A5976" s="163" t="s">
        <v>2460</v>
      </c>
      <c r="B5976" s="163" t="s">
        <v>894</v>
      </c>
      <c r="C5976" s="163" t="s">
        <v>5327</v>
      </c>
      <c r="D5976" s="163" t="s">
        <v>5328</v>
      </c>
      <c r="E5976" s="164" t="n">
        <v>10000</v>
      </c>
      <c r="F5976" s="165" t="s">
        <v>9973</v>
      </c>
    </row>
    <row r="5977" customFormat="false" ht="15" hidden="false" customHeight="true" outlineLevel="0" collapsed="false">
      <c r="A5977" s="163" t="s">
        <v>2460</v>
      </c>
      <c r="B5977" s="163" t="s">
        <v>894</v>
      </c>
      <c r="C5977" s="163" t="s">
        <v>9974</v>
      </c>
      <c r="D5977" s="163" t="s">
        <v>9975</v>
      </c>
      <c r="E5977" s="164" t="n">
        <v>10000</v>
      </c>
      <c r="F5977" s="165" t="s">
        <v>9976</v>
      </c>
    </row>
    <row r="5978" customFormat="false" ht="15" hidden="false" customHeight="true" outlineLevel="0" collapsed="false">
      <c r="A5978" s="163" t="s">
        <v>2460</v>
      </c>
      <c r="B5978" s="163" t="s">
        <v>894</v>
      </c>
      <c r="C5978" s="163" t="s">
        <v>3334</v>
      </c>
      <c r="D5978" s="163" t="s">
        <v>3335</v>
      </c>
      <c r="E5978" s="164" t="n">
        <v>10000</v>
      </c>
      <c r="F5978" s="165" t="s">
        <v>9977</v>
      </c>
    </row>
    <row r="5979" customFormat="false" ht="15" hidden="false" customHeight="true" outlineLevel="0" collapsed="false">
      <c r="A5979" s="163" t="s">
        <v>2460</v>
      </c>
      <c r="B5979" s="163" t="s">
        <v>894</v>
      </c>
      <c r="C5979" s="163" t="s">
        <v>9978</v>
      </c>
      <c r="D5979" s="163" t="s">
        <v>9979</v>
      </c>
      <c r="E5979" s="164" t="n">
        <v>10000</v>
      </c>
      <c r="F5979" s="165" t="s">
        <v>9980</v>
      </c>
    </row>
    <row r="5980" customFormat="false" ht="15" hidden="false" customHeight="true" outlineLevel="0" collapsed="false">
      <c r="A5980" s="163" t="s">
        <v>2460</v>
      </c>
      <c r="B5980" s="163" t="s">
        <v>894</v>
      </c>
      <c r="C5980" s="163" t="s">
        <v>3881</v>
      </c>
      <c r="D5980" s="163" t="s">
        <v>3882</v>
      </c>
      <c r="E5980" s="164" t="n">
        <v>10000</v>
      </c>
      <c r="F5980" s="165" t="s">
        <v>9981</v>
      </c>
    </row>
    <row r="5981" customFormat="false" ht="15" hidden="false" customHeight="true" outlineLevel="0" collapsed="false">
      <c r="A5981" s="163" t="s">
        <v>2460</v>
      </c>
      <c r="B5981" s="163" t="s">
        <v>894</v>
      </c>
      <c r="C5981" s="163" t="s">
        <v>1221</v>
      </c>
      <c r="D5981" s="163" t="s">
        <v>1895</v>
      </c>
      <c r="E5981" s="164" t="n">
        <v>10000</v>
      </c>
      <c r="F5981" s="165" t="s">
        <v>9982</v>
      </c>
    </row>
    <row r="5982" customFormat="false" ht="15" hidden="false" customHeight="true" outlineLevel="0" collapsed="false">
      <c r="A5982" s="163" t="s">
        <v>2460</v>
      </c>
      <c r="B5982" s="163" t="s">
        <v>894</v>
      </c>
      <c r="C5982" s="163" t="s">
        <v>9983</v>
      </c>
      <c r="D5982" s="163" t="s">
        <v>9984</v>
      </c>
      <c r="E5982" s="164" t="n">
        <v>10000</v>
      </c>
      <c r="F5982" s="165" t="s">
        <v>9985</v>
      </c>
    </row>
    <row r="5983" customFormat="false" ht="15" hidden="false" customHeight="true" outlineLevel="0" collapsed="false">
      <c r="A5983" s="163" t="s">
        <v>2460</v>
      </c>
      <c r="B5983" s="163" t="s">
        <v>894</v>
      </c>
      <c r="C5983" s="163" t="s">
        <v>3796</v>
      </c>
      <c r="D5983" s="163" t="s">
        <v>3797</v>
      </c>
      <c r="E5983" s="164" t="n">
        <v>10000</v>
      </c>
      <c r="F5983" s="165" t="s">
        <v>9986</v>
      </c>
    </row>
    <row r="5984" customFormat="false" ht="15" hidden="false" customHeight="true" outlineLevel="0" collapsed="false">
      <c r="A5984" s="163" t="s">
        <v>2460</v>
      </c>
      <c r="B5984" s="163" t="s">
        <v>894</v>
      </c>
      <c r="C5984" s="163" t="s">
        <v>6368</v>
      </c>
      <c r="D5984" s="163" t="s">
        <v>6369</v>
      </c>
      <c r="E5984" s="164" t="n">
        <v>7500</v>
      </c>
      <c r="F5984" s="165" t="s">
        <v>9987</v>
      </c>
    </row>
    <row r="5985" customFormat="false" ht="15" hidden="false" customHeight="true" outlineLevel="0" collapsed="false">
      <c r="A5985" s="163" t="s">
        <v>2460</v>
      </c>
      <c r="B5985" s="163" t="s">
        <v>894</v>
      </c>
      <c r="C5985" s="163" t="s">
        <v>4862</v>
      </c>
      <c r="D5985" s="163" t="s">
        <v>4863</v>
      </c>
      <c r="E5985" s="164" t="n">
        <v>7000</v>
      </c>
      <c r="F5985" s="165" t="s">
        <v>9988</v>
      </c>
    </row>
    <row r="5986" customFormat="false" ht="15" hidden="false" customHeight="true" outlineLevel="0" collapsed="false">
      <c r="A5986" s="163" t="s">
        <v>2460</v>
      </c>
      <c r="B5986" s="163" t="s">
        <v>894</v>
      </c>
      <c r="C5986" s="163" t="s">
        <v>9989</v>
      </c>
      <c r="D5986" s="163" t="s">
        <v>9990</v>
      </c>
      <c r="E5986" s="164" t="n">
        <v>7000</v>
      </c>
      <c r="F5986" s="165" t="s">
        <v>9991</v>
      </c>
    </row>
    <row r="5987" customFormat="false" ht="15" hidden="false" customHeight="true" outlineLevel="0" collapsed="false">
      <c r="A5987" s="163" t="s">
        <v>2460</v>
      </c>
      <c r="B5987" s="163" t="s">
        <v>894</v>
      </c>
      <c r="C5987" s="163" t="s">
        <v>9992</v>
      </c>
      <c r="D5987" s="163" t="s">
        <v>9993</v>
      </c>
      <c r="E5987" s="164" t="n">
        <v>6000</v>
      </c>
      <c r="F5987" s="165" t="s">
        <v>9994</v>
      </c>
    </row>
    <row r="5988" customFormat="false" ht="15" hidden="false" customHeight="true" outlineLevel="0" collapsed="false">
      <c r="A5988" s="163" t="s">
        <v>2460</v>
      </c>
      <c r="B5988" s="163" t="s">
        <v>894</v>
      </c>
      <c r="C5988" s="163" t="s">
        <v>7617</v>
      </c>
      <c r="D5988" s="163" t="s">
        <v>7618</v>
      </c>
      <c r="E5988" s="164" t="n">
        <v>5000</v>
      </c>
      <c r="F5988" s="165" t="s">
        <v>9995</v>
      </c>
    </row>
    <row r="5989" customFormat="false" ht="15" hidden="false" customHeight="true" outlineLevel="0" collapsed="false">
      <c r="A5989" s="163" t="s">
        <v>2460</v>
      </c>
      <c r="B5989" s="163" t="s">
        <v>894</v>
      </c>
      <c r="C5989" s="163" t="s">
        <v>3805</v>
      </c>
      <c r="D5989" s="163" t="s">
        <v>3806</v>
      </c>
      <c r="E5989" s="164" t="n">
        <v>5000</v>
      </c>
      <c r="F5989" s="165" t="s">
        <v>9996</v>
      </c>
    </row>
    <row r="5990" customFormat="false" ht="15" hidden="false" customHeight="true" outlineLevel="0" collapsed="false">
      <c r="A5990" s="163" t="s">
        <v>2460</v>
      </c>
      <c r="B5990" s="163" t="s">
        <v>894</v>
      </c>
      <c r="C5990" s="163" t="s">
        <v>9997</v>
      </c>
      <c r="D5990" s="163" t="s">
        <v>9998</v>
      </c>
      <c r="E5990" s="164" t="n">
        <v>5000</v>
      </c>
      <c r="F5990" s="165" t="s">
        <v>9999</v>
      </c>
    </row>
    <row r="5991" customFormat="false" ht="15" hidden="false" customHeight="true" outlineLevel="0" collapsed="false">
      <c r="A5991" s="163" t="s">
        <v>2460</v>
      </c>
      <c r="B5991" s="163" t="s">
        <v>894</v>
      </c>
      <c r="C5991" s="163" t="s">
        <v>10000</v>
      </c>
      <c r="D5991" s="163" t="s">
        <v>10001</v>
      </c>
      <c r="E5991" s="164" t="n">
        <v>5000</v>
      </c>
      <c r="F5991" s="165" t="s">
        <v>10002</v>
      </c>
    </row>
    <row r="5992" customFormat="false" ht="15" hidden="false" customHeight="true" outlineLevel="0" collapsed="false">
      <c r="A5992" s="163" t="s">
        <v>2460</v>
      </c>
      <c r="B5992" s="163" t="s">
        <v>894</v>
      </c>
      <c r="C5992" s="163" t="s">
        <v>10003</v>
      </c>
      <c r="D5992" s="163" t="s">
        <v>10004</v>
      </c>
      <c r="E5992" s="164" t="n">
        <v>5000</v>
      </c>
      <c r="F5992" s="165" t="s">
        <v>10005</v>
      </c>
    </row>
    <row r="5993" customFormat="false" ht="15" hidden="false" customHeight="true" outlineLevel="0" collapsed="false">
      <c r="A5993" s="163" t="s">
        <v>2460</v>
      </c>
      <c r="B5993" s="163" t="s">
        <v>894</v>
      </c>
      <c r="C5993" s="163" t="s">
        <v>10006</v>
      </c>
      <c r="D5993" s="163" t="s">
        <v>10007</v>
      </c>
      <c r="E5993" s="164" t="n">
        <v>5000</v>
      </c>
      <c r="F5993" s="165" t="s">
        <v>10008</v>
      </c>
    </row>
    <row r="5994" customFormat="false" ht="15" hidden="false" customHeight="true" outlineLevel="0" collapsed="false">
      <c r="A5994" s="163" t="s">
        <v>2460</v>
      </c>
      <c r="B5994" s="163" t="s">
        <v>894</v>
      </c>
      <c r="C5994" s="163" t="s">
        <v>10009</v>
      </c>
      <c r="D5994" s="163" t="s">
        <v>10010</v>
      </c>
      <c r="E5994" s="164" t="n">
        <v>5000</v>
      </c>
      <c r="F5994" s="165" t="s">
        <v>10011</v>
      </c>
    </row>
    <row r="5995" customFormat="false" ht="15" hidden="false" customHeight="true" outlineLevel="0" collapsed="false">
      <c r="A5995" s="163" t="s">
        <v>2460</v>
      </c>
      <c r="B5995" s="163" t="s">
        <v>894</v>
      </c>
      <c r="C5995" s="163" t="s">
        <v>10012</v>
      </c>
      <c r="D5995" s="163" t="s">
        <v>10013</v>
      </c>
      <c r="E5995" s="164" t="n">
        <v>5000</v>
      </c>
      <c r="F5995" s="165" t="s">
        <v>10014</v>
      </c>
    </row>
    <row r="5996" customFormat="false" ht="15" hidden="false" customHeight="true" outlineLevel="0" collapsed="false">
      <c r="A5996" s="163" t="s">
        <v>2460</v>
      </c>
      <c r="B5996" s="163" t="s">
        <v>894</v>
      </c>
      <c r="C5996" s="163" t="s">
        <v>3643</v>
      </c>
      <c r="D5996" s="163" t="s">
        <v>3644</v>
      </c>
      <c r="E5996" s="164" t="n">
        <v>5000</v>
      </c>
      <c r="F5996" s="165" t="s">
        <v>10015</v>
      </c>
    </row>
    <row r="5997" customFormat="false" ht="15" hidden="false" customHeight="true" outlineLevel="0" collapsed="false">
      <c r="A5997" s="163" t="s">
        <v>2460</v>
      </c>
      <c r="B5997" s="163" t="s">
        <v>894</v>
      </c>
      <c r="C5997" s="163" t="s">
        <v>3771</v>
      </c>
      <c r="D5997" s="163" t="s">
        <v>3772</v>
      </c>
      <c r="E5997" s="164" t="n">
        <v>5000</v>
      </c>
      <c r="F5997" s="165" t="s">
        <v>10016</v>
      </c>
    </row>
    <row r="5998" customFormat="false" ht="15" hidden="false" customHeight="true" outlineLevel="0" collapsed="false">
      <c r="A5998" s="163" t="s">
        <v>2460</v>
      </c>
      <c r="B5998" s="163" t="s">
        <v>894</v>
      </c>
      <c r="C5998" s="163" t="s">
        <v>6378</v>
      </c>
      <c r="D5998" s="163" t="s">
        <v>6379</v>
      </c>
      <c r="E5998" s="164" t="n">
        <v>5000</v>
      </c>
      <c r="F5998" s="165" t="s">
        <v>10017</v>
      </c>
    </row>
    <row r="5999" customFormat="false" ht="15" hidden="false" customHeight="true" outlineLevel="0" collapsed="false">
      <c r="A5999" s="163" t="s">
        <v>2460</v>
      </c>
      <c r="B5999" s="163" t="s">
        <v>894</v>
      </c>
      <c r="C5999" s="163" t="s">
        <v>452</v>
      </c>
      <c r="D5999" s="163" t="s">
        <v>1931</v>
      </c>
      <c r="E5999" s="164" t="n">
        <v>5000</v>
      </c>
      <c r="F5999" s="165" t="s">
        <v>10018</v>
      </c>
    </row>
    <row r="6000" customFormat="false" ht="15" hidden="false" customHeight="true" outlineLevel="0" collapsed="false">
      <c r="A6000" s="163" t="s">
        <v>2460</v>
      </c>
      <c r="B6000" s="163" t="s">
        <v>894</v>
      </c>
      <c r="C6000" s="163" t="s">
        <v>1169</v>
      </c>
      <c r="D6000" s="163" t="s">
        <v>2801</v>
      </c>
      <c r="E6000" s="164" t="n">
        <v>3500</v>
      </c>
      <c r="F6000" s="165" t="s">
        <v>10019</v>
      </c>
    </row>
    <row r="6001" customFormat="false" ht="15" hidden="false" customHeight="true" outlineLevel="0" collapsed="false">
      <c r="A6001" s="163" t="s">
        <v>2460</v>
      </c>
      <c r="B6001" s="163" t="s">
        <v>894</v>
      </c>
      <c r="C6001" s="163" t="s">
        <v>925</v>
      </c>
      <c r="D6001" s="163" t="s">
        <v>1931</v>
      </c>
      <c r="E6001" s="164" t="n">
        <v>2000</v>
      </c>
      <c r="F6001" s="165" t="s">
        <v>10020</v>
      </c>
    </row>
    <row r="6002" customFormat="false" ht="15" hidden="false" customHeight="true" outlineLevel="0" collapsed="false">
      <c r="A6002" s="163" t="s">
        <v>2460</v>
      </c>
      <c r="B6002" s="163" t="s">
        <v>894</v>
      </c>
      <c r="C6002" s="163" t="s">
        <v>925</v>
      </c>
      <c r="D6002" s="163" t="s">
        <v>1931</v>
      </c>
      <c r="E6002" s="164" t="n">
        <v>2000</v>
      </c>
      <c r="F6002" s="165" t="s">
        <v>10021</v>
      </c>
    </row>
    <row r="6003" customFormat="false" ht="15" hidden="false" customHeight="true" outlineLevel="0" collapsed="false">
      <c r="A6003" s="163" t="s">
        <v>2460</v>
      </c>
      <c r="B6003" s="163" t="s">
        <v>894</v>
      </c>
      <c r="C6003" s="163" t="s">
        <v>925</v>
      </c>
      <c r="D6003" s="163" t="s">
        <v>1931</v>
      </c>
      <c r="E6003" s="164" t="n">
        <v>2000</v>
      </c>
      <c r="F6003" s="165" t="s">
        <v>10022</v>
      </c>
    </row>
    <row r="6004" customFormat="false" ht="15" hidden="false" customHeight="true" outlineLevel="0" collapsed="false">
      <c r="A6004" s="163" t="s">
        <v>2460</v>
      </c>
      <c r="B6004" s="163" t="s">
        <v>894</v>
      </c>
      <c r="C6004" s="163" t="s">
        <v>925</v>
      </c>
      <c r="D6004" s="163" t="s">
        <v>1931</v>
      </c>
      <c r="E6004" s="164" t="n">
        <v>2000</v>
      </c>
      <c r="F6004" s="165" t="s">
        <v>10023</v>
      </c>
    </row>
    <row r="6005" customFormat="false" ht="15" hidden="false" customHeight="true" outlineLevel="0" collapsed="false">
      <c r="A6005" s="163" t="s">
        <v>2460</v>
      </c>
      <c r="B6005" s="163" t="s">
        <v>894</v>
      </c>
      <c r="C6005" s="163" t="s">
        <v>925</v>
      </c>
      <c r="D6005" s="163" t="s">
        <v>1931</v>
      </c>
      <c r="E6005" s="164" t="n">
        <v>2000</v>
      </c>
      <c r="F6005" s="165" t="s">
        <v>10024</v>
      </c>
    </row>
    <row r="6006" customFormat="false" ht="15" hidden="false" customHeight="true" outlineLevel="0" collapsed="false">
      <c r="A6006" s="163" t="s">
        <v>2460</v>
      </c>
      <c r="B6006" s="163" t="s">
        <v>894</v>
      </c>
      <c r="C6006" s="163" t="s">
        <v>925</v>
      </c>
      <c r="D6006" s="163" t="s">
        <v>1931</v>
      </c>
      <c r="E6006" s="164" t="n">
        <v>2000</v>
      </c>
      <c r="F6006" s="165" t="s">
        <v>10025</v>
      </c>
    </row>
    <row r="6007" customFormat="false" ht="15" hidden="false" customHeight="true" outlineLevel="0" collapsed="false">
      <c r="A6007" s="163" t="s">
        <v>2460</v>
      </c>
      <c r="B6007" s="163" t="s">
        <v>882</v>
      </c>
      <c r="C6007" s="163" t="s">
        <v>640</v>
      </c>
      <c r="D6007" s="163" t="s">
        <v>1931</v>
      </c>
      <c r="E6007" s="164" t="n">
        <v>280000</v>
      </c>
      <c r="F6007" s="165" t="s">
        <v>3060</v>
      </c>
    </row>
    <row r="6008" customFormat="false" ht="15" hidden="false" customHeight="true" outlineLevel="0" collapsed="false">
      <c r="A6008" s="163" t="s">
        <v>2460</v>
      </c>
      <c r="B6008" s="163" t="s">
        <v>2328</v>
      </c>
      <c r="C6008" s="163" t="s">
        <v>9949</v>
      </c>
      <c r="D6008" s="163" t="s">
        <v>9950</v>
      </c>
      <c r="E6008" s="164" t="n">
        <v>20000</v>
      </c>
      <c r="F6008" s="165" t="s">
        <v>3060</v>
      </c>
    </row>
    <row r="6009" customFormat="false" ht="15" hidden="false" customHeight="true" outlineLevel="0" collapsed="false">
      <c r="A6009" s="163" t="s">
        <v>2460</v>
      </c>
      <c r="B6009" s="163" t="s">
        <v>2328</v>
      </c>
      <c r="C6009" s="163" t="s">
        <v>1233</v>
      </c>
      <c r="D6009" s="163" t="s">
        <v>2151</v>
      </c>
      <c r="E6009" s="164" t="n">
        <v>20000</v>
      </c>
      <c r="F6009" s="165" t="s">
        <v>3060</v>
      </c>
    </row>
    <row r="6010" customFormat="false" ht="15" hidden="false" customHeight="true" outlineLevel="0" collapsed="false">
      <c r="A6010" s="163" t="s">
        <v>2460</v>
      </c>
      <c r="B6010" s="163" t="s">
        <v>2328</v>
      </c>
      <c r="C6010" s="163" t="s">
        <v>1169</v>
      </c>
      <c r="D6010" s="163" t="s">
        <v>2801</v>
      </c>
      <c r="E6010" s="164" t="n">
        <v>10000</v>
      </c>
      <c r="F6010" s="165" t="s">
        <v>3060</v>
      </c>
    </row>
    <row r="6011" customFormat="false" ht="15" hidden="false" customHeight="true" outlineLevel="0" collapsed="false">
      <c r="A6011" s="163" t="s">
        <v>2460</v>
      </c>
      <c r="B6011" s="163" t="s">
        <v>2342</v>
      </c>
      <c r="C6011" s="163" t="s">
        <v>197</v>
      </c>
      <c r="D6011" s="163" t="s">
        <v>1931</v>
      </c>
      <c r="E6011" s="164" t="n">
        <v>90000</v>
      </c>
      <c r="F6011" s="165" t="s">
        <v>3060</v>
      </c>
    </row>
    <row r="6012" customFormat="false" ht="15" hidden="false" customHeight="true" outlineLevel="0" collapsed="false">
      <c r="A6012" s="163" t="s">
        <v>2460</v>
      </c>
      <c r="B6012" s="163" t="s">
        <v>1743</v>
      </c>
      <c r="C6012" s="163" t="s">
        <v>1135</v>
      </c>
      <c r="D6012" s="163" t="s">
        <v>2507</v>
      </c>
      <c r="E6012" s="164" t="n">
        <v>65000</v>
      </c>
      <c r="F6012" s="165" t="s">
        <v>3060</v>
      </c>
    </row>
    <row r="6013" customFormat="false" ht="15" hidden="false" customHeight="true" outlineLevel="0" collapsed="false">
      <c r="A6013" s="163" t="s">
        <v>2460</v>
      </c>
      <c r="B6013" s="163" t="s">
        <v>1743</v>
      </c>
      <c r="C6013" s="163" t="s">
        <v>991</v>
      </c>
      <c r="D6013" s="163" t="s">
        <v>3769</v>
      </c>
      <c r="E6013" s="164" t="n">
        <v>10000</v>
      </c>
      <c r="F6013" s="165" t="s">
        <v>3060</v>
      </c>
    </row>
    <row r="6014" customFormat="false" ht="15" hidden="false" customHeight="true" outlineLevel="0" collapsed="false">
      <c r="A6014" s="163" t="s">
        <v>2460</v>
      </c>
      <c r="B6014" s="163" t="s">
        <v>928</v>
      </c>
      <c r="C6014" s="163" t="s">
        <v>1169</v>
      </c>
      <c r="D6014" s="163" t="s">
        <v>2801</v>
      </c>
      <c r="E6014" s="164" t="n">
        <v>31000</v>
      </c>
      <c r="F6014" s="165" t="s">
        <v>10026</v>
      </c>
    </row>
    <row r="6015" customFormat="false" ht="15" hidden="false" customHeight="true" outlineLevel="0" collapsed="false">
      <c r="A6015" s="163" t="s">
        <v>2460</v>
      </c>
      <c r="B6015" s="163" t="s">
        <v>928</v>
      </c>
      <c r="C6015" s="163" t="s">
        <v>10027</v>
      </c>
      <c r="D6015" s="163" t="s">
        <v>10028</v>
      </c>
      <c r="E6015" s="164" t="n">
        <v>14000</v>
      </c>
      <c r="F6015" s="165" t="s">
        <v>10029</v>
      </c>
    </row>
    <row r="6016" customFormat="false" ht="15" hidden="false" customHeight="true" outlineLevel="0" collapsed="false">
      <c r="A6016" s="163" t="s">
        <v>2460</v>
      </c>
      <c r="B6016" s="163" t="s">
        <v>928</v>
      </c>
      <c r="C6016" s="163" t="s">
        <v>10030</v>
      </c>
      <c r="D6016" s="163" t="s">
        <v>10031</v>
      </c>
      <c r="E6016" s="164" t="n">
        <v>10000</v>
      </c>
      <c r="F6016" s="165" t="s">
        <v>10032</v>
      </c>
    </row>
    <row r="6017" customFormat="false" ht="15" hidden="false" customHeight="true" outlineLevel="0" collapsed="false">
      <c r="A6017" s="163" t="s">
        <v>2460</v>
      </c>
      <c r="B6017" s="163" t="s">
        <v>928</v>
      </c>
      <c r="C6017" s="163" t="s">
        <v>1109</v>
      </c>
      <c r="D6017" s="163" t="s">
        <v>3755</v>
      </c>
      <c r="E6017" s="164" t="n">
        <v>10000</v>
      </c>
      <c r="F6017" s="165" t="s">
        <v>10033</v>
      </c>
    </row>
    <row r="6018" customFormat="false" ht="15" hidden="false" customHeight="true" outlineLevel="0" collapsed="false">
      <c r="A6018" s="163" t="s">
        <v>2460</v>
      </c>
      <c r="B6018" s="163" t="s">
        <v>928</v>
      </c>
      <c r="C6018" s="163" t="s">
        <v>10009</v>
      </c>
      <c r="D6018" s="163" t="s">
        <v>10010</v>
      </c>
      <c r="E6018" s="164" t="n">
        <v>10000</v>
      </c>
      <c r="F6018" s="165" t="s">
        <v>10011</v>
      </c>
    </row>
    <row r="6019" customFormat="false" ht="15" hidden="false" customHeight="true" outlineLevel="0" collapsed="false">
      <c r="A6019" s="163" t="s">
        <v>2460</v>
      </c>
      <c r="B6019" s="163" t="s">
        <v>928</v>
      </c>
      <c r="C6019" s="163" t="s">
        <v>3995</v>
      </c>
      <c r="D6019" s="163" t="s">
        <v>3996</v>
      </c>
      <c r="E6019" s="164" t="n">
        <v>10000</v>
      </c>
      <c r="F6019" s="165" t="s">
        <v>10034</v>
      </c>
    </row>
    <row r="6020" customFormat="false" ht="15" hidden="false" customHeight="true" outlineLevel="0" collapsed="false">
      <c r="A6020" s="163" t="s">
        <v>2460</v>
      </c>
      <c r="B6020" s="163" t="s">
        <v>928</v>
      </c>
      <c r="C6020" s="163" t="s">
        <v>10035</v>
      </c>
      <c r="D6020" s="163" t="s">
        <v>10036</v>
      </c>
      <c r="E6020" s="164" t="n">
        <v>10000</v>
      </c>
      <c r="F6020" s="165" t="s">
        <v>10037</v>
      </c>
    </row>
    <row r="6021" customFormat="false" ht="15" hidden="false" customHeight="true" outlineLevel="0" collapsed="false">
      <c r="A6021" s="163" t="s">
        <v>2460</v>
      </c>
      <c r="B6021" s="163" t="s">
        <v>928</v>
      </c>
      <c r="C6021" s="163" t="s">
        <v>10038</v>
      </c>
      <c r="D6021" s="163" t="s">
        <v>10039</v>
      </c>
      <c r="E6021" s="164" t="n">
        <v>10000</v>
      </c>
      <c r="F6021" s="165" t="s">
        <v>10040</v>
      </c>
    </row>
    <row r="6022" customFormat="false" ht="15" hidden="false" customHeight="true" outlineLevel="0" collapsed="false">
      <c r="A6022" s="163" t="s">
        <v>2460</v>
      </c>
      <c r="B6022" s="163" t="s">
        <v>928</v>
      </c>
      <c r="C6022" s="163" t="s">
        <v>7927</v>
      </c>
      <c r="D6022" s="163" t="s">
        <v>7928</v>
      </c>
      <c r="E6022" s="164" t="n">
        <v>10000</v>
      </c>
      <c r="F6022" s="165" t="s">
        <v>10041</v>
      </c>
    </row>
    <row r="6023" customFormat="false" ht="15" hidden="false" customHeight="true" outlineLevel="0" collapsed="false">
      <c r="A6023" s="163" t="s">
        <v>2460</v>
      </c>
      <c r="B6023" s="163" t="s">
        <v>928</v>
      </c>
      <c r="C6023" s="163" t="s">
        <v>10042</v>
      </c>
      <c r="D6023" s="163" t="s">
        <v>10043</v>
      </c>
      <c r="E6023" s="164" t="n">
        <v>10000</v>
      </c>
      <c r="F6023" s="165" t="s">
        <v>10044</v>
      </c>
    </row>
    <row r="6024" customFormat="false" ht="15" hidden="false" customHeight="true" outlineLevel="0" collapsed="false">
      <c r="A6024" s="163" t="s">
        <v>2460</v>
      </c>
      <c r="B6024" s="163" t="s">
        <v>928</v>
      </c>
      <c r="C6024" s="163" t="s">
        <v>10009</v>
      </c>
      <c r="D6024" s="163" t="s">
        <v>10010</v>
      </c>
      <c r="E6024" s="164" t="n">
        <v>10000</v>
      </c>
      <c r="F6024" s="165" t="s">
        <v>10045</v>
      </c>
    </row>
    <row r="6025" customFormat="false" ht="15" hidden="false" customHeight="true" outlineLevel="0" collapsed="false">
      <c r="A6025" s="163" t="s">
        <v>2460</v>
      </c>
      <c r="B6025" s="163" t="s">
        <v>928</v>
      </c>
      <c r="C6025" s="163" t="s">
        <v>7617</v>
      </c>
      <c r="D6025" s="163" t="s">
        <v>7618</v>
      </c>
      <c r="E6025" s="164" t="n">
        <v>5000</v>
      </c>
      <c r="F6025" s="165" t="s">
        <v>10046</v>
      </c>
    </row>
    <row r="6026" customFormat="false" ht="15" hidden="false" customHeight="true" outlineLevel="0" collapsed="false">
      <c r="A6026" s="163" t="s">
        <v>2460</v>
      </c>
      <c r="B6026" s="163" t="s">
        <v>928</v>
      </c>
      <c r="C6026" s="163" t="s">
        <v>2953</v>
      </c>
      <c r="D6026" s="163" t="s">
        <v>2954</v>
      </c>
      <c r="E6026" s="164" t="n">
        <v>5000</v>
      </c>
      <c r="F6026" s="165" t="s">
        <v>10047</v>
      </c>
    </row>
    <row r="6027" customFormat="false" ht="15" hidden="false" customHeight="true" outlineLevel="0" collapsed="false">
      <c r="A6027" s="163" t="s">
        <v>2460</v>
      </c>
      <c r="B6027" s="163" t="s">
        <v>928</v>
      </c>
      <c r="C6027" s="163" t="s">
        <v>3840</v>
      </c>
      <c r="D6027" s="163" t="s">
        <v>2462</v>
      </c>
      <c r="E6027" s="164" t="n">
        <v>5000</v>
      </c>
      <c r="F6027" s="165" t="s">
        <v>10048</v>
      </c>
    </row>
    <row r="6028" customFormat="false" ht="15" hidden="false" customHeight="true" outlineLevel="0" collapsed="false">
      <c r="A6028" s="163" t="s">
        <v>3040</v>
      </c>
      <c r="B6028" s="163" t="s">
        <v>926</v>
      </c>
      <c r="C6028" s="163" t="s">
        <v>3063</v>
      </c>
      <c r="D6028" s="163" t="s">
        <v>3064</v>
      </c>
      <c r="E6028" s="164" t="n">
        <v>80000</v>
      </c>
      <c r="F6028" s="165" t="s">
        <v>10049</v>
      </c>
    </row>
    <row r="6029" customFormat="false" ht="15" hidden="false" customHeight="true" outlineLevel="0" collapsed="false">
      <c r="A6029" s="163" t="s">
        <v>3040</v>
      </c>
      <c r="B6029" s="163" t="s">
        <v>926</v>
      </c>
      <c r="C6029" s="163" t="s">
        <v>3709</v>
      </c>
      <c r="D6029" s="163" t="s">
        <v>3710</v>
      </c>
      <c r="E6029" s="164" t="n">
        <v>10000</v>
      </c>
      <c r="F6029" s="165" t="s">
        <v>10050</v>
      </c>
    </row>
    <row r="6030" customFormat="false" ht="15" hidden="false" customHeight="true" outlineLevel="0" collapsed="false">
      <c r="A6030" s="163" t="s">
        <v>3040</v>
      </c>
      <c r="B6030" s="163" t="s">
        <v>926</v>
      </c>
      <c r="C6030" s="163" t="s">
        <v>3334</v>
      </c>
      <c r="D6030" s="163" t="s">
        <v>3335</v>
      </c>
      <c r="E6030" s="164" t="n">
        <v>10000</v>
      </c>
      <c r="F6030" s="165" t="s">
        <v>10051</v>
      </c>
    </row>
    <row r="6031" customFormat="false" ht="15" hidden="false" customHeight="true" outlineLevel="0" collapsed="false">
      <c r="A6031" s="163" t="s">
        <v>3040</v>
      </c>
      <c r="B6031" s="163" t="s">
        <v>957</v>
      </c>
      <c r="C6031" s="163" t="s">
        <v>5087</v>
      </c>
      <c r="D6031" s="163" t="s">
        <v>5088</v>
      </c>
      <c r="E6031" s="164" t="n">
        <v>50000</v>
      </c>
      <c r="F6031" s="165" t="s">
        <v>10052</v>
      </c>
    </row>
    <row r="6032" customFormat="false" ht="15" hidden="false" customHeight="true" outlineLevel="0" collapsed="false">
      <c r="A6032" s="163" t="s">
        <v>3040</v>
      </c>
      <c r="B6032" s="163" t="s">
        <v>957</v>
      </c>
      <c r="C6032" s="163" t="s">
        <v>4635</v>
      </c>
      <c r="D6032" s="163" t="s">
        <v>4636</v>
      </c>
      <c r="E6032" s="164" t="n">
        <v>34000</v>
      </c>
      <c r="F6032" s="165" t="s">
        <v>10053</v>
      </c>
    </row>
    <row r="6033" customFormat="false" ht="15" hidden="false" customHeight="true" outlineLevel="0" collapsed="false">
      <c r="A6033" s="163" t="s">
        <v>3040</v>
      </c>
      <c r="B6033" s="163" t="s">
        <v>957</v>
      </c>
      <c r="C6033" s="163" t="s">
        <v>4635</v>
      </c>
      <c r="D6033" s="163" t="s">
        <v>4636</v>
      </c>
      <c r="E6033" s="164" t="n">
        <v>15000</v>
      </c>
      <c r="F6033" s="165" t="s">
        <v>10054</v>
      </c>
    </row>
    <row r="6034" customFormat="false" ht="15" hidden="false" customHeight="true" outlineLevel="0" collapsed="false">
      <c r="A6034" s="163" t="s">
        <v>3040</v>
      </c>
      <c r="B6034" s="163" t="s">
        <v>957</v>
      </c>
      <c r="C6034" s="163" t="s">
        <v>5214</v>
      </c>
      <c r="D6034" s="163" t="s">
        <v>5215</v>
      </c>
      <c r="E6034" s="164" t="n">
        <v>11000</v>
      </c>
      <c r="F6034" s="165" t="s">
        <v>10055</v>
      </c>
    </row>
    <row r="6035" customFormat="false" ht="15" hidden="false" customHeight="true" outlineLevel="0" collapsed="false">
      <c r="A6035" s="163" t="s">
        <v>3040</v>
      </c>
      <c r="B6035" s="163" t="s">
        <v>945</v>
      </c>
      <c r="C6035" s="163" t="s">
        <v>6565</v>
      </c>
      <c r="D6035" s="163" t="s">
        <v>6566</v>
      </c>
      <c r="E6035" s="164" t="n">
        <v>15000</v>
      </c>
      <c r="F6035" s="165" t="s">
        <v>6901</v>
      </c>
    </row>
    <row r="6036" customFormat="false" ht="15" hidden="false" customHeight="true" outlineLevel="0" collapsed="false">
      <c r="A6036" s="163" t="s">
        <v>3040</v>
      </c>
      <c r="B6036" s="163" t="s">
        <v>945</v>
      </c>
      <c r="C6036" s="163" t="s">
        <v>1860</v>
      </c>
      <c r="D6036" s="163" t="s">
        <v>1861</v>
      </c>
      <c r="E6036" s="164" t="n">
        <v>5000</v>
      </c>
      <c r="F6036" s="165" t="s">
        <v>10056</v>
      </c>
    </row>
    <row r="6037" customFormat="false" ht="15" hidden="false" customHeight="true" outlineLevel="0" collapsed="false">
      <c r="A6037" s="163" t="s">
        <v>3040</v>
      </c>
      <c r="B6037" s="163" t="s">
        <v>945</v>
      </c>
      <c r="C6037" s="163" t="s">
        <v>6562</v>
      </c>
      <c r="D6037" s="163" t="s">
        <v>6563</v>
      </c>
      <c r="E6037" s="164" t="n">
        <v>5000</v>
      </c>
      <c r="F6037" s="165" t="s">
        <v>10057</v>
      </c>
    </row>
    <row r="6038" customFormat="false" ht="15" hidden="false" customHeight="true" outlineLevel="0" collapsed="false">
      <c r="A6038" s="163" t="s">
        <v>3040</v>
      </c>
      <c r="B6038" s="163" t="s">
        <v>3111</v>
      </c>
      <c r="C6038" s="163" t="s">
        <v>6571</v>
      </c>
      <c r="D6038" s="163" t="s">
        <v>6572</v>
      </c>
      <c r="E6038" s="164" t="n">
        <v>25000</v>
      </c>
      <c r="F6038" s="165" t="s">
        <v>10058</v>
      </c>
    </row>
    <row r="6039" customFormat="false" ht="15" hidden="false" customHeight="true" outlineLevel="0" collapsed="false">
      <c r="A6039" s="163" t="s">
        <v>3040</v>
      </c>
      <c r="B6039" s="163" t="s">
        <v>3111</v>
      </c>
      <c r="C6039" s="163" t="s">
        <v>1017</v>
      </c>
      <c r="D6039" s="163" t="s">
        <v>2698</v>
      </c>
      <c r="E6039" s="164" t="n">
        <v>20000</v>
      </c>
      <c r="F6039" s="165" t="s">
        <v>10059</v>
      </c>
    </row>
    <row r="6040" customFormat="false" ht="15" hidden="false" customHeight="true" outlineLevel="0" collapsed="false">
      <c r="A6040" s="163" t="s">
        <v>3040</v>
      </c>
      <c r="B6040" s="163" t="s">
        <v>3111</v>
      </c>
      <c r="C6040" s="163" t="s">
        <v>1860</v>
      </c>
      <c r="D6040" s="163" t="s">
        <v>1861</v>
      </c>
      <c r="E6040" s="164" t="n">
        <v>20000</v>
      </c>
      <c r="F6040" s="165" t="s">
        <v>10060</v>
      </c>
    </row>
    <row r="6041" customFormat="false" ht="15" hidden="false" customHeight="true" outlineLevel="0" collapsed="false">
      <c r="A6041" s="163" t="s">
        <v>3040</v>
      </c>
      <c r="B6041" s="163" t="s">
        <v>3111</v>
      </c>
      <c r="C6041" s="163" t="s">
        <v>5214</v>
      </c>
      <c r="D6041" s="163" t="s">
        <v>5215</v>
      </c>
      <c r="E6041" s="164" t="n">
        <v>15000</v>
      </c>
      <c r="F6041" s="165" t="s">
        <v>10061</v>
      </c>
    </row>
    <row r="6042" customFormat="false" ht="15" hidden="false" customHeight="true" outlineLevel="0" collapsed="false">
      <c r="A6042" s="163" t="s">
        <v>3040</v>
      </c>
      <c r="B6042" s="163" t="s">
        <v>3111</v>
      </c>
      <c r="C6042" s="163" t="s">
        <v>5290</v>
      </c>
      <c r="D6042" s="163" t="s">
        <v>5291</v>
      </c>
      <c r="E6042" s="164" t="n">
        <v>10000</v>
      </c>
      <c r="F6042" s="165" t="s">
        <v>10062</v>
      </c>
    </row>
    <row r="6043" customFormat="false" ht="15" hidden="false" customHeight="true" outlineLevel="0" collapsed="false">
      <c r="A6043" s="163" t="s">
        <v>3040</v>
      </c>
      <c r="B6043" s="163" t="s">
        <v>3111</v>
      </c>
      <c r="C6043" s="163" t="s">
        <v>7794</v>
      </c>
      <c r="D6043" s="163" t="s">
        <v>7795</v>
      </c>
      <c r="E6043" s="164" t="n">
        <v>10000</v>
      </c>
      <c r="F6043" s="165" t="s">
        <v>10063</v>
      </c>
    </row>
    <row r="6044" customFormat="false" ht="15" hidden="false" customHeight="true" outlineLevel="0" collapsed="false">
      <c r="A6044" s="163" t="s">
        <v>3040</v>
      </c>
      <c r="B6044" s="163" t="s">
        <v>1938</v>
      </c>
      <c r="C6044" s="163" t="s">
        <v>5148</v>
      </c>
      <c r="D6044" s="163" t="s">
        <v>5149</v>
      </c>
      <c r="E6044" s="164" t="n">
        <v>20000</v>
      </c>
      <c r="F6044" s="165" t="s">
        <v>10064</v>
      </c>
    </row>
    <row r="6045" customFormat="false" ht="15" hidden="false" customHeight="true" outlineLevel="0" collapsed="false">
      <c r="A6045" s="163" t="s">
        <v>3040</v>
      </c>
      <c r="B6045" s="163" t="s">
        <v>1938</v>
      </c>
      <c r="C6045" s="163" t="s">
        <v>5148</v>
      </c>
      <c r="D6045" s="163" t="s">
        <v>5149</v>
      </c>
      <c r="E6045" s="164" t="n">
        <v>20000</v>
      </c>
      <c r="F6045" s="165" t="s">
        <v>10065</v>
      </c>
    </row>
    <row r="6046" customFormat="false" ht="15" hidden="false" customHeight="true" outlineLevel="0" collapsed="false">
      <c r="A6046" s="163" t="s">
        <v>3040</v>
      </c>
      <c r="B6046" s="163" t="s">
        <v>1938</v>
      </c>
      <c r="C6046" s="163" t="s">
        <v>3139</v>
      </c>
      <c r="D6046" s="163" t="s">
        <v>3140</v>
      </c>
      <c r="E6046" s="164" t="n">
        <v>20000</v>
      </c>
      <c r="F6046" s="165" t="s">
        <v>10066</v>
      </c>
    </row>
    <row r="6047" customFormat="false" ht="15" hidden="false" customHeight="true" outlineLevel="0" collapsed="false">
      <c r="A6047" s="163" t="s">
        <v>3040</v>
      </c>
      <c r="B6047" s="163" t="s">
        <v>1938</v>
      </c>
      <c r="C6047" s="163" t="s">
        <v>3139</v>
      </c>
      <c r="D6047" s="163" t="s">
        <v>3140</v>
      </c>
      <c r="E6047" s="164" t="n">
        <v>20000</v>
      </c>
      <c r="F6047" s="165" t="s">
        <v>10067</v>
      </c>
    </row>
    <row r="6048" customFormat="false" ht="15" hidden="false" customHeight="true" outlineLevel="0" collapsed="false">
      <c r="A6048" s="163" t="s">
        <v>3040</v>
      </c>
      <c r="B6048" s="163" t="s">
        <v>1938</v>
      </c>
      <c r="C6048" s="163" t="s">
        <v>452</v>
      </c>
      <c r="D6048" s="163" t="s">
        <v>1931</v>
      </c>
      <c r="E6048" s="164" t="n">
        <v>20000</v>
      </c>
      <c r="F6048" s="165" t="s">
        <v>10068</v>
      </c>
    </row>
    <row r="6049" customFormat="false" ht="15" hidden="false" customHeight="true" outlineLevel="0" collapsed="false">
      <c r="A6049" s="163" t="s">
        <v>3040</v>
      </c>
      <c r="B6049" s="163" t="s">
        <v>1938</v>
      </c>
      <c r="C6049" s="163" t="s">
        <v>5160</v>
      </c>
      <c r="D6049" s="163" t="s">
        <v>5161</v>
      </c>
      <c r="E6049" s="164" t="n">
        <v>20000</v>
      </c>
      <c r="F6049" s="165" t="s">
        <v>10069</v>
      </c>
    </row>
    <row r="6050" customFormat="false" ht="15" hidden="false" customHeight="true" outlineLevel="0" collapsed="false">
      <c r="A6050" s="163" t="s">
        <v>3040</v>
      </c>
      <c r="B6050" s="163" t="s">
        <v>1938</v>
      </c>
      <c r="C6050" s="163" t="s">
        <v>3815</v>
      </c>
      <c r="D6050" s="163" t="s">
        <v>3816</v>
      </c>
      <c r="E6050" s="164" t="n">
        <v>20000</v>
      </c>
      <c r="F6050" s="165" t="s">
        <v>10070</v>
      </c>
    </row>
    <row r="6051" customFormat="false" ht="15" hidden="false" customHeight="true" outlineLevel="0" collapsed="false">
      <c r="A6051" s="163" t="s">
        <v>3040</v>
      </c>
      <c r="B6051" s="163" t="s">
        <v>1938</v>
      </c>
      <c r="C6051" s="163" t="s">
        <v>3602</v>
      </c>
      <c r="D6051" s="163" t="s">
        <v>3603</v>
      </c>
      <c r="E6051" s="164" t="n">
        <v>20000</v>
      </c>
      <c r="F6051" s="165" t="s">
        <v>10071</v>
      </c>
    </row>
    <row r="6052" customFormat="false" ht="15" hidden="false" customHeight="true" outlineLevel="0" collapsed="false">
      <c r="A6052" s="163" t="s">
        <v>3040</v>
      </c>
      <c r="B6052" s="163" t="s">
        <v>1938</v>
      </c>
      <c r="C6052" s="163" t="s">
        <v>3602</v>
      </c>
      <c r="D6052" s="163" t="s">
        <v>3603</v>
      </c>
      <c r="E6052" s="164" t="n">
        <v>20000</v>
      </c>
      <c r="F6052" s="165" t="s">
        <v>10072</v>
      </c>
    </row>
    <row r="6053" customFormat="false" ht="15" hidden="false" customHeight="true" outlineLevel="0" collapsed="false">
      <c r="A6053" s="163" t="s">
        <v>3040</v>
      </c>
      <c r="B6053" s="163" t="s">
        <v>1938</v>
      </c>
      <c r="C6053" s="163" t="s">
        <v>3602</v>
      </c>
      <c r="D6053" s="163" t="s">
        <v>3603</v>
      </c>
      <c r="E6053" s="164" t="n">
        <v>20000</v>
      </c>
      <c r="F6053" s="165" t="s">
        <v>10073</v>
      </c>
    </row>
    <row r="6054" customFormat="false" ht="15" hidden="false" customHeight="true" outlineLevel="0" collapsed="false">
      <c r="A6054" s="163" t="s">
        <v>3040</v>
      </c>
      <c r="B6054" s="163" t="s">
        <v>1938</v>
      </c>
      <c r="C6054" s="163" t="s">
        <v>5214</v>
      </c>
      <c r="D6054" s="163" t="s">
        <v>5215</v>
      </c>
      <c r="E6054" s="164" t="n">
        <v>20000</v>
      </c>
      <c r="F6054" s="165" t="s">
        <v>10064</v>
      </c>
    </row>
    <row r="6055" customFormat="false" ht="15" hidden="false" customHeight="true" outlineLevel="0" collapsed="false">
      <c r="A6055" s="163" t="s">
        <v>3040</v>
      </c>
      <c r="B6055" s="163" t="s">
        <v>1938</v>
      </c>
      <c r="C6055" s="163" t="s">
        <v>5165</v>
      </c>
      <c r="D6055" s="163" t="s">
        <v>5166</v>
      </c>
      <c r="E6055" s="164" t="n">
        <v>20000</v>
      </c>
      <c r="F6055" s="165" t="s">
        <v>10074</v>
      </c>
    </row>
    <row r="6056" customFormat="false" ht="15" hidden="false" customHeight="true" outlineLevel="0" collapsed="false">
      <c r="A6056" s="163" t="s">
        <v>3040</v>
      </c>
      <c r="B6056" s="163" t="s">
        <v>1938</v>
      </c>
      <c r="C6056" s="163" t="s">
        <v>3835</v>
      </c>
      <c r="D6056" s="163" t="s">
        <v>3836</v>
      </c>
      <c r="E6056" s="164" t="n">
        <v>20000</v>
      </c>
      <c r="F6056" s="165" t="s">
        <v>10075</v>
      </c>
    </row>
    <row r="6057" customFormat="false" ht="15" hidden="false" customHeight="true" outlineLevel="0" collapsed="false">
      <c r="A6057" s="163" t="s">
        <v>3040</v>
      </c>
      <c r="B6057" s="163" t="s">
        <v>1938</v>
      </c>
      <c r="C6057" s="163" t="s">
        <v>3135</v>
      </c>
      <c r="D6057" s="163" t="s">
        <v>3136</v>
      </c>
      <c r="E6057" s="164" t="n">
        <v>20000</v>
      </c>
      <c r="F6057" s="165" t="s">
        <v>10076</v>
      </c>
    </row>
    <row r="6058" customFormat="false" ht="15" hidden="false" customHeight="true" outlineLevel="0" collapsed="false">
      <c r="A6058" s="163" t="s">
        <v>3040</v>
      </c>
      <c r="B6058" s="163" t="s">
        <v>1938</v>
      </c>
      <c r="C6058" s="163" t="s">
        <v>10077</v>
      </c>
      <c r="D6058" s="163" t="s">
        <v>10078</v>
      </c>
      <c r="E6058" s="164" t="n">
        <v>20000</v>
      </c>
      <c r="F6058" s="165" t="s">
        <v>10079</v>
      </c>
    </row>
    <row r="6059" customFormat="false" ht="15" hidden="false" customHeight="true" outlineLevel="0" collapsed="false">
      <c r="A6059" s="163" t="s">
        <v>3040</v>
      </c>
      <c r="B6059" s="163" t="s">
        <v>1938</v>
      </c>
      <c r="C6059" s="163" t="s">
        <v>4648</v>
      </c>
      <c r="D6059" s="163" t="s">
        <v>4649</v>
      </c>
      <c r="E6059" s="164" t="n">
        <v>20000</v>
      </c>
      <c r="F6059" s="165" t="s">
        <v>10080</v>
      </c>
    </row>
    <row r="6060" customFormat="false" ht="15" hidden="false" customHeight="true" outlineLevel="0" collapsed="false">
      <c r="A6060" s="163" t="s">
        <v>3040</v>
      </c>
      <c r="B6060" s="163" t="s">
        <v>691</v>
      </c>
      <c r="C6060" s="163" t="s">
        <v>3564</v>
      </c>
      <c r="D6060" s="163" t="s">
        <v>3565</v>
      </c>
      <c r="E6060" s="164" t="n">
        <v>45000</v>
      </c>
      <c r="F6060" s="165" t="s">
        <v>10081</v>
      </c>
    </row>
    <row r="6061" customFormat="false" ht="15" hidden="false" customHeight="true" outlineLevel="0" collapsed="false">
      <c r="A6061" s="163" t="s">
        <v>3040</v>
      </c>
      <c r="B6061" s="163" t="s">
        <v>691</v>
      </c>
      <c r="C6061" s="163" t="s">
        <v>3602</v>
      </c>
      <c r="D6061" s="163" t="s">
        <v>3603</v>
      </c>
      <c r="E6061" s="164" t="n">
        <v>35000</v>
      </c>
      <c r="F6061" s="165" t="s">
        <v>10082</v>
      </c>
    </row>
    <row r="6062" customFormat="false" ht="15" hidden="false" customHeight="true" outlineLevel="0" collapsed="false">
      <c r="A6062" s="163" t="s">
        <v>3040</v>
      </c>
      <c r="B6062" s="163" t="s">
        <v>691</v>
      </c>
      <c r="C6062" s="163" t="s">
        <v>10083</v>
      </c>
      <c r="D6062" s="163" t="s">
        <v>10084</v>
      </c>
      <c r="E6062" s="164" t="n">
        <v>20000</v>
      </c>
      <c r="F6062" s="165" t="s">
        <v>10085</v>
      </c>
    </row>
    <row r="6063" customFormat="false" ht="15" hidden="false" customHeight="true" outlineLevel="0" collapsed="false">
      <c r="A6063" s="163" t="s">
        <v>3040</v>
      </c>
      <c r="B6063" s="163" t="s">
        <v>691</v>
      </c>
      <c r="C6063" s="163" t="s">
        <v>3609</v>
      </c>
      <c r="D6063" s="163" t="s">
        <v>3610</v>
      </c>
      <c r="E6063" s="164" t="n">
        <v>20000</v>
      </c>
      <c r="F6063" s="165" t="s">
        <v>10086</v>
      </c>
    </row>
    <row r="6064" customFormat="false" ht="15" hidden="false" customHeight="true" outlineLevel="0" collapsed="false">
      <c r="A6064" s="163" t="s">
        <v>3040</v>
      </c>
      <c r="B6064" s="163" t="s">
        <v>691</v>
      </c>
      <c r="C6064" s="163" t="s">
        <v>10077</v>
      </c>
      <c r="D6064" s="163" t="s">
        <v>10078</v>
      </c>
      <c r="E6064" s="164" t="n">
        <v>20000</v>
      </c>
      <c r="F6064" s="165" t="s">
        <v>3060</v>
      </c>
    </row>
    <row r="6065" customFormat="false" ht="15" hidden="false" customHeight="true" outlineLevel="0" collapsed="false">
      <c r="A6065" s="163" t="s">
        <v>3040</v>
      </c>
      <c r="B6065" s="163" t="s">
        <v>691</v>
      </c>
      <c r="C6065" s="163" t="s">
        <v>10087</v>
      </c>
      <c r="D6065" s="163" t="s">
        <v>10088</v>
      </c>
      <c r="E6065" s="164" t="n">
        <v>5000</v>
      </c>
      <c r="F6065" s="165" t="s">
        <v>10089</v>
      </c>
    </row>
    <row r="6066" customFormat="false" ht="15" hidden="false" customHeight="true" outlineLevel="0" collapsed="false">
      <c r="A6066" s="163" t="s">
        <v>3040</v>
      </c>
      <c r="B6066" s="163" t="s">
        <v>2027</v>
      </c>
      <c r="C6066" s="163" t="s">
        <v>4635</v>
      </c>
      <c r="D6066" s="163" t="s">
        <v>4636</v>
      </c>
      <c r="E6066" s="164" t="n">
        <v>35000</v>
      </c>
      <c r="F6066" s="165" t="s">
        <v>10090</v>
      </c>
    </row>
    <row r="6067" customFormat="false" ht="15" hidden="false" customHeight="true" outlineLevel="0" collapsed="false">
      <c r="A6067" s="163" t="s">
        <v>3040</v>
      </c>
      <c r="B6067" s="163" t="s">
        <v>2027</v>
      </c>
      <c r="C6067" s="163" t="s">
        <v>3425</v>
      </c>
      <c r="D6067" s="163" t="s">
        <v>3426</v>
      </c>
      <c r="E6067" s="164" t="n">
        <v>20000</v>
      </c>
      <c r="F6067" s="165" t="s">
        <v>10091</v>
      </c>
    </row>
    <row r="6068" customFormat="false" ht="15" hidden="false" customHeight="true" outlineLevel="0" collapsed="false">
      <c r="A6068" s="163" t="s">
        <v>3040</v>
      </c>
      <c r="B6068" s="163" t="s">
        <v>2027</v>
      </c>
      <c r="C6068" s="163" t="s">
        <v>4427</v>
      </c>
      <c r="D6068" s="163" t="s">
        <v>4428</v>
      </c>
      <c r="E6068" s="164" t="n">
        <v>20000</v>
      </c>
      <c r="F6068" s="165" t="s">
        <v>10092</v>
      </c>
    </row>
    <row r="6069" customFormat="false" ht="15" hidden="false" customHeight="true" outlineLevel="0" collapsed="false">
      <c r="A6069" s="163" t="s">
        <v>3040</v>
      </c>
      <c r="B6069" s="163" t="s">
        <v>2027</v>
      </c>
      <c r="C6069" s="163" t="s">
        <v>950</v>
      </c>
      <c r="D6069" s="163" t="s">
        <v>4373</v>
      </c>
      <c r="E6069" s="164" t="n">
        <v>10000</v>
      </c>
      <c r="F6069" s="165" t="s">
        <v>10093</v>
      </c>
    </row>
    <row r="6070" customFormat="false" ht="15" hidden="false" customHeight="true" outlineLevel="0" collapsed="false">
      <c r="A6070" s="163" t="s">
        <v>3040</v>
      </c>
      <c r="B6070" s="163" t="s">
        <v>2027</v>
      </c>
      <c r="C6070" s="163" t="s">
        <v>3783</v>
      </c>
      <c r="D6070" s="163" t="s">
        <v>3784</v>
      </c>
      <c r="E6070" s="164" t="n">
        <v>5000</v>
      </c>
      <c r="F6070" s="165" t="s">
        <v>10094</v>
      </c>
    </row>
    <row r="6071" customFormat="false" ht="15" hidden="false" customHeight="true" outlineLevel="0" collapsed="false">
      <c r="A6071" s="163" t="s">
        <v>3040</v>
      </c>
      <c r="B6071" s="163" t="s">
        <v>2037</v>
      </c>
      <c r="C6071" s="163" t="s">
        <v>1860</v>
      </c>
      <c r="D6071" s="163" t="s">
        <v>1861</v>
      </c>
      <c r="E6071" s="164" t="n">
        <v>96000</v>
      </c>
      <c r="F6071" s="165" t="s">
        <v>10095</v>
      </c>
    </row>
    <row r="6072" customFormat="false" ht="15" hidden="false" customHeight="true" outlineLevel="0" collapsed="false">
      <c r="A6072" s="163" t="s">
        <v>3040</v>
      </c>
      <c r="B6072" s="163" t="s">
        <v>2037</v>
      </c>
      <c r="C6072" s="163" t="s">
        <v>4910</v>
      </c>
      <c r="D6072" s="163" t="s">
        <v>4911</v>
      </c>
      <c r="E6072" s="164" t="n">
        <v>11500</v>
      </c>
      <c r="F6072" s="165" t="s">
        <v>10096</v>
      </c>
    </row>
    <row r="6073" customFormat="false" ht="15" hidden="false" customHeight="true" outlineLevel="0" collapsed="false">
      <c r="A6073" s="163" t="s">
        <v>3040</v>
      </c>
      <c r="B6073" s="163" t="s">
        <v>2037</v>
      </c>
      <c r="C6073" s="163" t="s">
        <v>372</v>
      </c>
      <c r="D6073" s="163" t="s">
        <v>2692</v>
      </c>
      <c r="E6073" s="164" t="n">
        <v>10500</v>
      </c>
      <c r="F6073" s="165" t="s">
        <v>10097</v>
      </c>
    </row>
    <row r="6074" customFormat="false" ht="15" hidden="false" customHeight="true" outlineLevel="0" collapsed="false">
      <c r="A6074" s="163" t="s">
        <v>3040</v>
      </c>
      <c r="B6074" s="163" t="s">
        <v>2037</v>
      </c>
      <c r="C6074" s="163" t="s">
        <v>3872</v>
      </c>
      <c r="D6074" s="163" t="s">
        <v>3873</v>
      </c>
      <c r="E6074" s="164" t="n">
        <v>8500</v>
      </c>
      <c r="F6074" s="165" t="s">
        <v>10098</v>
      </c>
    </row>
    <row r="6075" customFormat="false" ht="15" hidden="false" customHeight="true" outlineLevel="0" collapsed="false">
      <c r="A6075" s="163" t="s">
        <v>3040</v>
      </c>
      <c r="B6075" s="163" t="s">
        <v>2037</v>
      </c>
      <c r="C6075" s="163" t="s">
        <v>6945</v>
      </c>
      <c r="D6075" s="163" t="s">
        <v>6946</v>
      </c>
      <c r="E6075" s="164" t="n">
        <v>6500</v>
      </c>
      <c r="F6075" s="165" t="s">
        <v>10099</v>
      </c>
    </row>
    <row r="6076" customFormat="false" ht="15" hidden="false" customHeight="true" outlineLevel="0" collapsed="false">
      <c r="A6076" s="163" t="s">
        <v>3040</v>
      </c>
      <c r="B6076" s="163" t="s">
        <v>894</v>
      </c>
      <c r="C6076" s="163" t="s">
        <v>3564</v>
      </c>
      <c r="D6076" s="163" t="s">
        <v>3565</v>
      </c>
      <c r="E6076" s="164" t="n">
        <v>35000</v>
      </c>
      <c r="F6076" s="165" t="s">
        <v>8806</v>
      </c>
    </row>
    <row r="6077" customFormat="false" ht="15" hidden="false" customHeight="true" outlineLevel="0" collapsed="false">
      <c r="A6077" s="163" t="s">
        <v>3040</v>
      </c>
      <c r="B6077" s="163" t="s">
        <v>894</v>
      </c>
      <c r="C6077" s="163" t="s">
        <v>10100</v>
      </c>
      <c r="D6077" s="163" t="s">
        <v>10101</v>
      </c>
      <c r="E6077" s="164" t="n">
        <v>29500</v>
      </c>
      <c r="F6077" s="165" t="s">
        <v>10102</v>
      </c>
    </row>
    <row r="6078" customFormat="false" ht="15" hidden="false" customHeight="true" outlineLevel="0" collapsed="false">
      <c r="A6078" s="163" t="s">
        <v>3040</v>
      </c>
      <c r="B6078" s="163" t="s">
        <v>894</v>
      </c>
      <c r="C6078" s="163" t="s">
        <v>6568</v>
      </c>
      <c r="D6078" s="163" t="s">
        <v>6569</v>
      </c>
      <c r="E6078" s="164" t="n">
        <v>29000</v>
      </c>
      <c r="F6078" s="165" t="s">
        <v>10103</v>
      </c>
    </row>
    <row r="6079" customFormat="false" ht="15" hidden="false" customHeight="true" outlineLevel="0" collapsed="false">
      <c r="A6079" s="163" t="s">
        <v>3040</v>
      </c>
      <c r="B6079" s="163" t="s">
        <v>894</v>
      </c>
      <c r="C6079" s="163" t="s">
        <v>5214</v>
      </c>
      <c r="D6079" s="163" t="s">
        <v>5215</v>
      </c>
      <c r="E6079" s="164" t="n">
        <v>21500</v>
      </c>
      <c r="F6079" s="165" t="s">
        <v>10055</v>
      </c>
    </row>
    <row r="6080" customFormat="false" ht="15" hidden="false" customHeight="true" outlineLevel="0" collapsed="false">
      <c r="A6080" s="163" t="s">
        <v>3040</v>
      </c>
      <c r="B6080" s="163" t="s">
        <v>894</v>
      </c>
      <c r="C6080" s="163" t="s">
        <v>6612</v>
      </c>
      <c r="D6080" s="163" t="s">
        <v>6613</v>
      </c>
      <c r="E6080" s="164" t="n">
        <v>20000</v>
      </c>
      <c r="F6080" s="165" t="s">
        <v>10104</v>
      </c>
    </row>
    <row r="6081" customFormat="false" ht="15" hidden="false" customHeight="true" outlineLevel="0" collapsed="false">
      <c r="A6081" s="163" t="s">
        <v>3040</v>
      </c>
      <c r="B6081" s="163" t="s">
        <v>894</v>
      </c>
      <c r="C6081" s="163" t="s">
        <v>3560</v>
      </c>
      <c r="D6081" s="163" t="s">
        <v>3561</v>
      </c>
      <c r="E6081" s="164" t="n">
        <v>16000</v>
      </c>
      <c r="F6081" s="165" t="s">
        <v>10105</v>
      </c>
    </row>
    <row r="6082" customFormat="false" ht="15" hidden="false" customHeight="true" outlineLevel="0" collapsed="false">
      <c r="A6082" s="163" t="s">
        <v>3040</v>
      </c>
      <c r="B6082" s="163" t="s">
        <v>894</v>
      </c>
      <c r="C6082" s="163" t="s">
        <v>6604</v>
      </c>
      <c r="D6082" s="163" t="s">
        <v>6605</v>
      </c>
      <c r="E6082" s="164" t="n">
        <v>14000</v>
      </c>
      <c r="F6082" s="165" t="s">
        <v>10106</v>
      </c>
    </row>
    <row r="6083" customFormat="false" ht="15" hidden="false" customHeight="true" outlineLevel="0" collapsed="false">
      <c r="A6083" s="163" t="s">
        <v>3040</v>
      </c>
      <c r="B6083" s="163" t="s">
        <v>894</v>
      </c>
      <c r="C6083" s="163" t="s">
        <v>3609</v>
      </c>
      <c r="D6083" s="163" t="s">
        <v>3610</v>
      </c>
      <c r="E6083" s="164" t="n">
        <v>12300</v>
      </c>
      <c r="F6083" s="165" t="s">
        <v>10107</v>
      </c>
    </row>
    <row r="6084" customFormat="false" ht="15" hidden="false" customHeight="true" outlineLevel="0" collapsed="false">
      <c r="A6084" s="163" t="s">
        <v>3040</v>
      </c>
      <c r="B6084" s="163" t="s">
        <v>894</v>
      </c>
      <c r="C6084" s="163" t="s">
        <v>3334</v>
      </c>
      <c r="D6084" s="163" t="s">
        <v>3335</v>
      </c>
      <c r="E6084" s="164" t="n">
        <v>10350</v>
      </c>
      <c r="F6084" s="165" t="s">
        <v>10108</v>
      </c>
    </row>
    <row r="6085" customFormat="false" ht="15" hidden="false" customHeight="true" outlineLevel="0" collapsed="false">
      <c r="A6085" s="163" t="s">
        <v>3040</v>
      </c>
      <c r="B6085" s="163" t="s">
        <v>894</v>
      </c>
      <c r="C6085" s="163" t="s">
        <v>3578</v>
      </c>
      <c r="D6085" s="163" t="s">
        <v>3579</v>
      </c>
      <c r="E6085" s="164" t="n">
        <v>10000</v>
      </c>
      <c r="F6085" s="165" t="s">
        <v>10109</v>
      </c>
    </row>
    <row r="6086" customFormat="false" ht="15" hidden="false" customHeight="true" outlineLevel="0" collapsed="false">
      <c r="A6086" s="163" t="s">
        <v>3040</v>
      </c>
      <c r="B6086" s="163" t="s">
        <v>894</v>
      </c>
      <c r="C6086" s="163" t="s">
        <v>3706</v>
      </c>
      <c r="D6086" s="163" t="s">
        <v>3707</v>
      </c>
      <c r="E6086" s="164" t="n">
        <v>10000</v>
      </c>
      <c r="F6086" s="165" t="s">
        <v>10110</v>
      </c>
    </row>
    <row r="6087" customFormat="false" ht="15" hidden="false" customHeight="true" outlineLevel="0" collapsed="false">
      <c r="A6087" s="163" t="s">
        <v>3040</v>
      </c>
      <c r="B6087" s="163" t="s">
        <v>894</v>
      </c>
      <c r="C6087" s="163" t="s">
        <v>4023</v>
      </c>
      <c r="D6087" s="163" t="s">
        <v>4024</v>
      </c>
      <c r="E6087" s="164" t="n">
        <v>10000</v>
      </c>
      <c r="F6087" s="165" t="s">
        <v>10111</v>
      </c>
    </row>
    <row r="6088" customFormat="false" ht="15" hidden="false" customHeight="true" outlineLevel="0" collapsed="false">
      <c r="A6088" s="163" t="s">
        <v>3040</v>
      </c>
      <c r="B6088" s="163" t="s">
        <v>894</v>
      </c>
      <c r="C6088" s="163" t="s">
        <v>3145</v>
      </c>
      <c r="D6088" s="163" t="s">
        <v>3146</v>
      </c>
      <c r="E6088" s="164" t="n">
        <v>10000</v>
      </c>
      <c r="F6088" s="165" t="s">
        <v>10112</v>
      </c>
    </row>
    <row r="6089" customFormat="false" ht="15" hidden="false" customHeight="true" outlineLevel="0" collapsed="false">
      <c r="A6089" s="163" t="s">
        <v>3040</v>
      </c>
      <c r="B6089" s="163" t="s">
        <v>894</v>
      </c>
      <c r="C6089" s="163" t="s">
        <v>1860</v>
      </c>
      <c r="D6089" s="163" t="s">
        <v>1861</v>
      </c>
      <c r="E6089" s="164" t="n">
        <v>10000</v>
      </c>
      <c r="F6089" s="165" t="s">
        <v>10056</v>
      </c>
    </row>
    <row r="6090" customFormat="false" ht="15" hidden="false" customHeight="true" outlineLevel="0" collapsed="false">
      <c r="A6090" s="163" t="s">
        <v>3040</v>
      </c>
      <c r="B6090" s="163" t="s">
        <v>894</v>
      </c>
      <c r="C6090" s="163" t="s">
        <v>3635</v>
      </c>
      <c r="D6090" s="163" t="s">
        <v>3636</v>
      </c>
      <c r="E6090" s="164" t="n">
        <v>10000</v>
      </c>
      <c r="F6090" s="165" t="s">
        <v>10113</v>
      </c>
    </row>
    <row r="6091" customFormat="false" ht="15" hidden="false" customHeight="true" outlineLevel="0" collapsed="false">
      <c r="A6091" s="163" t="s">
        <v>3040</v>
      </c>
      <c r="B6091" s="163" t="s">
        <v>894</v>
      </c>
      <c r="C6091" s="163" t="s">
        <v>10077</v>
      </c>
      <c r="D6091" s="163" t="s">
        <v>10078</v>
      </c>
      <c r="E6091" s="164" t="n">
        <v>9000</v>
      </c>
      <c r="F6091" s="165" t="s">
        <v>10114</v>
      </c>
    </row>
    <row r="6092" customFormat="false" ht="15" hidden="false" customHeight="true" outlineLevel="0" collapsed="false">
      <c r="A6092" s="163" t="s">
        <v>3040</v>
      </c>
      <c r="B6092" s="163" t="s">
        <v>894</v>
      </c>
      <c r="C6092" s="163" t="s">
        <v>5327</v>
      </c>
      <c r="D6092" s="163" t="s">
        <v>5328</v>
      </c>
      <c r="E6092" s="164" t="n">
        <v>8000</v>
      </c>
      <c r="F6092" s="165" t="s">
        <v>10115</v>
      </c>
    </row>
    <row r="6093" customFormat="false" ht="15" hidden="false" customHeight="true" outlineLevel="0" collapsed="false">
      <c r="A6093" s="163" t="s">
        <v>3040</v>
      </c>
      <c r="B6093" s="163" t="s">
        <v>894</v>
      </c>
      <c r="C6093" s="163" t="s">
        <v>5865</v>
      </c>
      <c r="D6093" s="163" t="s">
        <v>5866</v>
      </c>
      <c r="E6093" s="164" t="n">
        <v>7000</v>
      </c>
      <c r="F6093" s="165" t="s">
        <v>10116</v>
      </c>
    </row>
    <row r="6094" customFormat="false" ht="15" hidden="false" customHeight="true" outlineLevel="0" collapsed="false">
      <c r="A6094" s="163" t="s">
        <v>3040</v>
      </c>
      <c r="B6094" s="163" t="s">
        <v>894</v>
      </c>
      <c r="C6094" s="163" t="s">
        <v>10117</v>
      </c>
      <c r="D6094" s="163" t="s">
        <v>10118</v>
      </c>
      <c r="E6094" s="164" t="n">
        <v>6500</v>
      </c>
      <c r="F6094" s="165" t="s">
        <v>10119</v>
      </c>
    </row>
    <row r="6095" customFormat="false" ht="15" hidden="false" customHeight="true" outlineLevel="0" collapsed="false">
      <c r="A6095" s="163" t="s">
        <v>3040</v>
      </c>
      <c r="B6095" s="163" t="s">
        <v>894</v>
      </c>
      <c r="C6095" s="163" t="s">
        <v>3317</v>
      </c>
      <c r="D6095" s="163" t="s">
        <v>3318</v>
      </c>
      <c r="E6095" s="164" t="n">
        <v>6500</v>
      </c>
      <c r="F6095" s="165" t="s">
        <v>10120</v>
      </c>
    </row>
    <row r="6096" customFormat="false" ht="15" hidden="false" customHeight="true" outlineLevel="0" collapsed="false">
      <c r="A6096" s="163" t="s">
        <v>3040</v>
      </c>
      <c r="B6096" s="163" t="s">
        <v>894</v>
      </c>
      <c r="C6096" s="163" t="s">
        <v>4914</v>
      </c>
      <c r="D6096" s="163" t="s">
        <v>4915</v>
      </c>
      <c r="E6096" s="164" t="n">
        <v>6150</v>
      </c>
      <c r="F6096" s="165" t="s">
        <v>10121</v>
      </c>
    </row>
    <row r="6097" customFormat="false" ht="15" hidden="false" customHeight="true" outlineLevel="0" collapsed="false">
      <c r="A6097" s="163" t="s">
        <v>3040</v>
      </c>
      <c r="B6097" s="163" t="s">
        <v>894</v>
      </c>
      <c r="C6097" s="163" t="s">
        <v>5165</v>
      </c>
      <c r="D6097" s="163" t="s">
        <v>5166</v>
      </c>
      <c r="E6097" s="164" t="n">
        <v>6000</v>
      </c>
      <c r="F6097" s="165" t="s">
        <v>10122</v>
      </c>
    </row>
    <row r="6098" customFormat="false" ht="15" hidden="false" customHeight="true" outlineLevel="0" collapsed="false">
      <c r="A6098" s="163" t="s">
        <v>3040</v>
      </c>
      <c r="B6098" s="163" t="s">
        <v>894</v>
      </c>
      <c r="C6098" s="163" t="s">
        <v>6585</v>
      </c>
      <c r="D6098" s="163" t="s">
        <v>6586</v>
      </c>
      <c r="E6098" s="164" t="n">
        <v>6000</v>
      </c>
      <c r="F6098" s="165" t="s">
        <v>10123</v>
      </c>
    </row>
    <row r="6099" customFormat="false" ht="15" hidden="false" customHeight="true" outlineLevel="0" collapsed="false">
      <c r="A6099" s="163" t="s">
        <v>3040</v>
      </c>
      <c r="B6099" s="163" t="s">
        <v>894</v>
      </c>
      <c r="C6099" s="163" t="s">
        <v>10124</v>
      </c>
      <c r="D6099" s="163" t="s">
        <v>10125</v>
      </c>
      <c r="E6099" s="164" t="n">
        <v>5700</v>
      </c>
      <c r="F6099" s="165" t="s">
        <v>10126</v>
      </c>
    </row>
    <row r="6100" customFormat="false" ht="15" hidden="false" customHeight="true" outlineLevel="0" collapsed="false">
      <c r="A6100" s="163" t="s">
        <v>3040</v>
      </c>
      <c r="B6100" s="163" t="s">
        <v>894</v>
      </c>
      <c r="C6100" s="163" t="s">
        <v>10127</v>
      </c>
      <c r="D6100" s="163" t="s">
        <v>10128</v>
      </c>
      <c r="E6100" s="164" t="n">
        <v>5000</v>
      </c>
      <c r="F6100" s="165" t="s">
        <v>10129</v>
      </c>
    </row>
    <row r="6101" customFormat="false" ht="15" hidden="false" customHeight="true" outlineLevel="0" collapsed="false">
      <c r="A6101" s="163" t="s">
        <v>3040</v>
      </c>
      <c r="B6101" s="163" t="s">
        <v>894</v>
      </c>
      <c r="C6101" s="163" t="s">
        <v>7076</v>
      </c>
      <c r="D6101" s="163" t="s">
        <v>7077</v>
      </c>
      <c r="E6101" s="164" t="n">
        <v>5000</v>
      </c>
      <c r="F6101" s="165" t="s">
        <v>10130</v>
      </c>
    </row>
    <row r="6102" customFormat="false" ht="15" hidden="false" customHeight="true" outlineLevel="0" collapsed="false">
      <c r="A6102" s="163" t="s">
        <v>3040</v>
      </c>
      <c r="B6102" s="163" t="s">
        <v>894</v>
      </c>
      <c r="C6102" s="163" t="s">
        <v>5981</v>
      </c>
      <c r="D6102" s="163" t="s">
        <v>5982</v>
      </c>
      <c r="E6102" s="164" t="n">
        <v>5000</v>
      </c>
      <c r="F6102" s="165" t="s">
        <v>10131</v>
      </c>
    </row>
    <row r="6103" customFormat="false" ht="15" hidden="false" customHeight="true" outlineLevel="0" collapsed="false">
      <c r="A6103" s="163" t="s">
        <v>3040</v>
      </c>
      <c r="B6103" s="163" t="s">
        <v>894</v>
      </c>
      <c r="C6103" s="163" t="s">
        <v>975</v>
      </c>
      <c r="D6103" s="163" t="s">
        <v>8228</v>
      </c>
      <c r="E6103" s="164" t="n">
        <v>5000</v>
      </c>
      <c r="F6103" s="165" t="s">
        <v>10132</v>
      </c>
    </row>
    <row r="6104" customFormat="false" ht="15" hidden="false" customHeight="true" outlineLevel="0" collapsed="false">
      <c r="A6104" s="163" t="s">
        <v>3040</v>
      </c>
      <c r="B6104" s="163" t="s">
        <v>894</v>
      </c>
      <c r="C6104" s="163" t="s">
        <v>10133</v>
      </c>
      <c r="D6104" s="163" t="s">
        <v>10134</v>
      </c>
      <c r="E6104" s="164" t="n">
        <v>5000</v>
      </c>
      <c r="F6104" s="165" t="s">
        <v>10135</v>
      </c>
    </row>
    <row r="6105" customFormat="false" ht="15" hidden="false" customHeight="true" outlineLevel="0" collapsed="false">
      <c r="A6105" s="163" t="s">
        <v>3040</v>
      </c>
      <c r="B6105" s="163" t="s">
        <v>894</v>
      </c>
      <c r="C6105" s="163" t="s">
        <v>10083</v>
      </c>
      <c r="D6105" s="163" t="s">
        <v>10084</v>
      </c>
      <c r="E6105" s="164" t="n">
        <v>5000</v>
      </c>
      <c r="F6105" s="165" t="s">
        <v>10136</v>
      </c>
    </row>
    <row r="6106" customFormat="false" ht="15" hidden="false" customHeight="true" outlineLevel="0" collapsed="false">
      <c r="A6106" s="163" t="s">
        <v>3040</v>
      </c>
      <c r="B6106" s="163" t="s">
        <v>894</v>
      </c>
      <c r="C6106" s="163" t="s">
        <v>3602</v>
      </c>
      <c r="D6106" s="163" t="s">
        <v>3603</v>
      </c>
      <c r="E6106" s="164" t="n">
        <v>5000</v>
      </c>
      <c r="F6106" s="165" t="s">
        <v>10137</v>
      </c>
    </row>
    <row r="6107" customFormat="false" ht="15" hidden="false" customHeight="true" outlineLevel="0" collapsed="false">
      <c r="A6107" s="163" t="s">
        <v>3040</v>
      </c>
      <c r="B6107" s="163" t="s">
        <v>894</v>
      </c>
      <c r="C6107" s="163" t="s">
        <v>10138</v>
      </c>
      <c r="D6107" s="163" t="s">
        <v>10139</v>
      </c>
      <c r="E6107" s="164" t="n">
        <v>5000</v>
      </c>
      <c r="F6107" s="165" t="s">
        <v>10140</v>
      </c>
    </row>
    <row r="6108" customFormat="false" ht="15" hidden="false" customHeight="true" outlineLevel="0" collapsed="false">
      <c r="A6108" s="163" t="s">
        <v>3040</v>
      </c>
      <c r="B6108" s="163" t="s">
        <v>894</v>
      </c>
      <c r="C6108" s="163" t="s">
        <v>3549</v>
      </c>
      <c r="D6108" s="163" t="s">
        <v>3550</v>
      </c>
      <c r="E6108" s="164" t="n">
        <v>5000</v>
      </c>
      <c r="F6108" s="165" t="s">
        <v>1161</v>
      </c>
    </row>
    <row r="6109" customFormat="false" ht="15" hidden="false" customHeight="true" outlineLevel="0" collapsed="false">
      <c r="A6109" s="163" t="s">
        <v>3040</v>
      </c>
      <c r="B6109" s="163" t="s">
        <v>894</v>
      </c>
      <c r="C6109" s="163" t="s">
        <v>3188</v>
      </c>
      <c r="D6109" s="163" t="s">
        <v>3189</v>
      </c>
      <c r="E6109" s="164" t="n">
        <v>5000</v>
      </c>
      <c r="F6109" s="165" t="s">
        <v>10141</v>
      </c>
    </row>
    <row r="6110" customFormat="false" ht="15" hidden="false" customHeight="true" outlineLevel="0" collapsed="false">
      <c r="A6110" s="163" t="s">
        <v>3040</v>
      </c>
      <c r="B6110" s="163" t="s">
        <v>894</v>
      </c>
      <c r="C6110" s="163" t="s">
        <v>5208</v>
      </c>
      <c r="D6110" s="163" t="s">
        <v>5209</v>
      </c>
      <c r="E6110" s="164" t="n">
        <v>5000</v>
      </c>
      <c r="F6110" s="165" t="s">
        <v>10142</v>
      </c>
    </row>
    <row r="6111" customFormat="false" ht="15" hidden="false" customHeight="true" outlineLevel="0" collapsed="false">
      <c r="A6111" s="163" t="s">
        <v>3040</v>
      </c>
      <c r="B6111" s="163" t="s">
        <v>894</v>
      </c>
      <c r="C6111" s="163" t="s">
        <v>3567</v>
      </c>
      <c r="D6111" s="163" t="s">
        <v>3568</v>
      </c>
      <c r="E6111" s="164" t="n">
        <v>5000</v>
      </c>
      <c r="F6111" s="165" t="s">
        <v>10143</v>
      </c>
    </row>
    <row r="6112" customFormat="false" ht="15" hidden="false" customHeight="true" outlineLevel="0" collapsed="false">
      <c r="A6112" s="163" t="s">
        <v>3040</v>
      </c>
      <c r="B6112" s="163" t="s">
        <v>894</v>
      </c>
      <c r="C6112" s="163" t="s">
        <v>10144</v>
      </c>
      <c r="D6112" s="163" t="s">
        <v>10145</v>
      </c>
      <c r="E6112" s="164" t="n">
        <v>5000</v>
      </c>
      <c r="F6112" s="165" t="s">
        <v>10146</v>
      </c>
    </row>
    <row r="6113" customFormat="false" ht="15" hidden="false" customHeight="true" outlineLevel="0" collapsed="false">
      <c r="A6113" s="163" t="s">
        <v>3040</v>
      </c>
      <c r="B6113" s="163" t="s">
        <v>894</v>
      </c>
      <c r="C6113" s="163" t="s">
        <v>10147</v>
      </c>
      <c r="D6113" s="163" t="s">
        <v>10148</v>
      </c>
      <c r="E6113" s="164" t="n">
        <v>5000</v>
      </c>
      <c r="F6113" s="165" t="s">
        <v>10149</v>
      </c>
    </row>
    <row r="6114" customFormat="false" ht="15" hidden="false" customHeight="true" outlineLevel="0" collapsed="false">
      <c r="A6114" s="163" t="s">
        <v>3040</v>
      </c>
      <c r="B6114" s="163" t="s">
        <v>894</v>
      </c>
      <c r="C6114" s="163" t="s">
        <v>473</v>
      </c>
      <c r="D6114" s="163" t="s">
        <v>2764</v>
      </c>
      <c r="E6114" s="164" t="n">
        <v>5000</v>
      </c>
      <c r="F6114" s="165" t="s">
        <v>10150</v>
      </c>
    </row>
    <row r="6115" customFormat="false" ht="15" hidden="false" customHeight="true" outlineLevel="0" collapsed="false">
      <c r="A6115" s="163" t="s">
        <v>3040</v>
      </c>
      <c r="B6115" s="163" t="s">
        <v>894</v>
      </c>
      <c r="C6115" s="163" t="s">
        <v>893</v>
      </c>
      <c r="D6115" s="163" t="s">
        <v>1931</v>
      </c>
      <c r="E6115" s="164" t="n">
        <v>5000</v>
      </c>
      <c r="F6115" s="165" t="s">
        <v>10151</v>
      </c>
    </row>
    <row r="6116" customFormat="false" ht="15" hidden="false" customHeight="true" outlineLevel="0" collapsed="false">
      <c r="A6116" s="163" t="s">
        <v>3040</v>
      </c>
      <c r="B6116" s="163" t="s">
        <v>894</v>
      </c>
      <c r="C6116" s="163" t="s">
        <v>452</v>
      </c>
      <c r="D6116" s="163" t="s">
        <v>1931</v>
      </c>
      <c r="E6116" s="164" t="n">
        <v>5000</v>
      </c>
      <c r="F6116" s="165" t="s">
        <v>10152</v>
      </c>
    </row>
    <row r="6117" customFormat="false" ht="15" hidden="false" customHeight="true" outlineLevel="0" collapsed="false">
      <c r="A6117" s="163" t="s">
        <v>3040</v>
      </c>
      <c r="B6117" s="163" t="s">
        <v>894</v>
      </c>
      <c r="C6117" s="163" t="s">
        <v>1109</v>
      </c>
      <c r="D6117" s="163" t="s">
        <v>3755</v>
      </c>
      <c r="E6117" s="164" t="n">
        <v>4000</v>
      </c>
      <c r="F6117" s="165" t="s">
        <v>10153</v>
      </c>
    </row>
    <row r="6118" customFormat="false" ht="15" hidden="false" customHeight="true" outlineLevel="0" collapsed="false">
      <c r="A6118" s="163" t="s">
        <v>3040</v>
      </c>
      <c r="B6118" s="163" t="s">
        <v>894</v>
      </c>
      <c r="C6118" s="163" t="s">
        <v>3290</v>
      </c>
      <c r="D6118" s="163" t="s">
        <v>3291</v>
      </c>
      <c r="E6118" s="164" t="n">
        <v>1500</v>
      </c>
      <c r="F6118" s="165" t="s">
        <v>10154</v>
      </c>
    </row>
    <row r="6119" customFormat="false" ht="15" hidden="false" customHeight="true" outlineLevel="0" collapsed="false">
      <c r="A6119" s="163" t="s">
        <v>3040</v>
      </c>
      <c r="B6119" s="163" t="s">
        <v>894</v>
      </c>
      <c r="C6119" s="163" t="s">
        <v>893</v>
      </c>
      <c r="D6119" s="163" t="s">
        <v>1931</v>
      </c>
      <c r="E6119" s="164" t="n">
        <v>1000</v>
      </c>
      <c r="F6119" s="165" t="s">
        <v>10155</v>
      </c>
    </row>
    <row r="6120" customFormat="false" ht="15" hidden="false" customHeight="true" outlineLevel="0" collapsed="false">
      <c r="A6120" s="163" t="s">
        <v>3040</v>
      </c>
      <c r="B6120" s="163" t="s">
        <v>882</v>
      </c>
      <c r="C6120" s="163" t="s">
        <v>2759</v>
      </c>
      <c r="D6120" s="163" t="s">
        <v>2760</v>
      </c>
      <c r="E6120" s="164" t="n">
        <v>225000</v>
      </c>
      <c r="F6120" s="165" t="s">
        <v>10156</v>
      </c>
    </row>
    <row r="6121" customFormat="false" ht="15" hidden="false" customHeight="true" outlineLevel="0" collapsed="false">
      <c r="A6121" s="163" t="s">
        <v>3040</v>
      </c>
      <c r="B6121" s="163" t="s">
        <v>882</v>
      </c>
      <c r="C6121" s="163" t="s">
        <v>640</v>
      </c>
      <c r="D6121" s="163" t="s">
        <v>1931</v>
      </c>
      <c r="E6121" s="164" t="n">
        <v>55000</v>
      </c>
      <c r="F6121" s="165" t="s">
        <v>10157</v>
      </c>
    </row>
    <row r="6122" customFormat="false" ht="15" hidden="false" customHeight="true" outlineLevel="0" collapsed="false">
      <c r="A6122" s="163" t="s">
        <v>3040</v>
      </c>
      <c r="B6122" s="163" t="s">
        <v>2328</v>
      </c>
      <c r="C6122" s="163" t="s">
        <v>10077</v>
      </c>
      <c r="D6122" s="163" t="s">
        <v>10078</v>
      </c>
      <c r="E6122" s="164" t="n">
        <v>25000</v>
      </c>
      <c r="F6122" s="165" t="s">
        <v>10158</v>
      </c>
    </row>
    <row r="6123" customFormat="false" ht="15" hidden="false" customHeight="true" outlineLevel="0" collapsed="false">
      <c r="A6123" s="163" t="s">
        <v>3040</v>
      </c>
      <c r="B6123" s="163" t="s">
        <v>2328</v>
      </c>
      <c r="C6123" s="163" t="s">
        <v>3706</v>
      </c>
      <c r="D6123" s="163" t="s">
        <v>3707</v>
      </c>
      <c r="E6123" s="164" t="n">
        <v>25000</v>
      </c>
      <c r="F6123" s="165" t="s">
        <v>10159</v>
      </c>
    </row>
    <row r="6124" customFormat="false" ht="15" hidden="false" customHeight="true" outlineLevel="0" collapsed="false">
      <c r="A6124" s="163" t="s">
        <v>3040</v>
      </c>
      <c r="B6124" s="163" t="s">
        <v>2342</v>
      </c>
      <c r="C6124" s="163" t="s">
        <v>230</v>
      </c>
      <c r="D6124" s="163" t="s">
        <v>2077</v>
      </c>
      <c r="E6124" s="164" t="n">
        <v>20000</v>
      </c>
      <c r="F6124" s="165" t="s">
        <v>10160</v>
      </c>
    </row>
    <row r="6125" customFormat="false" ht="15" hidden="false" customHeight="true" outlineLevel="0" collapsed="false">
      <c r="A6125" s="163" t="s">
        <v>3040</v>
      </c>
      <c r="B6125" s="163" t="s">
        <v>2342</v>
      </c>
      <c r="C6125" s="163" t="s">
        <v>197</v>
      </c>
      <c r="D6125" s="163" t="s">
        <v>1931</v>
      </c>
      <c r="E6125" s="164" t="n">
        <v>19000</v>
      </c>
      <c r="F6125" s="165" t="s">
        <v>10161</v>
      </c>
    </row>
    <row r="6126" customFormat="false" ht="15" hidden="false" customHeight="true" outlineLevel="0" collapsed="false">
      <c r="A6126" s="163" t="s">
        <v>3040</v>
      </c>
      <c r="B6126" s="163" t="s">
        <v>2342</v>
      </c>
      <c r="C6126" s="163" t="s">
        <v>3549</v>
      </c>
      <c r="D6126" s="163" t="s">
        <v>3550</v>
      </c>
      <c r="E6126" s="164" t="n">
        <v>15000</v>
      </c>
      <c r="F6126" s="165" t="s">
        <v>10162</v>
      </c>
    </row>
    <row r="6127" customFormat="false" ht="15" hidden="false" customHeight="true" outlineLevel="0" collapsed="false">
      <c r="A6127" s="163" t="s">
        <v>3040</v>
      </c>
      <c r="B6127" s="163" t="s">
        <v>2342</v>
      </c>
      <c r="C6127" s="163" t="s">
        <v>197</v>
      </c>
      <c r="D6127" s="163" t="s">
        <v>1931</v>
      </c>
      <c r="E6127" s="164" t="n">
        <v>15000</v>
      </c>
      <c r="F6127" s="165" t="s">
        <v>10163</v>
      </c>
    </row>
    <row r="6128" customFormat="false" ht="15" hidden="false" customHeight="true" outlineLevel="0" collapsed="false">
      <c r="A6128" s="163" t="s">
        <v>3040</v>
      </c>
      <c r="B6128" s="163" t="s">
        <v>2342</v>
      </c>
      <c r="C6128" s="163" t="s">
        <v>197</v>
      </c>
      <c r="D6128" s="163" t="s">
        <v>1931</v>
      </c>
      <c r="E6128" s="164" t="n">
        <v>15000</v>
      </c>
      <c r="F6128" s="165" t="s">
        <v>10164</v>
      </c>
    </row>
    <row r="6129" customFormat="false" ht="15" hidden="false" customHeight="true" outlineLevel="0" collapsed="false">
      <c r="A6129" s="163" t="s">
        <v>3040</v>
      </c>
      <c r="B6129" s="163" t="s">
        <v>2342</v>
      </c>
      <c r="C6129" s="163" t="s">
        <v>2953</v>
      </c>
      <c r="D6129" s="163" t="s">
        <v>2954</v>
      </c>
      <c r="E6129" s="164" t="n">
        <v>6000</v>
      </c>
      <c r="F6129" s="165" t="s">
        <v>10165</v>
      </c>
    </row>
    <row r="6130" customFormat="false" ht="15" hidden="false" customHeight="true" outlineLevel="0" collapsed="false">
      <c r="A6130" s="163" t="s">
        <v>3040</v>
      </c>
      <c r="B6130" s="163" t="s">
        <v>1743</v>
      </c>
      <c r="C6130" s="163" t="s">
        <v>4635</v>
      </c>
      <c r="D6130" s="163" t="s">
        <v>4636</v>
      </c>
      <c r="E6130" s="164" t="n">
        <v>85000</v>
      </c>
      <c r="F6130" s="165" t="s">
        <v>10166</v>
      </c>
    </row>
    <row r="6131" customFormat="false" ht="15" hidden="false" customHeight="true" outlineLevel="0" collapsed="false">
      <c r="A6131" s="163" t="s">
        <v>3040</v>
      </c>
      <c r="B6131" s="163" t="s">
        <v>1743</v>
      </c>
      <c r="C6131" s="163" t="s">
        <v>6568</v>
      </c>
      <c r="D6131" s="163" t="s">
        <v>6569</v>
      </c>
      <c r="E6131" s="164" t="n">
        <v>31500</v>
      </c>
      <c r="F6131" s="165" t="s">
        <v>10167</v>
      </c>
    </row>
    <row r="6132" customFormat="false" ht="15" hidden="false" customHeight="true" outlineLevel="0" collapsed="false">
      <c r="A6132" s="163" t="s">
        <v>3040</v>
      </c>
      <c r="B6132" s="163" t="s">
        <v>1743</v>
      </c>
      <c r="C6132" s="163" t="s">
        <v>5087</v>
      </c>
      <c r="D6132" s="163" t="s">
        <v>5088</v>
      </c>
      <c r="E6132" s="164" t="n">
        <v>30500</v>
      </c>
      <c r="F6132" s="165" t="s">
        <v>10052</v>
      </c>
    </row>
    <row r="6133" customFormat="false" ht="15" hidden="false" customHeight="true" outlineLevel="0" collapsed="false">
      <c r="A6133" s="163" t="s">
        <v>3040</v>
      </c>
      <c r="B6133" s="163" t="s">
        <v>1743</v>
      </c>
      <c r="C6133" s="163" t="s">
        <v>4635</v>
      </c>
      <c r="D6133" s="163" t="s">
        <v>4636</v>
      </c>
      <c r="E6133" s="164" t="n">
        <v>3000</v>
      </c>
      <c r="F6133" s="165" t="s">
        <v>10168</v>
      </c>
    </row>
    <row r="6134" customFormat="false" ht="15" hidden="false" customHeight="true" outlineLevel="0" collapsed="false">
      <c r="A6134" s="163" t="s">
        <v>3040</v>
      </c>
      <c r="B6134" s="163" t="s">
        <v>928</v>
      </c>
      <c r="C6134" s="163" t="s">
        <v>6664</v>
      </c>
      <c r="D6134" s="163" t="s">
        <v>6665</v>
      </c>
      <c r="E6134" s="164" t="n">
        <v>40000</v>
      </c>
      <c r="F6134" s="165" t="s">
        <v>10169</v>
      </c>
    </row>
    <row r="6135" customFormat="false" ht="15" hidden="false" customHeight="true" outlineLevel="0" collapsed="false">
      <c r="A6135" s="163" t="s">
        <v>3040</v>
      </c>
      <c r="B6135" s="163" t="s">
        <v>928</v>
      </c>
      <c r="C6135" s="163" t="s">
        <v>6612</v>
      </c>
      <c r="D6135" s="163" t="s">
        <v>6613</v>
      </c>
      <c r="E6135" s="164" t="n">
        <v>23000</v>
      </c>
      <c r="F6135" s="165" t="s">
        <v>10170</v>
      </c>
    </row>
    <row r="6136" customFormat="false" ht="15" hidden="false" customHeight="true" outlineLevel="0" collapsed="false">
      <c r="A6136" s="163" t="s">
        <v>3040</v>
      </c>
      <c r="B6136" s="163" t="s">
        <v>928</v>
      </c>
      <c r="C6136" s="163" t="s">
        <v>5214</v>
      </c>
      <c r="D6136" s="163" t="s">
        <v>5215</v>
      </c>
      <c r="E6136" s="164" t="n">
        <v>20000</v>
      </c>
      <c r="F6136" s="165" t="s">
        <v>10171</v>
      </c>
    </row>
    <row r="6137" customFormat="false" ht="15" hidden="false" customHeight="true" outlineLevel="0" collapsed="false">
      <c r="A6137" s="163" t="s">
        <v>3040</v>
      </c>
      <c r="B6137" s="163" t="s">
        <v>928</v>
      </c>
      <c r="C6137" s="163" t="s">
        <v>5214</v>
      </c>
      <c r="D6137" s="163" t="s">
        <v>5215</v>
      </c>
      <c r="E6137" s="164" t="n">
        <v>10000</v>
      </c>
      <c r="F6137" s="165" t="s">
        <v>10172</v>
      </c>
    </row>
    <row r="6138" customFormat="false" ht="15" hidden="false" customHeight="true" outlineLevel="0" collapsed="false">
      <c r="A6138" s="163" t="s">
        <v>3040</v>
      </c>
      <c r="B6138" s="163" t="s">
        <v>928</v>
      </c>
      <c r="C6138" s="163" t="s">
        <v>3622</v>
      </c>
      <c r="D6138" s="163" t="s">
        <v>3623</v>
      </c>
      <c r="E6138" s="164" t="n">
        <v>10000</v>
      </c>
      <c r="F6138" s="165" t="s">
        <v>10173</v>
      </c>
    </row>
    <row r="6139" customFormat="false" ht="15" hidden="false" customHeight="true" outlineLevel="0" collapsed="false">
      <c r="A6139" s="163" t="s">
        <v>3040</v>
      </c>
      <c r="B6139" s="163" t="s">
        <v>928</v>
      </c>
      <c r="C6139" s="163" t="s">
        <v>5323</v>
      </c>
      <c r="D6139" s="163" t="s">
        <v>5324</v>
      </c>
      <c r="E6139" s="164" t="n">
        <v>10000</v>
      </c>
      <c r="F6139" s="165" t="s">
        <v>10174</v>
      </c>
    </row>
    <row r="6140" customFormat="false" ht="15" hidden="false" customHeight="true" outlineLevel="0" collapsed="false">
      <c r="A6140" s="163" t="s">
        <v>3040</v>
      </c>
      <c r="B6140" s="163" t="s">
        <v>928</v>
      </c>
      <c r="C6140" s="163" t="s">
        <v>3425</v>
      </c>
      <c r="D6140" s="163" t="s">
        <v>3426</v>
      </c>
      <c r="E6140" s="164" t="n">
        <v>7000</v>
      </c>
      <c r="F6140" s="165" t="s">
        <v>10175</v>
      </c>
    </row>
    <row r="6141" customFormat="false" ht="15" hidden="false" customHeight="true" outlineLevel="0" collapsed="false">
      <c r="A6141" s="163" t="s">
        <v>3040</v>
      </c>
      <c r="B6141" s="163" t="s">
        <v>928</v>
      </c>
      <c r="C6141" s="163" t="s">
        <v>5858</v>
      </c>
      <c r="D6141" s="163" t="s">
        <v>5859</v>
      </c>
      <c r="E6141" s="164" t="n">
        <v>5000</v>
      </c>
      <c r="F6141" s="165" t="s">
        <v>10176</v>
      </c>
    </row>
    <row r="6142" customFormat="false" ht="15" hidden="false" customHeight="true" outlineLevel="0" collapsed="false">
      <c r="A6142" s="163" t="s">
        <v>3040</v>
      </c>
      <c r="B6142" s="163" t="s">
        <v>928</v>
      </c>
      <c r="C6142" s="163" t="s">
        <v>7742</v>
      </c>
      <c r="D6142" s="163" t="s">
        <v>7743</v>
      </c>
      <c r="E6142" s="164" t="n">
        <v>5000</v>
      </c>
      <c r="F6142" s="165" t="s">
        <v>7908</v>
      </c>
    </row>
    <row r="6143" customFormat="false" ht="15" hidden="false" customHeight="true" outlineLevel="0" collapsed="false">
      <c r="A6143" s="163" t="s">
        <v>3040</v>
      </c>
      <c r="B6143" s="163" t="s">
        <v>928</v>
      </c>
      <c r="C6143" s="163" t="s">
        <v>3625</v>
      </c>
      <c r="D6143" s="163" t="s">
        <v>3626</v>
      </c>
      <c r="E6143" s="164" t="n">
        <v>5000</v>
      </c>
      <c r="F6143" s="165" t="s">
        <v>10177</v>
      </c>
    </row>
    <row r="6144" customFormat="false" ht="15" hidden="false" customHeight="true" outlineLevel="0" collapsed="false">
      <c r="A6144" s="163" t="s">
        <v>3040</v>
      </c>
      <c r="B6144" s="163" t="s">
        <v>928</v>
      </c>
      <c r="C6144" s="163" t="s">
        <v>7927</v>
      </c>
      <c r="D6144" s="163" t="s">
        <v>7928</v>
      </c>
      <c r="E6144" s="164" t="n">
        <v>5000</v>
      </c>
      <c r="F6144" s="165" t="s">
        <v>10178</v>
      </c>
    </row>
    <row r="6145" customFormat="false" ht="15" hidden="false" customHeight="true" outlineLevel="0" collapsed="false">
      <c r="A6145" s="163" t="s">
        <v>3040</v>
      </c>
      <c r="B6145" s="163" t="s">
        <v>928</v>
      </c>
      <c r="C6145" s="163" t="s">
        <v>10179</v>
      </c>
      <c r="D6145" s="163" t="s">
        <v>10180</v>
      </c>
      <c r="E6145" s="164" t="n">
        <v>5000</v>
      </c>
      <c r="F6145" s="165" t="s">
        <v>10181</v>
      </c>
    </row>
    <row r="6146" customFormat="false" ht="15" hidden="false" customHeight="true" outlineLevel="0" collapsed="false">
      <c r="A6146" s="163" t="s">
        <v>3040</v>
      </c>
      <c r="B6146" s="163" t="s">
        <v>928</v>
      </c>
      <c r="C6146" s="163" t="s">
        <v>360</v>
      </c>
      <c r="D6146" s="163" t="s">
        <v>2685</v>
      </c>
      <c r="E6146" s="164" t="n">
        <v>5000</v>
      </c>
      <c r="F6146" s="165" t="s">
        <v>10182</v>
      </c>
    </row>
    <row r="6147" customFormat="false" ht="15" hidden="false" customHeight="true" outlineLevel="0" collapsed="false">
      <c r="A6147" s="163" t="s">
        <v>3056</v>
      </c>
      <c r="B6147" s="163" t="s">
        <v>3056</v>
      </c>
      <c r="C6147" s="163" t="s">
        <v>586</v>
      </c>
      <c r="D6147" s="163" t="s">
        <v>1923</v>
      </c>
      <c r="E6147" s="164" t="n">
        <v>20000</v>
      </c>
      <c r="F6147" s="165" t="s">
        <v>10183</v>
      </c>
    </row>
    <row r="6148" customFormat="false" ht="15" hidden="false" customHeight="true" outlineLevel="0" collapsed="false">
      <c r="A6148" s="163" t="s">
        <v>3056</v>
      </c>
      <c r="B6148" s="163" t="s">
        <v>3056</v>
      </c>
      <c r="C6148" s="163" t="s">
        <v>404</v>
      </c>
      <c r="D6148" s="163" t="s">
        <v>2108</v>
      </c>
      <c r="E6148" s="164" t="n">
        <v>15000</v>
      </c>
      <c r="F6148" s="165" t="s">
        <v>3060</v>
      </c>
    </row>
    <row r="6149" customFormat="false" ht="15" hidden="false" customHeight="true" outlineLevel="0" collapsed="false">
      <c r="A6149" s="163" t="s">
        <v>3056</v>
      </c>
      <c r="B6149" s="163" t="s">
        <v>3056</v>
      </c>
      <c r="C6149" s="163" t="s">
        <v>1185</v>
      </c>
      <c r="D6149" s="163" t="s">
        <v>2473</v>
      </c>
      <c r="E6149" s="164" t="n">
        <v>15000</v>
      </c>
      <c r="F6149" s="165" t="s">
        <v>3060</v>
      </c>
    </row>
    <row r="6150" customFormat="false" ht="15" hidden="false" customHeight="true" outlineLevel="0" collapsed="false">
      <c r="A6150" s="163" t="s">
        <v>3056</v>
      </c>
      <c r="B6150" s="163" t="s">
        <v>3056</v>
      </c>
      <c r="C6150" s="163" t="s">
        <v>718</v>
      </c>
      <c r="D6150" s="163" t="s">
        <v>2230</v>
      </c>
      <c r="E6150" s="164" t="n">
        <v>13000</v>
      </c>
      <c r="F6150" s="165" t="s">
        <v>3060</v>
      </c>
    </row>
    <row r="6151" customFormat="false" ht="15" hidden="false" customHeight="true" outlineLevel="0" collapsed="false">
      <c r="A6151" s="163" t="s">
        <v>3056</v>
      </c>
      <c r="B6151" s="163" t="s">
        <v>3056</v>
      </c>
      <c r="C6151" s="163" t="s">
        <v>183</v>
      </c>
      <c r="D6151" s="163" t="s">
        <v>2476</v>
      </c>
      <c r="E6151" s="164" t="n">
        <v>10000</v>
      </c>
      <c r="F6151" s="165" t="s">
        <v>3060</v>
      </c>
    </row>
    <row r="6152" customFormat="false" ht="15" hidden="false" customHeight="true" outlineLevel="0" collapsed="false">
      <c r="A6152" s="163" t="s">
        <v>3056</v>
      </c>
      <c r="B6152" s="163" t="s">
        <v>3056</v>
      </c>
      <c r="C6152" s="163" t="s">
        <v>1127</v>
      </c>
      <c r="D6152" s="163" t="s">
        <v>2155</v>
      </c>
      <c r="E6152" s="164" t="n">
        <v>10000</v>
      </c>
      <c r="F6152" s="165" t="s">
        <v>10184</v>
      </c>
    </row>
    <row r="6153" customFormat="false" ht="15" hidden="false" customHeight="true" outlineLevel="0" collapsed="false">
      <c r="A6153" s="163" t="s">
        <v>3056</v>
      </c>
      <c r="B6153" s="163" t="s">
        <v>3056</v>
      </c>
      <c r="C6153" s="163" t="s">
        <v>1127</v>
      </c>
      <c r="D6153" s="163" t="s">
        <v>2155</v>
      </c>
      <c r="E6153" s="164" t="n">
        <v>10000</v>
      </c>
      <c r="F6153" s="165" t="s">
        <v>3060</v>
      </c>
    </row>
    <row r="6154" customFormat="false" ht="15" hidden="false" customHeight="true" outlineLevel="0" collapsed="false">
      <c r="A6154" s="163" t="s">
        <v>3056</v>
      </c>
      <c r="B6154" s="163" t="s">
        <v>3056</v>
      </c>
      <c r="C6154" s="163" t="s">
        <v>380</v>
      </c>
      <c r="D6154" s="163" t="s">
        <v>1899</v>
      </c>
      <c r="E6154" s="164" t="n">
        <v>10000</v>
      </c>
      <c r="F6154" s="165" t="s">
        <v>3060</v>
      </c>
    </row>
    <row r="6155" customFormat="false" ht="15" hidden="false" customHeight="true" outlineLevel="0" collapsed="false">
      <c r="A6155" s="163" t="s">
        <v>3056</v>
      </c>
      <c r="B6155" s="163" t="s">
        <v>3056</v>
      </c>
      <c r="C6155" s="163" t="s">
        <v>326</v>
      </c>
      <c r="D6155" s="163" t="s">
        <v>1912</v>
      </c>
      <c r="E6155" s="164" t="n">
        <v>9000</v>
      </c>
      <c r="F6155" s="165" t="s">
        <v>3060</v>
      </c>
    </row>
    <row r="6156" customFormat="false" ht="15" hidden="false" customHeight="true" outlineLevel="0" collapsed="false">
      <c r="A6156" s="163" t="s">
        <v>3056</v>
      </c>
      <c r="B6156" s="163" t="s">
        <v>3056</v>
      </c>
      <c r="C6156" s="163" t="s">
        <v>317</v>
      </c>
      <c r="D6156" s="163" t="s">
        <v>2479</v>
      </c>
      <c r="E6156" s="164" t="n">
        <v>5000</v>
      </c>
      <c r="F6156" s="165" t="s">
        <v>3060</v>
      </c>
    </row>
    <row r="6157" customFormat="false" ht="15" hidden="false" customHeight="true" outlineLevel="0" collapsed="false">
      <c r="A6157" s="163" t="s">
        <v>3056</v>
      </c>
      <c r="B6157" s="163" t="s">
        <v>3056</v>
      </c>
      <c r="C6157" s="163" t="s">
        <v>1188</v>
      </c>
      <c r="D6157" s="163" t="s">
        <v>2213</v>
      </c>
      <c r="E6157" s="164" t="n">
        <v>3000</v>
      </c>
      <c r="F6157" s="165" t="s">
        <v>3060</v>
      </c>
    </row>
    <row r="6158" customFormat="false" ht="15" hidden="false" customHeight="true" outlineLevel="0" collapsed="false">
      <c r="A6158" s="163" t="s">
        <v>3050</v>
      </c>
      <c r="B6158" s="163" t="s">
        <v>957</v>
      </c>
      <c r="C6158" s="163" t="s">
        <v>3077</v>
      </c>
      <c r="D6158" s="163" t="s">
        <v>3078</v>
      </c>
      <c r="E6158" s="164" t="n">
        <v>20000</v>
      </c>
      <c r="F6158" s="165" t="s">
        <v>10185</v>
      </c>
    </row>
    <row r="6159" customFormat="false" ht="15" hidden="false" customHeight="true" outlineLevel="0" collapsed="false">
      <c r="A6159" s="163" t="s">
        <v>3050</v>
      </c>
      <c r="B6159" s="163" t="s">
        <v>957</v>
      </c>
      <c r="C6159" s="163" t="s">
        <v>3354</v>
      </c>
      <c r="D6159" s="163" t="s">
        <v>1931</v>
      </c>
      <c r="E6159" s="164" t="n">
        <v>20000</v>
      </c>
      <c r="F6159" s="165" t="s">
        <v>4741</v>
      </c>
    </row>
    <row r="6160" customFormat="false" ht="15" hidden="false" customHeight="true" outlineLevel="0" collapsed="false">
      <c r="A6160" s="163" t="s">
        <v>3050</v>
      </c>
      <c r="B6160" s="163" t="s">
        <v>957</v>
      </c>
      <c r="C6160" s="163" t="s">
        <v>5793</v>
      </c>
      <c r="D6160" s="163" t="s">
        <v>5794</v>
      </c>
      <c r="E6160" s="164" t="n">
        <v>15000</v>
      </c>
      <c r="F6160" s="165" t="s">
        <v>10186</v>
      </c>
    </row>
    <row r="6161" customFormat="false" ht="15" hidden="false" customHeight="true" outlineLevel="0" collapsed="false">
      <c r="A6161" s="163" t="s">
        <v>3050</v>
      </c>
      <c r="B6161" s="163" t="s">
        <v>957</v>
      </c>
      <c r="C6161" s="163" t="s">
        <v>3077</v>
      </c>
      <c r="D6161" s="163" t="s">
        <v>3078</v>
      </c>
      <c r="E6161" s="164" t="n">
        <v>15000</v>
      </c>
      <c r="F6161" s="165" t="s">
        <v>10187</v>
      </c>
    </row>
    <row r="6162" customFormat="false" ht="15" hidden="false" customHeight="true" outlineLevel="0" collapsed="false">
      <c r="A6162" s="163" t="s">
        <v>3050</v>
      </c>
      <c r="B6162" s="163" t="s">
        <v>957</v>
      </c>
      <c r="C6162" s="163" t="s">
        <v>5783</v>
      </c>
      <c r="D6162" s="163" t="s">
        <v>5784</v>
      </c>
      <c r="E6162" s="164" t="n">
        <v>10000</v>
      </c>
      <c r="F6162" s="165" t="s">
        <v>10188</v>
      </c>
    </row>
    <row r="6163" customFormat="false" ht="15" hidden="false" customHeight="true" outlineLevel="0" collapsed="false">
      <c r="A6163" s="163" t="s">
        <v>3050</v>
      </c>
      <c r="B6163" s="163" t="s">
        <v>957</v>
      </c>
      <c r="C6163" s="163" t="s">
        <v>4904</v>
      </c>
      <c r="D6163" s="163" t="s">
        <v>4905</v>
      </c>
      <c r="E6163" s="164" t="n">
        <v>10000</v>
      </c>
      <c r="F6163" s="165" t="s">
        <v>10189</v>
      </c>
    </row>
    <row r="6164" customFormat="false" ht="15" hidden="false" customHeight="true" outlineLevel="0" collapsed="false">
      <c r="A6164" s="163" t="s">
        <v>3050</v>
      </c>
      <c r="B6164" s="163" t="s">
        <v>957</v>
      </c>
      <c r="C6164" s="163" t="s">
        <v>10190</v>
      </c>
      <c r="D6164" s="163" t="s">
        <v>10191</v>
      </c>
      <c r="E6164" s="164" t="n">
        <v>10000</v>
      </c>
      <c r="F6164" s="165" t="s">
        <v>10192</v>
      </c>
    </row>
    <row r="6165" customFormat="false" ht="15" hidden="false" customHeight="true" outlineLevel="0" collapsed="false">
      <c r="A6165" s="163" t="s">
        <v>3050</v>
      </c>
      <c r="B6165" s="163" t="s">
        <v>957</v>
      </c>
      <c r="C6165" s="163" t="s">
        <v>3478</v>
      </c>
      <c r="D6165" s="163" t="s">
        <v>3479</v>
      </c>
      <c r="E6165" s="164" t="n">
        <v>10000</v>
      </c>
      <c r="F6165" s="165" t="s">
        <v>10193</v>
      </c>
    </row>
    <row r="6166" customFormat="false" ht="15" hidden="false" customHeight="true" outlineLevel="0" collapsed="false">
      <c r="A6166" s="163" t="s">
        <v>3050</v>
      </c>
      <c r="B6166" s="163" t="s">
        <v>945</v>
      </c>
      <c r="C6166" s="163" t="s">
        <v>2167</v>
      </c>
      <c r="D6166" s="163" t="s">
        <v>1931</v>
      </c>
      <c r="E6166" s="164" t="n">
        <v>20000</v>
      </c>
      <c r="F6166" s="165" t="s">
        <v>10194</v>
      </c>
    </row>
    <row r="6167" customFormat="false" ht="15" hidden="false" customHeight="true" outlineLevel="0" collapsed="false">
      <c r="A6167" s="163" t="s">
        <v>3050</v>
      </c>
      <c r="B6167" s="163" t="s">
        <v>945</v>
      </c>
      <c r="C6167" s="163" t="s">
        <v>7480</v>
      </c>
      <c r="D6167" s="163" t="s">
        <v>7481</v>
      </c>
      <c r="E6167" s="164" t="n">
        <v>10000</v>
      </c>
      <c r="F6167" s="165" t="s">
        <v>10195</v>
      </c>
    </row>
    <row r="6168" customFormat="false" ht="15" hidden="false" customHeight="true" outlineLevel="0" collapsed="false">
      <c r="A6168" s="163" t="s">
        <v>3050</v>
      </c>
      <c r="B6168" s="163" t="s">
        <v>945</v>
      </c>
      <c r="C6168" s="163" t="s">
        <v>10196</v>
      </c>
      <c r="D6168" s="163" t="s">
        <v>10197</v>
      </c>
      <c r="E6168" s="164" t="n">
        <v>10000</v>
      </c>
      <c r="F6168" s="165" t="s">
        <v>10198</v>
      </c>
    </row>
    <row r="6169" customFormat="false" ht="15" hidden="false" customHeight="true" outlineLevel="0" collapsed="false">
      <c r="A6169" s="163" t="s">
        <v>3050</v>
      </c>
      <c r="B6169" s="163" t="s">
        <v>945</v>
      </c>
      <c r="C6169" s="163" t="s">
        <v>10199</v>
      </c>
      <c r="D6169" s="163" t="s">
        <v>10200</v>
      </c>
      <c r="E6169" s="164" t="n">
        <v>10000</v>
      </c>
      <c r="F6169" s="165" t="s">
        <v>10201</v>
      </c>
    </row>
    <row r="6170" customFormat="false" ht="15" hidden="false" customHeight="true" outlineLevel="0" collapsed="false">
      <c r="A6170" s="163" t="s">
        <v>3050</v>
      </c>
      <c r="B6170" s="163" t="s">
        <v>945</v>
      </c>
      <c r="C6170" s="163" t="s">
        <v>3180</v>
      </c>
      <c r="D6170" s="163" t="s">
        <v>3181</v>
      </c>
      <c r="E6170" s="164" t="n">
        <v>10000</v>
      </c>
      <c r="F6170" s="165" t="s">
        <v>10202</v>
      </c>
    </row>
    <row r="6171" customFormat="false" ht="15" hidden="false" customHeight="true" outlineLevel="0" collapsed="false">
      <c r="A6171" s="163" t="s">
        <v>3050</v>
      </c>
      <c r="B6171" s="163" t="s">
        <v>945</v>
      </c>
      <c r="C6171" s="163" t="s">
        <v>9189</v>
      </c>
      <c r="D6171" s="163" t="s">
        <v>9190</v>
      </c>
      <c r="E6171" s="164" t="n">
        <v>10000</v>
      </c>
      <c r="F6171" s="165" t="s">
        <v>10194</v>
      </c>
    </row>
    <row r="6172" customFormat="false" ht="15" hidden="false" customHeight="true" outlineLevel="0" collapsed="false">
      <c r="A6172" s="163" t="s">
        <v>3050</v>
      </c>
      <c r="B6172" s="163" t="s">
        <v>945</v>
      </c>
      <c r="C6172" s="163" t="s">
        <v>3436</v>
      </c>
      <c r="D6172" s="163" t="s">
        <v>3437</v>
      </c>
      <c r="E6172" s="164" t="n">
        <v>8000</v>
      </c>
      <c r="F6172" s="165" t="s">
        <v>10194</v>
      </c>
    </row>
    <row r="6173" customFormat="false" ht="15" hidden="false" customHeight="true" outlineLevel="0" collapsed="false">
      <c r="A6173" s="163" t="s">
        <v>3050</v>
      </c>
      <c r="B6173" s="163" t="s">
        <v>945</v>
      </c>
      <c r="C6173" s="163" t="s">
        <v>5531</v>
      </c>
      <c r="D6173" s="163" t="s">
        <v>5532</v>
      </c>
      <c r="E6173" s="164" t="n">
        <v>7000</v>
      </c>
      <c r="F6173" s="165" t="s">
        <v>10201</v>
      </c>
    </row>
    <row r="6174" customFormat="false" ht="15" hidden="false" customHeight="true" outlineLevel="0" collapsed="false">
      <c r="A6174" s="163" t="s">
        <v>3050</v>
      </c>
      <c r="B6174" s="163" t="s">
        <v>945</v>
      </c>
      <c r="C6174" s="163" t="s">
        <v>10203</v>
      </c>
      <c r="D6174" s="163" t="s">
        <v>10204</v>
      </c>
      <c r="E6174" s="164" t="n">
        <v>5000</v>
      </c>
      <c r="F6174" s="165" t="s">
        <v>10205</v>
      </c>
    </row>
    <row r="6175" customFormat="false" ht="15" hidden="false" customHeight="true" outlineLevel="0" collapsed="false">
      <c r="A6175" s="163" t="s">
        <v>3050</v>
      </c>
      <c r="B6175" s="163" t="s">
        <v>945</v>
      </c>
      <c r="C6175" s="163" t="s">
        <v>8978</v>
      </c>
      <c r="D6175" s="163" t="s">
        <v>8979</v>
      </c>
      <c r="E6175" s="164" t="n">
        <v>5000</v>
      </c>
      <c r="F6175" s="165" t="s">
        <v>10206</v>
      </c>
    </row>
    <row r="6176" customFormat="false" ht="15" hidden="false" customHeight="true" outlineLevel="0" collapsed="false">
      <c r="A6176" s="163" t="s">
        <v>3050</v>
      </c>
      <c r="B6176" s="163" t="s">
        <v>945</v>
      </c>
      <c r="C6176" s="163" t="s">
        <v>4623</v>
      </c>
      <c r="D6176" s="163" t="s">
        <v>4624</v>
      </c>
      <c r="E6176" s="164" t="n">
        <v>5000</v>
      </c>
      <c r="F6176" s="165" t="s">
        <v>10207</v>
      </c>
    </row>
    <row r="6177" customFormat="false" ht="15" hidden="false" customHeight="true" outlineLevel="0" collapsed="false">
      <c r="A6177" s="163" t="s">
        <v>3050</v>
      </c>
      <c r="B6177" s="163" t="s">
        <v>3111</v>
      </c>
      <c r="C6177" s="163" t="s">
        <v>7909</v>
      </c>
      <c r="D6177" s="163" t="s">
        <v>7910</v>
      </c>
      <c r="E6177" s="164" t="n">
        <v>20000</v>
      </c>
      <c r="F6177" s="165" t="s">
        <v>10208</v>
      </c>
    </row>
    <row r="6178" customFormat="false" ht="15" hidden="false" customHeight="true" outlineLevel="0" collapsed="false">
      <c r="A6178" s="163" t="s">
        <v>3050</v>
      </c>
      <c r="B6178" s="163" t="s">
        <v>3111</v>
      </c>
      <c r="C6178" s="163" t="s">
        <v>9659</v>
      </c>
      <c r="D6178" s="163" t="s">
        <v>9660</v>
      </c>
      <c r="E6178" s="164" t="n">
        <v>20000</v>
      </c>
      <c r="F6178" s="165" t="s">
        <v>10208</v>
      </c>
    </row>
    <row r="6179" customFormat="false" ht="15" hidden="false" customHeight="true" outlineLevel="0" collapsed="false">
      <c r="A6179" s="163" t="s">
        <v>3050</v>
      </c>
      <c r="B6179" s="163" t="s">
        <v>3111</v>
      </c>
      <c r="C6179" s="163" t="s">
        <v>5646</v>
      </c>
      <c r="D6179" s="163" t="s">
        <v>1931</v>
      </c>
      <c r="E6179" s="164" t="n">
        <v>20000</v>
      </c>
      <c r="F6179" s="165" t="s">
        <v>10209</v>
      </c>
    </row>
    <row r="6180" customFormat="false" ht="15" hidden="false" customHeight="true" outlineLevel="0" collapsed="false">
      <c r="A6180" s="163" t="s">
        <v>3050</v>
      </c>
      <c r="B6180" s="163" t="s">
        <v>3111</v>
      </c>
      <c r="C6180" s="163" t="s">
        <v>2167</v>
      </c>
      <c r="D6180" s="163" t="s">
        <v>1931</v>
      </c>
      <c r="E6180" s="164" t="n">
        <v>20000</v>
      </c>
      <c r="F6180" s="165" t="s">
        <v>10194</v>
      </c>
    </row>
    <row r="6181" customFormat="false" ht="15" hidden="false" customHeight="true" outlineLevel="0" collapsed="false">
      <c r="A6181" s="163" t="s">
        <v>3050</v>
      </c>
      <c r="B6181" s="163" t="s">
        <v>3111</v>
      </c>
      <c r="C6181" s="163" t="s">
        <v>7909</v>
      </c>
      <c r="D6181" s="163" t="s">
        <v>7910</v>
      </c>
      <c r="E6181" s="164" t="n">
        <v>10000</v>
      </c>
      <c r="F6181" s="165" t="s">
        <v>10210</v>
      </c>
    </row>
    <row r="6182" customFormat="false" ht="15" hidden="false" customHeight="true" outlineLevel="0" collapsed="false">
      <c r="A6182" s="163" t="s">
        <v>3050</v>
      </c>
      <c r="B6182" s="163" t="s">
        <v>3111</v>
      </c>
      <c r="C6182" s="163" t="s">
        <v>3099</v>
      </c>
      <c r="D6182" s="163" t="s">
        <v>3100</v>
      </c>
      <c r="E6182" s="164" t="n">
        <v>10000</v>
      </c>
      <c r="F6182" s="165" t="s">
        <v>10211</v>
      </c>
    </row>
    <row r="6183" customFormat="false" ht="15" hidden="false" customHeight="true" outlineLevel="0" collapsed="false">
      <c r="A6183" s="163" t="s">
        <v>3050</v>
      </c>
      <c r="B6183" s="163" t="s">
        <v>894</v>
      </c>
      <c r="C6183" s="163" t="s">
        <v>2167</v>
      </c>
      <c r="D6183" s="163" t="s">
        <v>1931</v>
      </c>
      <c r="E6183" s="164" t="n">
        <v>104000</v>
      </c>
      <c r="F6183" s="165" t="s">
        <v>10194</v>
      </c>
    </row>
    <row r="6184" customFormat="false" ht="15" hidden="false" customHeight="true" outlineLevel="0" collapsed="false">
      <c r="A6184" s="163" t="s">
        <v>3050</v>
      </c>
      <c r="B6184" s="163" t="s">
        <v>894</v>
      </c>
      <c r="C6184" s="163" t="s">
        <v>1021</v>
      </c>
      <c r="D6184" s="163" t="s">
        <v>1931</v>
      </c>
      <c r="E6184" s="164" t="n">
        <v>25000</v>
      </c>
      <c r="F6184" s="165" t="s">
        <v>10212</v>
      </c>
    </row>
    <row r="6185" customFormat="false" ht="15" hidden="false" customHeight="true" outlineLevel="0" collapsed="false">
      <c r="A6185" s="163" t="s">
        <v>3050</v>
      </c>
      <c r="B6185" s="163" t="s">
        <v>894</v>
      </c>
      <c r="C6185" s="163" t="s">
        <v>3334</v>
      </c>
      <c r="D6185" s="163" t="s">
        <v>3335</v>
      </c>
      <c r="E6185" s="164" t="n">
        <v>20000</v>
      </c>
      <c r="F6185" s="165" t="s">
        <v>10213</v>
      </c>
    </row>
    <row r="6186" customFormat="false" ht="15" hidden="false" customHeight="true" outlineLevel="0" collapsed="false">
      <c r="A6186" s="163" t="s">
        <v>3050</v>
      </c>
      <c r="B6186" s="163" t="s">
        <v>894</v>
      </c>
      <c r="C6186" s="163" t="s">
        <v>6509</v>
      </c>
      <c r="D6186" s="163" t="s">
        <v>6510</v>
      </c>
      <c r="E6186" s="164" t="n">
        <v>15000</v>
      </c>
      <c r="F6186" s="165" t="s">
        <v>10214</v>
      </c>
    </row>
    <row r="6187" customFormat="false" ht="15" hidden="false" customHeight="true" outlineLevel="0" collapsed="false">
      <c r="A6187" s="163" t="s">
        <v>3050</v>
      </c>
      <c r="B6187" s="163" t="s">
        <v>894</v>
      </c>
      <c r="C6187" s="163" t="s">
        <v>5651</v>
      </c>
      <c r="D6187" s="163" t="s">
        <v>5652</v>
      </c>
      <c r="E6187" s="164" t="n">
        <v>15000</v>
      </c>
      <c r="F6187" s="165" t="s">
        <v>10215</v>
      </c>
    </row>
    <row r="6188" customFormat="false" ht="15" hidden="false" customHeight="true" outlineLevel="0" collapsed="false">
      <c r="A6188" s="163" t="s">
        <v>3050</v>
      </c>
      <c r="B6188" s="163" t="s">
        <v>894</v>
      </c>
      <c r="C6188" s="163" t="s">
        <v>6509</v>
      </c>
      <c r="D6188" s="163" t="s">
        <v>6510</v>
      </c>
      <c r="E6188" s="164" t="n">
        <v>15000</v>
      </c>
      <c r="F6188" s="165" t="s">
        <v>4741</v>
      </c>
    </row>
    <row r="6189" customFormat="false" ht="15" hidden="false" customHeight="true" outlineLevel="0" collapsed="false">
      <c r="A6189" s="163" t="s">
        <v>3050</v>
      </c>
      <c r="B6189" s="163" t="s">
        <v>894</v>
      </c>
      <c r="C6189" s="163" t="s">
        <v>3108</v>
      </c>
      <c r="D6189" s="163" t="s">
        <v>3109</v>
      </c>
      <c r="E6189" s="164" t="n">
        <v>10000</v>
      </c>
      <c r="F6189" s="165" t="s">
        <v>4741</v>
      </c>
    </row>
    <row r="6190" customFormat="false" ht="15" hidden="false" customHeight="true" outlineLevel="0" collapsed="false">
      <c r="A6190" s="163" t="s">
        <v>3050</v>
      </c>
      <c r="B6190" s="163" t="s">
        <v>894</v>
      </c>
      <c r="C6190" s="163" t="s">
        <v>10216</v>
      </c>
      <c r="D6190" s="163" t="s">
        <v>10217</v>
      </c>
      <c r="E6190" s="164" t="n">
        <v>10000</v>
      </c>
      <c r="F6190" s="165" t="s">
        <v>10218</v>
      </c>
    </row>
    <row r="6191" customFormat="false" ht="15" hidden="false" customHeight="true" outlineLevel="0" collapsed="false">
      <c r="A6191" s="163" t="s">
        <v>3050</v>
      </c>
      <c r="B6191" s="163" t="s">
        <v>894</v>
      </c>
      <c r="C6191" s="163" t="s">
        <v>10219</v>
      </c>
      <c r="D6191" s="163" t="s">
        <v>10220</v>
      </c>
      <c r="E6191" s="164" t="n">
        <v>10000</v>
      </c>
      <c r="F6191" s="165" t="s">
        <v>10221</v>
      </c>
    </row>
    <row r="6192" customFormat="false" ht="15" hidden="false" customHeight="true" outlineLevel="0" collapsed="false">
      <c r="A6192" s="163" t="s">
        <v>3050</v>
      </c>
      <c r="B6192" s="163" t="s">
        <v>894</v>
      </c>
      <c r="C6192" s="163" t="s">
        <v>10219</v>
      </c>
      <c r="D6192" s="163" t="s">
        <v>10220</v>
      </c>
      <c r="E6192" s="164" t="n">
        <v>10000</v>
      </c>
      <c r="F6192" s="165" t="s">
        <v>10222</v>
      </c>
    </row>
    <row r="6193" customFormat="false" ht="15" hidden="false" customHeight="true" outlineLevel="0" collapsed="false">
      <c r="A6193" s="163" t="s">
        <v>3050</v>
      </c>
      <c r="B6193" s="163" t="s">
        <v>894</v>
      </c>
      <c r="C6193" s="163" t="s">
        <v>6283</v>
      </c>
      <c r="D6193" s="163" t="s">
        <v>6284</v>
      </c>
      <c r="E6193" s="164" t="n">
        <v>10000</v>
      </c>
      <c r="F6193" s="165" t="s">
        <v>10223</v>
      </c>
    </row>
    <row r="6194" customFormat="false" ht="15" hidden="false" customHeight="true" outlineLevel="0" collapsed="false">
      <c r="A6194" s="163" t="s">
        <v>3050</v>
      </c>
      <c r="B6194" s="163" t="s">
        <v>894</v>
      </c>
      <c r="C6194" s="163" t="s">
        <v>4090</v>
      </c>
      <c r="D6194" s="163" t="s">
        <v>4091</v>
      </c>
      <c r="E6194" s="164" t="n">
        <v>10000</v>
      </c>
      <c r="F6194" s="165" t="s">
        <v>10224</v>
      </c>
    </row>
    <row r="6195" customFormat="false" ht="15" hidden="false" customHeight="true" outlineLevel="0" collapsed="false">
      <c r="A6195" s="163" t="s">
        <v>3050</v>
      </c>
      <c r="B6195" s="163" t="s">
        <v>894</v>
      </c>
      <c r="C6195" s="163" t="s">
        <v>10225</v>
      </c>
      <c r="D6195" s="163" t="s">
        <v>10226</v>
      </c>
      <c r="E6195" s="164" t="n">
        <v>10000</v>
      </c>
      <c r="F6195" s="165" t="s">
        <v>10227</v>
      </c>
    </row>
    <row r="6196" customFormat="false" ht="15" hidden="false" customHeight="true" outlineLevel="0" collapsed="false">
      <c r="A6196" s="163" t="s">
        <v>3050</v>
      </c>
      <c r="B6196" s="163" t="s">
        <v>894</v>
      </c>
      <c r="C6196" s="163" t="s">
        <v>4749</v>
      </c>
      <c r="D6196" s="163" t="s">
        <v>4750</v>
      </c>
      <c r="E6196" s="164" t="n">
        <v>10000</v>
      </c>
      <c r="F6196" s="165" t="s">
        <v>10228</v>
      </c>
    </row>
    <row r="6197" customFormat="false" ht="15" hidden="false" customHeight="true" outlineLevel="0" collapsed="false">
      <c r="A6197" s="163" t="s">
        <v>3050</v>
      </c>
      <c r="B6197" s="163" t="s">
        <v>894</v>
      </c>
      <c r="C6197" s="163" t="s">
        <v>240</v>
      </c>
      <c r="D6197" s="163" t="s">
        <v>2418</v>
      </c>
      <c r="E6197" s="164" t="n">
        <v>10000</v>
      </c>
      <c r="F6197" s="165" t="s">
        <v>10229</v>
      </c>
    </row>
    <row r="6198" customFormat="false" ht="15" hidden="false" customHeight="true" outlineLevel="0" collapsed="false">
      <c r="A6198" s="163" t="s">
        <v>3050</v>
      </c>
      <c r="B6198" s="163" t="s">
        <v>894</v>
      </c>
      <c r="C6198" s="163" t="s">
        <v>5815</v>
      </c>
      <c r="D6198" s="163" t="s">
        <v>5816</v>
      </c>
      <c r="E6198" s="164" t="n">
        <v>10000</v>
      </c>
      <c r="F6198" s="165" t="s">
        <v>4741</v>
      </c>
    </row>
    <row r="6199" customFormat="false" ht="15" hidden="false" customHeight="true" outlineLevel="0" collapsed="false">
      <c r="A6199" s="163" t="s">
        <v>3050</v>
      </c>
      <c r="B6199" s="163" t="s">
        <v>894</v>
      </c>
      <c r="C6199" s="163" t="s">
        <v>4002</v>
      </c>
      <c r="D6199" s="163" t="s">
        <v>4003</v>
      </c>
      <c r="E6199" s="164" t="n">
        <v>10000</v>
      </c>
      <c r="F6199" s="165" t="s">
        <v>10209</v>
      </c>
    </row>
    <row r="6200" customFormat="false" ht="15" hidden="false" customHeight="true" outlineLevel="0" collapsed="false">
      <c r="A6200" s="163" t="s">
        <v>3050</v>
      </c>
      <c r="B6200" s="163" t="s">
        <v>894</v>
      </c>
      <c r="C6200" s="163" t="s">
        <v>10230</v>
      </c>
      <c r="D6200" s="163" t="s">
        <v>10231</v>
      </c>
      <c r="E6200" s="164" t="n">
        <v>10000</v>
      </c>
      <c r="F6200" s="165" t="s">
        <v>10209</v>
      </c>
    </row>
    <row r="6201" customFormat="false" ht="15" hidden="false" customHeight="true" outlineLevel="0" collapsed="false">
      <c r="A6201" s="163" t="s">
        <v>3050</v>
      </c>
      <c r="B6201" s="163" t="s">
        <v>894</v>
      </c>
      <c r="C6201" s="163" t="s">
        <v>273</v>
      </c>
      <c r="D6201" s="163" t="s">
        <v>1891</v>
      </c>
      <c r="E6201" s="164" t="n">
        <v>10000</v>
      </c>
      <c r="F6201" s="165" t="s">
        <v>10209</v>
      </c>
    </row>
    <row r="6202" customFormat="false" ht="15" hidden="false" customHeight="true" outlineLevel="0" collapsed="false">
      <c r="A6202" s="163" t="s">
        <v>3050</v>
      </c>
      <c r="B6202" s="163" t="s">
        <v>894</v>
      </c>
      <c r="C6202" s="163" t="s">
        <v>962</v>
      </c>
      <c r="D6202" s="163" t="s">
        <v>7155</v>
      </c>
      <c r="E6202" s="164" t="n">
        <v>10000</v>
      </c>
      <c r="F6202" s="165" t="s">
        <v>10232</v>
      </c>
    </row>
    <row r="6203" customFormat="false" ht="15" hidden="false" customHeight="true" outlineLevel="0" collapsed="false">
      <c r="A6203" s="163" t="s">
        <v>3050</v>
      </c>
      <c r="B6203" s="163" t="s">
        <v>894</v>
      </c>
      <c r="C6203" s="163" t="s">
        <v>1860</v>
      </c>
      <c r="D6203" s="163" t="s">
        <v>1861</v>
      </c>
      <c r="E6203" s="164" t="n">
        <v>7000</v>
      </c>
      <c r="F6203" s="165" t="s">
        <v>10233</v>
      </c>
    </row>
    <row r="6204" customFormat="false" ht="15" hidden="false" customHeight="true" outlineLevel="0" collapsed="false">
      <c r="A6204" s="163" t="s">
        <v>3050</v>
      </c>
      <c r="B6204" s="163" t="s">
        <v>894</v>
      </c>
      <c r="C6204" s="163" t="s">
        <v>5815</v>
      </c>
      <c r="D6204" s="163" t="s">
        <v>5816</v>
      </c>
      <c r="E6204" s="164" t="n">
        <v>5629</v>
      </c>
      <c r="F6204" s="165" t="s">
        <v>10234</v>
      </c>
    </row>
    <row r="6205" customFormat="false" ht="15" hidden="false" customHeight="true" outlineLevel="0" collapsed="false">
      <c r="A6205" s="163" t="s">
        <v>3050</v>
      </c>
      <c r="B6205" s="163" t="s">
        <v>894</v>
      </c>
      <c r="C6205" s="163" t="s">
        <v>3406</v>
      </c>
      <c r="D6205" s="163" t="s">
        <v>3407</v>
      </c>
      <c r="E6205" s="164" t="n">
        <v>5000</v>
      </c>
      <c r="F6205" s="165" t="s">
        <v>10235</v>
      </c>
    </row>
    <row r="6206" customFormat="false" ht="15" hidden="false" customHeight="true" outlineLevel="0" collapsed="false">
      <c r="A6206" s="163" t="s">
        <v>3050</v>
      </c>
      <c r="B6206" s="163" t="s">
        <v>894</v>
      </c>
      <c r="C6206" s="163" t="s">
        <v>8311</v>
      </c>
      <c r="D6206" s="163" t="s">
        <v>8312</v>
      </c>
      <c r="E6206" s="164" t="n">
        <v>5000</v>
      </c>
      <c r="F6206" s="165" t="s">
        <v>10236</v>
      </c>
    </row>
    <row r="6207" customFormat="false" ht="15" hidden="false" customHeight="true" outlineLevel="0" collapsed="false">
      <c r="A6207" s="163" t="s">
        <v>3050</v>
      </c>
      <c r="B6207" s="163" t="s">
        <v>894</v>
      </c>
      <c r="C6207" s="163" t="s">
        <v>7765</v>
      </c>
      <c r="D6207" s="163" t="s">
        <v>7766</v>
      </c>
      <c r="E6207" s="164" t="n">
        <v>5000</v>
      </c>
      <c r="F6207" s="165" t="s">
        <v>10209</v>
      </c>
    </row>
    <row r="6208" customFormat="false" ht="15" hidden="false" customHeight="true" outlineLevel="0" collapsed="false">
      <c r="A6208" s="163" t="s">
        <v>3050</v>
      </c>
      <c r="B6208" s="163" t="s">
        <v>894</v>
      </c>
      <c r="C6208" s="163" t="s">
        <v>5783</v>
      </c>
      <c r="D6208" s="163" t="s">
        <v>5784</v>
      </c>
      <c r="E6208" s="164" t="n">
        <v>5000</v>
      </c>
      <c r="F6208" s="165" t="s">
        <v>10237</v>
      </c>
    </row>
    <row r="6209" customFormat="false" ht="15" hidden="false" customHeight="true" outlineLevel="0" collapsed="false">
      <c r="A6209" s="163" t="s">
        <v>3050</v>
      </c>
      <c r="B6209" s="163" t="s">
        <v>894</v>
      </c>
      <c r="C6209" s="163" t="s">
        <v>10238</v>
      </c>
      <c r="D6209" s="163" t="s">
        <v>10239</v>
      </c>
      <c r="E6209" s="164" t="n">
        <v>5000</v>
      </c>
      <c r="F6209" s="165" t="s">
        <v>4741</v>
      </c>
    </row>
    <row r="6210" customFormat="false" ht="15" hidden="false" customHeight="true" outlineLevel="0" collapsed="false">
      <c r="A6210" s="163" t="s">
        <v>3050</v>
      </c>
      <c r="B6210" s="163" t="s">
        <v>894</v>
      </c>
      <c r="C6210" s="163" t="s">
        <v>10240</v>
      </c>
      <c r="D6210" s="163" t="s">
        <v>10241</v>
      </c>
      <c r="E6210" s="164" t="n">
        <v>5000</v>
      </c>
      <c r="F6210" s="165" t="s">
        <v>4741</v>
      </c>
    </row>
    <row r="6211" customFormat="false" ht="15" hidden="false" customHeight="true" outlineLevel="0" collapsed="false">
      <c r="A6211" s="163" t="s">
        <v>3050</v>
      </c>
      <c r="B6211" s="163" t="s">
        <v>894</v>
      </c>
      <c r="C6211" s="163" t="s">
        <v>5901</v>
      </c>
      <c r="D6211" s="163" t="s">
        <v>5902</v>
      </c>
      <c r="E6211" s="164" t="n">
        <v>5000</v>
      </c>
      <c r="F6211" s="165" t="s">
        <v>4741</v>
      </c>
    </row>
    <row r="6212" customFormat="false" ht="15" hidden="false" customHeight="true" outlineLevel="0" collapsed="false">
      <c r="A6212" s="163" t="s">
        <v>3050</v>
      </c>
      <c r="B6212" s="163" t="s">
        <v>894</v>
      </c>
      <c r="C6212" s="163" t="s">
        <v>925</v>
      </c>
      <c r="D6212" s="163" t="s">
        <v>1931</v>
      </c>
      <c r="E6212" s="164" t="n">
        <v>4000</v>
      </c>
      <c r="F6212" s="165" t="s">
        <v>10242</v>
      </c>
    </row>
    <row r="6213" customFormat="false" ht="15" hidden="false" customHeight="true" outlineLevel="0" collapsed="false">
      <c r="A6213" s="163" t="s">
        <v>3050</v>
      </c>
      <c r="B6213" s="163" t="s">
        <v>894</v>
      </c>
      <c r="C6213" s="163" t="s">
        <v>925</v>
      </c>
      <c r="D6213" s="163" t="s">
        <v>1931</v>
      </c>
      <c r="E6213" s="164" t="n">
        <v>3000</v>
      </c>
      <c r="F6213" s="165" t="s">
        <v>10243</v>
      </c>
    </row>
    <row r="6214" customFormat="false" ht="15" hidden="false" customHeight="true" outlineLevel="0" collapsed="false">
      <c r="A6214" s="163" t="s">
        <v>3050</v>
      </c>
      <c r="B6214" s="163" t="s">
        <v>894</v>
      </c>
      <c r="C6214" s="163" t="s">
        <v>925</v>
      </c>
      <c r="D6214" s="163" t="s">
        <v>1931</v>
      </c>
      <c r="E6214" s="164" t="n">
        <v>3000</v>
      </c>
      <c r="F6214" s="165" t="s">
        <v>10244</v>
      </c>
    </row>
    <row r="6215" customFormat="false" ht="15" hidden="false" customHeight="true" outlineLevel="0" collapsed="false">
      <c r="A6215" s="163" t="s">
        <v>3050</v>
      </c>
      <c r="B6215" s="163" t="s">
        <v>894</v>
      </c>
      <c r="C6215" s="163" t="s">
        <v>925</v>
      </c>
      <c r="D6215" s="163" t="s">
        <v>1931</v>
      </c>
      <c r="E6215" s="164" t="n">
        <v>1871</v>
      </c>
      <c r="F6215" s="165" t="s">
        <v>10245</v>
      </c>
    </row>
    <row r="6216" customFormat="false" ht="15" hidden="false" customHeight="true" outlineLevel="0" collapsed="false">
      <c r="A6216" s="163" t="s">
        <v>3050</v>
      </c>
      <c r="B6216" s="163" t="s">
        <v>894</v>
      </c>
      <c r="C6216" s="163" t="s">
        <v>925</v>
      </c>
      <c r="D6216" s="163" t="s">
        <v>1931</v>
      </c>
      <c r="E6216" s="164" t="n">
        <v>1500</v>
      </c>
      <c r="F6216" s="165" t="s">
        <v>10246</v>
      </c>
    </row>
    <row r="6217" customFormat="false" ht="15" hidden="false" customHeight="true" outlineLevel="0" collapsed="false">
      <c r="A6217" s="163" t="s">
        <v>3050</v>
      </c>
      <c r="B6217" s="163" t="s">
        <v>894</v>
      </c>
      <c r="C6217" s="163" t="s">
        <v>925</v>
      </c>
      <c r="D6217" s="163" t="s">
        <v>1931</v>
      </c>
      <c r="E6217" s="164" t="n">
        <v>1000</v>
      </c>
      <c r="F6217" s="165" t="s">
        <v>10247</v>
      </c>
    </row>
    <row r="6218" customFormat="false" ht="15" hidden="false" customHeight="true" outlineLevel="0" collapsed="false">
      <c r="A6218" s="163" t="s">
        <v>3050</v>
      </c>
      <c r="B6218" s="163" t="s">
        <v>894</v>
      </c>
      <c r="C6218" s="163" t="s">
        <v>925</v>
      </c>
      <c r="D6218" s="163" t="s">
        <v>1931</v>
      </c>
      <c r="E6218" s="164" t="n">
        <v>1000</v>
      </c>
      <c r="F6218" s="165" t="s">
        <v>10248</v>
      </c>
    </row>
    <row r="6219" customFormat="false" ht="15" hidden="false" customHeight="true" outlineLevel="0" collapsed="false">
      <c r="A6219" s="163" t="s">
        <v>3050</v>
      </c>
      <c r="B6219" s="163" t="s">
        <v>894</v>
      </c>
      <c r="C6219" s="163" t="s">
        <v>925</v>
      </c>
      <c r="D6219" s="163" t="s">
        <v>1931</v>
      </c>
      <c r="E6219" s="164" t="n">
        <v>1000</v>
      </c>
      <c r="F6219" s="165" t="s">
        <v>10249</v>
      </c>
    </row>
    <row r="6220" customFormat="false" ht="15" hidden="false" customHeight="true" outlineLevel="0" collapsed="false">
      <c r="A6220" s="163" t="s">
        <v>3050</v>
      </c>
      <c r="B6220" s="163" t="s">
        <v>894</v>
      </c>
      <c r="C6220" s="163" t="s">
        <v>925</v>
      </c>
      <c r="D6220" s="163" t="s">
        <v>1931</v>
      </c>
      <c r="E6220" s="164" t="n">
        <v>1000</v>
      </c>
      <c r="F6220" s="165" t="s">
        <v>10250</v>
      </c>
    </row>
    <row r="6221" customFormat="false" ht="15" hidden="false" customHeight="true" outlineLevel="0" collapsed="false">
      <c r="A6221" s="163" t="s">
        <v>3050</v>
      </c>
      <c r="B6221" s="163" t="s">
        <v>894</v>
      </c>
      <c r="C6221" s="163" t="s">
        <v>925</v>
      </c>
      <c r="D6221" s="163" t="s">
        <v>1931</v>
      </c>
      <c r="E6221" s="164" t="n">
        <v>1000</v>
      </c>
      <c r="F6221" s="165" t="s">
        <v>10251</v>
      </c>
    </row>
    <row r="6222" customFormat="false" ht="15" hidden="false" customHeight="true" outlineLevel="0" collapsed="false">
      <c r="A6222" s="163" t="s">
        <v>3050</v>
      </c>
      <c r="B6222" s="163" t="s">
        <v>928</v>
      </c>
      <c r="C6222" s="163" t="s">
        <v>2167</v>
      </c>
      <c r="D6222" s="163" t="s">
        <v>1931</v>
      </c>
      <c r="E6222" s="164" t="n">
        <v>50000</v>
      </c>
      <c r="F6222" s="165" t="s">
        <v>10194</v>
      </c>
    </row>
    <row r="6223" customFormat="false" ht="15" hidden="false" customHeight="true" outlineLevel="0" collapsed="false">
      <c r="A6223" s="163" t="s">
        <v>3050</v>
      </c>
      <c r="B6223" s="163" t="s">
        <v>928</v>
      </c>
      <c r="C6223" s="163" t="s">
        <v>9256</v>
      </c>
      <c r="D6223" s="163" t="s">
        <v>9257</v>
      </c>
      <c r="E6223" s="164" t="n">
        <v>20000</v>
      </c>
      <c r="F6223" s="165" t="s">
        <v>10198</v>
      </c>
    </row>
    <row r="6224" customFormat="false" ht="15" hidden="false" customHeight="true" outlineLevel="0" collapsed="false">
      <c r="A6224" s="163" t="s">
        <v>3050</v>
      </c>
      <c r="B6224" s="163" t="s">
        <v>928</v>
      </c>
      <c r="C6224" s="163" t="s">
        <v>3317</v>
      </c>
      <c r="D6224" s="163" t="s">
        <v>3318</v>
      </c>
      <c r="E6224" s="164" t="n">
        <v>15000</v>
      </c>
      <c r="F6224" s="165" t="s">
        <v>4741</v>
      </c>
    </row>
    <row r="6225" customFormat="false" ht="15" hidden="false" customHeight="true" outlineLevel="0" collapsed="false">
      <c r="A6225" s="163" t="s">
        <v>3050</v>
      </c>
      <c r="B6225" s="163" t="s">
        <v>928</v>
      </c>
      <c r="C6225" s="163" t="s">
        <v>9659</v>
      </c>
      <c r="D6225" s="163" t="s">
        <v>9660</v>
      </c>
      <c r="E6225" s="164" t="n">
        <v>10000</v>
      </c>
      <c r="F6225" s="165" t="s">
        <v>10252</v>
      </c>
    </row>
    <row r="6226" customFormat="false" ht="15" hidden="false" customHeight="true" outlineLevel="0" collapsed="false">
      <c r="A6226" s="163" t="s">
        <v>3050</v>
      </c>
      <c r="B6226" s="163" t="s">
        <v>928</v>
      </c>
      <c r="C6226" s="163" t="s">
        <v>5939</v>
      </c>
      <c r="D6226" s="163" t="s">
        <v>5940</v>
      </c>
      <c r="E6226" s="164" t="n">
        <v>10000</v>
      </c>
      <c r="F6226" s="165" t="s">
        <v>10253</v>
      </c>
    </row>
    <row r="6227" customFormat="false" ht="15" hidden="false" customHeight="true" outlineLevel="0" collapsed="false">
      <c r="A6227" s="163" t="s">
        <v>3050</v>
      </c>
      <c r="B6227" s="163" t="s">
        <v>928</v>
      </c>
      <c r="C6227" s="163" t="s">
        <v>3428</v>
      </c>
      <c r="D6227" s="163" t="s">
        <v>3429</v>
      </c>
      <c r="E6227" s="164" t="n">
        <v>10000</v>
      </c>
      <c r="F6227" s="165" t="s">
        <v>4741</v>
      </c>
    </row>
    <row r="6228" customFormat="false" ht="15" hidden="false" customHeight="true" outlineLevel="0" collapsed="false">
      <c r="A6228" s="163" t="s">
        <v>3050</v>
      </c>
      <c r="B6228" s="163" t="s">
        <v>928</v>
      </c>
      <c r="C6228" s="163" t="s">
        <v>3856</v>
      </c>
      <c r="D6228" s="163" t="s">
        <v>3857</v>
      </c>
      <c r="E6228" s="164" t="n">
        <v>10000</v>
      </c>
      <c r="F6228" s="165" t="s">
        <v>4741</v>
      </c>
    </row>
    <row r="6229" customFormat="false" ht="15" hidden="false" customHeight="true" outlineLevel="0" collapsed="false">
      <c r="A6229" s="163" t="s">
        <v>3050</v>
      </c>
      <c r="B6229" s="163" t="s">
        <v>928</v>
      </c>
      <c r="C6229" s="163" t="s">
        <v>5936</v>
      </c>
      <c r="D6229" s="163" t="s">
        <v>5937</v>
      </c>
      <c r="E6229" s="164" t="n">
        <v>10000</v>
      </c>
      <c r="F6229" s="165" t="s">
        <v>10254</v>
      </c>
    </row>
    <row r="6230" customFormat="false" ht="15" hidden="false" customHeight="true" outlineLevel="0" collapsed="false">
      <c r="A6230" s="163" t="s">
        <v>3050</v>
      </c>
      <c r="B6230" s="163" t="s">
        <v>928</v>
      </c>
      <c r="C6230" s="163" t="s">
        <v>6467</v>
      </c>
      <c r="D6230" s="163" t="s">
        <v>6468</v>
      </c>
      <c r="E6230" s="164" t="n">
        <v>5000</v>
      </c>
      <c r="F6230" s="165" t="s">
        <v>10194</v>
      </c>
    </row>
    <row r="6231" customFormat="false" ht="15" hidden="false" customHeight="true" outlineLevel="0" collapsed="false">
      <c r="A6231" s="163" t="s">
        <v>3050</v>
      </c>
      <c r="B6231" s="163" t="s">
        <v>928</v>
      </c>
      <c r="C6231" s="163" t="s">
        <v>3202</v>
      </c>
      <c r="D6231" s="163" t="s">
        <v>3203</v>
      </c>
      <c r="E6231" s="164" t="n">
        <v>5000</v>
      </c>
      <c r="F6231" s="165" t="s">
        <v>10255</v>
      </c>
    </row>
    <row r="6232" customFormat="false" ht="15" hidden="false" customHeight="true" outlineLevel="0" collapsed="false">
      <c r="A6232" s="163" t="s">
        <v>3050</v>
      </c>
      <c r="B6232" s="163" t="s">
        <v>928</v>
      </c>
      <c r="C6232" s="163" t="s">
        <v>5815</v>
      </c>
      <c r="D6232" s="163" t="s">
        <v>5816</v>
      </c>
      <c r="E6232" s="164" t="n">
        <v>5000</v>
      </c>
      <c r="F6232" s="165" t="s">
        <v>10256</v>
      </c>
    </row>
    <row r="6233" customFormat="false" ht="15" hidden="false" customHeight="true" outlineLevel="0" collapsed="false">
      <c r="A6233" s="163" t="s">
        <v>3012</v>
      </c>
      <c r="B6233" s="163" t="s">
        <v>926</v>
      </c>
      <c r="C6233" s="163" t="s">
        <v>2759</v>
      </c>
      <c r="D6233" s="163" t="s">
        <v>2760</v>
      </c>
      <c r="E6233" s="164" t="n">
        <v>62000</v>
      </c>
      <c r="F6233" s="165" t="s">
        <v>3060</v>
      </c>
    </row>
    <row r="6234" customFormat="false" ht="15" hidden="false" customHeight="true" outlineLevel="0" collapsed="false">
      <c r="A6234" s="163" t="s">
        <v>3012</v>
      </c>
      <c r="B6234" s="163" t="s">
        <v>926</v>
      </c>
      <c r="C6234" s="163" t="s">
        <v>6705</v>
      </c>
      <c r="D6234" s="163" t="s">
        <v>6706</v>
      </c>
      <c r="E6234" s="164" t="n">
        <v>15000</v>
      </c>
      <c r="F6234" s="165" t="s">
        <v>3060</v>
      </c>
    </row>
    <row r="6235" customFormat="false" ht="15" hidden="false" customHeight="true" outlineLevel="0" collapsed="false">
      <c r="A6235" s="163" t="s">
        <v>3012</v>
      </c>
      <c r="B6235" s="163" t="s">
        <v>926</v>
      </c>
      <c r="C6235" s="163" t="s">
        <v>10257</v>
      </c>
      <c r="D6235" s="163" t="s">
        <v>10258</v>
      </c>
      <c r="E6235" s="164" t="n">
        <v>13000</v>
      </c>
      <c r="F6235" s="165" t="s">
        <v>3060</v>
      </c>
    </row>
    <row r="6236" customFormat="false" ht="15" hidden="false" customHeight="true" outlineLevel="0" collapsed="false">
      <c r="A6236" s="163" t="s">
        <v>3012</v>
      </c>
      <c r="B6236" s="163" t="s">
        <v>926</v>
      </c>
      <c r="C6236" s="163" t="s">
        <v>3334</v>
      </c>
      <c r="D6236" s="163" t="s">
        <v>3335</v>
      </c>
      <c r="E6236" s="164" t="n">
        <v>10000</v>
      </c>
      <c r="F6236" s="165" t="s">
        <v>3060</v>
      </c>
    </row>
    <row r="6237" customFormat="false" ht="15" hidden="false" customHeight="true" outlineLevel="0" collapsed="false">
      <c r="A6237" s="163" t="s">
        <v>3012</v>
      </c>
      <c r="B6237" s="163" t="s">
        <v>957</v>
      </c>
      <c r="C6237" s="163" t="s">
        <v>9431</v>
      </c>
      <c r="D6237" s="163" t="s">
        <v>9432</v>
      </c>
      <c r="E6237" s="164" t="n">
        <v>50000</v>
      </c>
      <c r="F6237" s="165" t="s">
        <v>3060</v>
      </c>
    </row>
    <row r="6238" customFormat="false" ht="15" hidden="false" customHeight="true" outlineLevel="0" collapsed="false">
      <c r="A6238" s="163" t="s">
        <v>3012</v>
      </c>
      <c r="B6238" s="163" t="s">
        <v>957</v>
      </c>
      <c r="C6238" s="163" t="s">
        <v>3967</v>
      </c>
      <c r="D6238" s="163" t="s">
        <v>3968</v>
      </c>
      <c r="E6238" s="164" t="n">
        <v>20000</v>
      </c>
      <c r="F6238" s="165" t="s">
        <v>10259</v>
      </c>
    </row>
    <row r="6239" customFormat="false" ht="15" hidden="false" customHeight="true" outlineLevel="0" collapsed="false">
      <c r="A6239" s="163" t="s">
        <v>3012</v>
      </c>
      <c r="B6239" s="163" t="s">
        <v>957</v>
      </c>
      <c r="C6239" s="163" t="s">
        <v>6627</v>
      </c>
      <c r="D6239" s="163" t="s">
        <v>6628</v>
      </c>
      <c r="E6239" s="164" t="n">
        <v>20000</v>
      </c>
      <c r="F6239" s="165" t="s">
        <v>10260</v>
      </c>
    </row>
    <row r="6240" customFormat="false" ht="15" hidden="false" customHeight="true" outlineLevel="0" collapsed="false">
      <c r="A6240" s="163" t="s">
        <v>3012</v>
      </c>
      <c r="B6240" s="163" t="s">
        <v>957</v>
      </c>
      <c r="C6240" s="163" t="s">
        <v>10261</v>
      </c>
      <c r="D6240" s="163" t="s">
        <v>10262</v>
      </c>
      <c r="E6240" s="164" t="n">
        <v>20000</v>
      </c>
      <c r="F6240" s="165" t="s">
        <v>10263</v>
      </c>
    </row>
    <row r="6241" customFormat="false" ht="15" hidden="false" customHeight="true" outlineLevel="0" collapsed="false">
      <c r="A6241" s="163" t="s">
        <v>3012</v>
      </c>
      <c r="B6241" s="163" t="s">
        <v>945</v>
      </c>
      <c r="C6241" s="163" t="s">
        <v>4986</v>
      </c>
      <c r="D6241" s="163" t="s">
        <v>4987</v>
      </c>
      <c r="E6241" s="164" t="n">
        <v>20000</v>
      </c>
      <c r="F6241" s="165" t="s">
        <v>10260</v>
      </c>
    </row>
    <row r="6242" customFormat="false" ht="15" hidden="false" customHeight="true" outlineLevel="0" collapsed="false">
      <c r="A6242" s="163" t="s">
        <v>3012</v>
      </c>
      <c r="B6242" s="163" t="s">
        <v>945</v>
      </c>
      <c r="C6242" s="163" t="s">
        <v>4173</v>
      </c>
      <c r="D6242" s="163" t="s">
        <v>4174</v>
      </c>
      <c r="E6242" s="164" t="n">
        <v>10000</v>
      </c>
      <c r="F6242" s="165" t="s">
        <v>10264</v>
      </c>
    </row>
    <row r="6243" customFormat="false" ht="15" hidden="false" customHeight="true" outlineLevel="0" collapsed="false">
      <c r="A6243" s="163" t="s">
        <v>3012</v>
      </c>
      <c r="B6243" s="163" t="s">
        <v>945</v>
      </c>
      <c r="C6243" s="163" t="s">
        <v>5327</v>
      </c>
      <c r="D6243" s="163" t="s">
        <v>5328</v>
      </c>
      <c r="E6243" s="164" t="n">
        <v>5000</v>
      </c>
      <c r="F6243" s="165" t="s">
        <v>10260</v>
      </c>
    </row>
    <row r="6244" customFormat="false" ht="15" hidden="false" customHeight="true" outlineLevel="0" collapsed="false">
      <c r="A6244" s="163" t="s">
        <v>3012</v>
      </c>
      <c r="B6244" s="163" t="s">
        <v>945</v>
      </c>
      <c r="C6244" s="163" t="s">
        <v>4530</v>
      </c>
      <c r="D6244" s="163" t="s">
        <v>4531</v>
      </c>
      <c r="E6244" s="164" t="n">
        <v>5000</v>
      </c>
      <c r="F6244" s="165" t="s">
        <v>3060</v>
      </c>
    </row>
    <row r="6245" customFormat="false" ht="15" hidden="false" customHeight="true" outlineLevel="0" collapsed="false">
      <c r="A6245" s="163" t="s">
        <v>3012</v>
      </c>
      <c r="B6245" s="163" t="s">
        <v>945</v>
      </c>
      <c r="C6245" s="163" t="s">
        <v>10265</v>
      </c>
      <c r="D6245" s="163" t="s">
        <v>10266</v>
      </c>
      <c r="E6245" s="164" t="n">
        <v>5000</v>
      </c>
      <c r="F6245" s="165" t="s">
        <v>10267</v>
      </c>
    </row>
    <row r="6246" customFormat="false" ht="15" hidden="false" customHeight="true" outlineLevel="0" collapsed="false">
      <c r="A6246" s="163" t="s">
        <v>3012</v>
      </c>
      <c r="B6246" s="163" t="s">
        <v>945</v>
      </c>
      <c r="C6246" s="163" t="s">
        <v>5028</v>
      </c>
      <c r="D6246" s="163" t="s">
        <v>1931</v>
      </c>
      <c r="E6246" s="164" t="n">
        <v>5000</v>
      </c>
      <c r="F6246" s="165" t="s">
        <v>10268</v>
      </c>
    </row>
    <row r="6247" customFormat="false" ht="15" hidden="false" customHeight="true" outlineLevel="0" collapsed="false">
      <c r="A6247" s="163" t="s">
        <v>3012</v>
      </c>
      <c r="B6247" s="163" t="s">
        <v>3111</v>
      </c>
      <c r="C6247" s="163" t="s">
        <v>7864</v>
      </c>
      <c r="D6247" s="163" t="s">
        <v>7865</v>
      </c>
      <c r="E6247" s="164" t="n">
        <v>20000</v>
      </c>
      <c r="F6247" s="165" t="s">
        <v>10260</v>
      </c>
    </row>
    <row r="6248" customFormat="false" ht="15" hidden="false" customHeight="true" outlineLevel="0" collapsed="false">
      <c r="A6248" s="163" t="s">
        <v>3012</v>
      </c>
      <c r="B6248" s="163" t="s">
        <v>3111</v>
      </c>
      <c r="C6248" s="163" t="s">
        <v>1017</v>
      </c>
      <c r="D6248" s="163" t="s">
        <v>2698</v>
      </c>
      <c r="E6248" s="164" t="n">
        <v>20000</v>
      </c>
      <c r="F6248" s="165" t="s">
        <v>10260</v>
      </c>
    </row>
    <row r="6249" customFormat="false" ht="15" hidden="false" customHeight="true" outlineLevel="0" collapsed="false">
      <c r="A6249" s="163" t="s">
        <v>3012</v>
      </c>
      <c r="B6249" s="163" t="s">
        <v>3111</v>
      </c>
      <c r="C6249" s="163" t="s">
        <v>4946</v>
      </c>
      <c r="D6249" s="163" t="s">
        <v>4947</v>
      </c>
      <c r="E6249" s="164" t="n">
        <v>20000</v>
      </c>
      <c r="F6249" s="165" t="s">
        <v>10269</v>
      </c>
    </row>
    <row r="6250" customFormat="false" ht="15" hidden="false" customHeight="true" outlineLevel="0" collapsed="false">
      <c r="A6250" s="163" t="s">
        <v>3012</v>
      </c>
      <c r="B6250" s="163" t="s">
        <v>3111</v>
      </c>
      <c r="C6250" s="163" t="s">
        <v>8311</v>
      </c>
      <c r="D6250" s="163" t="s">
        <v>8312</v>
      </c>
      <c r="E6250" s="164" t="n">
        <v>10000</v>
      </c>
      <c r="F6250" s="165" t="s">
        <v>10270</v>
      </c>
    </row>
    <row r="6251" customFormat="false" ht="15" hidden="false" customHeight="true" outlineLevel="0" collapsed="false">
      <c r="A6251" s="163" t="s">
        <v>3012</v>
      </c>
      <c r="B6251" s="163" t="s">
        <v>3111</v>
      </c>
      <c r="C6251" s="163" t="s">
        <v>4966</v>
      </c>
      <c r="D6251" s="163" t="s">
        <v>4967</v>
      </c>
      <c r="E6251" s="164" t="n">
        <v>10000</v>
      </c>
      <c r="F6251" s="165" t="s">
        <v>3060</v>
      </c>
    </row>
    <row r="6252" customFormat="false" ht="15" hidden="false" customHeight="true" outlineLevel="0" collapsed="false">
      <c r="A6252" s="163" t="s">
        <v>3012</v>
      </c>
      <c r="B6252" s="163" t="s">
        <v>3111</v>
      </c>
      <c r="C6252" s="163" t="s">
        <v>3560</v>
      </c>
      <c r="D6252" s="163" t="s">
        <v>3561</v>
      </c>
      <c r="E6252" s="164" t="n">
        <v>10000</v>
      </c>
      <c r="F6252" s="165" t="s">
        <v>10271</v>
      </c>
    </row>
    <row r="6253" customFormat="false" ht="15" hidden="false" customHeight="true" outlineLevel="0" collapsed="false">
      <c r="A6253" s="163" t="s">
        <v>3012</v>
      </c>
      <c r="B6253" s="163" t="s">
        <v>3111</v>
      </c>
      <c r="C6253" s="163" t="s">
        <v>2879</v>
      </c>
      <c r="D6253" s="163" t="s">
        <v>1931</v>
      </c>
      <c r="E6253" s="164" t="n">
        <v>5000</v>
      </c>
      <c r="F6253" s="165" t="s">
        <v>10272</v>
      </c>
    </row>
    <row r="6254" customFormat="false" ht="15" hidden="false" customHeight="true" outlineLevel="0" collapsed="false">
      <c r="A6254" s="163" t="s">
        <v>3012</v>
      </c>
      <c r="B6254" s="163" t="s">
        <v>3111</v>
      </c>
      <c r="C6254" s="163" t="s">
        <v>2879</v>
      </c>
      <c r="D6254" s="163" t="s">
        <v>1931</v>
      </c>
      <c r="E6254" s="164" t="n">
        <v>5000</v>
      </c>
      <c r="F6254" s="165" t="s">
        <v>10273</v>
      </c>
    </row>
    <row r="6255" customFormat="false" ht="15" hidden="false" customHeight="true" outlineLevel="0" collapsed="false">
      <c r="A6255" s="163" t="s">
        <v>3012</v>
      </c>
      <c r="B6255" s="163" t="s">
        <v>1938</v>
      </c>
      <c r="C6255" s="163" t="s">
        <v>4303</v>
      </c>
      <c r="D6255" s="163" t="s">
        <v>4304</v>
      </c>
      <c r="E6255" s="164" t="n">
        <v>80000</v>
      </c>
      <c r="F6255" s="165" t="s">
        <v>3060</v>
      </c>
    </row>
    <row r="6256" customFormat="false" ht="15" hidden="false" customHeight="true" outlineLevel="0" collapsed="false">
      <c r="A6256" s="163" t="s">
        <v>3012</v>
      </c>
      <c r="B6256" s="163" t="s">
        <v>1938</v>
      </c>
      <c r="C6256" s="163" t="s">
        <v>10274</v>
      </c>
      <c r="D6256" s="163" t="s">
        <v>10275</v>
      </c>
      <c r="E6256" s="164" t="n">
        <v>60000</v>
      </c>
      <c r="F6256" s="165" t="s">
        <v>3060</v>
      </c>
    </row>
    <row r="6257" customFormat="false" ht="15" hidden="false" customHeight="true" outlineLevel="0" collapsed="false">
      <c r="A6257" s="163" t="s">
        <v>3012</v>
      </c>
      <c r="B6257" s="163" t="s">
        <v>1938</v>
      </c>
      <c r="C6257" s="163" t="s">
        <v>3137</v>
      </c>
      <c r="D6257" s="163" t="s">
        <v>3138</v>
      </c>
      <c r="E6257" s="164" t="n">
        <v>20000</v>
      </c>
      <c r="F6257" s="165" t="s">
        <v>3060</v>
      </c>
    </row>
    <row r="6258" customFormat="false" ht="15" hidden="false" customHeight="true" outlineLevel="0" collapsed="false">
      <c r="A6258" s="163" t="s">
        <v>3012</v>
      </c>
      <c r="B6258" s="163" t="s">
        <v>1938</v>
      </c>
      <c r="C6258" s="163" t="s">
        <v>3139</v>
      </c>
      <c r="D6258" s="163" t="s">
        <v>3140</v>
      </c>
      <c r="E6258" s="164" t="n">
        <v>20000</v>
      </c>
      <c r="F6258" s="165" t="s">
        <v>3060</v>
      </c>
    </row>
    <row r="6259" customFormat="false" ht="15" hidden="false" customHeight="true" outlineLevel="0" collapsed="false">
      <c r="A6259" s="163" t="s">
        <v>3012</v>
      </c>
      <c r="B6259" s="163" t="s">
        <v>1938</v>
      </c>
      <c r="C6259" s="163" t="s">
        <v>260</v>
      </c>
      <c r="D6259" s="163" t="s">
        <v>2097</v>
      </c>
      <c r="E6259" s="164" t="n">
        <v>20000</v>
      </c>
      <c r="F6259" s="165" t="s">
        <v>3060</v>
      </c>
    </row>
    <row r="6260" customFormat="false" ht="15" hidden="false" customHeight="true" outlineLevel="0" collapsed="false">
      <c r="A6260" s="163" t="s">
        <v>3012</v>
      </c>
      <c r="B6260" s="163" t="s">
        <v>1938</v>
      </c>
      <c r="C6260" s="163" t="s">
        <v>3595</v>
      </c>
      <c r="D6260" s="163" t="s">
        <v>3596</v>
      </c>
      <c r="E6260" s="164" t="n">
        <v>20000</v>
      </c>
      <c r="F6260" s="165" t="s">
        <v>3060</v>
      </c>
    </row>
    <row r="6261" customFormat="false" ht="15" hidden="false" customHeight="true" outlineLevel="0" collapsed="false">
      <c r="A6261" s="163" t="s">
        <v>3012</v>
      </c>
      <c r="B6261" s="163" t="s">
        <v>1938</v>
      </c>
      <c r="C6261" s="163" t="s">
        <v>5865</v>
      </c>
      <c r="D6261" s="163" t="s">
        <v>5866</v>
      </c>
      <c r="E6261" s="164" t="n">
        <v>20000</v>
      </c>
      <c r="F6261" s="165" t="s">
        <v>3060</v>
      </c>
    </row>
    <row r="6262" customFormat="false" ht="15" hidden="false" customHeight="true" outlineLevel="0" collapsed="false">
      <c r="A6262" s="163" t="s">
        <v>3012</v>
      </c>
      <c r="B6262" s="163" t="s">
        <v>1938</v>
      </c>
      <c r="C6262" s="163" t="s">
        <v>10276</v>
      </c>
      <c r="D6262" s="163" t="s">
        <v>10277</v>
      </c>
      <c r="E6262" s="164" t="n">
        <v>20000</v>
      </c>
      <c r="F6262" s="165" t="s">
        <v>3060</v>
      </c>
    </row>
    <row r="6263" customFormat="false" ht="15" hidden="false" customHeight="true" outlineLevel="0" collapsed="false">
      <c r="A6263" s="163" t="s">
        <v>3012</v>
      </c>
      <c r="B6263" s="163" t="s">
        <v>1938</v>
      </c>
      <c r="C6263" s="163" t="s">
        <v>10276</v>
      </c>
      <c r="D6263" s="163" t="s">
        <v>10277</v>
      </c>
      <c r="E6263" s="164" t="n">
        <v>20000</v>
      </c>
      <c r="F6263" s="165" t="s">
        <v>3060</v>
      </c>
    </row>
    <row r="6264" customFormat="false" ht="15" hidden="false" customHeight="true" outlineLevel="0" collapsed="false">
      <c r="A6264" s="163" t="s">
        <v>3012</v>
      </c>
      <c r="B6264" s="163" t="s">
        <v>1938</v>
      </c>
      <c r="C6264" s="163" t="s">
        <v>7942</v>
      </c>
      <c r="D6264" s="163" t="s">
        <v>7943</v>
      </c>
      <c r="E6264" s="164" t="n">
        <v>20000</v>
      </c>
      <c r="F6264" s="165" t="s">
        <v>3060</v>
      </c>
    </row>
    <row r="6265" customFormat="false" ht="15" hidden="false" customHeight="true" outlineLevel="0" collapsed="false">
      <c r="A6265" s="163" t="s">
        <v>3012</v>
      </c>
      <c r="B6265" s="163" t="s">
        <v>1938</v>
      </c>
      <c r="C6265" s="163" t="s">
        <v>3392</v>
      </c>
      <c r="D6265" s="163" t="s">
        <v>3393</v>
      </c>
      <c r="E6265" s="164" t="n">
        <v>20000</v>
      </c>
      <c r="F6265" s="165" t="s">
        <v>3060</v>
      </c>
    </row>
    <row r="6266" customFormat="false" ht="15" hidden="false" customHeight="true" outlineLevel="0" collapsed="false">
      <c r="A6266" s="163" t="s">
        <v>3012</v>
      </c>
      <c r="B6266" s="163" t="s">
        <v>1938</v>
      </c>
      <c r="C6266" s="163" t="s">
        <v>3552</v>
      </c>
      <c r="D6266" s="163" t="s">
        <v>3553</v>
      </c>
      <c r="E6266" s="164" t="n">
        <v>20000</v>
      </c>
      <c r="F6266" s="165" t="s">
        <v>3060</v>
      </c>
    </row>
    <row r="6267" customFormat="false" ht="15" hidden="false" customHeight="true" outlineLevel="0" collapsed="false">
      <c r="A6267" s="163" t="s">
        <v>3012</v>
      </c>
      <c r="B6267" s="163" t="s">
        <v>691</v>
      </c>
      <c r="C6267" s="163" t="s">
        <v>10274</v>
      </c>
      <c r="D6267" s="163" t="s">
        <v>10275</v>
      </c>
      <c r="E6267" s="164" t="n">
        <v>65000</v>
      </c>
      <c r="F6267" s="165" t="s">
        <v>3060</v>
      </c>
    </row>
    <row r="6268" customFormat="false" ht="15" hidden="false" customHeight="true" outlineLevel="0" collapsed="false">
      <c r="A6268" s="163" t="s">
        <v>3012</v>
      </c>
      <c r="B6268" s="163" t="s">
        <v>691</v>
      </c>
      <c r="C6268" s="163" t="s">
        <v>3183</v>
      </c>
      <c r="D6268" s="163" t="s">
        <v>3184</v>
      </c>
      <c r="E6268" s="164" t="n">
        <v>50000</v>
      </c>
      <c r="F6268" s="165" t="s">
        <v>3060</v>
      </c>
    </row>
    <row r="6269" customFormat="false" ht="15" hidden="false" customHeight="true" outlineLevel="0" collapsed="false">
      <c r="A6269" s="163" t="s">
        <v>3012</v>
      </c>
      <c r="B6269" s="163" t="s">
        <v>691</v>
      </c>
      <c r="C6269" s="163" t="s">
        <v>7942</v>
      </c>
      <c r="D6269" s="163" t="s">
        <v>7943</v>
      </c>
      <c r="E6269" s="164" t="n">
        <v>20000</v>
      </c>
      <c r="F6269" s="165" t="s">
        <v>3060</v>
      </c>
    </row>
    <row r="6270" customFormat="false" ht="15" hidden="false" customHeight="true" outlineLevel="0" collapsed="false">
      <c r="A6270" s="163" t="s">
        <v>3012</v>
      </c>
      <c r="B6270" s="163" t="s">
        <v>691</v>
      </c>
      <c r="C6270" s="163" t="s">
        <v>4303</v>
      </c>
      <c r="D6270" s="163" t="s">
        <v>4304</v>
      </c>
      <c r="E6270" s="164" t="n">
        <v>10000</v>
      </c>
      <c r="F6270" s="165" t="s">
        <v>3060</v>
      </c>
    </row>
    <row r="6271" customFormat="false" ht="15" hidden="false" customHeight="true" outlineLevel="0" collapsed="false">
      <c r="A6271" s="163" t="s">
        <v>3012</v>
      </c>
      <c r="B6271" s="163" t="s">
        <v>2027</v>
      </c>
      <c r="C6271" s="163" t="s">
        <v>360</v>
      </c>
      <c r="D6271" s="163" t="s">
        <v>2685</v>
      </c>
      <c r="E6271" s="164" t="n">
        <v>25000</v>
      </c>
      <c r="F6271" s="165" t="s">
        <v>3060</v>
      </c>
    </row>
    <row r="6272" customFormat="false" ht="15" hidden="false" customHeight="true" outlineLevel="0" collapsed="false">
      <c r="A6272" s="163" t="s">
        <v>3012</v>
      </c>
      <c r="B6272" s="163" t="s">
        <v>2027</v>
      </c>
      <c r="C6272" s="163" t="s">
        <v>364</v>
      </c>
      <c r="D6272" s="163" t="s">
        <v>2687</v>
      </c>
      <c r="E6272" s="164" t="n">
        <v>25000</v>
      </c>
      <c r="F6272" s="165" t="s">
        <v>3060</v>
      </c>
    </row>
    <row r="6273" customFormat="false" ht="15" hidden="false" customHeight="true" outlineLevel="0" collapsed="false">
      <c r="A6273" s="163" t="s">
        <v>3012</v>
      </c>
      <c r="B6273" s="163" t="s">
        <v>2027</v>
      </c>
      <c r="C6273" s="163" t="s">
        <v>4427</v>
      </c>
      <c r="D6273" s="163" t="s">
        <v>4428</v>
      </c>
      <c r="E6273" s="164" t="n">
        <v>25000</v>
      </c>
      <c r="F6273" s="165" t="s">
        <v>3060</v>
      </c>
    </row>
    <row r="6274" customFormat="false" ht="15" hidden="false" customHeight="true" outlineLevel="0" collapsed="false">
      <c r="A6274" s="163" t="s">
        <v>3012</v>
      </c>
      <c r="B6274" s="163" t="s">
        <v>2027</v>
      </c>
      <c r="C6274" s="163" t="s">
        <v>3163</v>
      </c>
      <c r="D6274" s="163" t="s">
        <v>3164</v>
      </c>
      <c r="E6274" s="164" t="n">
        <v>15000</v>
      </c>
      <c r="F6274" s="165" t="s">
        <v>3060</v>
      </c>
    </row>
    <row r="6275" customFormat="false" ht="15" hidden="false" customHeight="true" outlineLevel="0" collapsed="false">
      <c r="A6275" s="163" t="s">
        <v>3012</v>
      </c>
      <c r="B6275" s="163" t="s">
        <v>2037</v>
      </c>
      <c r="C6275" s="163" t="s">
        <v>372</v>
      </c>
      <c r="D6275" s="163" t="s">
        <v>2692</v>
      </c>
      <c r="E6275" s="164" t="n">
        <v>85000</v>
      </c>
      <c r="F6275" s="165" t="s">
        <v>3060</v>
      </c>
    </row>
    <row r="6276" customFormat="false" ht="15" hidden="false" customHeight="true" outlineLevel="0" collapsed="false">
      <c r="A6276" s="163" t="s">
        <v>3012</v>
      </c>
      <c r="B6276" s="163" t="s">
        <v>2037</v>
      </c>
      <c r="C6276" s="163" t="s">
        <v>3771</v>
      </c>
      <c r="D6276" s="163" t="s">
        <v>3772</v>
      </c>
      <c r="E6276" s="164" t="n">
        <v>40000</v>
      </c>
      <c r="F6276" s="165" t="s">
        <v>3060</v>
      </c>
    </row>
    <row r="6277" customFormat="false" ht="15" hidden="false" customHeight="true" outlineLevel="0" collapsed="false">
      <c r="A6277" s="163" t="s">
        <v>3012</v>
      </c>
      <c r="B6277" s="163" t="s">
        <v>2037</v>
      </c>
      <c r="C6277" s="163" t="s">
        <v>2695</v>
      </c>
      <c r="D6277" s="163" t="s">
        <v>2696</v>
      </c>
      <c r="E6277" s="164" t="n">
        <v>35000</v>
      </c>
      <c r="F6277" s="165" t="s">
        <v>3060</v>
      </c>
    </row>
    <row r="6278" customFormat="false" ht="15" hidden="false" customHeight="true" outlineLevel="0" collapsed="false">
      <c r="A6278" s="163" t="s">
        <v>3012</v>
      </c>
      <c r="B6278" s="163" t="s">
        <v>2037</v>
      </c>
      <c r="C6278" s="163" t="s">
        <v>4910</v>
      </c>
      <c r="D6278" s="163" t="s">
        <v>4911</v>
      </c>
      <c r="E6278" s="164" t="n">
        <v>35000</v>
      </c>
      <c r="F6278" s="165" t="s">
        <v>3060</v>
      </c>
    </row>
    <row r="6279" customFormat="false" ht="15" hidden="false" customHeight="true" outlineLevel="0" collapsed="false">
      <c r="A6279" s="163" t="s">
        <v>3012</v>
      </c>
      <c r="B6279" s="163" t="s">
        <v>894</v>
      </c>
      <c r="C6279" s="163" t="s">
        <v>2759</v>
      </c>
      <c r="D6279" s="163" t="s">
        <v>2760</v>
      </c>
      <c r="E6279" s="164" t="n">
        <v>85000</v>
      </c>
      <c r="F6279" s="165" t="s">
        <v>10278</v>
      </c>
    </row>
    <row r="6280" customFormat="false" ht="15" hidden="false" customHeight="true" outlineLevel="0" collapsed="false">
      <c r="A6280" s="163" t="s">
        <v>3012</v>
      </c>
      <c r="B6280" s="163" t="s">
        <v>894</v>
      </c>
      <c r="C6280" s="163" t="s">
        <v>10274</v>
      </c>
      <c r="D6280" s="163" t="s">
        <v>10275</v>
      </c>
      <c r="E6280" s="164" t="n">
        <v>40000</v>
      </c>
      <c r="F6280" s="165" t="s">
        <v>10279</v>
      </c>
    </row>
    <row r="6281" customFormat="false" ht="15" hidden="false" customHeight="true" outlineLevel="0" collapsed="false">
      <c r="A6281" s="163" t="s">
        <v>3012</v>
      </c>
      <c r="B6281" s="163" t="s">
        <v>894</v>
      </c>
      <c r="C6281" s="163" t="s">
        <v>4929</v>
      </c>
      <c r="D6281" s="163" t="s">
        <v>4930</v>
      </c>
      <c r="E6281" s="164" t="n">
        <v>25000</v>
      </c>
      <c r="F6281" s="165" t="s">
        <v>10260</v>
      </c>
    </row>
    <row r="6282" customFormat="false" ht="15" hidden="false" customHeight="true" outlineLevel="0" collapsed="false">
      <c r="A6282" s="163" t="s">
        <v>3012</v>
      </c>
      <c r="B6282" s="163" t="s">
        <v>894</v>
      </c>
      <c r="C6282" s="163" t="s">
        <v>4904</v>
      </c>
      <c r="D6282" s="163" t="s">
        <v>4905</v>
      </c>
      <c r="E6282" s="164" t="n">
        <v>25000</v>
      </c>
      <c r="F6282" s="165" t="s">
        <v>10260</v>
      </c>
    </row>
    <row r="6283" customFormat="false" ht="15" hidden="false" customHeight="true" outlineLevel="0" collapsed="false">
      <c r="A6283" s="163" t="s">
        <v>3012</v>
      </c>
      <c r="B6283" s="163" t="s">
        <v>894</v>
      </c>
      <c r="C6283" s="163" t="s">
        <v>3706</v>
      </c>
      <c r="D6283" s="163" t="s">
        <v>3707</v>
      </c>
      <c r="E6283" s="164" t="n">
        <v>20000</v>
      </c>
      <c r="F6283" s="165" t="s">
        <v>10280</v>
      </c>
    </row>
    <row r="6284" customFormat="false" ht="15" hidden="false" customHeight="true" outlineLevel="0" collapsed="false">
      <c r="A6284" s="163" t="s">
        <v>3012</v>
      </c>
      <c r="B6284" s="163" t="s">
        <v>894</v>
      </c>
      <c r="C6284" s="163" t="s">
        <v>3635</v>
      </c>
      <c r="D6284" s="163" t="s">
        <v>3636</v>
      </c>
      <c r="E6284" s="164" t="n">
        <v>20000</v>
      </c>
      <c r="F6284" s="165" t="s">
        <v>10260</v>
      </c>
    </row>
    <row r="6285" customFormat="false" ht="15" hidden="false" customHeight="true" outlineLevel="0" collapsed="false">
      <c r="A6285" s="163" t="s">
        <v>3012</v>
      </c>
      <c r="B6285" s="163" t="s">
        <v>894</v>
      </c>
      <c r="C6285" s="163" t="s">
        <v>10281</v>
      </c>
      <c r="D6285" s="163" t="s">
        <v>10282</v>
      </c>
      <c r="E6285" s="164" t="n">
        <v>20000</v>
      </c>
      <c r="F6285" s="165" t="s">
        <v>3060</v>
      </c>
    </row>
    <row r="6286" customFormat="false" ht="15" hidden="false" customHeight="true" outlineLevel="0" collapsed="false">
      <c r="A6286" s="163" t="s">
        <v>3012</v>
      </c>
      <c r="B6286" s="163" t="s">
        <v>894</v>
      </c>
      <c r="C6286" s="163" t="s">
        <v>7519</v>
      </c>
      <c r="D6286" s="163" t="s">
        <v>7520</v>
      </c>
      <c r="E6286" s="164" t="n">
        <v>20000</v>
      </c>
      <c r="F6286" s="165" t="s">
        <v>10283</v>
      </c>
    </row>
    <row r="6287" customFormat="false" ht="15" hidden="false" customHeight="true" outlineLevel="0" collapsed="false">
      <c r="A6287" s="163" t="s">
        <v>3012</v>
      </c>
      <c r="B6287" s="163" t="s">
        <v>894</v>
      </c>
      <c r="C6287" s="163" t="s">
        <v>372</v>
      </c>
      <c r="D6287" s="163" t="s">
        <v>2692</v>
      </c>
      <c r="E6287" s="164" t="n">
        <v>20000</v>
      </c>
      <c r="F6287" s="165" t="s">
        <v>10284</v>
      </c>
    </row>
    <row r="6288" customFormat="false" ht="15" hidden="false" customHeight="true" outlineLevel="0" collapsed="false">
      <c r="A6288" s="163" t="s">
        <v>3012</v>
      </c>
      <c r="B6288" s="163" t="s">
        <v>894</v>
      </c>
      <c r="C6288" s="163" t="s">
        <v>3771</v>
      </c>
      <c r="D6288" s="163" t="s">
        <v>3772</v>
      </c>
      <c r="E6288" s="164" t="n">
        <v>15000</v>
      </c>
      <c r="F6288" s="165" t="s">
        <v>10285</v>
      </c>
    </row>
    <row r="6289" customFormat="false" ht="15" hidden="false" customHeight="true" outlineLevel="0" collapsed="false">
      <c r="A6289" s="163" t="s">
        <v>3012</v>
      </c>
      <c r="B6289" s="163" t="s">
        <v>894</v>
      </c>
      <c r="C6289" s="163" t="s">
        <v>6612</v>
      </c>
      <c r="D6289" s="163" t="s">
        <v>6613</v>
      </c>
      <c r="E6289" s="164" t="n">
        <v>15000</v>
      </c>
      <c r="F6289" s="165" t="s">
        <v>10260</v>
      </c>
    </row>
    <row r="6290" customFormat="false" ht="15" hidden="false" customHeight="true" outlineLevel="0" collapsed="false">
      <c r="A6290" s="163" t="s">
        <v>3012</v>
      </c>
      <c r="B6290" s="163" t="s">
        <v>894</v>
      </c>
      <c r="C6290" s="163" t="s">
        <v>4914</v>
      </c>
      <c r="D6290" s="163" t="s">
        <v>4915</v>
      </c>
      <c r="E6290" s="164" t="n">
        <v>15000</v>
      </c>
      <c r="F6290" s="165" t="s">
        <v>10286</v>
      </c>
    </row>
    <row r="6291" customFormat="false" ht="15" hidden="false" customHeight="true" outlineLevel="0" collapsed="false">
      <c r="A6291" s="163" t="s">
        <v>3012</v>
      </c>
      <c r="B6291" s="163" t="s">
        <v>894</v>
      </c>
      <c r="C6291" s="163" t="s">
        <v>4995</v>
      </c>
      <c r="D6291" s="163" t="s">
        <v>4996</v>
      </c>
      <c r="E6291" s="164" t="n">
        <v>10000</v>
      </c>
      <c r="F6291" s="165" t="s">
        <v>10260</v>
      </c>
    </row>
    <row r="6292" customFormat="false" ht="15" hidden="false" customHeight="true" outlineLevel="0" collapsed="false">
      <c r="A6292" s="163" t="s">
        <v>3012</v>
      </c>
      <c r="B6292" s="163" t="s">
        <v>894</v>
      </c>
      <c r="C6292" s="163" t="s">
        <v>4874</v>
      </c>
      <c r="D6292" s="163" t="s">
        <v>4875</v>
      </c>
      <c r="E6292" s="164" t="n">
        <v>10000</v>
      </c>
      <c r="F6292" s="165" t="s">
        <v>10285</v>
      </c>
    </row>
    <row r="6293" customFormat="false" ht="15" hidden="false" customHeight="true" outlineLevel="0" collapsed="false">
      <c r="A6293" s="163" t="s">
        <v>3012</v>
      </c>
      <c r="B6293" s="163" t="s">
        <v>894</v>
      </c>
      <c r="C6293" s="163" t="s">
        <v>408</v>
      </c>
      <c r="D6293" s="163" t="s">
        <v>2082</v>
      </c>
      <c r="E6293" s="164" t="n">
        <v>10000</v>
      </c>
      <c r="F6293" s="165" t="s">
        <v>10287</v>
      </c>
    </row>
    <row r="6294" customFormat="false" ht="15" hidden="false" customHeight="true" outlineLevel="0" collapsed="false">
      <c r="A6294" s="163" t="s">
        <v>3012</v>
      </c>
      <c r="B6294" s="163" t="s">
        <v>894</v>
      </c>
      <c r="C6294" s="163" t="s">
        <v>3468</v>
      </c>
      <c r="D6294" s="163" t="s">
        <v>3469</v>
      </c>
      <c r="E6294" s="164" t="n">
        <v>10000</v>
      </c>
      <c r="F6294" s="165" t="s">
        <v>10260</v>
      </c>
    </row>
    <row r="6295" customFormat="false" ht="15" hidden="false" customHeight="true" outlineLevel="0" collapsed="false">
      <c r="A6295" s="163" t="s">
        <v>3012</v>
      </c>
      <c r="B6295" s="163" t="s">
        <v>894</v>
      </c>
      <c r="C6295" s="163" t="s">
        <v>10288</v>
      </c>
      <c r="D6295" s="163" t="s">
        <v>10289</v>
      </c>
      <c r="E6295" s="164" t="n">
        <v>10000</v>
      </c>
      <c r="F6295" s="165" t="s">
        <v>10260</v>
      </c>
    </row>
    <row r="6296" customFormat="false" ht="15" hidden="false" customHeight="true" outlineLevel="0" collapsed="false">
      <c r="A6296" s="163" t="s">
        <v>3012</v>
      </c>
      <c r="B6296" s="163" t="s">
        <v>894</v>
      </c>
      <c r="C6296" s="163" t="s">
        <v>10290</v>
      </c>
      <c r="D6296" s="163" t="s">
        <v>10291</v>
      </c>
      <c r="E6296" s="164" t="n">
        <v>10000</v>
      </c>
      <c r="F6296" s="165" t="s">
        <v>10284</v>
      </c>
    </row>
    <row r="6297" customFormat="false" ht="15" hidden="false" customHeight="true" outlineLevel="0" collapsed="false">
      <c r="A6297" s="163" t="s">
        <v>3012</v>
      </c>
      <c r="B6297" s="163" t="s">
        <v>894</v>
      </c>
      <c r="C6297" s="163" t="s">
        <v>6612</v>
      </c>
      <c r="D6297" s="163" t="s">
        <v>6613</v>
      </c>
      <c r="E6297" s="164" t="n">
        <v>10000</v>
      </c>
      <c r="F6297" s="165" t="s">
        <v>10292</v>
      </c>
    </row>
    <row r="6298" customFormat="false" ht="15" hidden="false" customHeight="true" outlineLevel="0" collapsed="false">
      <c r="A6298" s="163" t="s">
        <v>3012</v>
      </c>
      <c r="B6298" s="163" t="s">
        <v>894</v>
      </c>
      <c r="C6298" s="163" t="s">
        <v>7877</v>
      </c>
      <c r="D6298" s="163" t="s">
        <v>1931</v>
      </c>
      <c r="E6298" s="164" t="n">
        <v>5000</v>
      </c>
      <c r="F6298" s="165" t="s">
        <v>3060</v>
      </c>
    </row>
    <row r="6299" customFormat="false" ht="15" hidden="false" customHeight="true" outlineLevel="0" collapsed="false">
      <c r="A6299" s="163" t="s">
        <v>3012</v>
      </c>
      <c r="B6299" s="163" t="s">
        <v>894</v>
      </c>
      <c r="C6299" s="163" t="s">
        <v>7879</v>
      </c>
      <c r="D6299" s="163" t="s">
        <v>1931</v>
      </c>
      <c r="E6299" s="164" t="n">
        <v>5000</v>
      </c>
      <c r="F6299" s="165" t="s">
        <v>3060</v>
      </c>
    </row>
    <row r="6300" customFormat="false" ht="15" hidden="false" customHeight="true" outlineLevel="0" collapsed="false">
      <c r="A6300" s="163" t="s">
        <v>3012</v>
      </c>
      <c r="B6300" s="163" t="s">
        <v>882</v>
      </c>
      <c r="C6300" s="163" t="s">
        <v>640</v>
      </c>
      <c r="D6300" s="163" t="s">
        <v>1931</v>
      </c>
      <c r="E6300" s="164" t="n">
        <v>280000</v>
      </c>
      <c r="F6300" s="165" t="s">
        <v>3060</v>
      </c>
    </row>
    <row r="6301" customFormat="false" ht="15" hidden="false" customHeight="true" outlineLevel="0" collapsed="false">
      <c r="A6301" s="163" t="s">
        <v>3012</v>
      </c>
      <c r="B6301" s="163" t="s">
        <v>2328</v>
      </c>
      <c r="C6301" s="163" t="s">
        <v>4303</v>
      </c>
      <c r="D6301" s="163" t="s">
        <v>4304</v>
      </c>
      <c r="E6301" s="164" t="n">
        <v>30000</v>
      </c>
      <c r="F6301" s="165" t="s">
        <v>3060</v>
      </c>
    </row>
    <row r="6302" customFormat="false" ht="15" hidden="false" customHeight="true" outlineLevel="0" collapsed="false">
      <c r="A6302" s="163" t="s">
        <v>3012</v>
      </c>
      <c r="B6302" s="163" t="s">
        <v>2328</v>
      </c>
      <c r="C6302" s="163" t="s">
        <v>197</v>
      </c>
      <c r="D6302" s="163" t="s">
        <v>1931</v>
      </c>
      <c r="E6302" s="164" t="n">
        <v>20000</v>
      </c>
      <c r="F6302" s="165" t="s">
        <v>3060</v>
      </c>
    </row>
    <row r="6303" customFormat="false" ht="15" hidden="false" customHeight="true" outlineLevel="0" collapsed="false">
      <c r="A6303" s="163" t="s">
        <v>3012</v>
      </c>
      <c r="B6303" s="163" t="s">
        <v>2342</v>
      </c>
      <c r="C6303" s="163" t="s">
        <v>2759</v>
      </c>
      <c r="D6303" s="163" t="s">
        <v>2760</v>
      </c>
      <c r="E6303" s="164" t="n">
        <v>70000</v>
      </c>
      <c r="F6303" s="165" t="s">
        <v>3060</v>
      </c>
    </row>
    <row r="6304" customFormat="false" ht="15" hidden="false" customHeight="true" outlineLevel="0" collapsed="false">
      <c r="A6304" s="163" t="s">
        <v>3012</v>
      </c>
      <c r="B6304" s="163" t="s">
        <v>2342</v>
      </c>
      <c r="C6304" s="163" t="s">
        <v>197</v>
      </c>
      <c r="D6304" s="163" t="s">
        <v>1931</v>
      </c>
      <c r="E6304" s="164" t="n">
        <v>20000</v>
      </c>
      <c r="F6304" s="165" t="s">
        <v>3060</v>
      </c>
    </row>
    <row r="6305" customFormat="false" ht="15" hidden="false" customHeight="true" outlineLevel="0" collapsed="false">
      <c r="A6305" s="163" t="s">
        <v>3012</v>
      </c>
      <c r="B6305" s="163" t="s">
        <v>2766</v>
      </c>
      <c r="C6305" s="163" t="s">
        <v>4946</v>
      </c>
      <c r="D6305" s="163" t="s">
        <v>4947</v>
      </c>
      <c r="E6305" s="164" t="n">
        <v>30000</v>
      </c>
      <c r="F6305" s="165" t="s">
        <v>3060</v>
      </c>
    </row>
    <row r="6306" customFormat="false" ht="15" hidden="false" customHeight="true" outlineLevel="0" collapsed="false">
      <c r="A6306" s="163" t="s">
        <v>3012</v>
      </c>
      <c r="B6306" s="163" t="s">
        <v>2766</v>
      </c>
      <c r="C6306" s="163" t="s">
        <v>10276</v>
      </c>
      <c r="D6306" s="163" t="s">
        <v>10277</v>
      </c>
      <c r="E6306" s="164" t="n">
        <v>15000</v>
      </c>
      <c r="F6306" s="165" t="s">
        <v>3060</v>
      </c>
    </row>
    <row r="6307" customFormat="false" ht="15" hidden="false" customHeight="true" outlineLevel="0" collapsed="false">
      <c r="A6307" s="163" t="s">
        <v>3012</v>
      </c>
      <c r="B6307" s="163" t="s">
        <v>2766</v>
      </c>
      <c r="C6307" s="163" t="s">
        <v>10293</v>
      </c>
      <c r="D6307" s="163" t="s">
        <v>10294</v>
      </c>
      <c r="E6307" s="164" t="n">
        <v>15000</v>
      </c>
      <c r="F6307" s="165" t="s">
        <v>3060</v>
      </c>
    </row>
    <row r="6308" customFormat="false" ht="15" hidden="false" customHeight="true" outlineLevel="0" collapsed="false">
      <c r="A6308" s="163" t="s">
        <v>3012</v>
      </c>
      <c r="B6308" s="163" t="s">
        <v>2766</v>
      </c>
      <c r="C6308" s="163" t="s">
        <v>9431</v>
      </c>
      <c r="D6308" s="163" t="s">
        <v>9432</v>
      </c>
      <c r="E6308" s="164" t="n">
        <v>15000</v>
      </c>
      <c r="F6308" s="165" t="s">
        <v>3060</v>
      </c>
    </row>
    <row r="6309" customFormat="false" ht="15" hidden="false" customHeight="true" outlineLevel="0" collapsed="false">
      <c r="A6309" s="163" t="s">
        <v>3012</v>
      </c>
      <c r="B6309" s="163" t="s">
        <v>1743</v>
      </c>
      <c r="C6309" s="163" t="s">
        <v>3967</v>
      </c>
      <c r="D6309" s="163" t="s">
        <v>3968</v>
      </c>
      <c r="E6309" s="164" t="n">
        <v>50000</v>
      </c>
      <c r="F6309" s="165" t="s">
        <v>3060</v>
      </c>
    </row>
    <row r="6310" customFormat="false" ht="15" hidden="false" customHeight="true" outlineLevel="0" collapsed="false">
      <c r="A6310" s="163" t="s">
        <v>3012</v>
      </c>
      <c r="B6310" s="163" t="s">
        <v>1743</v>
      </c>
      <c r="C6310" s="163" t="s">
        <v>4995</v>
      </c>
      <c r="D6310" s="163" t="s">
        <v>4996</v>
      </c>
      <c r="E6310" s="164" t="n">
        <v>30000</v>
      </c>
      <c r="F6310" s="165" t="s">
        <v>3060</v>
      </c>
    </row>
    <row r="6311" customFormat="false" ht="15" hidden="false" customHeight="true" outlineLevel="0" collapsed="false">
      <c r="A6311" s="163" t="s">
        <v>3012</v>
      </c>
      <c r="B6311" s="163" t="s">
        <v>1743</v>
      </c>
      <c r="C6311" s="163" t="s">
        <v>4420</v>
      </c>
      <c r="D6311" s="163" t="s">
        <v>4421</v>
      </c>
      <c r="E6311" s="164" t="n">
        <v>30000</v>
      </c>
      <c r="F6311" s="165" t="s">
        <v>3060</v>
      </c>
    </row>
    <row r="6312" customFormat="false" ht="15" hidden="false" customHeight="true" outlineLevel="0" collapsed="false">
      <c r="A6312" s="163" t="s">
        <v>3012</v>
      </c>
      <c r="B6312" s="163" t="s">
        <v>1743</v>
      </c>
      <c r="C6312" s="163" t="s">
        <v>197</v>
      </c>
      <c r="D6312" s="163" t="s">
        <v>1931</v>
      </c>
      <c r="E6312" s="164" t="n">
        <v>25000</v>
      </c>
      <c r="F6312" s="165" t="s">
        <v>3060</v>
      </c>
    </row>
    <row r="6313" customFormat="false" ht="15" hidden="false" customHeight="true" outlineLevel="0" collapsed="false">
      <c r="A6313" s="163" t="s">
        <v>3012</v>
      </c>
      <c r="B6313" s="163" t="s">
        <v>1743</v>
      </c>
      <c r="C6313" s="163" t="s">
        <v>6612</v>
      </c>
      <c r="D6313" s="163" t="s">
        <v>6613</v>
      </c>
      <c r="E6313" s="164" t="n">
        <v>15000</v>
      </c>
      <c r="F6313" s="165" t="s">
        <v>3060</v>
      </c>
    </row>
    <row r="6314" customFormat="false" ht="15" hidden="false" customHeight="true" outlineLevel="0" collapsed="false">
      <c r="A6314" s="163" t="s">
        <v>3012</v>
      </c>
      <c r="B6314" s="163" t="s">
        <v>928</v>
      </c>
      <c r="C6314" s="163" t="s">
        <v>7866</v>
      </c>
      <c r="D6314" s="163" t="s">
        <v>7867</v>
      </c>
      <c r="E6314" s="164" t="n">
        <v>25000</v>
      </c>
      <c r="F6314" s="165" t="s">
        <v>10295</v>
      </c>
    </row>
    <row r="6315" customFormat="false" ht="15" hidden="false" customHeight="true" outlineLevel="0" collapsed="false">
      <c r="A6315" s="163" t="s">
        <v>3012</v>
      </c>
      <c r="B6315" s="163" t="s">
        <v>928</v>
      </c>
      <c r="C6315" s="163" t="s">
        <v>9431</v>
      </c>
      <c r="D6315" s="163" t="s">
        <v>9432</v>
      </c>
      <c r="E6315" s="164" t="n">
        <v>20000</v>
      </c>
      <c r="F6315" s="165" t="s">
        <v>3060</v>
      </c>
    </row>
    <row r="6316" customFormat="false" ht="15" hidden="false" customHeight="true" outlineLevel="0" collapsed="false">
      <c r="A6316" s="163" t="s">
        <v>3012</v>
      </c>
      <c r="B6316" s="163" t="s">
        <v>928</v>
      </c>
      <c r="C6316" s="163" t="s">
        <v>10296</v>
      </c>
      <c r="D6316" s="163" t="s">
        <v>10297</v>
      </c>
      <c r="E6316" s="164" t="n">
        <v>20000</v>
      </c>
      <c r="F6316" s="165" t="s">
        <v>10298</v>
      </c>
    </row>
    <row r="6317" customFormat="false" ht="15" hidden="false" customHeight="true" outlineLevel="0" collapsed="false">
      <c r="A6317" s="163" t="s">
        <v>3012</v>
      </c>
      <c r="B6317" s="163" t="s">
        <v>928</v>
      </c>
      <c r="C6317" s="163" t="s">
        <v>893</v>
      </c>
      <c r="D6317" s="163" t="s">
        <v>1931</v>
      </c>
      <c r="E6317" s="164" t="n">
        <v>20000</v>
      </c>
      <c r="F6317" s="165" t="s">
        <v>10299</v>
      </c>
    </row>
    <row r="6318" customFormat="false" ht="15" hidden="false" customHeight="true" outlineLevel="0" collapsed="false">
      <c r="A6318" s="163" t="s">
        <v>3012</v>
      </c>
      <c r="B6318" s="163" t="s">
        <v>928</v>
      </c>
      <c r="C6318" s="163" t="s">
        <v>10300</v>
      </c>
      <c r="D6318" s="163" t="s">
        <v>10301</v>
      </c>
      <c r="E6318" s="164" t="n">
        <v>15000</v>
      </c>
      <c r="F6318" s="165" t="s">
        <v>10302</v>
      </c>
    </row>
    <row r="6319" customFormat="false" ht="15" hidden="false" customHeight="true" outlineLevel="0" collapsed="false">
      <c r="A6319" s="163" t="s">
        <v>3012</v>
      </c>
      <c r="B6319" s="163" t="s">
        <v>928</v>
      </c>
      <c r="C6319" s="163" t="s">
        <v>3145</v>
      </c>
      <c r="D6319" s="163" t="s">
        <v>3146</v>
      </c>
      <c r="E6319" s="164" t="n">
        <v>15000</v>
      </c>
      <c r="F6319" s="165" t="s">
        <v>10303</v>
      </c>
    </row>
    <row r="6320" customFormat="false" ht="15" hidden="false" customHeight="true" outlineLevel="0" collapsed="false">
      <c r="A6320" s="163" t="s">
        <v>3012</v>
      </c>
      <c r="B6320" s="163" t="s">
        <v>928</v>
      </c>
      <c r="C6320" s="163" t="s">
        <v>4269</v>
      </c>
      <c r="D6320" s="163" t="s">
        <v>4270</v>
      </c>
      <c r="E6320" s="164" t="n">
        <v>10000</v>
      </c>
      <c r="F6320" s="165" t="s">
        <v>3060</v>
      </c>
    </row>
    <row r="6321" customFormat="false" ht="15" hidden="false" customHeight="true" outlineLevel="0" collapsed="false">
      <c r="A6321" s="163" t="s">
        <v>3012</v>
      </c>
      <c r="B6321" s="163" t="s">
        <v>928</v>
      </c>
      <c r="C6321" s="163" t="s">
        <v>3425</v>
      </c>
      <c r="D6321" s="163" t="s">
        <v>3426</v>
      </c>
      <c r="E6321" s="164" t="n">
        <v>10000</v>
      </c>
      <c r="F6321" s="165" t="s">
        <v>10304</v>
      </c>
    </row>
    <row r="6322" customFormat="false" ht="15" hidden="false" customHeight="true" outlineLevel="0" collapsed="false">
      <c r="A6322" s="163" t="s">
        <v>3012</v>
      </c>
      <c r="B6322" s="163" t="s">
        <v>928</v>
      </c>
      <c r="C6322" s="163" t="s">
        <v>400</v>
      </c>
      <c r="D6322" s="163" t="s">
        <v>2628</v>
      </c>
      <c r="E6322" s="164" t="n">
        <v>5000</v>
      </c>
      <c r="F6322" s="165" t="s">
        <v>10302</v>
      </c>
    </row>
    <row r="6323" customFormat="false" ht="15" hidden="false" customHeight="true" outlineLevel="0" collapsed="false">
      <c r="A6323" s="163" t="s">
        <v>3012</v>
      </c>
      <c r="B6323" s="163" t="s">
        <v>928</v>
      </c>
      <c r="C6323" s="163" t="s">
        <v>328</v>
      </c>
      <c r="D6323" s="163" t="s">
        <v>2660</v>
      </c>
      <c r="E6323" s="164" t="n">
        <v>5000</v>
      </c>
      <c r="F6323" s="165" t="s">
        <v>10305</v>
      </c>
    </row>
    <row r="6324" customFormat="false" ht="15" hidden="false" customHeight="true" outlineLevel="0" collapsed="false">
      <c r="A6324" s="163" t="s">
        <v>3012</v>
      </c>
      <c r="B6324" s="163" t="s">
        <v>928</v>
      </c>
      <c r="C6324" s="163" t="s">
        <v>10306</v>
      </c>
      <c r="D6324" s="163" t="s">
        <v>10307</v>
      </c>
      <c r="E6324" s="164" t="n">
        <v>5000</v>
      </c>
      <c r="F6324" s="165" t="s">
        <v>10308</v>
      </c>
    </row>
    <row r="6325" customFormat="false" ht="15" hidden="false" customHeight="true" outlineLevel="0" collapsed="false">
      <c r="A6325" s="163" t="s">
        <v>3022</v>
      </c>
      <c r="B6325" s="163" t="s">
        <v>926</v>
      </c>
      <c r="C6325" s="163" t="s">
        <v>3552</v>
      </c>
      <c r="D6325" s="163" t="s">
        <v>3553</v>
      </c>
      <c r="E6325" s="164" t="n">
        <v>85000</v>
      </c>
      <c r="F6325" s="165" t="s">
        <v>926</v>
      </c>
    </row>
    <row r="6326" customFormat="false" ht="15" hidden="false" customHeight="true" outlineLevel="0" collapsed="false">
      <c r="A6326" s="163" t="s">
        <v>3022</v>
      </c>
      <c r="B6326" s="163" t="s">
        <v>926</v>
      </c>
      <c r="C6326" s="163" t="s">
        <v>5148</v>
      </c>
      <c r="D6326" s="163" t="s">
        <v>5149</v>
      </c>
      <c r="E6326" s="164" t="n">
        <v>15000</v>
      </c>
      <c r="F6326" s="165" t="s">
        <v>926</v>
      </c>
    </row>
    <row r="6327" customFormat="false" ht="15" hidden="false" customHeight="true" outlineLevel="0" collapsed="false">
      <c r="A6327" s="163" t="s">
        <v>3022</v>
      </c>
      <c r="B6327" s="163" t="s">
        <v>957</v>
      </c>
      <c r="C6327" s="163" t="s">
        <v>4635</v>
      </c>
      <c r="D6327" s="163" t="s">
        <v>4636</v>
      </c>
      <c r="E6327" s="164" t="n">
        <v>25000</v>
      </c>
      <c r="F6327" s="165" t="s">
        <v>10309</v>
      </c>
    </row>
    <row r="6328" customFormat="false" ht="15" hidden="false" customHeight="true" outlineLevel="0" collapsed="false">
      <c r="A6328" s="163" t="s">
        <v>3022</v>
      </c>
      <c r="B6328" s="163" t="s">
        <v>957</v>
      </c>
      <c r="C6328" s="163" t="s">
        <v>1109</v>
      </c>
      <c r="D6328" s="163" t="s">
        <v>3755</v>
      </c>
      <c r="E6328" s="164" t="n">
        <v>19000</v>
      </c>
      <c r="F6328" s="165" t="s">
        <v>10310</v>
      </c>
    </row>
    <row r="6329" customFormat="false" ht="15" hidden="false" customHeight="true" outlineLevel="0" collapsed="false">
      <c r="A6329" s="163" t="s">
        <v>3022</v>
      </c>
      <c r="B6329" s="163" t="s">
        <v>957</v>
      </c>
      <c r="C6329" s="163" t="s">
        <v>7773</v>
      </c>
      <c r="D6329" s="163" t="s">
        <v>7774</v>
      </c>
      <c r="E6329" s="164" t="n">
        <v>15500</v>
      </c>
      <c r="F6329" s="165" t="s">
        <v>9026</v>
      </c>
    </row>
    <row r="6330" customFormat="false" ht="15" hidden="false" customHeight="true" outlineLevel="0" collapsed="false">
      <c r="A6330" s="163" t="s">
        <v>3022</v>
      </c>
      <c r="B6330" s="163" t="s">
        <v>957</v>
      </c>
      <c r="C6330" s="163" t="s">
        <v>10311</v>
      </c>
      <c r="D6330" s="163" t="s">
        <v>10312</v>
      </c>
      <c r="E6330" s="164" t="n">
        <v>15000</v>
      </c>
      <c r="F6330" s="165" t="s">
        <v>10313</v>
      </c>
    </row>
    <row r="6331" customFormat="false" ht="15" hidden="false" customHeight="true" outlineLevel="0" collapsed="false">
      <c r="A6331" s="163" t="s">
        <v>3022</v>
      </c>
      <c r="B6331" s="163" t="s">
        <v>957</v>
      </c>
      <c r="C6331" s="163" t="s">
        <v>4635</v>
      </c>
      <c r="D6331" s="163" t="s">
        <v>4636</v>
      </c>
      <c r="E6331" s="164" t="n">
        <v>14500</v>
      </c>
      <c r="F6331" s="165" t="s">
        <v>10314</v>
      </c>
    </row>
    <row r="6332" customFormat="false" ht="15" hidden="false" customHeight="true" outlineLevel="0" collapsed="false">
      <c r="A6332" s="163" t="s">
        <v>3022</v>
      </c>
      <c r="B6332" s="163" t="s">
        <v>957</v>
      </c>
      <c r="C6332" s="163" t="s">
        <v>10315</v>
      </c>
      <c r="D6332" s="163" t="s">
        <v>10316</v>
      </c>
      <c r="E6332" s="164" t="n">
        <v>10000</v>
      </c>
      <c r="F6332" s="165" t="s">
        <v>10317</v>
      </c>
    </row>
    <row r="6333" customFormat="false" ht="15" hidden="false" customHeight="true" outlineLevel="0" collapsed="false">
      <c r="A6333" s="163" t="s">
        <v>3022</v>
      </c>
      <c r="B6333" s="163" t="s">
        <v>957</v>
      </c>
      <c r="C6333" s="163" t="s">
        <v>7773</v>
      </c>
      <c r="D6333" s="163" t="s">
        <v>7774</v>
      </c>
      <c r="E6333" s="164" t="n">
        <v>6000</v>
      </c>
      <c r="F6333" s="165" t="s">
        <v>10318</v>
      </c>
    </row>
    <row r="6334" customFormat="false" ht="15" hidden="false" customHeight="true" outlineLevel="0" collapsed="false">
      <c r="A6334" s="163" t="s">
        <v>3022</v>
      </c>
      <c r="B6334" s="163" t="s">
        <v>957</v>
      </c>
      <c r="C6334" s="163" t="s">
        <v>1860</v>
      </c>
      <c r="D6334" s="163" t="s">
        <v>1861</v>
      </c>
      <c r="E6334" s="164" t="n">
        <v>5000</v>
      </c>
      <c r="F6334" s="165" t="s">
        <v>10319</v>
      </c>
    </row>
    <row r="6335" customFormat="false" ht="15" hidden="false" customHeight="true" outlineLevel="0" collapsed="false">
      <c r="A6335" s="163" t="s">
        <v>3022</v>
      </c>
      <c r="B6335" s="163" t="s">
        <v>945</v>
      </c>
      <c r="C6335" s="163" t="s">
        <v>273</v>
      </c>
      <c r="D6335" s="163" t="s">
        <v>1891</v>
      </c>
      <c r="E6335" s="164" t="n">
        <v>10000</v>
      </c>
      <c r="F6335" s="165" t="s">
        <v>10320</v>
      </c>
    </row>
    <row r="6336" customFormat="false" ht="15" hidden="false" customHeight="true" outlineLevel="0" collapsed="false">
      <c r="A6336" s="163" t="s">
        <v>3022</v>
      </c>
      <c r="B6336" s="163" t="s">
        <v>945</v>
      </c>
      <c r="C6336" s="163" t="s">
        <v>1860</v>
      </c>
      <c r="D6336" s="163" t="s">
        <v>1861</v>
      </c>
      <c r="E6336" s="164" t="n">
        <v>5000</v>
      </c>
      <c r="F6336" s="165" t="s">
        <v>10321</v>
      </c>
    </row>
    <row r="6337" customFormat="false" ht="15" hidden="false" customHeight="true" outlineLevel="0" collapsed="false">
      <c r="A6337" s="163" t="s">
        <v>3022</v>
      </c>
      <c r="B6337" s="163" t="s">
        <v>945</v>
      </c>
      <c r="C6337" s="163" t="s">
        <v>1109</v>
      </c>
      <c r="D6337" s="163" t="s">
        <v>3755</v>
      </c>
      <c r="E6337" s="164" t="n">
        <v>5000</v>
      </c>
      <c r="F6337" s="165" t="s">
        <v>10322</v>
      </c>
    </row>
    <row r="6338" customFormat="false" ht="15" hidden="false" customHeight="true" outlineLevel="0" collapsed="false">
      <c r="A6338" s="163" t="s">
        <v>3022</v>
      </c>
      <c r="B6338" s="163" t="s">
        <v>945</v>
      </c>
      <c r="C6338" s="163" t="s">
        <v>3684</v>
      </c>
      <c r="D6338" s="163" t="s">
        <v>3685</v>
      </c>
      <c r="E6338" s="164" t="n">
        <v>5000</v>
      </c>
      <c r="F6338" s="165" t="s">
        <v>10323</v>
      </c>
    </row>
    <row r="6339" customFormat="false" ht="15" hidden="false" customHeight="true" outlineLevel="0" collapsed="false">
      <c r="A6339" s="163" t="s">
        <v>3022</v>
      </c>
      <c r="B6339" s="163" t="s">
        <v>945</v>
      </c>
      <c r="C6339" s="163" t="s">
        <v>6562</v>
      </c>
      <c r="D6339" s="163" t="s">
        <v>6563</v>
      </c>
      <c r="E6339" s="164" t="n">
        <v>5000</v>
      </c>
      <c r="F6339" s="165" t="s">
        <v>10057</v>
      </c>
    </row>
    <row r="6340" customFormat="false" ht="15" hidden="false" customHeight="true" outlineLevel="0" collapsed="false">
      <c r="A6340" s="163" t="s">
        <v>3022</v>
      </c>
      <c r="B6340" s="163" t="s">
        <v>945</v>
      </c>
      <c r="C6340" s="163" t="s">
        <v>7977</v>
      </c>
      <c r="D6340" s="163" t="s">
        <v>7978</v>
      </c>
      <c r="E6340" s="164" t="n">
        <v>5000</v>
      </c>
      <c r="F6340" s="165" t="s">
        <v>3060</v>
      </c>
    </row>
    <row r="6341" customFormat="false" ht="15" hidden="false" customHeight="true" outlineLevel="0" collapsed="false">
      <c r="A6341" s="163" t="s">
        <v>3022</v>
      </c>
      <c r="B6341" s="163" t="s">
        <v>945</v>
      </c>
      <c r="C6341" s="163" t="s">
        <v>6568</v>
      </c>
      <c r="D6341" s="163" t="s">
        <v>6569</v>
      </c>
      <c r="E6341" s="164" t="n">
        <v>5000</v>
      </c>
      <c r="F6341" s="165" t="s">
        <v>10324</v>
      </c>
    </row>
    <row r="6342" customFormat="false" ht="15" hidden="false" customHeight="true" outlineLevel="0" collapsed="false">
      <c r="A6342" s="163" t="s">
        <v>3022</v>
      </c>
      <c r="B6342" s="163" t="s">
        <v>945</v>
      </c>
      <c r="C6342" s="163" t="s">
        <v>8495</v>
      </c>
      <c r="D6342" s="163" t="s">
        <v>8496</v>
      </c>
      <c r="E6342" s="164" t="n">
        <v>5000</v>
      </c>
      <c r="F6342" s="165" t="s">
        <v>3060</v>
      </c>
    </row>
    <row r="6343" customFormat="false" ht="15" hidden="false" customHeight="true" outlineLevel="0" collapsed="false">
      <c r="A6343" s="163" t="s">
        <v>3022</v>
      </c>
      <c r="B6343" s="163" t="s">
        <v>945</v>
      </c>
      <c r="C6343" s="163" t="s">
        <v>4166</v>
      </c>
      <c r="D6343" s="163" t="s">
        <v>4167</v>
      </c>
      <c r="E6343" s="164" t="n">
        <v>5000</v>
      </c>
      <c r="F6343" s="165" t="s">
        <v>10325</v>
      </c>
    </row>
    <row r="6344" customFormat="false" ht="15" hidden="false" customHeight="true" outlineLevel="0" collapsed="false">
      <c r="A6344" s="163" t="s">
        <v>3022</v>
      </c>
      <c r="B6344" s="163" t="s">
        <v>3111</v>
      </c>
      <c r="C6344" s="163" t="s">
        <v>6627</v>
      </c>
      <c r="D6344" s="163" t="s">
        <v>6628</v>
      </c>
      <c r="E6344" s="164" t="n">
        <v>20000</v>
      </c>
      <c r="F6344" s="165" t="s">
        <v>10326</v>
      </c>
    </row>
    <row r="6345" customFormat="false" ht="15" hidden="false" customHeight="true" outlineLevel="0" collapsed="false">
      <c r="A6345" s="163" t="s">
        <v>3022</v>
      </c>
      <c r="B6345" s="163" t="s">
        <v>3111</v>
      </c>
      <c r="C6345" s="163" t="s">
        <v>5858</v>
      </c>
      <c r="D6345" s="163" t="s">
        <v>5859</v>
      </c>
      <c r="E6345" s="164" t="n">
        <v>20000</v>
      </c>
      <c r="F6345" s="165" t="s">
        <v>10327</v>
      </c>
    </row>
    <row r="6346" customFormat="false" ht="15" hidden="false" customHeight="true" outlineLevel="0" collapsed="false">
      <c r="A6346" s="163" t="s">
        <v>3022</v>
      </c>
      <c r="B6346" s="163" t="s">
        <v>3111</v>
      </c>
      <c r="C6346" s="163" t="s">
        <v>10328</v>
      </c>
      <c r="D6346" s="163" t="s">
        <v>10329</v>
      </c>
      <c r="E6346" s="164" t="n">
        <v>10000</v>
      </c>
      <c r="F6346" s="165" t="s">
        <v>10330</v>
      </c>
    </row>
    <row r="6347" customFormat="false" ht="15" hidden="false" customHeight="true" outlineLevel="0" collapsed="false">
      <c r="A6347" s="163" t="s">
        <v>3022</v>
      </c>
      <c r="B6347" s="163" t="s">
        <v>3111</v>
      </c>
      <c r="C6347" s="163" t="s">
        <v>1860</v>
      </c>
      <c r="D6347" s="163" t="s">
        <v>1861</v>
      </c>
      <c r="E6347" s="164" t="n">
        <v>10000</v>
      </c>
      <c r="F6347" s="165" t="s">
        <v>10331</v>
      </c>
    </row>
    <row r="6348" customFormat="false" ht="15" hidden="false" customHeight="true" outlineLevel="0" collapsed="false">
      <c r="A6348" s="163" t="s">
        <v>3022</v>
      </c>
      <c r="B6348" s="163" t="s">
        <v>3111</v>
      </c>
      <c r="C6348" s="163" t="s">
        <v>6627</v>
      </c>
      <c r="D6348" s="163" t="s">
        <v>6628</v>
      </c>
      <c r="E6348" s="164" t="n">
        <v>10000</v>
      </c>
      <c r="F6348" s="165" t="s">
        <v>10332</v>
      </c>
    </row>
    <row r="6349" customFormat="false" ht="15" hidden="false" customHeight="true" outlineLevel="0" collapsed="false">
      <c r="A6349" s="163" t="s">
        <v>3022</v>
      </c>
      <c r="B6349" s="163" t="s">
        <v>3111</v>
      </c>
      <c r="C6349" s="163" t="s">
        <v>4966</v>
      </c>
      <c r="D6349" s="163" t="s">
        <v>4967</v>
      </c>
      <c r="E6349" s="164" t="n">
        <v>10000</v>
      </c>
      <c r="F6349" s="165" t="s">
        <v>10333</v>
      </c>
    </row>
    <row r="6350" customFormat="false" ht="15" hidden="false" customHeight="true" outlineLevel="0" collapsed="false">
      <c r="A6350" s="163" t="s">
        <v>3022</v>
      </c>
      <c r="B6350" s="163" t="s">
        <v>3111</v>
      </c>
      <c r="C6350" s="163" t="s">
        <v>10334</v>
      </c>
      <c r="D6350" s="163" t="s">
        <v>10335</v>
      </c>
      <c r="E6350" s="164" t="n">
        <v>10000</v>
      </c>
      <c r="F6350" s="165" t="s">
        <v>10336</v>
      </c>
    </row>
    <row r="6351" customFormat="false" ht="15" hidden="false" customHeight="true" outlineLevel="0" collapsed="false">
      <c r="A6351" s="163" t="s">
        <v>3022</v>
      </c>
      <c r="B6351" s="163" t="s">
        <v>3111</v>
      </c>
      <c r="C6351" s="163" t="s">
        <v>3771</v>
      </c>
      <c r="D6351" s="163" t="s">
        <v>3772</v>
      </c>
      <c r="E6351" s="164" t="n">
        <v>10000</v>
      </c>
      <c r="F6351" s="165" t="s">
        <v>10337</v>
      </c>
    </row>
    <row r="6352" customFormat="false" ht="15" hidden="false" customHeight="true" outlineLevel="0" collapsed="false">
      <c r="A6352" s="163" t="s">
        <v>3022</v>
      </c>
      <c r="B6352" s="163" t="s">
        <v>1938</v>
      </c>
      <c r="C6352" s="163" t="s">
        <v>5102</v>
      </c>
      <c r="D6352" s="163" t="s">
        <v>5103</v>
      </c>
      <c r="E6352" s="164" t="n">
        <v>20000</v>
      </c>
      <c r="F6352" s="165" t="s">
        <v>10338</v>
      </c>
    </row>
    <row r="6353" customFormat="false" ht="15" hidden="false" customHeight="true" outlineLevel="0" collapsed="false">
      <c r="A6353" s="163" t="s">
        <v>3022</v>
      </c>
      <c r="B6353" s="163" t="s">
        <v>1938</v>
      </c>
      <c r="C6353" s="163" t="s">
        <v>5102</v>
      </c>
      <c r="D6353" s="163" t="s">
        <v>5103</v>
      </c>
      <c r="E6353" s="164" t="n">
        <v>20000</v>
      </c>
      <c r="F6353" s="165" t="s">
        <v>10338</v>
      </c>
    </row>
    <row r="6354" customFormat="false" ht="15" hidden="false" customHeight="true" outlineLevel="0" collapsed="false">
      <c r="A6354" s="163" t="s">
        <v>3022</v>
      </c>
      <c r="B6354" s="163" t="s">
        <v>1938</v>
      </c>
      <c r="C6354" s="163" t="s">
        <v>5102</v>
      </c>
      <c r="D6354" s="163" t="s">
        <v>5103</v>
      </c>
      <c r="E6354" s="164" t="n">
        <v>20000</v>
      </c>
      <c r="F6354" s="165" t="s">
        <v>10339</v>
      </c>
    </row>
    <row r="6355" customFormat="false" ht="15" hidden="false" customHeight="true" outlineLevel="0" collapsed="false">
      <c r="A6355" s="163" t="s">
        <v>3022</v>
      </c>
      <c r="B6355" s="163" t="s">
        <v>1938</v>
      </c>
      <c r="C6355" s="163" t="s">
        <v>3808</v>
      </c>
      <c r="D6355" s="163" t="s">
        <v>3809</v>
      </c>
      <c r="E6355" s="164" t="n">
        <v>20000</v>
      </c>
      <c r="F6355" s="165" t="s">
        <v>10340</v>
      </c>
    </row>
    <row r="6356" customFormat="false" ht="15" hidden="false" customHeight="true" outlineLevel="0" collapsed="false">
      <c r="A6356" s="163" t="s">
        <v>3022</v>
      </c>
      <c r="B6356" s="163" t="s">
        <v>1938</v>
      </c>
      <c r="C6356" s="163" t="s">
        <v>431</v>
      </c>
      <c r="D6356" s="163" t="s">
        <v>2678</v>
      </c>
      <c r="E6356" s="164" t="n">
        <v>20000</v>
      </c>
      <c r="F6356" s="165" t="s">
        <v>10341</v>
      </c>
    </row>
    <row r="6357" customFormat="false" ht="15" hidden="false" customHeight="true" outlineLevel="0" collapsed="false">
      <c r="A6357" s="163" t="s">
        <v>3022</v>
      </c>
      <c r="B6357" s="163" t="s">
        <v>1938</v>
      </c>
      <c r="C6357" s="163" t="s">
        <v>431</v>
      </c>
      <c r="D6357" s="163" t="s">
        <v>2678</v>
      </c>
      <c r="E6357" s="164" t="n">
        <v>20000</v>
      </c>
      <c r="F6357" s="165" t="s">
        <v>10342</v>
      </c>
    </row>
    <row r="6358" customFormat="false" ht="15" hidden="false" customHeight="true" outlineLevel="0" collapsed="false">
      <c r="A6358" s="163" t="s">
        <v>3022</v>
      </c>
      <c r="B6358" s="163" t="s">
        <v>1938</v>
      </c>
      <c r="C6358" s="163" t="s">
        <v>3552</v>
      </c>
      <c r="D6358" s="163" t="s">
        <v>3553</v>
      </c>
      <c r="E6358" s="164" t="n">
        <v>20000</v>
      </c>
      <c r="F6358" s="165" t="s">
        <v>10343</v>
      </c>
    </row>
    <row r="6359" customFormat="false" ht="15" hidden="false" customHeight="true" outlineLevel="0" collapsed="false">
      <c r="A6359" s="163" t="s">
        <v>3022</v>
      </c>
      <c r="B6359" s="163" t="s">
        <v>1938</v>
      </c>
      <c r="C6359" s="163" t="s">
        <v>3552</v>
      </c>
      <c r="D6359" s="163" t="s">
        <v>3553</v>
      </c>
      <c r="E6359" s="164" t="n">
        <v>20000</v>
      </c>
      <c r="F6359" s="165" t="s">
        <v>10343</v>
      </c>
    </row>
    <row r="6360" customFormat="false" ht="15" hidden="false" customHeight="true" outlineLevel="0" collapsed="false">
      <c r="A6360" s="163" t="s">
        <v>3022</v>
      </c>
      <c r="B6360" s="163" t="s">
        <v>1938</v>
      </c>
      <c r="C6360" s="163" t="s">
        <v>3552</v>
      </c>
      <c r="D6360" s="163" t="s">
        <v>3553</v>
      </c>
      <c r="E6360" s="164" t="n">
        <v>20000</v>
      </c>
      <c r="F6360" s="165" t="s">
        <v>10344</v>
      </c>
    </row>
    <row r="6361" customFormat="false" ht="15" hidden="false" customHeight="true" outlineLevel="0" collapsed="false">
      <c r="A6361" s="163" t="s">
        <v>3022</v>
      </c>
      <c r="B6361" s="163" t="s">
        <v>1938</v>
      </c>
      <c r="C6361" s="163" t="s">
        <v>3552</v>
      </c>
      <c r="D6361" s="163" t="s">
        <v>3553</v>
      </c>
      <c r="E6361" s="164" t="n">
        <v>20000</v>
      </c>
      <c r="F6361" s="165" t="s">
        <v>10345</v>
      </c>
    </row>
    <row r="6362" customFormat="false" ht="15" hidden="false" customHeight="true" outlineLevel="0" collapsed="false">
      <c r="A6362" s="163" t="s">
        <v>3022</v>
      </c>
      <c r="B6362" s="163" t="s">
        <v>1938</v>
      </c>
      <c r="C6362" s="163" t="s">
        <v>5160</v>
      </c>
      <c r="D6362" s="163" t="s">
        <v>5161</v>
      </c>
      <c r="E6362" s="164" t="n">
        <v>20000</v>
      </c>
      <c r="F6362" s="165" t="s">
        <v>10346</v>
      </c>
    </row>
    <row r="6363" customFormat="false" ht="15" hidden="false" customHeight="true" outlineLevel="0" collapsed="false">
      <c r="A6363" s="163" t="s">
        <v>3022</v>
      </c>
      <c r="B6363" s="163" t="s">
        <v>1938</v>
      </c>
      <c r="C6363" s="163" t="s">
        <v>5160</v>
      </c>
      <c r="D6363" s="163" t="s">
        <v>5161</v>
      </c>
      <c r="E6363" s="164" t="n">
        <v>20000</v>
      </c>
      <c r="F6363" s="165" t="s">
        <v>10347</v>
      </c>
    </row>
    <row r="6364" customFormat="false" ht="15" hidden="false" customHeight="true" outlineLevel="0" collapsed="false">
      <c r="A6364" s="163" t="s">
        <v>3022</v>
      </c>
      <c r="B6364" s="163" t="s">
        <v>1938</v>
      </c>
      <c r="C6364" s="163" t="s">
        <v>5160</v>
      </c>
      <c r="D6364" s="163" t="s">
        <v>5161</v>
      </c>
      <c r="E6364" s="164" t="n">
        <v>20000</v>
      </c>
      <c r="F6364" s="165" t="s">
        <v>10348</v>
      </c>
    </row>
    <row r="6365" customFormat="false" ht="15" hidden="false" customHeight="true" outlineLevel="0" collapsed="false">
      <c r="A6365" s="163" t="s">
        <v>3022</v>
      </c>
      <c r="B6365" s="163" t="s">
        <v>1938</v>
      </c>
      <c r="C6365" s="163" t="s">
        <v>5160</v>
      </c>
      <c r="D6365" s="163" t="s">
        <v>5161</v>
      </c>
      <c r="E6365" s="164" t="n">
        <v>20000</v>
      </c>
      <c r="F6365" s="165" t="s">
        <v>10349</v>
      </c>
    </row>
    <row r="6366" customFormat="false" ht="15" hidden="false" customHeight="true" outlineLevel="0" collapsed="false">
      <c r="A6366" s="163" t="s">
        <v>3022</v>
      </c>
      <c r="B6366" s="163" t="s">
        <v>1938</v>
      </c>
      <c r="C6366" s="163" t="s">
        <v>7810</v>
      </c>
      <c r="D6366" s="163" t="s">
        <v>7811</v>
      </c>
      <c r="E6366" s="164" t="n">
        <v>20000</v>
      </c>
      <c r="F6366" s="165" t="s">
        <v>10350</v>
      </c>
    </row>
    <row r="6367" customFormat="false" ht="15" hidden="false" customHeight="true" outlineLevel="0" collapsed="false">
      <c r="A6367" s="163" t="s">
        <v>3022</v>
      </c>
      <c r="B6367" s="163" t="s">
        <v>1938</v>
      </c>
      <c r="C6367" s="163" t="s">
        <v>7810</v>
      </c>
      <c r="D6367" s="163" t="s">
        <v>7811</v>
      </c>
      <c r="E6367" s="164" t="n">
        <v>20000</v>
      </c>
      <c r="F6367" s="165" t="s">
        <v>10351</v>
      </c>
    </row>
    <row r="6368" customFormat="false" ht="15" hidden="false" customHeight="true" outlineLevel="0" collapsed="false">
      <c r="A6368" s="163" t="s">
        <v>3022</v>
      </c>
      <c r="B6368" s="163" t="s">
        <v>1938</v>
      </c>
      <c r="C6368" s="163" t="s">
        <v>3392</v>
      </c>
      <c r="D6368" s="163" t="s">
        <v>3393</v>
      </c>
      <c r="E6368" s="164" t="n">
        <v>20000</v>
      </c>
      <c r="F6368" s="165" t="s">
        <v>10352</v>
      </c>
    </row>
    <row r="6369" customFormat="false" ht="15" hidden="false" customHeight="true" outlineLevel="0" collapsed="false">
      <c r="A6369" s="163" t="s">
        <v>3022</v>
      </c>
      <c r="B6369" s="163" t="s">
        <v>691</v>
      </c>
      <c r="C6369" s="163" t="s">
        <v>10353</v>
      </c>
      <c r="D6369" s="163" t="s">
        <v>10354</v>
      </c>
      <c r="E6369" s="164" t="n">
        <v>50000</v>
      </c>
      <c r="F6369" s="165" t="s">
        <v>10330</v>
      </c>
    </row>
    <row r="6370" customFormat="false" ht="15" hidden="false" customHeight="true" outlineLevel="0" collapsed="false">
      <c r="A6370" s="163" t="s">
        <v>3022</v>
      </c>
      <c r="B6370" s="163" t="s">
        <v>691</v>
      </c>
      <c r="C6370" s="163" t="s">
        <v>8415</v>
      </c>
      <c r="D6370" s="163" t="s">
        <v>8416</v>
      </c>
      <c r="E6370" s="164" t="n">
        <v>25000</v>
      </c>
      <c r="F6370" s="165" t="s">
        <v>10330</v>
      </c>
    </row>
    <row r="6371" customFormat="false" ht="15" hidden="false" customHeight="true" outlineLevel="0" collapsed="false">
      <c r="A6371" s="163" t="s">
        <v>3022</v>
      </c>
      <c r="B6371" s="163" t="s">
        <v>691</v>
      </c>
      <c r="C6371" s="163" t="s">
        <v>10355</v>
      </c>
      <c r="D6371" s="163" t="s">
        <v>10356</v>
      </c>
      <c r="E6371" s="164" t="n">
        <v>20000</v>
      </c>
      <c r="F6371" s="165" t="s">
        <v>10357</v>
      </c>
    </row>
    <row r="6372" customFormat="false" ht="15" hidden="false" customHeight="true" outlineLevel="0" collapsed="false">
      <c r="A6372" s="163" t="s">
        <v>3022</v>
      </c>
      <c r="B6372" s="163" t="s">
        <v>691</v>
      </c>
      <c r="C6372" s="163" t="s">
        <v>10358</v>
      </c>
      <c r="D6372" s="163" t="s">
        <v>10359</v>
      </c>
      <c r="E6372" s="164" t="n">
        <v>15000</v>
      </c>
      <c r="F6372" s="165" t="s">
        <v>10330</v>
      </c>
    </row>
    <row r="6373" customFormat="false" ht="15" hidden="false" customHeight="true" outlineLevel="0" collapsed="false">
      <c r="A6373" s="163" t="s">
        <v>3022</v>
      </c>
      <c r="B6373" s="163" t="s">
        <v>691</v>
      </c>
      <c r="C6373" s="163" t="s">
        <v>5102</v>
      </c>
      <c r="D6373" s="163" t="s">
        <v>5103</v>
      </c>
      <c r="E6373" s="164" t="n">
        <v>15000</v>
      </c>
      <c r="F6373" s="165" t="s">
        <v>10360</v>
      </c>
    </row>
    <row r="6374" customFormat="false" ht="15" hidden="false" customHeight="true" outlineLevel="0" collapsed="false">
      <c r="A6374" s="163" t="s">
        <v>3022</v>
      </c>
      <c r="B6374" s="163" t="s">
        <v>691</v>
      </c>
      <c r="C6374" s="163" t="s">
        <v>6594</v>
      </c>
      <c r="D6374" s="163" t="s">
        <v>6595</v>
      </c>
      <c r="E6374" s="164" t="n">
        <v>10000</v>
      </c>
      <c r="F6374" s="165" t="s">
        <v>10361</v>
      </c>
    </row>
    <row r="6375" customFormat="false" ht="15" hidden="false" customHeight="true" outlineLevel="0" collapsed="false">
      <c r="A6375" s="163" t="s">
        <v>3022</v>
      </c>
      <c r="B6375" s="163" t="s">
        <v>691</v>
      </c>
      <c r="C6375" s="163" t="s">
        <v>935</v>
      </c>
      <c r="D6375" s="163" t="s">
        <v>3162</v>
      </c>
      <c r="E6375" s="164" t="n">
        <v>10000</v>
      </c>
      <c r="F6375" s="165" t="s">
        <v>10362</v>
      </c>
    </row>
    <row r="6376" customFormat="false" ht="15" hidden="false" customHeight="true" outlineLevel="0" collapsed="false">
      <c r="A6376" s="163" t="s">
        <v>3022</v>
      </c>
      <c r="B6376" s="163" t="s">
        <v>2027</v>
      </c>
      <c r="C6376" s="163" t="s">
        <v>1109</v>
      </c>
      <c r="D6376" s="163" t="s">
        <v>3755</v>
      </c>
      <c r="E6376" s="164" t="n">
        <v>24000</v>
      </c>
      <c r="F6376" s="165" t="s">
        <v>10363</v>
      </c>
    </row>
    <row r="6377" customFormat="false" ht="15" hidden="false" customHeight="true" outlineLevel="0" collapsed="false">
      <c r="A6377" s="163" t="s">
        <v>3022</v>
      </c>
      <c r="B6377" s="163" t="s">
        <v>2027</v>
      </c>
      <c r="C6377" s="163" t="s">
        <v>4635</v>
      </c>
      <c r="D6377" s="163" t="s">
        <v>4636</v>
      </c>
      <c r="E6377" s="164" t="n">
        <v>24000</v>
      </c>
      <c r="F6377" s="165" t="s">
        <v>10364</v>
      </c>
    </row>
    <row r="6378" customFormat="false" ht="15" hidden="false" customHeight="true" outlineLevel="0" collapsed="false">
      <c r="A6378" s="163" t="s">
        <v>3022</v>
      </c>
      <c r="B6378" s="163" t="s">
        <v>2027</v>
      </c>
      <c r="C6378" s="163" t="s">
        <v>5858</v>
      </c>
      <c r="D6378" s="163" t="s">
        <v>5859</v>
      </c>
      <c r="E6378" s="164" t="n">
        <v>22000</v>
      </c>
      <c r="F6378" s="165" t="s">
        <v>10330</v>
      </c>
    </row>
    <row r="6379" customFormat="false" ht="15" hidden="false" customHeight="true" outlineLevel="0" collapsed="false">
      <c r="A6379" s="163" t="s">
        <v>3022</v>
      </c>
      <c r="B6379" s="163" t="s">
        <v>2027</v>
      </c>
      <c r="C6379" s="163" t="s">
        <v>3135</v>
      </c>
      <c r="D6379" s="163" t="s">
        <v>3136</v>
      </c>
      <c r="E6379" s="164" t="n">
        <v>20000</v>
      </c>
      <c r="F6379" s="165" t="s">
        <v>10365</v>
      </c>
    </row>
    <row r="6380" customFormat="false" ht="15" hidden="false" customHeight="true" outlineLevel="0" collapsed="false">
      <c r="A6380" s="163" t="s">
        <v>3022</v>
      </c>
      <c r="B6380" s="163" t="s">
        <v>2037</v>
      </c>
      <c r="C6380" s="163" t="s">
        <v>10334</v>
      </c>
      <c r="D6380" s="163" t="s">
        <v>10335</v>
      </c>
      <c r="E6380" s="164" t="n">
        <v>80000</v>
      </c>
      <c r="F6380" s="165" t="s">
        <v>3060</v>
      </c>
    </row>
    <row r="6381" customFormat="false" ht="15" hidden="false" customHeight="true" outlineLevel="0" collapsed="false">
      <c r="A6381" s="163" t="s">
        <v>3022</v>
      </c>
      <c r="B6381" s="163" t="s">
        <v>2037</v>
      </c>
      <c r="C6381" s="163" t="s">
        <v>6627</v>
      </c>
      <c r="D6381" s="163" t="s">
        <v>6628</v>
      </c>
      <c r="E6381" s="164" t="n">
        <v>45000</v>
      </c>
      <c r="F6381" s="165" t="s">
        <v>10330</v>
      </c>
    </row>
    <row r="6382" customFormat="false" ht="15" hidden="false" customHeight="true" outlineLevel="0" collapsed="false">
      <c r="A6382" s="163" t="s">
        <v>3022</v>
      </c>
      <c r="B6382" s="163" t="s">
        <v>2037</v>
      </c>
      <c r="C6382" s="163" t="s">
        <v>3771</v>
      </c>
      <c r="D6382" s="163" t="s">
        <v>3772</v>
      </c>
      <c r="E6382" s="164" t="n">
        <v>8000</v>
      </c>
      <c r="F6382" s="165" t="s">
        <v>3060</v>
      </c>
    </row>
    <row r="6383" customFormat="false" ht="15" hidden="false" customHeight="true" outlineLevel="0" collapsed="false">
      <c r="A6383" s="163" t="s">
        <v>3022</v>
      </c>
      <c r="B6383" s="163" t="s">
        <v>894</v>
      </c>
      <c r="C6383" s="163" t="s">
        <v>10328</v>
      </c>
      <c r="D6383" s="163" t="s">
        <v>10329</v>
      </c>
      <c r="E6383" s="164" t="n">
        <v>25000</v>
      </c>
      <c r="F6383" s="165" t="s">
        <v>6526</v>
      </c>
    </row>
    <row r="6384" customFormat="false" ht="15" hidden="false" customHeight="true" outlineLevel="0" collapsed="false">
      <c r="A6384" s="163" t="s">
        <v>3022</v>
      </c>
      <c r="B6384" s="163" t="s">
        <v>894</v>
      </c>
      <c r="C6384" s="163" t="s">
        <v>3560</v>
      </c>
      <c r="D6384" s="163" t="s">
        <v>3561</v>
      </c>
      <c r="E6384" s="164" t="n">
        <v>25000</v>
      </c>
      <c r="F6384" s="165" t="s">
        <v>10330</v>
      </c>
    </row>
    <row r="6385" customFormat="false" ht="15" hidden="false" customHeight="true" outlineLevel="0" collapsed="false">
      <c r="A6385" s="163" t="s">
        <v>3022</v>
      </c>
      <c r="B6385" s="163" t="s">
        <v>894</v>
      </c>
      <c r="C6385" s="163" t="s">
        <v>3552</v>
      </c>
      <c r="D6385" s="163" t="s">
        <v>3553</v>
      </c>
      <c r="E6385" s="164" t="n">
        <v>21000</v>
      </c>
      <c r="F6385" s="165" t="s">
        <v>3060</v>
      </c>
    </row>
    <row r="6386" customFormat="false" ht="15" hidden="false" customHeight="true" outlineLevel="0" collapsed="false">
      <c r="A6386" s="163" t="s">
        <v>3022</v>
      </c>
      <c r="B6386" s="163" t="s">
        <v>894</v>
      </c>
      <c r="C6386" s="163" t="s">
        <v>5160</v>
      </c>
      <c r="D6386" s="163" t="s">
        <v>5161</v>
      </c>
      <c r="E6386" s="164" t="n">
        <v>18500</v>
      </c>
      <c r="F6386" s="165" t="s">
        <v>10366</v>
      </c>
    </row>
    <row r="6387" customFormat="false" ht="15" hidden="false" customHeight="true" outlineLevel="0" collapsed="false">
      <c r="A6387" s="163" t="s">
        <v>3022</v>
      </c>
      <c r="B6387" s="163" t="s">
        <v>894</v>
      </c>
      <c r="C6387" s="163" t="s">
        <v>10367</v>
      </c>
      <c r="D6387" s="163" t="s">
        <v>10368</v>
      </c>
      <c r="E6387" s="164" t="n">
        <v>15000</v>
      </c>
      <c r="F6387" s="165" t="s">
        <v>10330</v>
      </c>
    </row>
    <row r="6388" customFormat="false" ht="15" hidden="false" customHeight="true" outlineLevel="0" collapsed="false">
      <c r="A6388" s="163" t="s">
        <v>3022</v>
      </c>
      <c r="B6388" s="163" t="s">
        <v>894</v>
      </c>
      <c r="C6388" s="163" t="s">
        <v>7984</v>
      </c>
      <c r="D6388" s="163" t="s">
        <v>7985</v>
      </c>
      <c r="E6388" s="164" t="n">
        <v>11000</v>
      </c>
      <c r="F6388" s="165" t="s">
        <v>10330</v>
      </c>
    </row>
    <row r="6389" customFormat="false" ht="15" hidden="false" customHeight="true" outlineLevel="0" collapsed="false">
      <c r="A6389" s="163" t="s">
        <v>3022</v>
      </c>
      <c r="B6389" s="163" t="s">
        <v>894</v>
      </c>
      <c r="C6389" s="163" t="s">
        <v>9361</v>
      </c>
      <c r="D6389" s="163" t="s">
        <v>9362</v>
      </c>
      <c r="E6389" s="164" t="n">
        <v>10000</v>
      </c>
      <c r="F6389" s="165" t="s">
        <v>10369</v>
      </c>
    </row>
    <row r="6390" customFormat="false" ht="15" hidden="false" customHeight="true" outlineLevel="0" collapsed="false">
      <c r="A6390" s="163" t="s">
        <v>3022</v>
      </c>
      <c r="B6390" s="163" t="s">
        <v>894</v>
      </c>
      <c r="C6390" s="163" t="s">
        <v>7987</v>
      </c>
      <c r="D6390" s="163" t="s">
        <v>7988</v>
      </c>
      <c r="E6390" s="164" t="n">
        <v>10000</v>
      </c>
      <c r="F6390" s="165" t="s">
        <v>3060</v>
      </c>
    </row>
    <row r="6391" customFormat="false" ht="15" hidden="false" customHeight="true" outlineLevel="0" collapsed="false">
      <c r="A6391" s="163" t="s">
        <v>3022</v>
      </c>
      <c r="B6391" s="163" t="s">
        <v>894</v>
      </c>
      <c r="C6391" s="163" t="s">
        <v>10370</v>
      </c>
      <c r="D6391" s="163" t="s">
        <v>10371</v>
      </c>
      <c r="E6391" s="164" t="n">
        <v>10000</v>
      </c>
      <c r="F6391" s="165" t="s">
        <v>10372</v>
      </c>
    </row>
    <row r="6392" customFormat="false" ht="15" hidden="false" customHeight="true" outlineLevel="0" collapsed="false">
      <c r="A6392" s="163" t="s">
        <v>3022</v>
      </c>
      <c r="B6392" s="163" t="s">
        <v>894</v>
      </c>
      <c r="C6392" s="163" t="s">
        <v>7794</v>
      </c>
      <c r="D6392" s="163" t="s">
        <v>7795</v>
      </c>
      <c r="E6392" s="164" t="n">
        <v>10000</v>
      </c>
      <c r="F6392" s="165" t="s">
        <v>3060</v>
      </c>
    </row>
    <row r="6393" customFormat="false" ht="15" hidden="false" customHeight="true" outlineLevel="0" collapsed="false">
      <c r="A6393" s="163" t="s">
        <v>3022</v>
      </c>
      <c r="B6393" s="163" t="s">
        <v>894</v>
      </c>
      <c r="C6393" s="163" t="s">
        <v>3706</v>
      </c>
      <c r="D6393" s="163" t="s">
        <v>3707</v>
      </c>
      <c r="E6393" s="164" t="n">
        <v>8000</v>
      </c>
      <c r="F6393" s="165" t="s">
        <v>10373</v>
      </c>
    </row>
    <row r="6394" customFormat="false" ht="15" hidden="false" customHeight="true" outlineLevel="0" collapsed="false">
      <c r="A6394" s="163" t="s">
        <v>3022</v>
      </c>
      <c r="B6394" s="163" t="s">
        <v>894</v>
      </c>
      <c r="C6394" s="163" t="s">
        <v>230</v>
      </c>
      <c r="D6394" s="163" t="s">
        <v>2077</v>
      </c>
      <c r="E6394" s="164" t="n">
        <v>8000</v>
      </c>
      <c r="F6394" s="165" t="s">
        <v>10374</v>
      </c>
    </row>
    <row r="6395" customFormat="false" ht="15" hidden="false" customHeight="true" outlineLevel="0" collapsed="false">
      <c r="A6395" s="163" t="s">
        <v>3022</v>
      </c>
      <c r="B6395" s="163" t="s">
        <v>894</v>
      </c>
      <c r="C6395" s="163" t="s">
        <v>6627</v>
      </c>
      <c r="D6395" s="163" t="s">
        <v>6628</v>
      </c>
      <c r="E6395" s="164" t="n">
        <v>7500</v>
      </c>
      <c r="F6395" s="165" t="s">
        <v>10375</v>
      </c>
    </row>
    <row r="6396" customFormat="false" ht="15" hidden="false" customHeight="true" outlineLevel="0" collapsed="false">
      <c r="A6396" s="163" t="s">
        <v>3022</v>
      </c>
      <c r="B6396" s="163" t="s">
        <v>894</v>
      </c>
      <c r="C6396" s="163" t="s">
        <v>230</v>
      </c>
      <c r="D6396" s="163" t="s">
        <v>2077</v>
      </c>
      <c r="E6396" s="164" t="n">
        <v>7500</v>
      </c>
      <c r="F6396" s="165" t="s">
        <v>10376</v>
      </c>
    </row>
    <row r="6397" customFormat="false" ht="15" hidden="false" customHeight="true" outlineLevel="0" collapsed="false">
      <c r="A6397" s="163" t="s">
        <v>3022</v>
      </c>
      <c r="B6397" s="163" t="s">
        <v>894</v>
      </c>
      <c r="C6397" s="163" t="s">
        <v>5290</v>
      </c>
      <c r="D6397" s="163" t="s">
        <v>5291</v>
      </c>
      <c r="E6397" s="164" t="n">
        <v>7000</v>
      </c>
      <c r="F6397" s="165" t="s">
        <v>654</v>
      </c>
    </row>
    <row r="6398" customFormat="false" ht="15" hidden="false" customHeight="true" outlineLevel="0" collapsed="false">
      <c r="A6398" s="163" t="s">
        <v>3022</v>
      </c>
      <c r="B6398" s="163" t="s">
        <v>894</v>
      </c>
      <c r="C6398" s="163" t="s">
        <v>974</v>
      </c>
      <c r="D6398" s="163" t="s">
        <v>1931</v>
      </c>
      <c r="E6398" s="164" t="n">
        <v>7000</v>
      </c>
      <c r="F6398" s="165" t="s">
        <v>10377</v>
      </c>
    </row>
    <row r="6399" customFormat="false" ht="15" hidden="false" customHeight="true" outlineLevel="0" collapsed="false">
      <c r="A6399" s="163" t="s">
        <v>3022</v>
      </c>
      <c r="B6399" s="163" t="s">
        <v>894</v>
      </c>
      <c r="C6399" s="163" t="s">
        <v>10378</v>
      </c>
      <c r="D6399" s="163" t="s">
        <v>10379</v>
      </c>
      <c r="E6399" s="164" t="n">
        <v>7000</v>
      </c>
      <c r="F6399" s="165" t="s">
        <v>10380</v>
      </c>
    </row>
    <row r="6400" customFormat="false" ht="15" hidden="false" customHeight="true" outlineLevel="0" collapsed="false">
      <c r="A6400" s="163" t="s">
        <v>3022</v>
      </c>
      <c r="B6400" s="163" t="s">
        <v>894</v>
      </c>
      <c r="C6400" s="163" t="s">
        <v>3622</v>
      </c>
      <c r="D6400" s="163" t="s">
        <v>3623</v>
      </c>
      <c r="E6400" s="164" t="n">
        <v>6500</v>
      </c>
      <c r="F6400" s="165" t="s">
        <v>10330</v>
      </c>
    </row>
    <row r="6401" customFormat="false" ht="15" hidden="false" customHeight="true" outlineLevel="0" collapsed="false">
      <c r="A6401" s="163" t="s">
        <v>3022</v>
      </c>
      <c r="B6401" s="163" t="s">
        <v>894</v>
      </c>
      <c r="C6401" s="163" t="s">
        <v>3635</v>
      </c>
      <c r="D6401" s="163" t="s">
        <v>3636</v>
      </c>
      <c r="E6401" s="164" t="n">
        <v>6000</v>
      </c>
      <c r="F6401" s="165" t="s">
        <v>5256</v>
      </c>
    </row>
    <row r="6402" customFormat="false" ht="15" hidden="false" customHeight="true" outlineLevel="0" collapsed="false">
      <c r="A6402" s="163" t="s">
        <v>3022</v>
      </c>
      <c r="B6402" s="163" t="s">
        <v>894</v>
      </c>
      <c r="C6402" s="163" t="s">
        <v>3188</v>
      </c>
      <c r="D6402" s="163" t="s">
        <v>3189</v>
      </c>
      <c r="E6402" s="164" t="n">
        <v>5000</v>
      </c>
      <c r="F6402" s="165" t="s">
        <v>10381</v>
      </c>
    </row>
    <row r="6403" customFormat="false" ht="15" hidden="false" customHeight="true" outlineLevel="0" collapsed="false">
      <c r="A6403" s="163" t="s">
        <v>3022</v>
      </c>
      <c r="B6403" s="163" t="s">
        <v>894</v>
      </c>
      <c r="C6403" s="163" t="s">
        <v>4411</v>
      </c>
      <c r="D6403" s="163" t="s">
        <v>4412</v>
      </c>
      <c r="E6403" s="164" t="n">
        <v>5000</v>
      </c>
      <c r="F6403" s="165" t="s">
        <v>10382</v>
      </c>
    </row>
    <row r="6404" customFormat="false" ht="15" hidden="false" customHeight="true" outlineLevel="0" collapsed="false">
      <c r="A6404" s="163" t="s">
        <v>3022</v>
      </c>
      <c r="B6404" s="163" t="s">
        <v>894</v>
      </c>
      <c r="C6404" s="163" t="s">
        <v>3709</v>
      </c>
      <c r="D6404" s="163" t="s">
        <v>3710</v>
      </c>
      <c r="E6404" s="164" t="n">
        <v>5000</v>
      </c>
      <c r="F6404" s="165" t="s">
        <v>10383</v>
      </c>
    </row>
    <row r="6405" customFormat="false" ht="15" hidden="false" customHeight="true" outlineLevel="0" collapsed="false">
      <c r="A6405" s="163" t="s">
        <v>3022</v>
      </c>
      <c r="B6405" s="163" t="s">
        <v>894</v>
      </c>
      <c r="C6405" s="163" t="s">
        <v>8367</v>
      </c>
      <c r="D6405" s="163" t="s">
        <v>8368</v>
      </c>
      <c r="E6405" s="164" t="n">
        <v>5000</v>
      </c>
      <c r="F6405" s="165" t="s">
        <v>10384</v>
      </c>
    </row>
    <row r="6406" customFormat="false" ht="15" hidden="false" customHeight="true" outlineLevel="0" collapsed="false">
      <c r="A6406" s="163" t="s">
        <v>3022</v>
      </c>
      <c r="B6406" s="163" t="s">
        <v>894</v>
      </c>
      <c r="C6406" s="163" t="s">
        <v>5205</v>
      </c>
      <c r="D6406" s="163" t="s">
        <v>5206</v>
      </c>
      <c r="E6406" s="164" t="n">
        <v>5000</v>
      </c>
      <c r="F6406" s="165" t="s">
        <v>10385</v>
      </c>
    </row>
    <row r="6407" customFormat="false" ht="15" hidden="false" customHeight="true" outlineLevel="0" collapsed="false">
      <c r="A6407" s="163" t="s">
        <v>3022</v>
      </c>
      <c r="B6407" s="163" t="s">
        <v>894</v>
      </c>
      <c r="C6407" s="163" t="s">
        <v>5102</v>
      </c>
      <c r="D6407" s="163" t="s">
        <v>5103</v>
      </c>
      <c r="E6407" s="164" t="n">
        <v>5000</v>
      </c>
      <c r="F6407" s="165" t="s">
        <v>10386</v>
      </c>
    </row>
    <row r="6408" customFormat="false" ht="15" hidden="false" customHeight="true" outlineLevel="0" collapsed="false">
      <c r="A6408" s="163" t="s">
        <v>3022</v>
      </c>
      <c r="B6408" s="163" t="s">
        <v>894</v>
      </c>
      <c r="C6408" s="163" t="s">
        <v>1264</v>
      </c>
      <c r="D6408" s="163" t="s">
        <v>2227</v>
      </c>
      <c r="E6408" s="164" t="n">
        <v>5000</v>
      </c>
      <c r="F6408" s="165" t="s">
        <v>10387</v>
      </c>
    </row>
    <row r="6409" customFormat="false" ht="15" hidden="false" customHeight="true" outlineLevel="0" collapsed="false">
      <c r="A6409" s="163" t="s">
        <v>3022</v>
      </c>
      <c r="B6409" s="163" t="s">
        <v>894</v>
      </c>
      <c r="C6409" s="163" t="s">
        <v>5026</v>
      </c>
      <c r="D6409" s="163" t="s">
        <v>5027</v>
      </c>
      <c r="E6409" s="164" t="n">
        <v>5000</v>
      </c>
      <c r="F6409" s="165" t="s">
        <v>10352</v>
      </c>
    </row>
    <row r="6410" customFormat="false" ht="15" hidden="false" customHeight="true" outlineLevel="0" collapsed="false">
      <c r="A6410" s="163" t="s">
        <v>3022</v>
      </c>
      <c r="B6410" s="163" t="s">
        <v>894</v>
      </c>
      <c r="C6410" s="163" t="s">
        <v>8014</v>
      </c>
      <c r="D6410" s="163" t="s">
        <v>8015</v>
      </c>
      <c r="E6410" s="164" t="n">
        <v>5000</v>
      </c>
      <c r="F6410" s="165" t="s">
        <v>10388</v>
      </c>
    </row>
    <row r="6411" customFormat="false" ht="15" hidden="false" customHeight="true" outlineLevel="0" collapsed="false">
      <c r="A6411" s="163" t="s">
        <v>3022</v>
      </c>
      <c r="B6411" s="163" t="s">
        <v>894</v>
      </c>
      <c r="C6411" s="163" t="s">
        <v>6573</v>
      </c>
      <c r="D6411" s="163" t="s">
        <v>6574</v>
      </c>
      <c r="E6411" s="164" t="n">
        <v>5000</v>
      </c>
      <c r="F6411" s="165" t="s">
        <v>3060</v>
      </c>
    </row>
    <row r="6412" customFormat="false" ht="15" hidden="false" customHeight="true" outlineLevel="0" collapsed="false">
      <c r="A6412" s="163" t="s">
        <v>3022</v>
      </c>
      <c r="B6412" s="163" t="s">
        <v>894</v>
      </c>
      <c r="C6412" s="163" t="s">
        <v>5858</v>
      </c>
      <c r="D6412" s="163" t="s">
        <v>5859</v>
      </c>
      <c r="E6412" s="164" t="n">
        <v>5000</v>
      </c>
      <c r="F6412" s="165" t="s">
        <v>10389</v>
      </c>
    </row>
    <row r="6413" customFormat="false" ht="15" hidden="false" customHeight="true" outlineLevel="0" collapsed="false">
      <c r="A6413" s="163" t="s">
        <v>3022</v>
      </c>
      <c r="B6413" s="163" t="s">
        <v>894</v>
      </c>
      <c r="C6413" s="163" t="s">
        <v>4090</v>
      </c>
      <c r="D6413" s="163" t="s">
        <v>4091</v>
      </c>
      <c r="E6413" s="164" t="n">
        <v>5000</v>
      </c>
      <c r="F6413" s="165" t="s">
        <v>10390</v>
      </c>
    </row>
    <row r="6414" customFormat="false" ht="15" hidden="false" customHeight="true" outlineLevel="0" collapsed="false">
      <c r="A6414" s="163" t="s">
        <v>3022</v>
      </c>
      <c r="B6414" s="163" t="s">
        <v>894</v>
      </c>
      <c r="C6414" s="163" t="s">
        <v>10391</v>
      </c>
      <c r="D6414" s="163" t="s">
        <v>10392</v>
      </c>
      <c r="E6414" s="164" t="n">
        <v>5000</v>
      </c>
      <c r="F6414" s="165" t="s">
        <v>10393</v>
      </c>
    </row>
    <row r="6415" customFormat="false" ht="15" hidden="false" customHeight="true" outlineLevel="0" collapsed="false">
      <c r="A6415" s="163" t="s">
        <v>3022</v>
      </c>
      <c r="B6415" s="163" t="s">
        <v>894</v>
      </c>
      <c r="C6415" s="163" t="s">
        <v>10355</v>
      </c>
      <c r="D6415" s="163" t="s">
        <v>10356</v>
      </c>
      <c r="E6415" s="164" t="n">
        <v>5000</v>
      </c>
      <c r="F6415" s="165" t="s">
        <v>10394</v>
      </c>
    </row>
    <row r="6416" customFormat="false" ht="15" hidden="false" customHeight="true" outlineLevel="0" collapsed="false">
      <c r="A6416" s="163" t="s">
        <v>3022</v>
      </c>
      <c r="B6416" s="163" t="s">
        <v>894</v>
      </c>
      <c r="C6416" s="163" t="s">
        <v>8464</v>
      </c>
      <c r="D6416" s="163" t="s">
        <v>8465</v>
      </c>
      <c r="E6416" s="164" t="n">
        <v>5000</v>
      </c>
      <c r="F6416" s="165" t="s">
        <v>10330</v>
      </c>
    </row>
    <row r="6417" customFormat="false" ht="15" hidden="false" customHeight="true" outlineLevel="0" collapsed="false">
      <c r="A6417" s="163" t="s">
        <v>3022</v>
      </c>
      <c r="B6417" s="163" t="s">
        <v>894</v>
      </c>
      <c r="C6417" s="163" t="s">
        <v>7794</v>
      </c>
      <c r="D6417" s="163" t="s">
        <v>7795</v>
      </c>
      <c r="E6417" s="164" t="n">
        <v>5000</v>
      </c>
      <c r="F6417" s="165" t="s">
        <v>10395</v>
      </c>
    </row>
    <row r="6418" customFormat="false" ht="15" hidden="false" customHeight="true" outlineLevel="0" collapsed="false">
      <c r="A6418" s="163" t="s">
        <v>3022</v>
      </c>
      <c r="B6418" s="163" t="s">
        <v>894</v>
      </c>
      <c r="C6418" s="163" t="s">
        <v>7893</v>
      </c>
      <c r="D6418" s="163" t="s">
        <v>7894</v>
      </c>
      <c r="E6418" s="164" t="n">
        <v>5000</v>
      </c>
      <c r="F6418" s="165" t="s">
        <v>3060</v>
      </c>
    </row>
    <row r="6419" customFormat="false" ht="15" hidden="false" customHeight="true" outlineLevel="0" collapsed="false">
      <c r="A6419" s="163" t="s">
        <v>3022</v>
      </c>
      <c r="B6419" s="163" t="s">
        <v>894</v>
      </c>
      <c r="C6419" s="163" t="s">
        <v>3145</v>
      </c>
      <c r="D6419" s="163" t="s">
        <v>3146</v>
      </c>
      <c r="E6419" s="164" t="n">
        <v>5000</v>
      </c>
      <c r="F6419" s="165" t="s">
        <v>10396</v>
      </c>
    </row>
    <row r="6420" customFormat="false" ht="15" hidden="false" customHeight="true" outlineLevel="0" collapsed="false">
      <c r="A6420" s="163" t="s">
        <v>3022</v>
      </c>
      <c r="B6420" s="163" t="s">
        <v>894</v>
      </c>
      <c r="C6420" s="163" t="s">
        <v>10397</v>
      </c>
      <c r="D6420" s="163" t="s">
        <v>10398</v>
      </c>
      <c r="E6420" s="164" t="n">
        <v>5000</v>
      </c>
      <c r="F6420" s="165" t="s">
        <v>3060</v>
      </c>
    </row>
    <row r="6421" customFormat="false" ht="15" hidden="false" customHeight="true" outlineLevel="0" collapsed="false">
      <c r="A6421" s="163" t="s">
        <v>3022</v>
      </c>
      <c r="B6421" s="163" t="s">
        <v>894</v>
      </c>
      <c r="C6421" s="163" t="s">
        <v>925</v>
      </c>
      <c r="D6421" s="163" t="s">
        <v>1931</v>
      </c>
      <c r="E6421" s="164" t="n">
        <v>5000</v>
      </c>
      <c r="F6421" s="165" t="s">
        <v>10399</v>
      </c>
    </row>
    <row r="6422" customFormat="false" ht="15" hidden="false" customHeight="true" outlineLevel="0" collapsed="false">
      <c r="A6422" s="163" t="s">
        <v>3022</v>
      </c>
      <c r="B6422" s="163" t="s">
        <v>894</v>
      </c>
      <c r="C6422" s="163" t="s">
        <v>10400</v>
      </c>
      <c r="D6422" s="163" t="s">
        <v>10401</v>
      </c>
      <c r="E6422" s="164" t="n">
        <v>5000</v>
      </c>
      <c r="F6422" s="165" t="s">
        <v>10402</v>
      </c>
    </row>
    <row r="6423" customFormat="false" ht="15" hidden="false" customHeight="true" outlineLevel="0" collapsed="false">
      <c r="A6423" s="163" t="s">
        <v>3022</v>
      </c>
      <c r="B6423" s="163" t="s">
        <v>894</v>
      </c>
      <c r="C6423" s="163" t="s">
        <v>8548</v>
      </c>
      <c r="D6423" s="163" t="s">
        <v>8549</v>
      </c>
      <c r="E6423" s="164" t="n">
        <v>5000</v>
      </c>
      <c r="F6423" s="165" t="s">
        <v>3060</v>
      </c>
    </row>
    <row r="6424" customFormat="false" ht="15" hidden="false" customHeight="true" outlineLevel="0" collapsed="false">
      <c r="A6424" s="163" t="s">
        <v>3022</v>
      </c>
      <c r="B6424" s="163" t="s">
        <v>894</v>
      </c>
      <c r="C6424" s="163" t="s">
        <v>6438</v>
      </c>
      <c r="D6424" s="163" t="s">
        <v>6439</v>
      </c>
      <c r="E6424" s="164" t="n">
        <v>5000</v>
      </c>
      <c r="F6424" s="165" t="s">
        <v>10330</v>
      </c>
    </row>
    <row r="6425" customFormat="false" ht="15" hidden="false" customHeight="true" outlineLevel="0" collapsed="false">
      <c r="A6425" s="163" t="s">
        <v>3022</v>
      </c>
      <c r="B6425" s="163" t="s">
        <v>894</v>
      </c>
      <c r="C6425" s="163" t="s">
        <v>10403</v>
      </c>
      <c r="D6425" s="163" t="s">
        <v>10404</v>
      </c>
      <c r="E6425" s="164" t="n">
        <v>5000</v>
      </c>
      <c r="F6425" s="165" t="s">
        <v>10330</v>
      </c>
    </row>
    <row r="6426" customFormat="false" ht="15" hidden="false" customHeight="true" outlineLevel="0" collapsed="false">
      <c r="A6426" s="163" t="s">
        <v>3022</v>
      </c>
      <c r="B6426" s="163" t="s">
        <v>894</v>
      </c>
      <c r="C6426" s="163" t="s">
        <v>10405</v>
      </c>
      <c r="D6426" s="163" t="s">
        <v>10406</v>
      </c>
      <c r="E6426" s="164" t="n">
        <v>5000</v>
      </c>
      <c r="F6426" s="165" t="s">
        <v>10407</v>
      </c>
    </row>
    <row r="6427" customFormat="false" ht="15" hidden="false" customHeight="true" outlineLevel="0" collapsed="false">
      <c r="A6427" s="163" t="s">
        <v>3022</v>
      </c>
      <c r="B6427" s="163" t="s">
        <v>894</v>
      </c>
      <c r="C6427" s="163" t="s">
        <v>452</v>
      </c>
      <c r="D6427" s="163" t="s">
        <v>1931</v>
      </c>
      <c r="E6427" s="164" t="n">
        <v>5000</v>
      </c>
      <c r="F6427" s="165" t="s">
        <v>10408</v>
      </c>
    </row>
    <row r="6428" customFormat="false" ht="15" hidden="false" customHeight="true" outlineLevel="0" collapsed="false">
      <c r="A6428" s="163" t="s">
        <v>3022</v>
      </c>
      <c r="B6428" s="163" t="s">
        <v>894</v>
      </c>
      <c r="C6428" s="163" t="s">
        <v>452</v>
      </c>
      <c r="D6428" s="163" t="s">
        <v>1931</v>
      </c>
      <c r="E6428" s="164" t="n">
        <v>5000</v>
      </c>
      <c r="F6428" s="165" t="s">
        <v>10409</v>
      </c>
    </row>
    <row r="6429" customFormat="false" ht="15" hidden="false" customHeight="true" outlineLevel="0" collapsed="false">
      <c r="A6429" s="163" t="s">
        <v>3022</v>
      </c>
      <c r="B6429" s="163" t="s">
        <v>894</v>
      </c>
      <c r="C6429" s="163" t="s">
        <v>10410</v>
      </c>
      <c r="D6429" s="163" t="s">
        <v>10411</v>
      </c>
      <c r="E6429" s="164" t="n">
        <v>5000</v>
      </c>
      <c r="F6429" s="165" t="s">
        <v>10412</v>
      </c>
    </row>
    <row r="6430" customFormat="false" ht="15" hidden="false" customHeight="true" outlineLevel="0" collapsed="false">
      <c r="A6430" s="163" t="s">
        <v>3022</v>
      </c>
      <c r="B6430" s="163" t="s">
        <v>894</v>
      </c>
      <c r="C6430" s="163" t="s">
        <v>4995</v>
      </c>
      <c r="D6430" s="163" t="s">
        <v>4996</v>
      </c>
      <c r="E6430" s="164" t="n">
        <v>5000</v>
      </c>
      <c r="F6430" s="165" t="s">
        <v>10330</v>
      </c>
    </row>
    <row r="6431" customFormat="false" ht="15" hidden="false" customHeight="true" outlineLevel="0" collapsed="false">
      <c r="A6431" s="163" t="s">
        <v>3022</v>
      </c>
      <c r="B6431" s="163" t="s">
        <v>894</v>
      </c>
      <c r="C6431" s="163" t="s">
        <v>372</v>
      </c>
      <c r="D6431" s="163" t="s">
        <v>2692</v>
      </c>
      <c r="E6431" s="164" t="n">
        <v>5000</v>
      </c>
      <c r="F6431" s="165" t="s">
        <v>10413</v>
      </c>
    </row>
    <row r="6432" customFormat="false" ht="15" hidden="false" customHeight="true" outlineLevel="0" collapsed="false">
      <c r="A6432" s="163" t="s">
        <v>3022</v>
      </c>
      <c r="B6432" s="163" t="s">
        <v>894</v>
      </c>
      <c r="C6432" s="163" t="s">
        <v>10414</v>
      </c>
      <c r="D6432" s="163" t="s">
        <v>10415</v>
      </c>
      <c r="E6432" s="164" t="n">
        <v>5000</v>
      </c>
      <c r="F6432" s="165" t="s">
        <v>10330</v>
      </c>
    </row>
    <row r="6433" customFormat="false" ht="15" hidden="false" customHeight="true" outlineLevel="0" collapsed="false">
      <c r="A6433" s="163" t="s">
        <v>3022</v>
      </c>
      <c r="B6433" s="163" t="s">
        <v>894</v>
      </c>
      <c r="C6433" s="163" t="s">
        <v>6612</v>
      </c>
      <c r="D6433" s="163" t="s">
        <v>6613</v>
      </c>
      <c r="E6433" s="164" t="n">
        <v>5000</v>
      </c>
      <c r="F6433" s="165" t="s">
        <v>10416</v>
      </c>
    </row>
    <row r="6434" customFormat="false" ht="15" hidden="false" customHeight="true" outlineLevel="0" collapsed="false">
      <c r="A6434" s="163" t="s">
        <v>3022</v>
      </c>
      <c r="B6434" s="163" t="s">
        <v>894</v>
      </c>
      <c r="C6434" s="163" t="s">
        <v>452</v>
      </c>
      <c r="D6434" s="163" t="s">
        <v>2102</v>
      </c>
      <c r="E6434" s="164" t="n">
        <v>5000</v>
      </c>
      <c r="F6434" s="165" t="s">
        <v>10417</v>
      </c>
    </row>
    <row r="6435" customFormat="false" ht="15" hidden="false" customHeight="true" outlineLevel="0" collapsed="false">
      <c r="A6435" s="163" t="s">
        <v>3022</v>
      </c>
      <c r="B6435" s="163" t="s">
        <v>894</v>
      </c>
      <c r="C6435" s="163" t="s">
        <v>10315</v>
      </c>
      <c r="D6435" s="163" t="s">
        <v>10316</v>
      </c>
      <c r="E6435" s="164" t="n">
        <v>5000</v>
      </c>
      <c r="F6435" s="165" t="s">
        <v>10317</v>
      </c>
    </row>
    <row r="6436" customFormat="false" ht="15" hidden="false" customHeight="true" outlineLevel="0" collapsed="false">
      <c r="A6436" s="163" t="s">
        <v>3022</v>
      </c>
      <c r="B6436" s="163" t="s">
        <v>894</v>
      </c>
      <c r="C6436" s="163" t="s">
        <v>3766</v>
      </c>
      <c r="D6436" s="163" t="s">
        <v>3767</v>
      </c>
      <c r="E6436" s="164" t="n">
        <v>5000</v>
      </c>
      <c r="F6436" s="165" t="s">
        <v>3060</v>
      </c>
    </row>
    <row r="6437" customFormat="false" ht="15" hidden="false" customHeight="true" outlineLevel="0" collapsed="false">
      <c r="A6437" s="163" t="s">
        <v>3022</v>
      </c>
      <c r="B6437" s="163" t="s">
        <v>894</v>
      </c>
      <c r="C6437" s="163" t="s">
        <v>4269</v>
      </c>
      <c r="D6437" s="163" t="s">
        <v>4270</v>
      </c>
      <c r="E6437" s="164" t="n">
        <v>5000</v>
      </c>
      <c r="F6437" s="165" t="s">
        <v>10418</v>
      </c>
    </row>
    <row r="6438" customFormat="false" ht="15" hidden="false" customHeight="true" outlineLevel="0" collapsed="false">
      <c r="A6438" s="163" t="s">
        <v>3022</v>
      </c>
      <c r="B6438" s="163" t="s">
        <v>882</v>
      </c>
      <c r="C6438" s="163" t="s">
        <v>640</v>
      </c>
      <c r="D6438" s="163" t="s">
        <v>1931</v>
      </c>
      <c r="E6438" s="164" t="n">
        <v>160000</v>
      </c>
      <c r="F6438" s="165" t="s">
        <v>10419</v>
      </c>
    </row>
    <row r="6439" customFormat="false" ht="15" hidden="false" customHeight="true" outlineLevel="0" collapsed="false">
      <c r="A6439" s="163" t="s">
        <v>3022</v>
      </c>
      <c r="B6439" s="163" t="s">
        <v>882</v>
      </c>
      <c r="C6439" s="163" t="s">
        <v>10328</v>
      </c>
      <c r="D6439" s="163" t="s">
        <v>10329</v>
      </c>
      <c r="E6439" s="164" t="n">
        <v>120000</v>
      </c>
      <c r="F6439" s="165" t="s">
        <v>10330</v>
      </c>
    </row>
    <row r="6440" customFormat="false" ht="15" hidden="false" customHeight="true" outlineLevel="0" collapsed="false">
      <c r="A6440" s="163" t="s">
        <v>3022</v>
      </c>
      <c r="B6440" s="163" t="s">
        <v>2328</v>
      </c>
      <c r="C6440" s="163" t="s">
        <v>10328</v>
      </c>
      <c r="D6440" s="163" t="s">
        <v>10329</v>
      </c>
      <c r="E6440" s="164" t="n">
        <v>30000</v>
      </c>
      <c r="F6440" s="165" t="s">
        <v>10420</v>
      </c>
    </row>
    <row r="6441" customFormat="false" ht="15" hidden="false" customHeight="true" outlineLevel="0" collapsed="false">
      <c r="A6441" s="163" t="s">
        <v>3022</v>
      </c>
      <c r="B6441" s="163" t="s">
        <v>2328</v>
      </c>
      <c r="C6441" s="163" t="s">
        <v>5290</v>
      </c>
      <c r="D6441" s="163" t="s">
        <v>5291</v>
      </c>
      <c r="E6441" s="164" t="n">
        <v>20000</v>
      </c>
      <c r="F6441" s="165" t="s">
        <v>10421</v>
      </c>
    </row>
    <row r="6442" customFormat="false" ht="15" hidden="false" customHeight="true" outlineLevel="0" collapsed="false">
      <c r="A6442" s="163" t="s">
        <v>3022</v>
      </c>
      <c r="B6442" s="163" t="s">
        <v>2342</v>
      </c>
      <c r="C6442" s="163" t="s">
        <v>197</v>
      </c>
      <c r="D6442" s="163" t="s">
        <v>1931</v>
      </c>
      <c r="E6442" s="164" t="n">
        <v>45000</v>
      </c>
      <c r="F6442" s="165" t="s">
        <v>10422</v>
      </c>
    </row>
    <row r="6443" customFormat="false" ht="15" hidden="false" customHeight="true" outlineLevel="0" collapsed="false">
      <c r="A6443" s="163" t="s">
        <v>3022</v>
      </c>
      <c r="B6443" s="163" t="s">
        <v>2342</v>
      </c>
      <c r="C6443" s="163" t="s">
        <v>230</v>
      </c>
      <c r="D6443" s="163" t="s">
        <v>2077</v>
      </c>
      <c r="E6443" s="164" t="n">
        <v>15000</v>
      </c>
      <c r="F6443" s="165" t="s">
        <v>10423</v>
      </c>
    </row>
    <row r="6444" customFormat="false" ht="15" hidden="false" customHeight="true" outlineLevel="0" collapsed="false">
      <c r="A6444" s="163" t="s">
        <v>3022</v>
      </c>
      <c r="B6444" s="163" t="s">
        <v>2342</v>
      </c>
      <c r="C6444" s="163" t="s">
        <v>230</v>
      </c>
      <c r="D6444" s="163" t="s">
        <v>2077</v>
      </c>
      <c r="E6444" s="164" t="n">
        <v>15000</v>
      </c>
      <c r="F6444" s="165" t="s">
        <v>10424</v>
      </c>
    </row>
    <row r="6445" customFormat="false" ht="15" hidden="false" customHeight="true" outlineLevel="0" collapsed="false">
      <c r="A6445" s="163" t="s">
        <v>3022</v>
      </c>
      <c r="B6445" s="163" t="s">
        <v>2342</v>
      </c>
      <c r="C6445" s="163" t="s">
        <v>197</v>
      </c>
      <c r="D6445" s="163" t="s">
        <v>1931</v>
      </c>
      <c r="E6445" s="164" t="n">
        <v>10000</v>
      </c>
      <c r="F6445" s="165" t="s">
        <v>3060</v>
      </c>
    </row>
    <row r="6446" customFormat="false" ht="15" hidden="false" customHeight="true" outlineLevel="0" collapsed="false">
      <c r="A6446" s="163" t="s">
        <v>3022</v>
      </c>
      <c r="B6446" s="163" t="s">
        <v>2342</v>
      </c>
      <c r="C6446" s="163" t="s">
        <v>3709</v>
      </c>
      <c r="D6446" s="163" t="s">
        <v>3710</v>
      </c>
      <c r="E6446" s="164" t="n">
        <v>5000</v>
      </c>
      <c r="F6446" s="165" t="s">
        <v>10425</v>
      </c>
    </row>
    <row r="6447" customFormat="false" ht="15" hidden="false" customHeight="true" outlineLevel="0" collapsed="false">
      <c r="A6447" s="163" t="s">
        <v>3022</v>
      </c>
      <c r="B6447" s="163" t="s">
        <v>2766</v>
      </c>
      <c r="C6447" s="163" t="s">
        <v>5160</v>
      </c>
      <c r="D6447" s="163" t="s">
        <v>5161</v>
      </c>
      <c r="E6447" s="164" t="n">
        <v>15000</v>
      </c>
      <c r="F6447" s="165" t="s">
        <v>10426</v>
      </c>
    </row>
    <row r="6448" customFormat="false" ht="15" hidden="false" customHeight="true" outlineLevel="0" collapsed="false">
      <c r="A6448" s="163" t="s">
        <v>3022</v>
      </c>
      <c r="B6448" s="163" t="s">
        <v>2766</v>
      </c>
      <c r="C6448" s="163" t="s">
        <v>5160</v>
      </c>
      <c r="D6448" s="163" t="s">
        <v>5161</v>
      </c>
      <c r="E6448" s="164" t="n">
        <v>15000</v>
      </c>
      <c r="F6448" s="165" t="s">
        <v>10427</v>
      </c>
    </row>
    <row r="6449" customFormat="false" ht="15" hidden="false" customHeight="true" outlineLevel="0" collapsed="false">
      <c r="A6449" s="163" t="s">
        <v>3022</v>
      </c>
      <c r="B6449" s="163" t="s">
        <v>2766</v>
      </c>
      <c r="C6449" s="163" t="s">
        <v>5160</v>
      </c>
      <c r="D6449" s="163" t="s">
        <v>5161</v>
      </c>
      <c r="E6449" s="164" t="n">
        <v>15000</v>
      </c>
      <c r="F6449" s="165" t="s">
        <v>10428</v>
      </c>
    </row>
    <row r="6450" customFormat="false" ht="15" hidden="false" customHeight="true" outlineLevel="0" collapsed="false">
      <c r="A6450" s="163" t="s">
        <v>3022</v>
      </c>
      <c r="B6450" s="163" t="s">
        <v>2766</v>
      </c>
      <c r="C6450" s="163" t="s">
        <v>10429</v>
      </c>
      <c r="D6450" s="163" t="s">
        <v>10430</v>
      </c>
      <c r="E6450" s="164" t="n">
        <v>15000</v>
      </c>
      <c r="F6450" s="165" t="s">
        <v>10431</v>
      </c>
    </row>
    <row r="6451" customFormat="false" ht="15" hidden="false" customHeight="true" outlineLevel="0" collapsed="false">
      <c r="A6451" s="163" t="s">
        <v>3022</v>
      </c>
      <c r="B6451" s="163" t="s">
        <v>2766</v>
      </c>
      <c r="C6451" s="163" t="s">
        <v>4957</v>
      </c>
      <c r="D6451" s="163" t="s">
        <v>4958</v>
      </c>
      <c r="E6451" s="164" t="n">
        <v>15000</v>
      </c>
      <c r="F6451" s="165" t="s">
        <v>10432</v>
      </c>
    </row>
    <row r="6452" customFormat="false" ht="15" hidden="false" customHeight="true" outlineLevel="0" collapsed="false">
      <c r="A6452" s="163" t="s">
        <v>3022</v>
      </c>
      <c r="B6452" s="163" t="s">
        <v>1743</v>
      </c>
      <c r="C6452" s="163" t="s">
        <v>1109</v>
      </c>
      <c r="D6452" s="163" t="s">
        <v>3755</v>
      </c>
      <c r="E6452" s="164" t="n">
        <v>30000</v>
      </c>
      <c r="F6452" s="165" t="s">
        <v>10433</v>
      </c>
    </row>
    <row r="6453" customFormat="false" ht="15" hidden="false" customHeight="true" outlineLevel="0" collapsed="false">
      <c r="A6453" s="163" t="s">
        <v>3022</v>
      </c>
      <c r="B6453" s="163" t="s">
        <v>1743</v>
      </c>
      <c r="C6453" s="163" t="s">
        <v>10315</v>
      </c>
      <c r="D6453" s="163" t="s">
        <v>10316</v>
      </c>
      <c r="E6453" s="164" t="n">
        <v>30000</v>
      </c>
      <c r="F6453" s="165" t="s">
        <v>3060</v>
      </c>
    </row>
    <row r="6454" customFormat="false" ht="15" hidden="false" customHeight="true" outlineLevel="0" collapsed="false">
      <c r="A6454" s="163" t="s">
        <v>3022</v>
      </c>
      <c r="B6454" s="163" t="s">
        <v>1743</v>
      </c>
      <c r="C6454" s="163" t="s">
        <v>7773</v>
      </c>
      <c r="D6454" s="163" t="s">
        <v>7774</v>
      </c>
      <c r="E6454" s="164" t="n">
        <v>25000</v>
      </c>
      <c r="F6454" s="165" t="s">
        <v>10330</v>
      </c>
    </row>
    <row r="6455" customFormat="false" ht="15" hidden="false" customHeight="true" outlineLevel="0" collapsed="false">
      <c r="A6455" s="163" t="s">
        <v>3022</v>
      </c>
      <c r="B6455" s="163" t="s">
        <v>1743</v>
      </c>
      <c r="C6455" s="163" t="s">
        <v>4635</v>
      </c>
      <c r="D6455" s="163" t="s">
        <v>4636</v>
      </c>
      <c r="E6455" s="164" t="n">
        <v>20000</v>
      </c>
      <c r="F6455" s="165" t="s">
        <v>10434</v>
      </c>
    </row>
    <row r="6456" customFormat="false" ht="15" hidden="false" customHeight="true" outlineLevel="0" collapsed="false">
      <c r="A6456" s="163" t="s">
        <v>3022</v>
      </c>
      <c r="B6456" s="163" t="s">
        <v>1743</v>
      </c>
      <c r="C6456" s="163" t="s">
        <v>7984</v>
      </c>
      <c r="D6456" s="163" t="s">
        <v>7985</v>
      </c>
      <c r="E6456" s="164" t="n">
        <v>20000</v>
      </c>
      <c r="F6456" s="165" t="s">
        <v>10330</v>
      </c>
    </row>
    <row r="6457" customFormat="false" ht="15" hidden="false" customHeight="true" outlineLevel="0" collapsed="false">
      <c r="A6457" s="163" t="s">
        <v>3022</v>
      </c>
      <c r="B6457" s="163" t="s">
        <v>1743</v>
      </c>
      <c r="C6457" s="163" t="s">
        <v>10410</v>
      </c>
      <c r="D6457" s="163" t="s">
        <v>10411</v>
      </c>
      <c r="E6457" s="164" t="n">
        <v>15000</v>
      </c>
      <c r="F6457" s="165" t="s">
        <v>10330</v>
      </c>
    </row>
    <row r="6458" customFormat="false" ht="15" hidden="false" customHeight="true" outlineLevel="0" collapsed="false">
      <c r="A6458" s="163" t="s">
        <v>3022</v>
      </c>
      <c r="B6458" s="163" t="s">
        <v>1743</v>
      </c>
      <c r="C6458" s="163" t="s">
        <v>452</v>
      </c>
      <c r="D6458" s="163" t="s">
        <v>1931</v>
      </c>
      <c r="E6458" s="164" t="n">
        <v>10000</v>
      </c>
      <c r="F6458" s="165" t="s">
        <v>10435</v>
      </c>
    </row>
    <row r="6459" customFormat="false" ht="15" hidden="false" customHeight="true" outlineLevel="0" collapsed="false">
      <c r="A6459" s="163" t="s">
        <v>3022</v>
      </c>
      <c r="B6459" s="163" t="s">
        <v>928</v>
      </c>
      <c r="C6459" s="163" t="s">
        <v>1159</v>
      </c>
      <c r="D6459" s="163" t="s">
        <v>1936</v>
      </c>
      <c r="E6459" s="164" t="n">
        <v>28500</v>
      </c>
      <c r="F6459" s="165" t="s">
        <v>10436</v>
      </c>
    </row>
    <row r="6460" customFormat="false" ht="15" hidden="false" customHeight="true" outlineLevel="0" collapsed="false">
      <c r="A6460" s="163" t="s">
        <v>3022</v>
      </c>
      <c r="B6460" s="163" t="s">
        <v>928</v>
      </c>
      <c r="C6460" s="163" t="s">
        <v>7794</v>
      </c>
      <c r="D6460" s="163" t="s">
        <v>7795</v>
      </c>
      <c r="E6460" s="164" t="n">
        <v>14000</v>
      </c>
      <c r="F6460" s="165" t="s">
        <v>7914</v>
      </c>
    </row>
    <row r="6461" customFormat="false" ht="15" hidden="false" customHeight="true" outlineLevel="0" collapsed="false">
      <c r="A6461" s="163" t="s">
        <v>3022</v>
      </c>
      <c r="B6461" s="163" t="s">
        <v>928</v>
      </c>
      <c r="C6461" s="163" t="s">
        <v>10437</v>
      </c>
      <c r="D6461" s="163" t="s">
        <v>10438</v>
      </c>
      <c r="E6461" s="164" t="n">
        <v>10000</v>
      </c>
      <c r="F6461" s="165" t="s">
        <v>10330</v>
      </c>
    </row>
    <row r="6462" customFormat="false" ht="15" hidden="false" customHeight="true" outlineLevel="0" collapsed="false">
      <c r="A6462" s="163" t="s">
        <v>3022</v>
      </c>
      <c r="B6462" s="163" t="s">
        <v>928</v>
      </c>
      <c r="C6462" s="163" t="s">
        <v>6573</v>
      </c>
      <c r="D6462" s="163" t="s">
        <v>6574</v>
      </c>
      <c r="E6462" s="164" t="n">
        <v>6500</v>
      </c>
      <c r="F6462" s="165" t="s">
        <v>10439</v>
      </c>
    </row>
    <row r="6463" customFormat="false" ht="15" hidden="false" customHeight="true" outlineLevel="0" collapsed="false">
      <c r="A6463" s="163" t="s">
        <v>3022</v>
      </c>
      <c r="B6463" s="163" t="s">
        <v>928</v>
      </c>
      <c r="C6463" s="163" t="s">
        <v>7773</v>
      </c>
      <c r="D6463" s="163" t="s">
        <v>7774</v>
      </c>
      <c r="E6463" s="164" t="n">
        <v>5500</v>
      </c>
      <c r="F6463" s="165" t="s">
        <v>7674</v>
      </c>
    </row>
    <row r="6464" customFormat="false" ht="15" hidden="false" customHeight="true" outlineLevel="0" collapsed="false">
      <c r="A6464" s="163" t="s">
        <v>3022</v>
      </c>
      <c r="B6464" s="163" t="s">
        <v>928</v>
      </c>
      <c r="C6464" s="163" t="s">
        <v>6627</v>
      </c>
      <c r="D6464" s="163" t="s">
        <v>6628</v>
      </c>
      <c r="E6464" s="164" t="n">
        <v>5500</v>
      </c>
      <c r="F6464" s="165" t="s">
        <v>10440</v>
      </c>
    </row>
    <row r="6465" customFormat="false" ht="15" hidden="false" customHeight="true" outlineLevel="0" collapsed="false">
      <c r="A6465" s="163" t="s">
        <v>3022</v>
      </c>
      <c r="B6465" s="163" t="s">
        <v>928</v>
      </c>
      <c r="C6465" s="163" t="s">
        <v>5148</v>
      </c>
      <c r="D6465" s="163" t="s">
        <v>5149</v>
      </c>
      <c r="E6465" s="164" t="n">
        <v>5000</v>
      </c>
      <c r="F6465" s="165" t="s">
        <v>10441</v>
      </c>
    </row>
    <row r="6466" customFormat="false" ht="15" hidden="false" customHeight="true" outlineLevel="0" collapsed="false">
      <c r="A6466" s="163" t="s">
        <v>3022</v>
      </c>
      <c r="B6466" s="163" t="s">
        <v>928</v>
      </c>
      <c r="C6466" s="163" t="s">
        <v>5148</v>
      </c>
      <c r="D6466" s="163" t="s">
        <v>5149</v>
      </c>
      <c r="E6466" s="164" t="n">
        <v>5000</v>
      </c>
      <c r="F6466" s="165" t="s">
        <v>10442</v>
      </c>
    </row>
    <row r="6467" customFormat="false" ht="15" hidden="false" customHeight="true" outlineLevel="0" collapsed="false">
      <c r="A6467" s="163" t="s">
        <v>3022</v>
      </c>
      <c r="B6467" s="163" t="s">
        <v>928</v>
      </c>
      <c r="C6467" s="163" t="s">
        <v>5148</v>
      </c>
      <c r="D6467" s="163" t="s">
        <v>5149</v>
      </c>
      <c r="E6467" s="164" t="n">
        <v>5000</v>
      </c>
      <c r="F6467" s="165" t="s">
        <v>10330</v>
      </c>
    </row>
    <row r="6468" customFormat="false" ht="15" hidden="false" customHeight="true" outlineLevel="0" collapsed="false">
      <c r="A6468" s="163" t="s">
        <v>3022</v>
      </c>
      <c r="B6468" s="163" t="s">
        <v>928</v>
      </c>
      <c r="C6468" s="163" t="s">
        <v>10311</v>
      </c>
      <c r="D6468" s="163" t="s">
        <v>10312</v>
      </c>
      <c r="E6468" s="164" t="n">
        <v>5000</v>
      </c>
      <c r="F6468" s="165" t="s">
        <v>10443</v>
      </c>
    </row>
    <row r="6469" customFormat="false" ht="15" hidden="false" customHeight="true" outlineLevel="0" collapsed="false">
      <c r="A6469" s="163" t="s">
        <v>3022</v>
      </c>
      <c r="B6469" s="163" t="s">
        <v>928</v>
      </c>
      <c r="C6469" s="163" t="s">
        <v>1109</v>
      </c>
      <c r="D6469" s="163" t="s">
        <v>3755</v>
      </c>
      <c r="E6469" s="164" t="n">
        <v>5000</v>
      </c>
      <c r="F6469" s="165" t="s">
        <v>10444</v>
      </c>
    </row>
    <row r="6470" customFormat="false" ht="15" hidden="false" customHeight="true" outlineLevel="0" collapsed="false">
      <c r="A6470" s="163" t="s">
        <v>3022</v>
      </c>
      <c r="B6470" s="163" t="s">
        <v>928</v>
      </c>
      <c r="C6470" s="163" t="s">
        <v>1109</v>
      </c>
      <c r="D6470" s="163" t="s">
        <v>3755</v>
      </c>
      <c r="E6470" s="164" t="n">
        <v>5000</v>
      </c>
      <c r="F6470" s="165" t="s">
        <v>10445</v>
      </c>
    </row>
    <row r="6471" customFormat="false" ht="15" hidden="false" customHeight="true" outlineLevel="0" collapsed="false">
      <c r="A6471" s="163" t="s">
        <v>3022</v>
      </c>
      <c r="B6471" s="163" t="s">
        <v>928</v>
      </c>
      <c r="C6471" s="163" t="s">
        <v>1109</v>
      </c>
      <c r="D6471" s="163" t="s">
        <v>3755</v>
      </c>
      <c r="E6471" s="164" t="n">
        <v>5000</v>
      </c>
      <c r="F6471" s="165" t="s">
        <v>10446</v>
      </c>
    </row>
    <row r="6472" customFormat="false" ht="15" hidden="false" customHeight="true" outlineLevel="0" collapsed="false">
      <c r="A6472" s="163" t="s">
        <v>3022</v>
      </c>
      <c r="B6472" s="163" t="s">
        <v>928</v>
      </c>
      <c r="C6472" s="163" t="s">
        <v>3317</v>
      </c>
      <c r="D6472" s="163" t="s">
        <v>3318</v>
      </c>
      <c r="E6472" s="164" t="n">
        <v>5000</v>
      </c>
      <c r="F6472" s="165" t="s">
        <v>10447</v>
      </c>
    </row>
    <row r="6473" customFormat="false" ht="15" hidden="false" customHeight="true" outlineLevel="0" collapsed="false">
      <c r="A6473" s="163" t="s">
        <v>3022</v>
      </c>
      <c r="B6473" s="163" t="s">
        <v>928</v>
      </c>
      <c r="C6473" s="163" t="s">
        <v>2780</v>
      </c>
      <c r="D6473" s="163" t="s">
        <v>2429</v>
      </c>
      <c r="E6473" s="164" t="n">
        <v>5000</v>
      </c>
      <c r="F6473" s="165" t="s">
        <v>10448</v>
      </c>
    </row>
    <row r="6474" customFormat="false" ht="15" hidden="false" customHeight="true" outlineLevel="0" collapsed="false">
      <c r="A6474" s="163" t="s">
        <v>3022</v>
      </c>
      <c r="B6474" s="163" t="s">
        <v>928</v>
      </c>
      <c r="C6474" s="163" t="s">
        <v>10449</v>
      </c>
      <c r="D6474" s="163" t="s">
        <v>10450</v>
      </c>
      <c r="E6474" s="164" t="n">
        <v>5000</v>
      </c>
      <c r="F6474" s="165" t="s">
        <v>10451</v>
      </c>
    </row>
    <row r="6475" customFormat="false" ht="15" hidden="false" customHeight="true" outlineLevel="0" collapsed="false">
      <c r="A6475" s="163" t="s">
        <v>3022</v>
      </c>
      <c r="B6475" s="163" t="s">
        <v>928</v>
      </c>
      <c r="C6475" s="163" t="s">
        <v>5142</v>
      </c>
      <c r="D6475" s="163" t="s">
        <v>5143</v>
      </c>
      <c r="E6475" s="164" t="n">
        <v>5000</v>
      </c>
      <c r="F6475" s="165" t="s">
        <v>10452</v>
      </c>
    </row>
    <row r="6476" customFormat="false" ht="15" hidden="false" customHeight="true" outlineLevel="0" collapsed="false">
      <c r="A6476" s="163" t="s">
        <v>3022</v>
      </c>
      <c r="B6476" s="163" t="s">
        <v>928</v>
      </c>
      <c r="C6476" s="163" t="s">
        <v>10453</v>
      </c>
      <c r="D6476" s="163" t="s">
        <v>10454</v>
      </c>
      <c r="E6476" s="164" t="n">
        <v>5000</v>
      </c>
      <c r="F6476" s="165" t="s">
        <v>3060</v>
      </c>
    </row>
    <row r="6477" customFormat="false" ht="15" hidden="false" customHeight="true" outlineLevel="0" collapsed="false">
      <c r="A6477" s="163" t="s">
        <v>3022</v>
      </c>
      <c r="B6477" s="163" t="s">
        <v>928</v>
      </c>
      <c r="C6477" s="163" t="s">
        <v>4427</v>
      </c>
      <c r="D6477" s="163" t="s">
        <v>4428</v>
      </c>
      <c r="E6477" s="164" t="n">
        <v>5000</v>
      </c>
      <c r="F6477" s="165" t="s">
        <v>10455</v>
      </c>
    </row>
    <row r="6478" customFormat="false" ht="15" hidden="false" customHeight="true" outlineLevel="0" collapsed="false">
      <c r="A6478" s="163" t="s">
        <v>3022</v>
      </c>
      <c r="B6478" s="163" t="s">
        <v>928</v>
      </c>
      <c r="C6478" s="163" t="s">
        <v>10456</v>
      </c>
      <c r="D6478" s="163" t="s">
        <v>10457</v>
      </c>
      <c r="E6478" s="164" t="n">
        <v>5000</v>
      </c>
      <c r="F6478" s="165" t="s">
        <v>10458</v>
      </c>
    </row>
    <row r="6479" customFormat="false" ht="15" hidden="false" customHeight="true" outlineLevel="0" collapsed="false">
      <c r="A6479" s="163" t="s">
        <v>3022</v>
      </c>
      <c r="B6479" s="163" t="s">
        <v>928</v>
      </c>
      <c r="C6479" s="163" t="s">
        <v>10459</v>
      </c>
      <c r="D6479" s="163" t="s">
        <v>10460</v>
      </c>
      <c r="E6479" s="164" t="n">
        <v>5000</v>
      </c>
      <c r="F6479" s="165" t="s">
        <v>10461</v>
      </c>
    </row>
    <row r="6480" customFormat="false" ht="15" hidden="false" customHeight="true" outlineLevel="0" collapsed="false">
      <c r="A6480" s="163" t="s">
        <v>3022</v>
      </c>
      <c r="B6480" s="163" t="s">
        <v>928</v>
      </c>
      <c r="C6480" s="163" t="s">
        <v>3163</v>
      </c>
      <c r="D6480" s="163" t="s">
        <v>3164</v>
      </c>
      <c r="E6480" s="164" t="n">
        <v>5000</v>
      </c>
      <c r="F6480" s="165" t="s">
        <v>10462</v>
      </c>
    </row>
    <row r="6481" customFormat="false" ht="15" hidden="false" customHeight="true" outlineLevel="0" collapsed="false">
      <c r="A6481" s="163" t="s">
        <v>2466</v>
      </c>
      <c r="B6481" s="163" t="s">
        <v>926</v>
      </c>
      <c r="C6481" s="163" t="s">
        <v>197</v>
      </c>
      <c r="D6481" s="163" t="s">
        <v>1931</v>
      </c>
      <c r="E6481" s="164" t="n">
        <v>65000</v>
      </c>
      <c r="F6481" s="165" t="s">
        <v>10463</v>
      </c>
    </row>
    <row r="6482" customFormat="false" ht="15" hidden="false" customHeight="true" outlineLevel="0" collapsed="false">
      <c r="A6482" s="163" t="s">
        <v>2466</v>
      </c>
      <c r="B6482" s="163" t="s">
        <v>926</v>
      </c>
      <c r="C6482" s="163" t="s">
        <v>395</v>
      </c>
      <c r="D6482" s="163" t="s">
        <v>2196</v>
      </c>
      <c r="E6482" s="164" t="n">
        <v>25000</v>
      </c>
      <c r="F6482" s="165" t="s">
        <v>10464</v>
      </c>
    </row>
    <row r="6483" customFormat="false" ht="15" hidden="false" customHeight="true" outlineLevel="0" collapsed="false">
      <c r="A6483" s="163" t="s">
        <v>2466</v>
      </c>
      <c r="B6483" s="163" t="s">
        <v>926</v>
      </c>
      <c r="C6483" s="163" t="s">
        <v>10465</v>
      </c>
      <c r="D6483" s="163" t="s">
        <v>10466</v>
      </c>
      <c r="E6483" s="164" t="n">
        <v>10000</v>
      </c>
      <c r="F6483" s="165" t="s">
        <v>10467</v>
      </c>
    </row>
    <row r="6484" customFormat="false" ht="15" hidden="false" customHeight="true" outlineLevel="0" collapsed="false">
      <c r="A6484" s="163" t="s">
        <v>2466</v>
      </c>
      <c r="B6484" s="163" t="s">
        <v>957</v>
      </c>
      <c r="C6484" s="163" t="s">
        <v>1135</v>
      </c>
      <c r="D6484" s="163" t="s">
        <v>2507</v>
      </c>
      <c r="E6484" s="164" t="n">
        <v>15000</v>
      </c>
      <c r="F6484" s="165" t="s">
        <v>10468</v>
      </c>
    </row>
    <row r="6485" customFormat="false" ht="15" hidden="false" customHeight="true" outlineLevel="0" collapsed="false">
      <c r="A6485" s="163" t="s">
        <v>2466</v>
      </c>
      <c r="B6485" s="163" t="s">
        <v>957</v>
      </c>
      <c r="C6485" s="163" t="s">
        <v>10469</v>
      </c>
      <c r="D6485" s="163" t="s">
        <v>10470</v>
      </c>
      <c r="E6485" s="164" t="n">
        <v>10000</v>
      </c>
      <c r="F6485" s="165" t="s">
        <v>3060</v>
      </c>
    </row>
    <row r="6486" customFormat="false" ht="15" hidden="false" customHeight="true" outlineLevel="0" collapsed="false">
      <c r="A6486" s="163" t="s">
        <v>2466</v>
      </c>
      <c r="B6486" s="163" t="s">
        <v>957</v>
      </c>
      <c r="C6486" s="163" t="s">
        <v>3793</v>
      </c>
      <c r="D6486" s="163" t="s">
        <v>3794</v>
      </c>
      <c r="E6486" s="164" t="n">
        <v>10000</v>
      </c>
      <c r="F6486" s="165" t="s">
        <v>10471</v>
      </c>
    </row>
    <row r="6487" customFormat="false" ht="15" hidden="false" customHeight="true" outlineLevel="0" collapsed="false">
      <c r="A6487" s="163" t="s">
        <v>2466</v>
      </c>
      <c r="B6487" s="163" t="s">
        <v>957</v>
      </c>
      <c r="C6487" s="163" t="s">
        <v>3210</v>
      </c>
      <c r="D6487" s="163" t="s">
        <v>3211</v>
      </c>
      <c r="E6487" s="164" t="n">
        <v>10000</v>
      </c>
      <c r="F6487" s="165" t="s">
        <v>10472</v>
      </c>
    </row>
    <row r="6488" customFormat="false" ht="15" hidden="false" customHeight="true" outlineLevel="0" collapsed="false">
      <c r="A6488" s="163" t="s">
        <v>2466</v>
      </c>
      <c r="B6488" s="163" t="s">
        <v>957</v>
      </c>
      <c r="C6488" s="163" t="s">
        <v>1135</v>
      </c>
      <c r="D6488" s="163" t="s">
        <v>2507</v>
      </c>
      <c r="E6488" s="164" t="n">
        <v>7500</v>
      </c>
      <c r="F6488" s="165" t="s">
        <v>8850</v>
      </c>
    </row>
    <row r="6489" customFormat="false" ht="15" hidden="false" customHeight="true" outlineLevel="0" collapsed="false">
      <c r="A6489" s="163" t="s">
        <v>2466</v>
      </c>
      <c r="B6489" s="163" t="s">
        <v>957</v>
      </c>
      <c r="C6489" s="163" t="s">
        <v>1135</v>
      </c>
      <c r="D6489" s="163" t="s">
        <v>2507</v>
      </c>
      <c r="E6489" s="164" t="n">
        <v>7500</v>
      </c>
      <c r="F6489" s="165" t="s">
        <v>3060</v>
      </c>
    </row>
    <row r="6490" customFormat="false" ht="15" hidden="false" customHeight="true" outlineLevel="0" collapsed="false">
      <c r="A6490" s="163" t="s">
        <v>2466</v>
      </c>
      <c r="B6490" s="163" t="s">
        <v>957</v>
      </c>
      <c r="C6490" s="163" t="s">
        <v>10473</v>
      </c>
      <c r="D6490" s="163" t="s">
        <v>10474</v>
      </c>
      <c r="E6490" s="164" t="n">
        <v>5000</v>
      </c>
      <c r="F6490" s="165" t="s">
        <v>3060</v>
      </c>
    </row>
    <row r="6491" customFormat="false" ht="15" hidden="false" customHeight="true" outlineLevel="0" collapsed="false">
      <c r="A6491" s="163" t="s">
        <v>2466</v>
      </c>
      <c r="B6491" s="163" t="s">
        <v>957</v>
      </c>
      <c r="C6491" s="163" t="s">
        <v>3210</v>
      </c>
      <c r="D6491" s="163" t="s">
        <v>3211</v>
      </c>
      <c r="E6491" s="164" t="n">
        <v>5000</v>
      </c>
      <c r="F6491" s="165" t="s">
        <v>10475</v>
      </c>
    </row>
    <row r="6492" customFormat="false" ht="15" hidden="false" customHeight="true" outlineLevel="0" collapsed="false">
      <c r="A6492" s="163" t="s">
        <v>2466</v>
      </c>
      <c r="B6492" s="163" t="s">
        <v>957</v>
      </c>
      <c r="C6492" s="163" t="s">
        <v>3210</v>
      </c>
      <c r="D6492" s="163" t="s">
        <v>3211</v>
      </c>
      <c r="E6492" s="164" t="n">
        <v>5000</v>
      </c>
      <c r="F6492" s="165" t="s">
        <v>10476</v>
      </c>
    </row>
    <row r="6493" customFormat="false" ht="15" hidden="false" customHeight="true" outlineLevel="0" collapsed="false">
      <c r="A6493" s="163" t="s">
        <v>2466</v>
      </c>
      <c r="B6493" s="163" t="s">
        <v>957</v>
      </c>
      <c r="C6493" s="163" t="s">
        <v>3210</v>
      </c>
      <c r="D6493" s="163" t="s">
        <v>3211</v>
      </c>
      <c r="E6493" s="164" t="n">
        <v>5000</v>
      </c>
      <c r="F6493" s="165" t="s">
        <v>10477</v>
      </c>
    </row>
    <row r="6494" customFormat="false" ht="15" hidden="false" customHeight="true" outlineLevel="0" collapsed="false">
      <c r="A6494" s="163" t="s">
        <v>2466</v>
      </c>
      <c r="B6494" s="163" t="s">
        <v>957</v>
      </c>
      <c r="C6494" s="163" t="s">
        <v>6345</v>
      </c>
      <c r="D6494" s="163" t="s">
        <v>6346</v>
      </c>
      <c r="E6494" s="164" t="n">
        <v>5000</v>
      </c>
      <c r="F6494" s="165" t="s">
        <v>10478</v>
      </c>
    </row>
    <row r="6495" customFormat="false" ht="15" hidden="false" customHeight="true" outlineLevel="0" collapsed="false">
      <c r="A6495" s="163" t="s">
        <v>2466</v>
      </c>
      <c r="B6495" s="163" t="s">
        <v>957</v>
      </c>
      <c r="C6495" s="163" t="s">
        <v>6305</v>
      </c>
      <c r="D6495" s="163" t="s">
        <v>6306</v>
      </c>
      <c r="E6495" s="164" t="n">
        <v>5000</v>
      </c>
      <c r="F6495" s="165" t="s">
        <v>3060</v>
      </c>
    </row>
    <row r="6496" customFormat="false" ht="15" hidden="false" customHeight="true" outlineLevel="0" collapsed="false">
      <c r="A6496" s="163" t="s">
        <v>2466</v>
      </c>
      <c r="B6496" s="163" t="s">
        <v>957</v>
      </c>
      <c r="C6496" s="163" t="s">
        <v>3210</v>
      </c>
      <c r="D6496" s="163" t="s">
        <v>3211</v>
      </c>
      <c r="E6496" s="164" t="n">
        <v>5000</v>
      </c>
      <c r="F6496" s="165" t="s">
        <v>10479</v>
      </c>
    </row>
    <row r="6497" customFormat="false" ht="15" hidden="false" customHeight="true" outlineLevel="0" collapsed="false">
      <c r="A6497" s="163" t="s">
        <v>2466</v>
      </c>
      <c r="B6497" s="163" t="s">
        <v>957</v>
      </c>
      <c r="C6497" s="163" t="s">
        <v>1135</v>
      </c>
      <c r="D6497" s="163" t="s">
        <v>2507</v>
      </c>
      <c r="E6497" s="164" t="n">
        <v>5000</v>
      </c>
      <c r="F6497" s="165" t="s">
        <v>10480</v>
      </c>
    </row>
    <row r="6498" customFormat="false" ht="15" hidden="false" customHeight="true" outlineLevel="0" collapsed="false">
      <c r="A6498" s="163" t="s">
        <v>2466</v>
      </c>
      <c r="B6498" s="163" t="s">
        <v>957</v>
      </c>
      <c r="C6498" s="163" t="s">
        <v>3567</v>
      </c>
      <c r="D6498" s="163" t="s">
        <v>3568</v>
      </c>
      <c r="E6498" s="164" t="n">
        <v>5000</v>
      </c>
      <c r="F6498" s="165" t="s">
        <v>10481</v>
      </c>
    </row>
    <row r="6499" customFormat="false" ht="15" hidden="false" customHeight="true" outlineLevel="0" collapsed="false">
      <c r="A6499" s="163" t="s">
        <v>2466</v>
      </c>
      <c r="B6499" s="163" t="s">
        <v>957</v>
      </c>
      <c r="C6499" s="163" t="s">
        <v>1227</v>
      </c>
      <c r="D6499" s="163" t="s">
        <v>1884</v>
      </c>
      <c r="E6499" s="164" t="n">
        <v>5000</v>
      </c>
      <c r="F6499" s="165" t="s">
        <v>3060</v>
      </c>
    </row>
    <row r="6500" customFormat="false" ht="15" hidden="false" customHeight="true" outlineLevel="0" collapsed="false">
      <c r="A6500" s="163" t="s">
        <v>2466</v>
      </c>
      <c r="B6500" s="163" t="s">
        <v>945</v>
      </c>
      <c r="C6500" s="163" t="s">
        <v>10482</v>
      </c>
      <c r="D6500" s="163" t="s">
        <v>10483</v>
      </c>
      <c r="E6500" s="164" t="n">
        <v>13500</v>
      </c>
      <c r="F6500" s="165" t="s">
        <v>3060</v>
      </c>
    </row>
    <row r="6501" customFormat="false" ht="15" hidden="false" customHeight="true" outlineLevel="0" collapsed="false">
      <c r="A6501" s="163" t="s">
        <v>2466</v>
      </c>
      <c r="B6501" s="163" t="s">
        <v>945</v>
      </c>
      <c r="C6501" s="163" t="s">
        <v>4834</v>
      </c>
      <c r="D6501" s="163" t="s">
        <v>4835</v>
      </c>
      <c r="E6501" s="164" t="n">
        <v>10000</v>
      </c>
      <c r="F6501" s="165" t="s">
        <v>3060</v>
      </c>
    </row>
    <row r="6502" customFormat="false" ht="15" hidden="false" customHeight="true" outlineLevel="0" collapsed="false">
      <c r="A6502" s="163" t="s">
        <v>2466</v>
      </c>
      <c r="B6502" s="163" t="s">
        <v>945</v>
      </c>
      <c r="C6502" s="163" t="s">
        <v>10484</v>
      </c>
      <c r="D6502" s="163" t="s">
        <v>10485</v>
      </c>
      <c r="E6502" s="164" t="n">
        <v>10000</v>
      </c>
      <c r="F6502" s="165" t="s">
        <v>3060</v>
      </c>
    </row>
    <row r="6503" customFormat="false" ht="15" hidden="false" customHeight="true" outlineLevel="0" collapsed="false">
      <c r="A6503" s="163" t="s">
        <v>2466</v>
      </c>
      <c r="B6503" s="163" t="s">
        <v>945</v>
      </c>
      <c r="C6503" s="163" t="s">
        <v>10486</v>
      </c>
      <c r="D6503" s="163" t="s">
        <v>10487</v>
      </c>
      <c r="E6503" s="164" t="n">
        <v>10000</v>
      </c>
      <c r="F6503" s="165" t="s">
        <v>3060</v>
      </c>
    </row>
    <row r="6504" customFormat="false" ht="15" hidden="false" customHeight="true" outlineLevel="0" collapsed="false">
      <c r="A6504" s="163" t="s">
        <v>2466</v>
      </c>
      <c r="B6504" s="163" t="s">
        <v>945</v>
      </c>
      <c r="C6504" s="163" t="s">
        <v>1860</v>
      </c>
      <c r="D6504" s="163" t="s">
        <v>1861</v>
      </c>
      <c r="E6504" s="164" t="n">
        <v>6500</v>
      </c>
      <c r="F6504" s="165" t="s">
        <v>3060</v>
      </c>
    </row>
    <row r="6505" customFormat="false" ht="15" hidden="false" customHeight="true" outlineLevel="0" collapsed="false">
      <c r="A6505" s="163" t="s">
        <v>2466</v>
      </c>
      <c r="B6505" s="163" t="s">
        <v>3111</v>
      </c>
      <c r="C6505" s="163" t="s">
        <v>6316</v>
      </c>
      <c r="D6505" s="163" t="s">
        <v>6317</v>
      </c>
      <c r="E6505" s="164" t="n">
        <v>38000</v>
      </c>
      <c r="F6505" s="165" t="s">
        <v>3060</v>
      </c>
    </row>
    <row r="6506" customFormat="false" ht="15" hidden="false" customHeight="true" outlineLevel="0" collapsed="false">
      <c r="A6506" s="163" t="s">
        <v>2466</v>
      </c>
      <c r="B6506" s="163" t="s">
        <v>3111</v>
      </c>
      <c r="C6506" s="163" t="s">
        <v>1137</v>
      </c>
      <c r="D6506" s="163" t="s">
        <v>10488</v>
      </c>
      <c r="E6506" s="164" t="n">
        <v>35000</v>
      </c>
      <c r="F6506" s="165" t="s">
        <v>10489</v>
      </c>
    </row>
    <row r="6507" customFormat="false" ht="15" hidden="false" customHeight="true" outlineLevel="0" collapsed="false">
      <c r="A6507" s="163" t="s">
        <v>2466</v>
      </c>
      <c r="B6507" s="163" t="s">
        <v>3111</v>
      </c>
      <c r="C6507" s="163" t="s">
        <v>10490</v>
      </c>
      <c r="D6507" s="163" t="s">
        <v>10491</v>
      </c>
      <c r="E6507" s="164" t="n">
        <v>17000</v>
      </c>
      <c r="F6507" s="165" t="s">
        <v>3060</v>
      </c>
    </row>
    <row r="6508" customFormat="false" ht="15" hidden="false" customHeight="true" outlineLevel="0" collapsed="false">
      <c r="A6508" s="163" t="s">
        <v>2466</v>
      </c>
      <c r="B6508" s="163" t="s">
        <v>3111</v>
      </c>
      <c r="C6508" s="163" t="s">
        <v>6407</v>
      </c>
      <c r="D6508" s="163" t="s">
        <v>6408</v>
      </c>
      <c r="E6508" s="164" t="n">
        <v>10000</v>
      </c>
      <c r="F6508" s="165" t="s">
        <v>10478</v>
      </c>
    </row>
    <row r="6509" customFormat="false" ht="15" hidden="false" customHeight="true" outlineLevel="0" collapsed="false">
      <c r="A6509" s="163" t="s">
        <v>2466</v>
      </c>
      <c r="B6509" s="163" t="s">
        <v>1938</v>
      </c>
      <c r="C6509" s="163" t="s">
        <v>4478</v>
      </c>
      <c r="D6509" s="163" t="s">
        <v>4479</v>
      </c>
      <c r="E6509" s="164" t="n">
        <v>20000</v>
      </c>
      <c r="F6509" s="165" t="s">
        <v>10492</v>
      </c>
    </row>
    <row r="6510" customFormat="false" ht="15" hidden="false" customHeight="true" outlineLevel="0" collapsed="false">
      <c r="A6510" s="163" t="s">
        <v>2466</v>
      </c>
      <c r="B6510" s="163" t="s">
        <v>1938</v>
      </c>
      <c r="C6510" s="163" t="s">
        <v>6321</v>
      </c>
      <c r="D6510" s="163" t="s">
        <v>6322</v>
      </c>
      <c r="E6510" s="164" t="n">
        <v>20000</v>
      </c>
      <c r="F6510" s="165" t="s">
        <v>10493</v>
      </c>
    </row>
    <row r="6511" customFormat="false" ht="15" hidden="false" customHeight="true" outlineLevel="0" collapsed="false">
      <c r="A6511" s="163" t="s">
        <v>2466</v>
      </c>
      <c r="B6511" s="163" t="s">
        <v>1938</v>
      </c>
      <c r="C6511" s="163" t="s">
        <v>6321</v>
      </c>
      <c r="D6511" s="163" t="s">
        <v>6322</v>
      </c>
      <c r="E6511" s="164" t="n">
        <v>20000</v>
      </c>
      <c r="F6511" s="165" t="s">
        <v>10494</v>
      </c>
    </row>
    <row r="6512" customFormat="false" ht="15" hidden="false" customHeight="true" outlineLevel="0" collapsed="false">
      <c r="A6512" s="163" t="s">
        <v>2466</v>
      </c>
      <c r="B6512" s="163" t="s">
        <v>1938</v>
      </c>
      <c r="C6512" s="163" t="s">
        <v>6321</v>
      </c>
      <c r="D6512" s="163" t="s">
        <v>6322</v>
      </c>
      <c r="E6512" s="164" t="n">
        <v>20000</v>
      </c>
      <c r="F6512" s="165" t="s">
        <v>10495</v>
      </c>
    </row>
    <row r="6513" customFormat="false" ht="15" hidden="false" customHeight="true" outlineLevel="0" collapsed="false">
      <c r="A6513" s="163" t="s">
        <v>2466</v>
      </c>
      <c r="B6513" s="163" t="s">
        <v>1938</v>
      </c>
      <c r="C6513" s="163" t="s">
        <v>3815</v>
      </c>
      <c r="D6513" s="163" t="s">
        <v>3816</v>
      </c>
      <c r="E6513" s="164" t="n">
        <v>20000</v>
      </c>
      <c r="F6513" s="165" t="s">
        <v>10496</v>
      </c>
    </row>
    <row r="6514" customFormat="false" ht="15" hidden="false" customHeight="true" outlineLevel="0" collapsed="false">
      <c r="A6514" s="163" t="s">
        <v>2466</v>
      </c>
      <c r="B6514" s="163" t="s">
        <v>1938</v>
      </c>
      <c r="C6514" s="163" t="s">
        <v>3602</v>
      </c>
      <c r="D6514" s="163" t="s">
        <v>3603</v>
      </c>
      <c r="E6514" s="164" t="n">
        <v>20000</v>
      </c>
      <c r="F6514" s="165" t="s">
        <v>10497</v>
      </c>
    </row>
    <row r="6515" customFormat="false" ht="15" hidden="false" customHeight="true" outlineLevel="0" collapsed="false">
      <c r="A6515" s="163" t="s">
        <v>2466</v>
      </c>
      <c r="B6515" s="163" t="s">
        <v>1938</v>
      </c>
      <c r="C6515" s="163" t="s">
        <v>3392</v>
      </c>
      <c r="D6515" s="163" t="s">
        <v>3393</v>
      </c>
      <c r="E6515" s="164" t="n">
        <v>20000</v>
      </c>
      <c r="F6515" s="165" t="s">
        <v>10498</v>
      </c>
    </row>
    <row r="6516" customFormat="false" ht="15" hidden="false" customHeight="true" outlineLevel="0" collapsed="false">
      <c r="A6516" s="163" t="s">
        <v>2466</v>
      </c>
      <c r="B6516" s="163" t="s">
        <v>1938</v>
      </c>
      <c r="C6516" s="163" t="s">
        <v>296</v>
      </c>
      <c r="D6516" s="163" t="s">
        <v>2127</v>
      </c>
      <c r="E6516" s="164" t="n">
        <v>20000</v>
      </c>
      <c r="F6516" s="165" t="s">
        <v>10499</v>
      </c>
    </row>
    <row r="6517" customFormat="false" ht="15" hidden="false" customHeight="true" outlineLevel="0" collapsed="false">
      <c r="A6517" s="163" t="s">
        <v>2466</v>
      </c>
      <c r="B6517" s="163" t="s">
        <v>1938</v>
      </c>
      <c r="C6517" s="163" t="s">
        <v>4388</v>
      </c>
      <c r="D6517" s="163" t="s">
        <v>4389</v>
      </c>
      <c r="E6517" s="164" t="n">
        <v>20000</v>
      </c>
      <c r="F6517" s="165" t="s">
        <v>10500</v>
      </c>
    </row>
    <row r="6518" customFormat="false" ht="15" hidden="false" customHeight="true" outlineLevel="0" collapsed="false">
      <c r="A6518" s="163" t="s">
        <v>2466</v>
      </c>
      <c r="B6518" s="163" t="s">
        <v>1938</v>
      </c>
      <c r="C6518" s="163" t="s">
        <v>3805</v>
      </c>
      <c r="D6518" s="163" t="s">
        <v>3806</v>
      </c>
      <c r="E6518" s="164" t="n">
        <v>20000</v>
      </c>
      <c r="F6518" s="165" t="s">
        <v>10501</v>
      </c>
    </row>
    <row r="6519" customFormat="false" ht="15" hidden="false" customHeight="true" outlineLevel="0" collapsed="false">
      <c r="A6519" s="163" t="s">
        <v>2466</v>
      </c>
      <c r="B6519" s="163" t="s">
        <v>1938</v>
      </c>
      <c r="C6519" s="163" t="s">
        <v>3805</v>
      </c>
      <c r="D6519" s="163" t="s">
        <v>3806</v>
      </c>
      <c r="E6519" s="164" t="n">
        <v>20000</v>
      </c>
      <c r="F6519" s="165" t="s">
        <v>10502</v>
      </c>
    </row>
    <row r="6520" customFormat="false" ht="15" hidden="false" customHeight="true" outlineLevel="0" collapsed="false">
      <c r="A6520" s="163" t="s">
        <v>2466</v>
      </c>
      <c r="B6520" s="163" t="s">
        <v>1938</v>
      </c>
      <c r="C6520" s="163" t="s">
        <v>332</v>
      </c>
      <c r="D6520" s="163" t="s">
        <v>2673</v>
      </c>
      <c r="E6520" s="164" t="n">
        <v>20000</v>
      </c>
      <c r="F6520" s="165" t="s">
        <v>10503</v>
      </c>
    </row>
    <row r="6521" customFormat="false" ht="15" hidden="false" customHeight="true" outlineLevel="0" collapsed="false">
      <c r="A6521" s="163" t="s">
        <v>2466</v>
      </c>
      <c r="B6521" s="163" t="s">
        <v>1938</v>
      </c>
      <c r="C6521" s="163" t="s">
        <v>332</v>
      </c>
      <c r="D6521" s="163" t="s">
        <v>2673</v>
      </c>
      <c r="E6521" s="164" t="n">
        <v>20000</v>
      </c>
      <c r="F6521" s="165" t="s">
        <v>10504</v>
      </c>
    </row>
    <row r="6522" customFormat="false" ht="15" hidden="false" customHeight="true" outlineLevel="0" collapsed="false">
      <c r="A6522" s="163" t="s">
        <v>2466</v>
      </c>
      <c r="B6522" s="163" t="s">
        <v>1938</v>
      </c>
      <c r="C6522" s="163" t="s">
        <v>332</v>
      </c>
      <c r="D6522" s="163" t="s">
        <v>2673</v>
      </c>
      <c r="E6522" s="164" t="n">
        <v>20000</v>
      </c>
      <c r="F6522" s="165" t="s">
        <v>10505</v>
      </c>
    </row>
    <row r="6523" customFormat="false" ht="15" hidden="false" customHeight="true" outlineLevel="0" collapsed="false">
      <c r="A6523" s="163" t="s">
        <v>2466</v>
      </c>
      <c r="B6523" s="163" t="s">
        <v>1938</v>
      </c>
      <c r="C6523" s="163" t="s">
        <v>332</v>
      </c>
      <c r="D6523" s="163" t="s">
        <v>2673</v>
      </c>
      <c r="E6523" s="164" t="n">
        <v>20000</v>
      </c>
      <c r="F6523" s="165" t="s">
        <v>10506</v>
      </c>
    </row>
    <row r="6524" customFormat="false" ht="15" hidden="false" customHeight="true" outlineLevel="0" collapsed="false">
      <c r="A6524" s="163" t="s">
        <v>2466</v>
      </c>
      <c r="B6524" s="163" t="s">
        <v>1938</v>
      </c>
      <c r="C6524" s="163" t="s">
        <v>332</v>
      </c>
      <c r="D6524" s="163" t="s">
        <v>2673</v>
      </c>
      <c r="E6524" s="164" t="n">
        <v>20000</v>
      </c>
      <c r="F6524" s="165" t="s">
        <v>10507</v>
      </c>
    </row>
    <row r="6525" customFormat="false" ht="15" hidden="false" customHeight="true" outlineLevel="0" collapsed="false">
      <c r="A6525" s="163" t="s">
        <v>2466</v>
      </c>
      <c r="B6525" s="163" t="s">
        <v>1938</v>
      </c>
      <c r="C6525" s="163" t="s">
        <v>332</v>
      </c>
      <c r="D6525" s="163" t="s">
        <v>2673</v>
      </c>
      <c r="E6525" s="164" t="n">
        <v>20000</v>
      </c>
      <c r="F6525" s="165" t="s">
        <v>10508</v>
      </c>
    </row>
    <row r="6526" customFormat="false" ht="15" hidden="false" customHeight="true" outlineLevel="0" collapsed="false">
      <c r="A6526" s="163" t="s">
        <v>2466</v>
      </c>
      <c r="B6526" s="163" t="s">
        <v>691</v>
      </c>
      <c r="C6526" s="163" t="s">
        <v>6321</v>
      </c>
      <c r="D6526" s="163" t="s">
        <v>6322</v>
      </c>
      <c r="E6526" s="164" t="n">
        <v>65000</v>
      </c>
      <c r="F6526" s="165" t="s">
        <v>3060</v>
      </c>
    </row>
    <row r="6527" customFormat="false" ht="15" hidden="false" customHeight="true" outlineLevel="0" collapsed="false">
      <c r="A6527" s="163" t="s">
        <v>2466</v>
      </c>
      <c r="B6527" s="163" t="s">
        <v>691</v>
      </c>
      <c r="C6527" s="163" t="s">
        <v>8863</v>
      </c>
      <c r="D6527" s="163" t="s">
        <v>8864</v>
      </c>
      <c r="E6527" s="164" t="n">
        <v>30000</v>
      </c>
      <c r="F6527" s="165" t="s">
        <v>3060</v>
      </c>
    </row>
    <row r="6528" customFormat="false" ht="15" hidden="false" customHeight="true" outlineLevel="0" collapsed="false">
      <c r="A6528" s="163" t="s">
        <v>2466</v>
      </c>
      <c r="B6528" s="163" t="s">
        <v>691</v>
      </c>
      <c r="C6528" s="163" t="s">
        <v>6378</v>
      </c>
      <c r="D6528" s="163" t="s">
        <v>6379</v>
      </c>
      <c r="E6528" s="164" t="n">
        <v>20000</v>
      </c>
      <c r="F6528" s="165" t="s">
        <v>3060</v>
      </c>
    </row>
    <row r="6529" customFormat="false" ht="15" hidden="false" customHeight="true" outlineLevel="0" collapsed="false">
      <c r="A6529" s="163" t="s">
        <v>2466</v>
      </c>
      <c r="B6529" s="163" t="s">
        <v>691</v>
      </c>
      <c r="C6529" s="163" t="s">
        <v>1129</v>
      </c>
      <c r="D6529" s="163" t="s">
        <v>2892</v>
      </c>
      <c r="E6529" s="164" t="n">
        <v>10000</v>
      </c>
      <c r="F6529" s="165" t="s">
        <v>10509</v>
      </c>
    </row>
    <row r="6530" customFormat="false" ht="15" hidden="false" customHeight="true" outlineLevel="0" collapsed="false">
      <c r="A6530" s="163" t="s">
        <v>2466</v>
      </c>
      <c r="B6530" s="163" t="s">
        <v>691</v>
      </c>
      <c r="C6530" s="163" t="s">
        <v>3735</v>
      </c>
      <c r="D6530" s="163" t="s">
        <v>3736</v>
      </c>
      <c r="E6530" s="164" t="n">
        <v>10000</v>
      </c>
      <c r="F6530" s="165" t="s">
        <v>3060</v>
      </c>
    </row>
    <row r="6531" customFormat="false" ht="15" hidden="false" customHeight="true" outlineLevel="0" collapsed="false">
      <c r="A6531" s="163" t="s">
        <v>2466</v>
      </c>
      <c r="B6531" s="163" t="s">
        <v>691</v>
      </c>
      <c r="C6531" s="163" t="s">
        <v>10486</v>
      </c>
      <c r="D6531" s="163" t="s">
        <v>10487</v>
      </c>
      <c r="E6531" s="164" t="n">
        <v>10000</v>
      </c>
      <c r="F6531" s="165" t="s">
        <v>3060</v>
      </c>
    </row>
    <row r="6532" customFormat="false" ht="15" hidden="false" customHeight="true" outlineLevel="0" collapsed="false">
      <c r="A6532" s="163" t="s">
        <v>2466</v>
      </c>
      <c r="B6532" s="163" t="s">
        <v>2027</v>
      </c>
      <c r="C6532" s="163" t="s">
        <v>8863</v>
      </c>
      <c r="D6532" s="163" t="s">
        <v>8864</v>
      </c>
      <c r="E6532" s="164" t="n">
        <v>25000</v>
      </c>
      <c r="F6532" s="165" t="s">
        <v>10510</v>
      </c>
    </row>
    <row r="6533" customFormat="false" ht="15" hidden="false" customHeight="true" outlineLevel="0" collapsed="false">
      <c r="A6533" s="163" t="s">
        <v>2466</v>
      </c>
      <c r="B6533" s="163" t="s">
        <v>2027</v>
      </c>
      <c r="C6533" s="163" t="s">
        <v>10486</v>
      </c>
      <c r="D6533" s="163" t="s">
        <v>10487</v>
      </c>
      <c r="E6533" s="164" t="n">
        <v>25000</v>
      </c>
      <c r="F6533" s="165" t="s">
        <v>10511</v>
      </c>
    </row>
    <row r="6534" customFormat="false" ht="15" hidden="false" customHeight="true" outlineLevel="0" collapsed="false">
      <c r="A6534" s="163" t="s">
        <v>2466</v>
      </c>
      <c r="B6534" s="163" t="s">
        <v>2027</v>
      </c>
      <c r="C6534" s="163" t="s">
        <v>3163</v>
      </c>
      <c r="D6534" s="163" t="s">
        <v>3164</v>
      </c>
      <c r="E6534" s="164" t="n">
        <v>20000</v>
      </c>
      <c r="F6534" s="165" t="s">
        <v>10512</v>
      </c>
    </row>
    <row r="6535" customFormat="false" ht="15" hidden="false" customHeight="true" outlineLevel="0" collapsed="false">
      <c r="A6535" s="163" t="s">
        <v>2466</v>
      </c>
      <c r="B6535" s="163" t="s">
        <v>2027</v>
      </c>
      <c r="C6535" s="163" t="s">
        <v>8886</v>
      </c>
      <c r="D6535" s="163" t="s">
        <v>8887</v>
      </c>
      <c r="E6535" s="164" t="n">
        <v>20000</v>
      </c>
      <c r="F6535" s="165" t="s">
        <v>10513</v>
      </c>
    </row>
    <row r="6536" customFormat="false" ht="15" hidden="false" customHeight="true" outlineLevel="0" collapsed="false">
      <c r="A6536" s="163" t="s">
        <v>2466</v>
      </c>
      <c r="B6536" s="163" t="s">
        <v>2037</v>
      </c>
      <c r="C6536" s="163" t="s">
        <v>10514</v>
      </c>
      <c r="D6536" s="163" t="s">
        <v>10515</v>
      </c>
      <c r="E6536" s="164" t="n">
        <v>70000</v>
      </c>
      <c r="F6536" s="165" t="s">
        <v>10516</v>
      </c>
    </row>
    <row r="6537" customFormat="false" ht="15" hidden="false" customHeight="true" outlineLevel="0" collapsed="false">
      <c r="A6537" s="163" t="s">
        <v>2466</v>
      </c>
      <c r="B6537" s="163" t="s">
        <v>2037</v>
      </c>
      <c r="C6537" s="163" t="s">
        <v>1860</v>
      </c>
      <c r="D6537" s="163" t="s">
        <v>1861</v>
      </c>
      <c r="E6537" s="164" t="n">
        <v>40000</v>
      </c>
      <c r="F6537" s="165" t="s">
        <v>10517</v>
      </c>
    </row>
    <row r="6538" customFormat="false" ht="15" hidden="false" customHeight="true" outlineLevel="0" collapsed="false">
      <c r="A6538" s="163" t="s">
        <v>2466</v>
      </c>
      <c r="B6538" s="163" t="s">
        <v>2037</v>
      </c>
      <c r="C6538" s="163" t="s">
        <v>6345</v>
      </c>
      <c r="D6538" s="163" t="s">
        <v>6346</v>
      </c>
      <c r="E6538" s="164" t="n">
        <v>35000</v>
      </c>
      <c r="F6538" s="165" t="s">
        <v>10518</v>
      </c>
    </row>
    <row r="6539" customFormat="false" ht="15" hidden="false" customHeight="true" outlineLevel="0" collapsed="false">
      <c r="A6539" s="163" t="s">
        <v>2466</v>
      </c>
      <c r="B6539" s="163" t="s">
        <v>2037</v>
      </c>
      <c r="C6539" s="163" t="s">
        <v>6342</v>
      </c>
      <c r="D6539" s="163" t="s">
        <v>6343</v>
      </c>
      <c r="E6539" s="164" t="n">
        <v>30000</v>
      </c>
      <c r="F6539" s="165" t="s">
        <v>10519</v>
      </c>
    </row>
    <row r="6540" customFormat="false" ht="15" hidden="false" customHeight="true" outlineLevel="0" collapsed="false">
      <c r="A6540" s="163" t="s">
        <v>2466</v>
      </c>
      <c r="B6540" s="163" t="s">
        <v>2037</v>
      </c>
      <c r="C6540" s="163" t="s">
        <v>3771</v>
      </c>
      <c r="D6540" s="163" t="s">
        <v>3772</v>
      </c>
      <c r="E6540" s="164" t="n">
        <v>10000</v>
      </c>
      <c r="F6540" s="165" t="s">
        <v>10520</v>
      </c>
    </row>
    <row r="6541" customFormat="false" ht="15" hidden="false" customHeight="true" outlineLevel="0" collapsed="false">
      <c r="A6541" s="163" t="s">
        <v>2466</v>
      </c>
      <c r="B6541" s="163" t="s">
        <v>2037</v>
      </c>
      <c r="C6541" s="163" t="s">
        <v>1135</v>
      </c>
      <c r="D6541" s="163" t="s">
        <v>2507</v>
      </c>
      <c r="E6541" s="164" t="n">
        <v>10000</v>
      </c>
      <c r="F6541" s="165" t="s">
        <v>10521</v>
      </c>
    </row>
    <row r="6542" customFormat="false" ht="15" hidden="false" customHeight="true" outlineLevel="0" collapsed="false">
      <c r="A6542" s="163" t="s">
        <v>2466</v>
      </c>
      <c r="B6542" s="163" t="s">
        <v>894</v>
      </c>
      <c r="C6542" s="163" t="s">
        <v>5017</v>
      </c>
      <c r="D6542" s="163" t="s">
        <v>5018</v>
      </c>
      <c r="E6542" s="164" t="n">
        <v>35000</v>
      </c>
      <c r="F6542" s="165" t="s">
        <v>8910</v>
      </c>
    </row>
    <row r="6543" customFormat="false" ht="15" hidden="false" customHeight="true" outlineLevel="0" collapsed="false">
      <c r="A6543" s="163" t="s">
        <v>2466</v>
      </c>
      <c r="B6543" s="163" t="s">
        <v>894</v>
      </c>
      <c r="C6543" s="163" t="s">
        <v>10522</v>
      </c>
      <c r="D6543" s="163" t="s">
        <v>10523</v>
      </c>
      <c r="E6543" s="164" t="n">
        <v>15000</v>
      </c>
      <c r="F6543" s="165" t="s">
        <v>3060</v>
      </c>
    </row>
    <row r="6544" customFormat="false" ht="15" hidden="false" customHeight="true" outlineLevel="0" collapsed="false">
      <c r="A6544" s="163" t="s">
        <v>2466</v>
      </c>
      <c r="B6544" s="163" t="s">
        <v>894</v>
      </c>
      <c r="C6544" s="163" t="s">
        <v>4843</v>
      </c>
      <c r="D6544" s="163" t="s">
        <v>4844</v>
      </c>
      <c r="E6544" s="164" t="n">
        <v>15000</v>
      </c>
      <c r="F6544" s="165" t="s">
        <v>10524</v>
      </c>
    </row>
    <row r="6545" customFormat="false" ht="15" hidden="false" customHeight="true" outlineLevel="0" collapsed="false">
      <c r="A6545" s="163" t="s">
        <v>2466</v>
      </c>
      <c r="B6545" s="163" t="s">
        <v>894</v>
      </c>
      <c r="C6545" s="163" t="s">
        <v>6092</v>
      </c>
      <c r="D6545" s="163" t="s">
        <v>6093</v>
      </c>
      <c r="E6545" s="164" t="n">
        <v>15000</v>
      </c>
      <c r="F6545" s="165" t="s">
        <v>3060</v>
      </c>
    </row>
    <row r="6546" customFormat="false" ht="15" hidden="false" customHeight="true" outlineLevel="0" collapsed="false">
      <c r="A6546" s="163" t="s">
        <v>2466</v>
      </c>
      <c r="B6546" s="163" t="s">
        <v>894</v>
      </c>
      <c r="C6546" s="163" t="s">
        <v>10525</v>
      </c>
      <c r="D6546" s="163" t="s">
        <v>10526</v>
      </c>
      <c r="E6546" s="164" t="n">
        <v>15000</v>
      </c>
      <c r="F6546" s="165" t="s">
        <v>3060</v>
      </c>
    </row>
    <row r="6547" customFormat="false" ht="15" hidden="false" customHeight="true" outlineLevel="0" collapsed="false">
      <c r="A6547" s="163" t="s">
        <v>2466</v>
      </c>
      <c r="B6547" s="163" t="s">
        <v>894</v>
      </c>
      <c r="C6547" s="163" t="s">
        <v>5731</v>
      </c>
      <c r="D6547" s="163" t="s">
        <v>5732</v>
      </c>
      <c r="E6547" s="164" t="n">
        <v>15000</v>
      </c>
      <c r="F6547" s="165" t="s">
        <v>3060</v>
      </c>
    </row>
    <row r="6548" customFormat="false" ht="15" hidden="false" customHeight="true" outlineLevel="0" collapsed="false">
      <c r="A6548" s="163" t="s">
        <v>2466</v>
      </c>
      <c r="B6548" s="163" t="s">
        <v>894</v>
      </c>
      <c r="C6548" s="163" t="s">
        <v>4769</v>
      </c>
      <c r="D6548" s="163" t="s">
        <v>4770</v>
      </c>
      <c r="E6548" s="164" t="n">
        <v>15000</v>
      </c>
      <c r="F6548" s="165" t="s">
        <v>3060</v>
      </c>
    </row>
    <row r="6549" customFormat="false" ht="15" hidden="false" customHeight="true" outlineLevel="0" collapsed="false">
      <c r="A6549" s="163" t="s">
        <v>2466</v>
      </c>
      <c r="B6549" s="163" t="s">
        <v>894</v>
      </c>
      <c r="C6549" s="163" t="s">
        <v>10527</v>
      </c>
      <c r="D6549" s="163" t="s">
        <v>10528</v>
      </c>
      <c r="E6549" s="164" t="n">
        <v>11250</v>
      </c>
      <c r="F6549" s="165" t="s">
        <v>3060</v>
      </c>
    </row>
    <row r="6550" customFormat="false" ht="15" hidden="false" customHeight="true" outlineLevel="0" collapsed="false">
      <c r="A6550" s="163" t="s">
        <v>2466</v>
      </c>
      <c r="B6550" s="163" t="s">
        <v>894</v>
      </c>
      <c r="C6550" s="163" t="s">
        <v>10529</v>
      </c>
      <c r="D6550" s="163" t="s">
        <v>10530</v>
      </c>
      <c r="E6550" s="164" t="n">
        <v>10000</v>
      </c>
      <c r="F6550" s="165" t="s">
        <v>3060</v>
      </c>
    </row>
    <row r="6551" customFormat="false" ht="15" hidden="false" customHeight="true" outlineLevel="0" collapsed="false">
      <c r="A6551" s="163" t="s">
        <v>2466</v>
      </c>
      <c r="B6551" s="163" t="s">
        <v>894</v>
      </c>
      <c r="C6551" s="163" t="s">
        <v>1137</v>
      </c>
      <c r="D6551" s="163" t="s">
        <v>10488</v>
      </c>
      <c r="E6551" s="164" t="n">
        <v>10000</v>
      </c>
      <c r="F6551" s="165" t="s">
        <v>10489</v>
      </c>
    </row>
    <row r="6552" customFormat="false" ht="15" hidden="false" customHeight="true" outlineLevel="0" collapsed="false">
      <c r="A6552" s="163" t="s">
        <v>2466</v>
      </c>
      <c r="B6552" s="163" t="s">
        <v>894</v>
      </c>
      <c r="C6552" s="163" t="s">
        <v>6354</v>
      </c>
      <c r="D6552" s="163" t="s">
        <v>6355</v>
      </c>
      <c r="E6552" s="164" t="n">
        <v>10000</v>
      </c>
      <c r="F6552" s="165" t="s">
        <v>3060</v>
      </c>
    </row>
    <row r="6553" customFormat="false" ht="15" hidden="false" customHeight="true" outlineLevel="0" collapsed="false">
      <c r="A6553" s="163" t="s">
        <v>2466</v>
      </c>
      <c r="B6553" s="163" t="s">
        <v>894</v>
      </c>
      <c r="C6553" s="163" t="s">
        <v>8095</v>
      </c>
      <c r="D6553" s="163" t="s">
        <v>8096</v>
      </c>
      <c r="E6553" s="164" t="n">
        <v>10000</v>
      </c>
      <c r="F6553" s="165" t="s">
        <v>3060</v>
      </c>
    </row>
    <row r="6554" customFormat="false" ht="15" hidden="false" customHeight="true" outlineLevel="0" collapsed="false">
      <c r="A6554" s="163" t="s">
        <v>2466</v>
      </c>
      <c r="B6554" s="163" t="s">
        <v>894</v>
      </c>
      <c r="C6554" s="163" t="s">
        <v>1221</v>
      </c>
      <c r="D6554" s="163" t="s">
        <v>1895</v>
      </c>
      <c r="E6554" s="164" t="n">
        <v>10000</v>
      </c>
      <c r="F6554" s="165" t="s">
        <v>10531</v>
      </c>
    </row>
    <row r="6555" customFormat="false" ht="15" hidden="false" customHeight="true" outlineLevel="0" collapsed="false">
      <c r="A6555" s="163" t="s">
        <v>2466</v>
      </c>
      <c r="B6555" s="163" t="s">
        <v>894</v>
      </c>
      <c r="C6555" s="163" t="s">
        <v>6348</v>
      </c>
      <c r="D6555" s="163" t="s">
        <v>6349</v>
      </c>
      <c r="E6555" s="164" t="n">
        <v>10000</v>
      </c>
      <c r="F6555" s="165" t="s">
        <v>3060</v>
      </c>
    </row>
    <row r="6556" customFormat="false" ht="15" hidden="false" customHeight="true" outlineLevel="0" collapsed="false">
      <c r="A6556" s="163" t="s">
        <v>2466</v>
      </c>
      <c r="B6556" s="163" t="s">
        <v>894</v>
      </c>
      <c r="C6556" s="163" t="s">
        <v>6345</v>
      </c>
      <c r="D6556" s="163" t="s">
        <v>6346</v>
      </c>
      <c r="E6556" s="164" t="n">
        <v>10000</v>
      </c>
      <c r="F6556" s="165" t="s">
        <v>3060</v>
      </c>
    </row>
    <row r="6557" customFormat="false" ht="15" hidden="false" customHeight="true" outlineLevel="0" collapsed="false">
      <c r="A6557" s="163" t="s">
        <v>2466</v>
      </c>
      <c r="B6557" s="163" t="s">
        <v>894</v>
      </c>
      <c r="C6557" s="163" t="s">
        <v>10532</v>
      </c>
      <c r="D6557" s="163" t="s">
        <v>10533</v>
      </c>
      <c r="E6557" s="164" t="n">
        <v>10000</v>
      </c>
      <c r="F6557" s="165" t="s">
        <v>3060</v>
      </c>
    </row>
    <row r="6558" customFormat="false" ht="15" hidden="false" customHeight="true" outlineLevel="0" collapsed="false">
      <c r="A6558" s="163" t="s">
        <v>2466</v>
      </c>
      <c r="B6558" s="163" t="s">
        <v>894</v>
      </c>
      <c r="C6558" s="163" t="s">
        <v>10534</v>
      </c>
      <c r="D6558" s="163" t="s">
        <v>10535</v>
      </c>
      <c r="E6558" s="164" t="n">
        <v>10000</v>
      </c>
      <c r="F6558" s="165" t="s">
        <v>3060</v>
      </c>
    </row>
    <row r="6559" customFormat="false" ht="15" hidden="false" customHeight="true" outlineLevel="0" collapsed="false">
      <c r="A6559" s="163" t="s">
        <v>2466</v>
      </c>
      <c r="B6559" s="163" t="s">
        <v>894</v>
      </c>
      <c r="C6559" s="163" t="s">
        <v>6397</v>
      </c>
      <c r="D6559" s="163" t="s">
        <v>6398</v>
      </c>
      <c r="E6559" s="164" t="n">
        <v>8750</v>
      </c>
      <c r="F6559" s="165" t="s">
        <v>3060</v>
      </c>
    </row>
    <row r="6560" customFormat="false" ht="15" hidden="false" customHeight="true" outlineLevel="0" collapsed="false">
      <c r="A6560" s="163" t="s">
        <v>2466</v>
      </c>
      <c r="B6560" s="163" t="s">
        <v>894</v>
      </c>
      <c r="C6560" s="163" t="s">
        <v>1268</v>
      </c>
      <c r="D6560" s="163" t="s">
        <v>2426</v>
      </c>
      <c r="E6560" s="164" t="n">
        <v>8500</v>
      </c>
      <c r="F6560" s="165" t="s">
        <v>3060</v>
      </c>
    </row>
    <row r="6561" customFormat="false" ht="15" hidden="false" customHeight="true" outlineLevel="0" collapsed="false">
      <c r="A6561" s="163" t="s">
        <v>2466</v>
      </c>
      <c r="B6561" s="163" t="s">
        <v>894</v>
      </c>
      <c r="C6561" s="163" t="s">
        <v>10469</v>
      </c>
      <c r="D6561" s="163" t="s">
        <v>10470</v>
      </c>
      <c r="E6561" s="164" t="n">
        <v>8000</v>
      </c>
      <c r="F6561" s="165" t="s">
        <v>3060</v>
      </c>
    </row>
    <row r="6562" customFormat="false" ht="15" hidden="false" customHeight="true" outlineLevel="0" collapsed="false">
      <c r="A6562" s="163" t="s">
        <v>2466</v>
      </c>
      <c r="B6562" s="163" t="s">
        <v>894</v>
      </c>
      <c r="C6562" s="163" t="s">
        <v>8911</v>
      </c>
      <c r="D6562" s="163" t="s">
        <v>8912</v>
      </c>
      <c r="E6562" s="164" t="n">
        <v>8000</v>
      </c>
      <c r="F6562" s="165" t="s">
        <v>3060</v>
      </c>
    </row>
    <row r="6563" customFormat="false" ht="15" hidden="false" customHeight="true" outlineLevel="0" collapsed="false">
      <c r="A6563" s="163" t="s">
        <v>2466</v>
      </c>
      <c r="B6563" s="163" t="s">
        <v>894</v>
      </c>
      <c r="C6563" s="163" t="s">
        <v>10000</v>
      </c>
      <c r="D6563" s="163" t="s">
        <v>10001</v>
      </c>
      <c r="E6563" s="164" t="n">
        <v>7500</v>
      </c>
      <c r="F6563" s="165" t="s">
        <v>10536</v>
      </c>
    </row>
    <row r="6564" customFormat="false" ht="15" hidden="false" customHeight="true" outlineLevel="0" collapsed="false">
      <c r="A6564" s="163" t="s">
        <v>2466</v>
      </c>
      <c r="B6564" s="163" t="s">
        <v>894</v>
      </c>
      <c r="C6564" s="163" t="s">
        <v>6321</v>
      </c>
      <c r="D6564" s="163" t="s">
        <v>6322</v>
      </c>
      <c r="E6564" s="164" t="n">
        <v>5000</v>
      </c>
      <c r="F6564" s="165" t="s">
        <v>3060</v>
      </c>
    </row>
    <row r="6565" customFormat="false" ht="15" hidden="false" customHeight="true" outlineLevel="0" collapsed="false">
      <c r="A6565" s="163" t="s">
        <v>2466</v>
      </c>
      <c r="B6565" s="163" t="s">
        <v>894</v>
      </c>
      <c r="C6565" s="163" t="s">
        <v>7426</v>
      </c>
      <c r="D6565" s="163" t="s">
        <v>7427</v>
      </c>
      <c r="E6565" s="164" t="n">
        <v>5000</v>
      </c>
      <c r="F6565" s="165" t="s">
        <v>10537</v>
      </c>
    </row>
    <row r="6566" customFormat="false" ht="15" hidden="false" customHeight="true" outlineLevel="0" collapsed="false">
      <c r="A6566" s="163" t="s">
        <v>2466</v>
      </c>
      <c r="B6566" s="163" t="s">
        <v>894</v>
      </c>
      <c r="C6566" s="163" t="s">
        <v>3670</v>
      </c>
      <c r="D6566" s="163" t="s">
        <v>3671</v>
      </c>
      <c r="E6566" s="164" t="n">
        <v>5000</v>
      </c>
      <c r="F6566" s="165" t="s">
        <v>3060</v>
      </c>
    </row>
    <row r="6567" customFormat="false" ht="15" hidden="false" customHeight="true" outlineLevel="0" collapsed="false">
      <c r="A6567" s="163" t="s">
        <v>2466</v>
      </c>
      <c r="B6567" s="163" t="s">
        <v>894</v>
      </c>
      <c r="C6567" s="163" t="s">
        <v>3188</v>
      </c>
      <c r="D6567" s="163" t="s">
        <v>3189</v>
      </c>
      <c r="E6567" s="164" t="n">
        <v>5000</v>
      </c>
      <c r="F6567" s="165" t="s">
        <v>3060</v>
      </c>
    </row>
    <row r="6568" customFormat="false" ht="15" hidden="false" customHeight="true" outlineLevel="0" collapsed="false">
      <c r="A6568" s="163" t="s">
        <v>2466</v>
      </c>
      <c r="B6568" s="163" t="s">
        <v>894</v>
      </c>
      <c r="C6568" s="163" t="s">
        <v>4760</v>
      </c>
      <c r="D6568" s="163" t="s">
        <v>4761</v>
      </c>
      <c r="E6568" s="164" t="n">
        <v>5000</v>
      </c>
      <c r="F6568" s="165" t="s">
        <v>3060</v>
      </c>
    </row>
    <row r="6569" customFormat="false" ht="15" hidden="false" customHeight="true" outlineLevel="0" collapsed="false">
      <c r="A6569" s="163" t="s">
        <v>2466</v>
      </c>
      <c r="B6569" s="163" t="s">
        <v>894</v>
      </c>
      <c r="C6569" s="163" t="s">
        <v>10538</v>
      </c>
      <c r="D6569" s="163" t="s">
        <v>10539</v>
      </c>
      <c r="E6569" s="164" t="n">
        <v>5000</v>
      </c>
      <c r="F6569" s="165" t="s">
        <v>3060</v>
      </c>
    </row>
    <row r="6570" customFormat="false" ht="15" hidden="false" customHeight="true" outlineLevel="0" collapsed="false">
      <c r="A6570" s="163" t="s">
        <v>2466</v>
      </c>
      <c r="B6570" s="163" t="s">
        <v>894</v>
      </c>
      <c r="C6570" s="163" t="s">
        <v>6912</v>
      </c>
      <c r="D6570" s="163" t="s">
        <v>6913</v>
      </c>
      <c r="E6570" s="164" t="n">
        <v>5000</v>
      </c>
      <c r="F6570" s="165" t="s">
        <v>3060</v>
      </c>
    </row>
    <row r="6571" customFormat="false" ht="15" hidden="false" customHeight="true" outlineLevel="0" collapsed="false">
      <c r="A6571" s="163" t="s">
        <v>2466</v>
      </c>
      <c r="B6571" s="163" t="s">
        <v>894</v>
      </c>
      <c r="C6571" s="163" t="s">
        <v>6381</v>
      </c>
      <c r="D6571" s="163" t="s">
        <v>6382</v>
      </c>
      <c r="E6571" s="164" t="n">
        <v>5000</v>
      </c>
      <c r="F6571" s="165" t="s">
        <v>3060</v>
      </c>
    </row>
    <row r="6572" customFormat="false" ht="15" hidden="false" customHeight="true" outlineLevel="0" collapsed="false">
      <c r="A6572" s="163" t="s">
        <v>2466</v>
      </c>
      <c r="B6572" s="163" t="s">
        <v>894</v>
      </c>
      <c r="C6572" s="163" t="s">
        <v>6387</v>
      </c>
      <c r="D6572" s="163" t="s">
        <v>6388</v>
      </c>
      <c r="E6572" s="164" t="n">
        <v>5000</v>
      </c>
      <c r="F6572" s="165" t="s">
        <v>3060</v>
      </c>
    </row>
    <row r="6573" customFormat="false" ht="15" hidden="false" customHeight="true" outlineLevel="0" collapsed="false">
      <c r="A6573" s="163" t="s">
        <v>2466</v>
      </c>
      <c r="B6573" s="163" t="s">
        <v>894</v>
      </c>
      <c r="C6573" s="163" t="s">
        <v>10540</v>
      </c>
      <c r="D6573" s="163" t="s">
        <v>10541</v>
      </c>
      <c r="E6573" s="164" t="n">
        <v>5000</v>
      </c>
      <c r="F6573" s="165" t="s">
        <v>2863</v>
      </c>
    </row>
    <row r="6574" customFormat="false" ht="15" hidden="false" customHeight="true" outlineLevel="0" collapsed="false">
      <c r="A6574" s="163" t="s">
        <v>2466</v>
      </c>
      <c r="B6574" s="163" t="s">
        <v>894</v>
      </c>
      <c r="C6574" s="163" t="s">
        <v>1197</v>
      </c>
      <c r="D6574" s="163" t="s">
        <v>1882</v>
      </c>
      <c r="E6574" s="164" t="n">
        <v>5000</v>
      </c>
      <c r="F6574" s="165" t="s">
        <v>3060</v>
      </c>
    </row>
    <row r="6575" customFormat="false" ht="15" hidden="false" customHeight="true" outlineLevel="0" collapsed="false">
      <c r="A6575" s="163" t="s">
        <v>2466</v>
      </c>
      <c r="B6575" s="163" t="s">
        <v>894</v>
      </c>
      <c r="C6575" s="163" t="s">
        <v>1261</v>
      </c>
      <c r="D6575" s="163" t="s">
        <v>2219</v>
      </c>
      <c r="E6575" s="164" t="n">
        <v>5000</v>
      </c>
      <c r="F6575" s="165" t="s">
        <v>10542</v>
      </c>
    </row>
    <row r="6576" customFormat="false" ht="15" hidden="false" customHeight="true" outlineLevel="0" collapsed="false">
      <c r="A6576" s="163" t="s">
        <v>2466</v>
      </c>
      <c r="B6576" s="163" t="s">
        <v>894</v>
      </c>
      <c r="C6576" s="163" t="s">
        <v>3116</v>
      </c>
      <c r="D6576" s="163" t="s">
        <v>3117</v>
      </c>
      <c r="E6576" s="164" t="n">
        <v>5000</v>
      </c>
      <c r="F6576" s="165" t="s">
        <v>3060</v>
      </c>
    </row>
    <row r="6577" customFormat="false" ht="15" hidden="false" customHeight="true" outlineLevel="0" collapsed="false">
      <c r="A6577" s="163" t="s">
        <v>2466</v>
      </c>
      <c r="B6577" s="163" t="s">
        <v>894</v>
      </c>
      <c r="C6577" s="163" t="s">
        <v>6342</v>
      </c>
      <c r="D6577" s="163" t="s">
        <v>6343</v>
      </c>
      <c r="E6577" s="164" t="n">
        <v>5000</v>
      </c>
      <c r="F6577" s="165" t="s">
        <v>3060</v>
      </c>
    </row>
    <row r="6578" customFormat="false" ht="15" hidden="false" customHeight="true" outlineLevel="0" collapsed="false">
      <c r="A6578" s="163" t="s">
        <v>2466</v>
      </c>
      <c r="B6578" s="163" t="s">
        <v>894</v>
      </c>
      <c r="C6578" s="163" t="s">
        <v>10543</v>
      </c>
      <c r="D6578" s="163" t="s">
        <v>10544</v>
      </c>
      <c r="E6578" s="164" t="n">
        <v>5000</v>
      </c>
      <c r="F6578" s="165" t="s">
        <v>10545</v>
      </c>
    </row>
    <row r="6579" customFormat="false" ht="15" hidden="false" customHeight="true" outlineLevel="0" collapsed="false">
      <c r="A6579" s="163" t="s">
        <v>2466</v>
      </c>
      <c r="B6579" s="163" t="s">
        <v>894</v>
      </c>
      <c r="C6579" s="163" t="s">
        <v>6368</v>
      </c>
      <c r="D6579" s="163" t="s">
        <v>6369</v>
      </c>
      <c r="E6579" s="164" t="n">
        <v>5000</v>
      </c>
      <c r="F6579" s="165" t="s">
        <v>3060</v>
      </c>
    </row>
    <row r="6580" customFormat="false" ht="15" hidden="false" customHeight="true" outlineLevel="0" collapsed="false">
      <c r="A6580" s="163" t="s">
        <v>2466</v>
      </c>
      <c r="B6580" s="163" t="s">
        <v>894</v>
      </c>
      <c r="C6580" s="163" t="s">
        <v>1135</v>
      </c>
      <c r="D6580" s="163" t="s">
        <v>2507</v>
      </c>
      <c r="E6580" s="164" t="n">
        <v>5000</v>
      </c>
      <c r="F6580" s="165" t="s">
        <v>10546</v>
      </c>
    </row>
    <row r="6581" customFormat="false" ht="15" hidden="false" customHeight="true" outlineLevel="0" collapsed="false">
      <c r="A6581" s="163" t="s">
        <v>2466</v>
      </c>
      <c r="B6581" s="163" t="s">
        <v>894</v>
      </c>
      <c r="C6581" s="163" t="s">
        <v>8863</v>
      </c>
      <c r="D6581" s="163" t="s">
        <v>8864</v>
      </c>
      <c r="E6581" s="164" t="n">
        <v>5000</v>
      </c>
      <c r="F6581" s="165" t="s">
        <v>4765</v>
      </c>
    </row>
    <row r="6582" customFormat="false" ht="15" hidden="false" customHeight="true" outlineLevel="0" collapsed="false">
      <c r="A6582" s="163" t="s">
        <v>2466</v>
      </c>
      <c r="B6582" s="163" t="s">
        <v>894</v>
      </c>
      <c r="C6582" s="163" t="s">
        <v>6376</v>
      </c>
      <c r="D6582" s="163" t="s">
        <v>6377</v>
      </c>
      <c r="E6582" s="164" t="n">
        <v>5000</v>
      </c>
      <c r="F6582" s="165" t="s">
        <v>3060</v>
      </c>
    </row>
    <row r="6583" customFormat="false" ht="15" hidden="false" customHeight="true" outlineLevel="0" collapsed="false">
      <c r="A6583" s="163" t="s">
        <v>2466</v>
      </c>
      <c r="B6583" s="163" t="s">
        <v>894</v>
      </c>
      <c r="C6583" s="163" t="s">
        <v>1860</v>
      </c>
      <c r="D6583" s="163" t="s">
        <v>1861</v>
      </c>
      <c r="E6583" s="164" t="n">
        <v>5000</v>
      </c>
      <c r="F6583" s="165" t="s">
        <v>3060</v>
      </c>
    </row>
    <row r="6584" customFormat="false" ht="15" hidden="false" customHeight="true" outlineLevel="0" collapsed="false">
      <c r="A6584" s="163" t="s">
        <v>2466</v>
      </c>
      <c r="B6584" s="163" t="s">
        <v>894</v>
      </c>
      <c r="C6584" s="163" t="s">
        <v>7679</v>
      </c>
      <c r="D6584" s="163" t="s">
        <v>7680</v>
      </c>
      <c r="E6584" s="164" t="n">
        <v>5000</v>
      </c>
      <c r="F6584" s="165" t="s">
        <v>3060</v>
      </c>
    </row>
    <row r="6585" customFormat="false" ht="15" hidden="false" customHeight="true" outlineLevel="0" collapsed="false">
      <c r="A6585" s="163" t="s">
        <v>2466</v>
      </c>
      <c r="B6585" s="163" t="s">
        <v>894</v>
      </c>
      <c r="C6585" s="163" t="s">
        <v>10547</v>
      </c>
      <c r="D6585" s="163" t="s">
        <v>10548</v>
      </c>
      <c r="E6585" s="164" t="n">
        <v>5000</v>
      </c>
      <c r="F6585" s="165" t="s">
        <v>10549</v>
      </c>
    </row>
    <row r="6586" customFormat="false" ht="15" hidden="false" customHeight="true" outlineLevel="0" collapsed="false">
      <c r="A6586" s="163" t="s">
        <v>2466</v>
      </c>
      <c r="B6586" s="163" t="s">
        <v>894</v>
      </c>
      <c r="C6586" s="163" t="s">
        <v>8146</v>
      </c>
      <c r="D6586" s="163" t="s">
        <v>8147</v>
      </c>
      <c r="E6586" s="164" t="n">
        <v>5000</v>
      </c>
      <c r="F6586" s="165" t="s">
        <v>3060</v>
      </c>
    </row>
    <row r="6587" customFormat="false" ht="15" hidden="false" customHeight="true" outlineLevel="0" collapsed="false">
      <c r="A6587" s="163" t="s">
        <v>2466</v>
      </c>
      <c r="B6587" s="163" t="s">
        <v>894</v>
      </c>
      <c r="C6587" s="163" t="s">
        <v>10550</v>
      </c>
      <c r="D6587" s="163" t="s">
        <v>10551</v>
      </c>
      <c r="E6587" s="164" t="n">
        <v>5000</v>
      </c>
      <c r="F6587" s="165" t="s">
        <v>3060</v>
      </c>
    </row>
    <row r="6588" customFormat="false" ht="15" hidden="false" customHeight="true" outlineLevel="0" collapsed="false">
      <c r="A6588" s="163" t="s">
        <v>2466</v>
      </c>
      <c r="B6588" s="163" t="s">
        <v>894</v>
      </c>
      <c r="C6588" s="163" t="s">
        <v>8272</v>
      </c>
      <c r="D6588" s="163" t="s">
        <v>8273</v>
      </c>
      <c r="E6588" s="164" t="n">
        <v>5000</v>
      </c>
      <c r="F6588" s="165" t="s">
        <v>10552</v>
      </c>
    </row>
    <row r="6589" customFormat="false" ht="15" hidden="false" customHeight="true" outlineLevel="0" collapsed="false">
      <c r="A6589" s="163" t="s">
        <v>2466</v>
      </c>
      <c r="B6589" s="163" t="s">
        <v>894</v>
      </c>
      <c r="C6589" s="163" t="s">
        <v>10553</v>
      </c>
      <c r="D6589" s="163" t="s">
        <v>10554</v>
      </c>
      <c r="E6589" s="164" t="n">
        <v>5000</v>
      </c>
      <c r="F6589" s="165" t="s">
        <v>3060</v>
      </c>
    </row>
    <row r="6590" customFormat="false" ht="15" hidden="false" customHeight="true" outlineLevel="0" collapsed="false">
      <c r="A6590" s="163" t="s">
        <v>2466</v>
      </c>
      <c r="B6590" s="163" t="s">
        <v>894</v>
      </c>
      <c r="C6590" s="163" t="s">
        <v>10555</v>
      </c>
      <c r="D6590" s="163" t="s">
        <v>1931</v>
      </c>
      <c r="E6590" s="164" t="n">
        <v>3000</v>
      </c>
      <c r="F6590" s="165" t="s">
        <v>3060</v>
      </c>
    </row>
    <row r="6591" customFormat="false" ht="15" hidden="false" customHeight="true" outlineLevel="0" collapsed="false">
      <c r="A6591" s="163" t="s">
        <v>2466</v>
      </c>
      <c r="B6591" s="163" t="s">
        <v>882</v>
      </c>
      <c r="C6591" s="163" t="s">
        <v>640</v>
      </c>
      <c r="D6591" s="163" t="s">
        <v>1931</v>
      </c>
      <c r="E6591" s="164" t="n">
        <v>280000</v>
      </c>
      <c r="F6591" s="165" t="s">
        <v>10556</v>
      </c>
    </row>
    <row r="6592" customFormat="false" ht="15" hidden="false" customHeight="true" outlineLevel="0" collapsed="false">
      <c r="A6592" s="163" t="s">
        <v>2466</v>
      </c>
      <c r="B6592" s="163" t="s">
        <v>2328</v>
      </c>
      <c r="C6592" s="163" t="s">
        <v>10527</v>
      </c>
      <c r="D6592" s="163" t="s">
        <v>10528</v>
      </c>
      <c r="E6592" s="164" t="n">
        <v>20000</v>
      </c>
      <c r="F6592" s="165" t="s">
        <v>3060</v>
      </c>
    </row>
    <row r="6593" customFormat="false" ht="15" hidden="false" customHeight="true" outlineLevel="0" collapsed="false">
      <c r="A6593" s="163" t="s">
        <v>2466</v>
      </c>
      <c r="B6593" s="163" t="s">
        <v>2328</v>
      </c>
      <c r="C6593" s="163" t="s">
        <v>10465</v>
      </c>
      <c r="D6593" s="163" t="s">
        <v>10466</v>
      </c>
      <c r="E6593" s="164" t="n">
        <v>15000</v>
      </c>
      <c r="F6593" s="165" t="s">
        <v>10557</v>
      </c>
    </row>
    <row r="6594" customFormat="false" ht="15" hidden="false" customHeight="true" outlineLevel="0" collapsed="false">
      <c r="A6594" s="163" t="s">
        <v>2466</v>
      </c>
      <c r="B6594" s="163" t="s">
        <v>2328</v>
      </c>
      <c r="C6594" s="163" t="s">
        <v>6342</v>
      </c>
      <c r="D6594" s="163" t="s">
        <v>6343</v>
      </c>
      <c r="E6594" s="164" t="n">
        <v>15000</v>
      </c>
      <c r="F6594" s="165" t="s">
        <v>3060</v>
      </c>
    </row>
    <row r="6595" customFormat="false" ht="15" hidden="false" customHeight="true" outlineLevel="0" collapsed="false">
      <c r="A6595" s="163" t="s">
        <v>2466</v>
      </c>
      <c r="B6595" s="163" t="s">
        <v>2342</v>
      </c>
      <c r="C6595" s="163" t="s">
        <v>197</v>
      </c>
      <c r="D6595" s="163" t="s">
        <v>1931</v>
      </c>
      <c r="E6595" s="164" t="n">
        <v>60000</v>
      </c>
      <c r="F6595" s="165" t="s">
        <v>3060</v>
      </c>
    </row>
    <row r="6596" customFormat="false" ht="15" hidden="false" customHeight="true" outlineLevel="0" collapsed="false">
      <c r="A6596" s="163" t="s">
        <v>2466</v>
      </c>
      <c r="B6596" s="163" t="s">
        <v>2342</v>
      </c>
      <c r="C6596" s="163" t="s">
        <v>197</v>
      </c>
      <c r="D6596" s="163" t="s">
        <v>1931</v>
      </c>
      <c r="E6596" s="164" t="n">
        <v>30000</v>
      </c>
      <c r="F6596" s="165" t="s">
        <v>3060</v>
      </c>
    </row>
    <row r="6597" customFormat="false" ht="15" hidden="false" customHeight="true" outlineLevel="0" collapsed="false">
      <c r="A6597" s="163" t="s">
        <v>2466</v>
      </c>
      <c r="B6597" s="163" t="s">
        <v>1743</v>
      </c>
      <c r="C6597" s="163" t="s">
        <v>4769</v>
      </c>
      <c r="D6597" s="163" t="s">
        <v>4770</v>
      </c>
      <c r="E6597" s="164" t="n">
        <v>25000</v>
      </c>
      <c r="F6597" s="165" t="s">
        <v>3060</v>
      </c>
    </row>
    <row r="6598" customFormat="false" ht="15" hidden="false" customHeight="true" outlineLevel="0" collapsed="false">
      <c r="A6598" s="163" t="s">
        <v>2466</v>
      </c>
      <c r="B6598" s="163" t="s">
        <v>1743</v>
      </c>
      <c r="C6598" s="163" t="s">
        <v>10525</v>
      </c>
      <c r="D6598" s="163" t="s">
        <v>10526</v>
      </c>
      <c r="E6598" s="164" t="n">
        <v>25000</v>
      </c>
      <c r="F6598" s="165" t="s">
        <v>3060</v>
      </c>
    </row>
    <row r="6599" customFormat="false" ht="15" hidden="false" customHeight="true" outlineLevel="0" collapsed="false">
      <c r="A6599" s="163" t="s">
        <v>2466</v>
      </c>
      <c r="B6599" s="163" t="s">
        <v>1743</v>
      </c>
      <c r="C6599" s="163" t="s">
        <v>10486</v>
      </c>
      <c r="D6599" s="163" t="s">
        <v>10487</v>
      </c>
      <c r="E6599" s="164" t="n">
        <v>20000</v>
      </c>
      <c r="F6599" s="165" t="s">
        <v>3060</v>
      </c>
    </row>
    <row r="6600" customFormat="false" ht="15" hidden="false" customHeight="true" outlineLevel="0" collapsed="false">
      <c r="A6600" s="163" t="s">
        <v>2466</v>
      </c>
      <c r="B6600" s="163" t="s">
        <v>1743</v>
      </c>
      <c r="C6600" s="163" t="s">
        <v>10469</v>
      </c>
      <c r="D6600" s="163" t="s">
        <v>10470</v>
      </c>
      <c r="E6600" s="164" t="n">
        <v>15000</v>
      </c>
      <c r="F6600" s="165" t="s">
        <v>3060</v>
      </c>
    </row>
    <row r="6601" customFormat="false" ht="15" hidden="false" customHeight="true" outlineLevel="0" collapsed="false">
      <c r="A6601" s="163" t="s">
        <v>2466</v>
      </c>
      <c r="B6601" s="163" t="s">
        <v>1743</v>
      </c>
      <c r="C6601" s="163" t="s">
        <v>6410</v>
      </c>
      <c r="D6601" s="163" t="s">
        <v>6411</v>
      </c>
      <c r="E6601" s="164" t="n">
        <v>15000</v>
      </c>
      <c r="F6601" s="165" t="s">
        <v>3060</v>
      </c>
    </row>
    <row r="6602" customFormat="false" ht="15" hidden="false" customHeight="true" outlineLevel="0" collapsed="false">
      <c r="A6602" s="163" t="s">
        <v>2466</v>
      </c>
      <c r="B6602" s="163" t="s">
        <v>1743</v>
      </c>
      <c r="C6602" s="163" t="s">
        <v>4760</v>
      </c>
      <c r="D6602" s="163" t="s">
        <v>4761</v>
      </c>
      <c r="E6602" s="164" t="n">
        <v>10000</v>
      </c>
      <c r="F6602" s="165" t="s">
        <v>3060</v>
      </c>
    </row>
    <row r="6603" customFormat="false" ht="15" hidden="false" customHeight="true" outlineLevel="0" collapsed="false">
      <c r="A6603" s="163" t="s">
        <v>2466</v>
      </c>
      <c r="B6603" s="163" t="s">
        <v>1743</v>
      </c>
      <c r="C6603" s="163" t="s">
        <v>6345</v>
      </c>
      <c r="D6603" s="163" t="s">
        <v>6346</v>
      </c>
      <c r="E6603" s="164" t="n">
        <v>10000</v>
      </c>
      <c r="F6603" s="165" t="s">
        <v>3060</v>
      </c>
    </row>
    <row r="6604" customFormat="false" ht="15" hidden="false" customHeight="true" outlineLevel="0" collapsed="false">
      <c r="A6604" s="163" t="s">
        <v>2466</v>
      </c>
      <c r="B6604" s="163" t="s">
        <v>1743</v>
      </c>
      <c r="C6604" s="163" t="s">
        <v>3210</v>
      </c>
      <c r="D6604" s="163" t="s">
        <v>3211</v>
      </c>
      <c r="E6604" s="164" t="n">
        <v>10000</v>
      </c>
      <c r="F6604" s="165" t="s">
        <v>10558</v>
      </c>
    </row>
    <row r="6605" customFormat="false" ht="15" hidden="false" customHeight="true" outlineLevel="0" collapsed="false">
      <c r="A6605" s="163" t="s">
        <v>2466</v>
      </c>
      <c r="B6605" s="163" t="s">
        <v>1743</v>
      </c>
      <c r="C6605" s="163" t="s">
        <v>3210</v>
      </c>
      <c r="D6605" s="163" t="s">
        <v>3211</v>
      </c>
      <c r="E6605" s="164" t="n">
        <v>10000</v>
      </c>
      <c r="F6605" s="165" t="s">
        <v>10559</v>
      </c>
    </row>
    <row r="6606" customFormat="false" ht="15" hidden="false" customHeight="true" outlineLevel="0" collapsed="false">
      <c r="A6606" s="163" t="s">
        <v>2466</v>
      </c>
      <c r="B6606" s="163" t="s">
        <v>1743</v>
      </c>
      <c r="C6606" s="163" t="s">
        <v>3210</v>
      </c>
      <c r="D6606" s="163" t="s">
        <v>3211</v>
      </c>
      <c r="E6606" s="164" t="n">
        <v>10000</v>
      </c>
      <c r="F6606" s="165" t="s">
        <v>10560</v>
      </c>
    </row>
    <row r="6607" customFormat="false" ht="15" hidden="false" customHeight="true" outlineLevel="0" collapsed="false">
      <c r="A6607" s="163" t="s">
        <v>2466</v>
      </c>
      <c r="B6607" s="163" t="s">
        <v>928</v>
      </c>
      <c r="C6607" s="163" t="s">
        <v>6348</v>
      </c>
      <c r="D6607" s="163" t="s">
        <v>6349</v>
      </c>
      <c r="E6607" s="164" t="n">
        <v>15000</v>
      </c>
      <c r="F6607" s="165" t="s">
        <v>3060</v>
      </c>
    </row>
    <row r="6608" customFormat="false" ht="15" hidden="false" customHeight="true" outlineLevel="0" collapsed="false">
      <c r="A6608" s="163" t="s">
        <v>2466</v>
      </c>
      <c r="B6608" s="163" t="s">
        <v>928</v>
      </c>
      <c r="C6608" s="163" t="s">
        <v>6419</v>
      </c>
      <c r="D6608" s="163" t="s">
        <v>6420</v>
      </c>
      <c r="E6608" s="164" t="n">
        <v>14000</v>
      </c>
      <c r="F6608" s="165" t="s">
        <v>3060</v>
      </c>
    </row>
    <row r="6609" customFormat="false" ht="15" hidden="false" customHeight="true" outlineLevel="0" collapsed="false">
      <c r="A6609" s="163" t="s">
        <v>2466</v>
      </c>
      <c r="B6609" s="163" t="s">
        <v>928</v>
      </c>
      <c r="C6609" s="163" t="s">
        <v>6404</v>
      </c>
      <c r="D6609" s="163" t="s">
        <v>6405</v>
      </c>
      <c r="E6609" s="164" t="n">
        <v>12000</v>
      </c>
      <c r="F6609" s="165" t="s">
        <v>3060</v>
      </c>
    </row>
    <row r="6610" customFormat="false" ht="15" hidden="false" customHeight="true" outlineLevel="0" collapsed="false">
      <c r="A6610" s="163" t="s">
        <v>2466</v>
      </c>
      <c r="B6610" s="163" t="s">
        <v>928</v>
      </c>
      <c r="C6610" s="163" t="s">
        <v>4843</v>
      </c>
      <c r="D6610" s="163" t="s">
        <v>4844</v>
      </c>
      <c r="E6610" s="164" t="n">
        <v>12000</v>
      </c>
      <c r="F6610" s="165" t="s">
        <v>10561</v>
      </c>
    </row>
    <row r="6611" customFormat="false" ht="15" hidden="false" customHeight="true" outlineLevel="0" collapsed="false">
      <c r="A6611" s="163" t="s">
        <v>2466</v>
      </c>
      <c r="B6611" s="163" t="s">
        <v>928</v>
      </c>
      <c r="C6611" s="163" t="s">
        <v>4843</v>
      </c>
      <c r="D6611" s="163" t="s">
        <v>4844</v>
      </c>
      <c r="E6611" s="164" t="n">
        <v>10250</v>
      </c>
      <c r="F6611" s="165" t="s">
        <v>10562</v>
      </c>
    </row>
    <row r="6612" customFormat="false" ht="15" hidden="false" customHeight="true" outlineLevel="0" collapsed="false">
      <c r="A6612" s="163" t="s">
        <v>2466</v>
      </c>
      <c r="B6612" s="163" t="s">
        <v>928</v>
      </c>
      <c r="C6612" s="163" t="s">
        <v>6350</v>
      </c>
      <c r="D6612" s="163" t="s">
        <v>6351</v>
      </c>
      <c r="E6612" s="164" t="n">
        <v>10000</v>
      </c>
      <c r="F6612" s="165" t="s">
        <v>3060</v>
      </c>
    </row>
    <row r="6613" customFormat="false" ht="15" hidden="false" customHeight="true" outlineLevel="0" collapsed="false">
      <c r="A6613" s="163" t="s">
        <v>2466</v>
      </c>
      <c r="B6613" s="163" t="s">
        <v>928</v>
      </c>
      <c r="C6613" s="163" t="s">
        <v>10563</v>
      </c>
      <c r="D6613" s="163" t="s">
        <v>10564</v>
      </c>
      <c r="E6613" s="164" t="n">
        <v>10000</v>
      </c>
      <c r="F6613" s="165" t="s">
        <v>3060</v>
      </c>
    </row>
    <row r="6614" customFormat="false" ht="15" hidden="false" customHeight="true" outlineLevel="0" collapsed="false">
      <c r="A6614" s="163" t="s">
        <v>2466</v>
      </c>
      <c r="B6614" s="163" t="s">
        <v>928</v>
      </c>
      <c r="C6614" s="163" t="s">
        <v>8863</v>
      </c>
      <c r="D6614" s="163" t="s">
        <v>8864</v>
      </c>
      <c r="E6614" s="164" t="n">
        <v>10000</v>
      </c>
      <c r="F6614" s="165" t="s">
        <v>3060</v>
      </c>
    </row>
    <row r="6615" customFormat="false" ht="15" hidden="false" customHeight="true" outlineLevel="0" collapsed="false">
      <c r="A6615" s="163" t="s">
        <v>2466</v>
      </c>
      <c r="B6615" s="163" t="s">
        <v>928</v>
      </c>
      <c r="C6615" s="163" t="s">
        <v>10565</v>
      </c>
      <c r="D6615" s="163" t="s">
        <v>10566</v>
      </c>
      <c r="E6615" s="164" t="n">
        <v>8000</v>
      </c>
      <c r="F6615" s="165" t="s">
        <v>10567</v>
      </c>
    </row>
    <row r="6616" customFormat="false" ht="15" hidden="false" customHeight="true" outlineLevel="0" collapsed="false">
      <c r="A6616" s="163" t="s">
        <v>2466</v>
      </c>
      <c r="B6616" s="163" t="s">
        <v>928</v>
      </c>
      <c r="C6616" s="163" t="s">
        <v>10568</v>
      </c>
      <c r="D6616" s="163" t="s">
        <v>10569</v>
      </c>
      <c r="E6616" s="164" t="n">
        <v>8000</v>
      </c>
      <c r="F6616" s="165" t="s">
        <v>10478</v>
      </c>
    </row>
    <row r="6617" customFormat="false" ht="15" hidden="false" customHeight="true" outlineLevel="0" collapsed="false">
      <c r="A6617" s="163" t="s">
        <v>2466</v>
      </c>
      <c r="B6617" s="163" t="s">
        <v>928</v>
      </c>
      <c r="C6617" s="163" t="s">
        <v>6417</v>
      </c>
      <c r="D6617" s="163" t="s">
        <v>6418</v>
      </c>
      <c r="E6617" s="164" t="n">
        <v>7000</v>
      </c>
      <c r="F6617" s="165" t="s">
        <v>3060</v>
      </c>
    </row>
    <row r="6618" customFormat="false" ht="15" hidden="false" customHeight="true" outlineLevel="0" collapsed="false">
      <c r="A6618" s="163" t="s">
        <v>2466</v>
      </c>
      <c r="B6618" s="163" t="s">
        <v>928</v>
      </c>
      <c r="C6618" s="163" t="s">
        <v>657</v>
      </c>
      <c r="D6618" s="163" t="s">
        <v>1849</v>
      </c>
      <c r="E6618" s="164" t="n">
        <v>7000</v>
      </c>
      <c r="F6618" s="165" t="s">
        <v>2964</v>
      </c>
    </row>
    <row r="6619" customFormat="false" ht="15" hidden="false" customHeight="true" outlineLevel="0" collapsed="false">
      <c r="A6619" s="163" t="s">
        <v>2466</v>
      </c>
      <c r="B6619" s="163" t="s">
        <v>928</v>
      </c>
      <c r="C6619" s="163" t="s">
        <v>10482</v>
      </c>
      <c r="D6619" s="163" t="s">
        <v>10483</v>
      </c>
      <c r="E6619" s="164" t="n">
        <v>6750</v>
      </c>
      <c r="F6619" s="165" t="s">
        <v>3060</v>
      </c>
    </row>
    <row r="6620" customFormat="false" ht="15" hidden="false" customHeight="true" outlineLevel="0" collapsed="false">
      <c r="A6620" s="163" t="s">
        <v>2466</v>
      </c>
      <c r="B6620" s="163" t="s">
        <v>928</v>
      </c>
      <c r="C6620" s="163" t="s">
        <v>6421</v>
      </c>
      <c r="D6620" s="163" t="s">
        <v>6422</v>
      </c>
      <c r="E6620" s="164" t="n">
        <v>5000</v>
      </c>
      <c r="F6620" s="165" t="s">
        <v>3060</v>
      </c>
    </row>
    <row r="6621" customFormat="false" ht="15" hidden="false" customHeight="true" outlineLevel="0" collapsed="false">
      <c r="A6621" s="163" t="s">
        <v>2466</v>
      </c>
      <c r="B6621" s="163" t="s">
        <v>928</v>
      </c>
      <c r="C6621" s="163" t="s">
        <v>10570</v>
      </c>
      <c r="D6621" s="163" t="s">
        <v>10571</v>
      </c>
      <c r="E6621" s="164" t="n">
        <v>5000</v>
      </c>
      <c r="F6621" s="165" t="s">
        <v>10478</v>
      </c>
    </row>
    <row r="6622" customFormat="false" ht="15" hidden="false" customHeight="true" outlineLevel="0" collapsed="false">
      <c r="A6622" s="163" t="s">
        <v>2466</v>
      </c>
      <c r="B6622" s="163" t="s">
        <v>928</v>
      </c>
      <c r="C6622" s="163" t="s">
        <v>473</v>
      </c>
      <c r="D6622" s="163" t="s">
        <v>2764</v>
      </c>
      <c r="E6622" s="164" t="n">
        <v>5000</v>
      </c>
      <c r="F6622" s="165" t="s">
        <v>10572</v>
      </c>
    </row>
    <row r="6623" customFormat="false" ht="15" hidden="false" customHeight="true" outlineLevel="0" collapsed="false">
      <c r="A6623" s="163" t="s">
        <v>2466</v>
      </c>
      <c r="B6623" s="163" t="s">
        <v>928</v>
      </c>
      <c r="C6623" s="163" t="s">
        <v>10573</v>
      </c>
      <c r="D6623" s="163" t="s">
        <v>10574</v>
      </c>
      <c r="E6623" s="164" t="n">
        <v>5000</v>
      </c>
      <c r="F6623" s="165" t="s">
        <v>3060</v>
      </c>
    </row>
    <row r="6624" customFormat="false" ht="15" hidden="false" customHeight="true" outlineLevel="0" collapsed="false">
      <c r="A6624" s="163" t="s">
        <v>3013</v>
      </c>
      <c r="B6624" s="163" t="s">
        <v>926</v>
      </c>
      <c r="C6624" s="163" t="s">
        <v>6616</v>
      </c>
      <c r="D6624" s="163" t="s">
        <v>6617</v>
      </c>
      <c r="E6624" s="164" t="n">
        <v>20000</v>
      </c>
      <c r="F6624" s="165" t="s">
        <v>3060</v>
      </c>
    </row>
    <row r="6625" customFormat="false" ht="15" hidden="false" customHeight="true" outlineLevel="0" collapsed="false">
      <c r="A6625" s="163" t="s">
        <v>3013</v>
      </c>
      <c r="B6625" s="163" t="s">
        <v>926</v>
      </c>
      <c r="C6625" s="163" t="s">
        <v>197</v>
      </c>
      <c r="D6625" s="163" t="s">
        <v>1931</v>
      </c>
      <c r="E6625" s="164" t="n">
        <v>15000</v>
      </c>
      <c r="F6625" s="165" t="s">
        <v>3060</v>
      </c>
    </row>
    <row r="6626" customFormat="false" ht="15" hidden="false" customHeight="true" outlineLevel="0" collapsed="false">
      <c r="A6626" s="163" t="s">
        <v>3013</v>
      </c>
      <c r="B6626" s="163" t="s">
        <v>926</v>
      </c>
      <c r="C6626" s="163" t="s">
        <v>4881</v>
      </c>
      <c r="D6626" s="163" t="s">
        <v>4882</v>
      </c>
      <c r="E6626" s="164" t="n">
        <v>15000</v>
      </c>
      <c r="F6626" s="165" t="s">
        <v>3060</v>
      </c>
    </row>
    <row r="6627" customFormat="false" ht="15" hidden="false" customHeight="true" outlineLevel="0" collapsed="false">
      <c r="A6627" s="163" t="s">
        <v>3013</v>
      </c>
      <c r="B6627" s="163" t="s">
        <v>926</v>
      </c>
      <c r="C6627" s="163" t="s">
        <v>3063</v>
      </c>
      <c r="D6627" s="163" t="s">
        <v>3064</v>
      </c>
      <c r="E6627" s="164" t="n">
        <v>15000</v>
      </c>
      <c r="F6627" s="165" t="s">
        <v>3060</v>
      </c>
    </row>
    <row r="6628" customFormat="false" ht="15" hidden="false" customHeight="true" outlineLevel="0" collapsed="false">
      <c r="A6628" s="163" t="s">
        <v>3013</v>
      </c>
      <c r="B6628" s="163" t="s">
        <v>926</v>
      </c>
      <c r="C6628" s="163" t="s">
        <v>3061</v>
      </c>
      <c r="D6628" s="163" t="s">
        <v>3062</v>
      </c>
      <c r="E6628" s="164" t="n">
        <v>15000</v>
      </c>
      <c r="F6628" s="165" t="s">
        <v>3060</v>
      </c>
    </row>
    <row r="6629" customFormat="false" ht="15" hidden="false" customHeight="true" outlineLevel="0" collapsed="false">
      <c r="A6629" s="163" t="s">
        <v>3013</v>
      </c>
      <c r="B6629" s="163" t="s">
        <v>926</v>
      </c>
      <c r="C6629" s="163" t="s">
        <v>230</v>
      </c>
      <c r="D6629" s="163" t="s">
        <v>2077</v>
      </c>
      <c r="E6629" s="164" t="n">
        <v>10000</v>
      </c>
      <c r="F6629" s="165" t="s">
        <v>3060</v>
      </c>
    </row>
    <row r="6630" customFormat="false" ht="15" hidden="false" customHeight="true" outlineLevel="0" collapsed="false">
      <c r="A6630" s="163" t="s">
        <v>3013</v>
      </c>
      <c r="B6630" s="163" t="s">
        <v>926</v>
      </c>
      <c r="C6630" s="163" t="s">
        <v>3709</v>
      </c>
      <c r="D6630" s="163" t="s">
        <v>3710</v>
      </c>
      <c r="E6630" s="164" t="n">
        <v>10000</v>
      </c>
      <c r="F6630" s="165" t="s">
        <v>3060</v>
      </c>
    </row>
    <row r="6631" customFormat="false" ht="15" hidden="false" customHeight="true" outlineLevel="0" collapsed="false">
      <c r="A6631" s="163" t="s">
        <v>3013</v>
      </c>
      <c r="B6631" s="163" t="s">
        <v>957</v>
      </c>
      <c r="C6631" s="163" t="s">
        <v>4900</v>
      </c>
      <c r="D6631" s="163" t="s">
        <v>4901</v>
      </c>
      <c r="E6631" s="164" t="n">
        <v>25000</v>
      </c>
      <c r="F6631" s="165" t="s">
        <v>3060</v>
      </c>
    </row>
    <row r="6632" customFormat="false" ht="15" hidden="false" customHeight="true" outlineLevel="0" collapsed="false">
      <c r="A6632" s="163" t="s">
        <v>3013</v>
      </c>
      <c r="B6632" s="163" t="s">
        <v>957</v>
      </c>
      <c r="C6632" s="163" t="s">
        <v>4898</v>
      </c>
      <c r="D6632" s="163" t="s">
        <v>4899</v>
      </c>
      <c r="E6632" s="164" t="n">
        <v>20000</v>
      </c>
      <c r="F6632" s="165" t="s">
        <v>9440</v>
      </c>
    </row>
    <row r="6633" customFormat="false" ht="15" hidden="false" customHeight="true" outlineLevel="0" collapsed="false">
      <c r="A6633" s="163" t="s">
        <v>3013</v>
      </c>
      <c r="B6633" s="163" t="s">
        <v>957</v>
      </c>
      <c r="C6633" s="163" t="s">
        <v>6557</v>
      </c>
      <c r="D6633" s="163" t="s">
        <v>6558</v>
      </c>
      <c r="E6633" s="164" t="n">
        <v>10000</v>
      </c>
      <c r="F6633" s="165" t="s">
        <v>9440</v>
      </c>
    </row>
    <row r="6634" customFormat="false" ht="15" hidden="false" customHeight="true" outlineLevel="0" collapsed="false">
      <c r="A6634" s="163" t="s">
        <v>3013</v>
      </c>
      <c r="B6634" s="163" t="s">
        <v>957</v>
      </c>
      <c r="C6634" s="163" t="s">
        <v>5214</v>
      </c>
      <c r="D6634" s="163" t="s">
        <v>5215</v>
      </c>
      <c r="E6634" s="164" t="n">
        <v>10000</v>
      </c>
      <c r="F6634" s="165" t="s">
        <v>10575</v>
      </c>
    </row>
    <row r="6635" customFormat="false" ht="15" hidden="false" customHeight="true" outlineLevel="0" collapsed="false">
      <c r="A6635" s="163" t="s">
        <v>3013</v>
      </c>
      <c r="B6635" s="163" t="s">
        <v>957</v>
      </c>
      <c r="C6635" s="163" t="s">
        <v>4887</v>
      </c>
      <c r="D6635" s="163" t="s">
        <v>4888</v>
      </c>
      <c r="E6635" s="164" t="n">
        <v>10000</v>
      </c>
      <c r="F6635" s="165" t="s">
        <v>10576</v>
      </c>
    </row>
    <row r="6636" customFormat="false" ht="15" hidden="false" customHeight="true" outlineLevel="0" collapsed="false">
      <c r="A6636" s="163" t="s">
        <v>3013</v>
      </c>
      <c r="B6636" s="163" t="s">
        <v>957</v>
      </c>
      <c r="C6636" s="163" t="s">
        <v>4097</v>
      </c>
      <c r="D6636" s="163" t="s">
        <v>4098</v>
      </c>
      <c r="E6636" s="164" t="n">
        <v>10000</v>
      </c>
      <c r="F6636" s="165" t="s">
        <v>9440</v>
      </c>
    </row>
    <row r="6637" customFormat="false" ht="15" hidden="false" customHeight="true" outlineLevel="0" collapsed="false">
      <c r="A6637" s="163" t="s">
        <v>3013</v>
      </c>
      <c r="B6637" s="163" t="s">
        <v>957</v>
      </c>
      <c r="C6637" s="163" t="s">
        <v>3567</v>
      </c>
      <c r="D6637" s="163" t="s">
        <v>3568</v>
      </c>
      <c r="E6637" s="164" t="n">
        <v>5000</v>
      </c>
      <c r="F6637" s="165" t="s">
        <v>10577</v>
      </c>
    </row>
    <row r="6638" customFormat="false" ht="15" hidden="false" customHeight="true" outlineLevel="0" collapsed="false">
      <c r="A6638" s="163" t="s">
        <v>3013</v>
      </c>
      <c r="B6638" s="163" t="s">
        <v>957</v>
      </c>
      <c r="C6638" s="163" t="s">
        <v>3567</v>
      </c>
      <c r="D6638" s="163" t="s">
        <v>3568</v>
      </c>
      <c r="E6638" s="164" t="n">
        <v>5000</v>
      </c>
      <c r="F6638" s="165" t="s">
        <v>10578</v>
      </c>
    </row>
    <row r="6639" customFormat="false" ht="15" hidden="false" customHeight="true" outlineLevel="0" collapsed="false">
      <c r="A6639" s="163" t="s">
        <v>3013</v>
      </c>
      <c r="B6639" s="163" t="s">
        <v>957</v>
      </c>
      <c r="C6639" s="163" t="s">
        <v>7773</v>
      </c>
      <c r="D6639" s="163" t="s">
        <v>7774</v>
      </c>
      <c r="E6639" s="164" t="n">
        <v>5000</v>
      </c>
      <c r="F6639" s="165" t="s">
        <v>9440</v>
      </c>
    </row>
    <row r="6640" customFormat="false" ht="15" hidden="false" customHeight="true" outlineLevel="0" collapsed="false">
      <c r="A6640" s="163" t="s">
        <v>3013</v>
      </c>
      <c r="B6640" s="163" t="s">
        <v>957</v>
      </c>
      <c r="C6640" s="163" t="s">
        <v>10579</v>
      </c>
      <c r="D6640" s="163" t="s">
        <v>10580</v>
      </c>
      <c r="E6640" s="164" t="n">
        <v>5000</v>
      </c>
      <c r="F6640" s="165" t="s">
        <v>9440</v>
      </c>
    </row>
    <row r="6641" customFormat="false" ht="15" hidden="false" customHeight="true" outlineLevel="0" collapsed="false">
      <c r="A6641" s="163" t="s">
        <v>3013</v>
      </c>
      <c r="B6641" s="163" t="s">
        <v>957</v>
      </c>
      <c r="C6641" s="163" t="s">
        <v>6616</v>
      </c>
      <c r="D6641" s="163" t="s">
        <v>6617</v>
      </c>
      <c r="E6641" s="164" t="n">
        <v>5000</v>
      </c>
      <c r="F6641" s="165" t="s">
        <v>9440</v>
      </c>
    </row>
    <row r="6642" customFormat="false" ht="15" hidden="false" customHeight="true" outlineLevel="0" collapsed="false">
      <c r="A6642" s="163" t="s">
        <v>3013</v>
      </c>
      <c r="B6642" s="163" t="s">
        <v>945</v>
      </c>
      <c r="C6642" s="163" t="s">
        <v>5071</v>
      </c>
      <c r="D6642" s="163" t="s">
        <v>5072</v>
      </c>
      <c r="E6642" s="164" t="n">
        <v>30000</v>
      </c>
      <c r="F6642" s="165" t="s">
        <v>3060</v>
      </c>
    </row>
    <row r="6643" customFormat="false" ht="15" hidden="false" customHeight="true" outlineLevel="0" collapsed="false">
      <c r="A6643" s="163" t="s">
        <v>3013</v>
      </c>
      <c r="B6643" s="163" t="s">
        <v>945</v>
      </c>
      <c r="C6643" s="163" t="s">
        <v>4966</v>
      </c>
      <c r="D6643" s="163" t="s">
        <v>4967</v>
      </c>
      <c r="E6643" s="164" t="n">
        <v>5000</v>
      </c>
      <c r="F6643" s="165" t="s">
        <v>9440</v>
      </c>
    </row>
    <row r="6644" customFormat="false" ht="15" hidden="false" customHeight="true" outlineLevel="0" collapsed="false">
      <c r="A6644" s="163" t="s">
        <v>3013</v>
      </c>
      <c r="B6644" s="163" t="s">
        <v>945</v>
      </c>
      <c r="C6644" s="163" t="s">
        <v>3859</v>
      </c>
      <c r="D6644" s="163" t="s">
        <v>3860</v>
      </c>
      <c r="E6644" s="164" t="n">
        <v>5000</v>
      </c>
      <c r="F6644" s="165" t="s">
        <v>10581</v>
      </c>
    </row>
    <row r="6645" customFormat="false" ht="15" hidden="false" customHeight="true" outlineLevel="0" collapsed="false">
      <c r="A6645" s="163" t="s">
        <v>3013</v>
      </c>
      <c r="B6645" s="163" t="s">
        <v>945</v>
      </c>
      <c r="C6645" s="163" t="s">
        <v>4929</v>
      </c>
      <c r="D6645" s="163" t="s">
        <v>4930</v>
      </c>
      <c r="E6645" s="164" t="n">
        <v>5000</v>
      </c>
      <c r="F6645" s="165" t="s">
        <v>3060</v>
      </c>
    </row>
    <row r="6646" customFormat="false" ht="15" hidden="false" customHeight="true" outlineLevel="0" collapsed="false">
      <c r="A6646" s="163" t="s">
        <v>3013</v>
      </c>
      <c r="B6646" s="163" t="s">
        <v>945</v>
      </c>
      <c r="C6646" s="163" t="s">
        <v>5214</v>
      </c>
      <c r="D6646" s="163" t="s">
        <v>5215</v>
      </c>
      <c r="E6646" s="164" t="n">
        <v>5000</v>
      </c>
      <c r="F6646" s="165" t="s">
        <v>3060</v>
      </c>
    </row>
    <row r="6647" customFormat="false" ht="15" hidden="false" customHeight="true" outlineLevel="0" collapsed="false">
      <c r="A6647" s="163" t="s">
        <v>3013</v>
      </c>
      <c r="B6647" s="163" t="s">
        <v>3111</v>
      </c>
      <c r="C6647" s="163" t="s">
        <v>4884</v>
      </c>
      <c r="D6647" s="163" t="s">
        <v>4885</v>
      </c>
      <c r="E6647" s="164" t="n">
        <v>40000</v>
      </c>
      <c r="F6647" s="165" t="s">
        <v>9440</v>
      </c>
    </row>
    <row r="6648" customFormat="false" ht="15" hidden="false" customHeight="true" outlineLevel="0" collapsed="false">
      <c r="A6648" s="163" t="s">
        <v>3013</v>
      </c>
      <c r="B6648" s="163" t="s">
        <v>3111</v>
      </c>
      <c r="C6648" s="163" t="s">
        <v>6616</v>
      </c>
      <c r="D6648" s="163" t="s">
        <v>6617</v>
      </c>
      <c r="E6648" s="164" t="n">
        <v>20000</v>
      </c>
      <c r="F6648" s="165" t="s">
        <v>3060</v>
      </c>
    </row>
    <row r="6649" customFormat="false" ht="15" hidden="false" customHeight="true" outlineLevel="0" collapsed="false">
      <c r="A6649" s="163" t="s">
        <v>3013</v>
      </c>
      <c r="B6649" s="163" t="s">
        <v>3111</v>
      </c>
      <c r="C6649" s="163" t="s">
        <v>10582</v>
      </c>
      <c r="D6649" s="163" t="s">
        <v>10583</v>
      </c>
      <c r="E6649" s="164" t="n">
        <v>15000</v>
      </c>
      <c r="F6649" s="165" t="s">
        <v>10584</v>
      </c>
    </row>
    <row r="6650" customFormat="false" ht="15" hidden="false" customHeight="true" outlineLevel="0" collapsed="false">
      <c r="A6650" s="163" t="s">
        <v>3013</v>
      </c>
      <c r="B6650" s="163" t="s">
        <v>3111</v>
      </c>
      <c r="C6650" s="163" t="s">
        <v>4957</v>
      </c>
      <c r="D6650" s="163" t="s">
        <v>4958</v>
      </c>
      <c r="E6650" s="164" t="n">
        <v>15000</v>
      </c>
      <c r="F6650" s="165" t="s">
        <v>9440</v>
      </c>
    </row>
    <row r="6651" customFormat="false" ht="15" hidden="false" customHeight="true" outlineLevel="0" collapsed="false">
      <c r="A6651" s="163" t="s">
        <v>3013</v>
      </c>
      <c r="B6651" s="163" t="s">
        <v>3111</v>
      </c>
      <c r="C6651" s="163" t="s">
        <v>4926</v>
      </c>
      <c r="D6651" s="163" t="s">
        <v>4927</v>
      </c>
      <c r="E6651" s="164" t="n">
        <v>10000</v>
      </c>
      <c r="F6651" s="165" t="s">
        <v>3060</v>
      </c>
    </row>
    <row r="6652" customFormat="false" ht="15" hidden="false" customHeight="true" outlineLevel="0" collapsed="false">
      <c r="A6652" s="163" t="s">
        <v>3013</v>
      </c>
      <c r="B6652" s="163" t="s">
        <v>1938</v>
      </c>
      <c r="C6652" s="163" t="s">
        <v>5096</v>
      </c>
      <c r="D6652" s="163" t="s">
        <v>5097</v>
      </c>
      <c r="E6652" s="164" t="n">
        <v>20000</v>
      </c>
      <c r="F6652" s="165" t="s">
        <v>3060</v>
      </c>
    </row>
    <row r="6653" customFormat="false" ht="15" hidden="false" customHeight="true" outlineLevel="0" collapsed="false">
      <c r="A6653" s="163" t="s">
        <v>3013</v>
      </c>
      <c r="B6653" s="163" t="s">
        <v>1938</v>
      </c>
      <c r="C6653" s="163" t="s">
        <v>5096</v>
      </c>
      <c r="D6653" s="163" t="s">
        <v>5097</v>
      </c>
      <c r="E6653" s="164" t="n">
        <v>20000</v>
      </c>
      <c r="F6653" s="165" t="s">
        <v>3060</v>
      </c>
    </row>
    <row r="6654" customFormat="false" ht="15" hidden="false" customHeight="true" outlineLevel="0" collapsed="false">
      <c r="A6654" s="163" t="s">
        <v>3013</v>
      </c>
      <c r="B6654" s="163" t="s">
        <v>1938</v>
      </c>
      <c r="C6654" s="163" t="s">
        <v>5152</v>
      </c>
      <c r="D6654" s="163" t="s">
        <v>5153</v>
      </c>
      <c r="E6654" s="164" t="n">
        <v>20000</v>
      </c>
      <c r="F6654" s="165" t="s">
        <v>10585</v>
      </c>
    </row>
    <row r="6655" customFormat="false" ht="15" hidden="false" customHeight="true" outlineLevel="0" collapsed="false">
      <c r="A6655" s="163" t="s">
        <v>3013</v>
      </c>
      <c r="B6655" s="163" t="s">
        <v>1938</v>
      </c>
      <c r="C6655" s="163" t="s">
        <v>4890</v>
      </c>
      <c r="D6655" s="163" t="s">
        <v>4891</v>
      </c>
      <c r="E6655" s="164" t="n">
        <v>20000</v>
      </c>
      <c r="F6655" s="165" t="s">
        <v>10586</v>
      </c>
    </row>
    <row r="6656" customFormat="false" ht="15" hidden="false" customHeight="true" outlineLevel="0" collapsed="false">
      <c r="A6656" s="163" t="s">
        <v>3013</v>
      </c>
      <c r="B6656" s="163" t="s">
        <v>1938</v>
      </c>
      <c r="C6656" s="163" t="s">
        <v>10587</v>
      </c>
      <c r="D6656" s="163" t="s">
        <v>10588</v>
      </c>
      <c r="E6656" s="164" t="n">
        <v>20000</v>
      </c>
      <c r="F6656" s="165" t="s">
        <v>10589</v>
      </c>
    </row>
    <row r="6657" customFormat="false" ht="15" hidden="false" customHeight="true" outlineLevel="0" collapsed="false">
      <c r="A6657" s="163" t="s">
        <v>3013</v>
      </c>
      <c r="B6657" s="163" t="s">
        <v>1938</v>
      </c>
      <c r="C6657" s="163" t="s">
        <v>4955</v>
      </c>
      <c r="D6657" s="163" t="s">
        <v>4956</v>
      </c>
      <c r="E6657" s="164" t="n">
        <v>20000</v>
      </c>
      <c r="F6657" s="165" t="s">
        <v>10590</v>
      </c>
    </row>
    <row r="6658" customFormat="false" ht="15" hidden="false" customHeight="true" outlineLevel="0" collapsed="false">
      <c r="A6658" s="163" t="s">
        <v>3013</v>
      </c>
      <c r="B6658" s="163" t="s">
        <v>1938</v>
      </c>
      <c r="C6658" s="163" t="s">
        <v>4957</v>
      </c>
      <c r="D6658" s="163" t="s">
        <v>4958</v>
      </c>
      <c r="E6658" s="164" t="n">
        <v>20000</v>
      </c>
      <c r="F6658" s="165" t="s">
        <v>10591</v>
      </c>
    </row>
    <row r="6659" customFormat="false" ht="15" hidden="false" customHeight="true" outlineLevel="0" collapsed="false">
      <c r="A6659" s="163" t="s">
        <v>3013</v>
      </c>
      <c r="B6659" s="163" t="s">
        <v>1938</v>
      </c>
      <c r="C6659" s="163" t="s">
        <v>4957</v>
      </c>
      <c r="D6659" s="163" t="s">
        <v>4958</v>
      </c>
      <c r="E6659" s="164" t="n">
        <v>20000</v>
      </c>
      <c r="F6659" s="165" t="s">
        <v>10592</v>
      </c>
    </row>
    <row r="6660" customFormat="false" ht="15" hidden="false" customHeight="true" outlineLevel="0" collapsed="false">
      <c r="A6660" s="163" t="s">
        <v>3013</v>
      </c>
      <c r="B6660" s="163" t="s">
        <v>1938</v>
      </c>
      <c r="C6660" s="163" t="s">
        <v>7942</v>
      </c>
      <c r="D6660" s="163" t="s">
        <v>7943</v>
      </c>
      <c r="E6660" s="164" t="n">
        <v>20000</v>
      </c>
      <c r="F6660" s="165" t="s">
        <v>10593</v>
      </c>
    </row>
    <row r="6661" customFormat="false" ht="15" hidden="false" customHeight="true" outlineLevel="0" collapsed="false">
      <c r="A6661" s="163" t="s">
        <v>3013</v>
      </c>
      <c r="B6661" s="163" t="s">
        <v>1938</v>
      </c>
      <c r="C6661" s="163" t="s">
        <v>7942</v>
      </c>
      <c r="D6661" s="163" t="s">
        <v>7943</v>
      </c>
      <c r="E6661" s="164" t="n">
        <v>20000</v>
      </c>
      <c r="F6661" s="165" t="s">
        <v>10594</v>
      </c>
    </row>
    <row r="6662" customFormat="false" ht="15" hidden="false" customHeight="true" outlineLevel="0" collapsed="false">
      <c r="A6662" s="163" t="s">
        <v>3013</v>
      </c>
      <c r="B6662" s="163" t="s">
        <v>1938</v>
      </c>
      <c r="C6662" s="163" t="s">
        <v>3835</v>
      </c>
      <c r="D6662" s="163" t="s">
        <v>3836</v>
      </c>
      <c r="E6662" s="164" t="n">
        <v>20000</v>
      </c>
      <c r="F6662" s="165" t="s">
        <v>10595</v>
      </c>
    </row>
    <row r="6663" customFormat="false" ht="15" hidden="false" customHeight="true" outlineLevel="0" collapsed="false">
      <c r="A6663" s="163" t="s">
        <v>3013</v>
      </c>
      <c r="B6663" s="163" t="s">
        <v>1938</v>
      </c>
      <c r="C6663" s="163" t="s">
        <v>3835</v>
      </c>
      <c r="D6663" s="163" t="s">
        <v>3836</v>
      </c>
      <c r="E6663" s="164" t="n">
        <v>20000</v>
      </c>
      <c r="F6663" s="165" t="s">
        <v>3060</v>
      </c>
    </row>
    <row r="6664" customFormat="false" ht="15" hidden="false" customHeight="true" outlineLevel="0" collapsed="false">
      <c r="A6664" s="163" t="s">
        <v>3013</v>
      </c>
      <c r="B6664" s="163" t="s">
        <v>1938</v>
      </c>
      <c r="C6664" s="163" t="s">
        <v>6477</v>
      </c>
      <c r="D6664" s="163" t="s">
        <v>6478</v>
      </c>
      <c r="E6664" s="164" t="n">
        <v>20000</v>
      </c>
      <c r="F6664" s="165" t="s">
        <v>3060</v>
      </c>
    </row>
    <row r="6665" customFormat="false" ht="15" hidden="false" customHeight="true" outlineLevel="0" collapsed="false">
      <c r="A6665" s="163" t="s">
        <v>3013</v>
      </c>
      <c r="B6665" s="163" t="s">
        <v>1938</v>
      </c>
      <c r="C6665" s="163" t="s">
        <v>6477</v>
      </c>
      <c r="D6665" s="163" t="s">
        <v>6478</v>
      </c>
      <c r="E6665" s="164" t="n">
        <v>20000</v>
      </c>
      <c r="F6665" s="165" t="s">
        <v>10596</v>
      </c>
    </row>
    <row r="6666" customFormat="false" ht="15" hidden="false" customHeight="true" outlineLevel="0" collapsed="false">
      <c r="A6666" s="163" t="s">
        <v>3013</v>
      </c>
      <c r="B6666" s="163" t="s">
        <v>1938</v>
      </c>
      <c r="C6666" s="163" t="s">
        <v>3135</v>
      </c>
      <c r="D6666" s="163" t="s">
        <v>3136</v>
      </c>
      <c r="E6666" s="164" t="n">
        <v>20000</v>
      </c>
      <c r="F6666" s="165" t="s">
        <v>10597</v>
      </c>
    </row>
    <row r="6667" customFormat="false" ht="15" hidden="false" customHeight="true" outlineLevel="0" collapsed="false">
      <c r="A6667" s="163" t="s">
        <v>3013</v>
      </c>
      <c r="B6667" s="163" t="s">
        <v>1938</v>
      </c>
      <c r="C6667" s="163" t="s">
        <v>4303</v>
      </c>
      <c r="D6667" s="163" t="s">
        <v>4304</v>
      </c>
      <c r="E6667" s="164" t="n">
        <v>20000</v>
      </c>
      <c r="F6667" s="165" t="s">
        <v>3060</v>
      </c>
    </row>
    <row r="6668" customFormat="false" ht="15" hidden="false" customHeight="true" outlineLevel="0" collapsed="false">
      <c r="A6668" s="163" t="s">
        <v>3013</v>
      </c>
      <c r="B6668" s="163" t="s">
        <v>1938</v>
      </c>
      <c r="C6668" s="163" t="s">
        <v>10257</v>
      </c>
      <c r="D6668" s="163" t="s">
        <v>10258</v>
      </c>
      <c r="E6668" s="164" t="n">
        <v>20000</v>
      </c>
      <c r="F6668" s="165" t="s">
        <v>10598</v>
      </c>
    </row>
    <row r="6669" customFormat="false" ht="15" hidden="false" customHeight="true" outlineLevel="0" collapsed="false">
      <c r="A6669" s="163" t="s">
        <v>3013</v>
      </c>
      <c r="B6669" s="163" t="s">
        <v>691</v>
      </c>
      <c r="C6669" s="163" t="s">
        <v>4957</v>
      </c>
      <c r="D6669" s="163" t="s">
        <v>4958</v>
      </c>
      <c r="E6669" s="164" t="n">
        <v>35000</v>
      </c>
      <c r="F6669" s="165" t="s">
        <v>3060</v>
      </c>
    </row>
    <row r="6670" customFormat="false" ht="15" hidden="false" customHeight="true" outlineLevel="0" collapsed="false">
      <c r="A6670" s="163" t="s">
        <v>3013</v>
      </c>
      <c r="B6670" s="163" t="s">
        <v>691</v>
      </c>
      <c r="C6670" s="163" t="s">
        <v>4955</v>
      </c>
      <c r="D6670" s="163" t="s">
        <v>4956</v>
      </c>
      <c r="E6670" s="164" t="n">
        <v>25000</v>
      </c>
      <c r="F6670" s="165" t="s">
        <v>3060</v>
      </c>
    </row>
    <row r="6671" customFormat="false" ht="15" hidden="false" customHeight="true" outlineLevel="0" collapsed="false">
      <c r="A6671" s="163" t="s">
        <v>3013</v>
      </c>
      <c r="B6671" s="163" t="s">
        <v>691</v>
      </c>
      <c r="C6671" s="163" t="s">
        <v>4953</v>
      </c>
      <c r="D6671" s="163" t="s">
        <v>4954</v>
      </c>
      <c r="E6671" s="164" t="n">
        <v>20000</v>
      </c>
      <c r="F6671" s="165" t="s">
        <v>3060</v>
      </c>
    </row>
    <row r="6672" customFormat="false" ht="15" hidden="false" customHeight="true" outlineLevel="0" collapsed="false">
      <c r="A6672" s="163" t="s">
        <v>3013</v>
      </c>
      <c r="B6672" s="163" t="s">
        <v>691</v>
      </c>
      <c r="C6672" s="163" t="s">
        <v>5188</v>
      </c>
      <c r="D6672" s="163" t="s">
        <v>5189</v>
      </c>
      <c r="E6672" s="164" t="n">
        <v>20000</v>
      </c>
      <c r="F6672" s="165" t="s">
        <v>3060</v>
      </c>
    </row>
    <row r="6673" customFormat="false" ht="15" hidden="false" customHeight="true" outlineLevel="0" collapsed="false">
      <c r="A6673" s="163" t="s">
        <v>3013</v>
      </c>
      <c r="B6673" s="163" t="s">
        <v>691</v>
      </c>
      <c r="C6673" s="163" t="s">
        <v>5096</v>
      </c>
      <c r="D6673" s="163" t="s">
        <v>5097</v>
      </c>
      <c r="E6673" s="164" t="n">
        <v>15000</v>
      </c>
      <c r="F6673" s="165" t="s">
        <v>3060</v>
      </c>
    </row>
    <row r="6674" customFormat="false" ht="15" hidden="false" customHeight="true" outlineLevel="0" collapsed="false">
      <c r="A6674" s="163" t="s">
        <v>3013</v>
      </c>
      <c r="B6674" s="163" t="s">
        <v>691</v>
      </c>
      <c r="C6674" s="163" t="s">
        <v>10599</v>
      </c>
      <c r="D6674" s="163" t="s">
        <v>10600</v>
      </c>
      <c r="E6674" s="164" t="n">
        <v>10000</v>
      </c>
      <c r="F6674" s="165" t="s">
        <v>3060</v>
      </c>
    </row>
    <row r="6675" customFormat="false" ht="15" hidden="false" customHeight="true" outlineLevel="0" collapsed="false">
      <c r="A6675" s="163" t="s">
        <v>3013</v>
      </c>
      <c r="B6675" s="163" t="s">
        <v>691</v>
      </c>
      <c r="C6675" s="163" t="s">
        <v>10601</v>
      </c>
      <c r="D6675" s="163" t="s">
        <v>10602</v>
      </c>
      <c r="E6675" s="164" t="n">
        <v>10000</v>
      </c>
      <c r="F6675" s="165" t="s">
        <v>3060</v>
      </c>
    </row>
    <row r="6676" customFormat="false" ht="15" hidden="false" customHeight="true" outlineLevel="0" collapsed="false">
      <c r="A6676" s="163" t="s">
        <v>3013</v>
      </c>
      <c r="B6676" s="163" t="s">
        <v>691</v>
      </c>
      <c r="C6676" s="163" t="s">
        <v>6585</v>
      </c>
      <c r="D6676" s="163" t="s">
        <v>6586</v>
      </c>
      <c r="E6676" s="164" t="n">
        <v>10000</v>
      </c>
      <c r="F6676" s="165" t="s">
        <v>3060</v>
      </c>
    </row>
    <row r="6677" customFormat="false" ht="15" hidden="false" customHeight="true" outlineLevel="0" collapsed="false">
      <c r="A6677" s="163" t="s">
        <v>3013</v>
      </c>
      <c r="B6677" s="163" t="s">
        <v>2027</v>
      </c>
      <c r="C6677" s="163" t="s">
        <v>4993</v>
      </c>
      <c r="D6677" s="163" t="s">
        <v>4994</v>
      </c>
      <c r="E6677" s="164" t="n">
        <v>30000</v>
      </c>
      <c r="F6677" s="165" t="s">
        <v>3060</v>
      </c>
    </row>
    <row r="6678" customFormat="false" ht="15" hidden="false" customHeight="true" outlineLevel="0" collapsed="false">
      <c r="A6678" s="163" t="s">
        <v>3013</v>
      </c>
      <c r="B6678" s="163" t="s">
        <v>2027</v>
      </c>
      <c r="C6678" s="163" t="s">
        <v>4898</v>
      </c>
      <c r="D6678" s="163" t="s">
        <v>4899</v>
      </c>
      <c r="E6678" s="164" t="n">
        <v>20000</v>
      </c>
      <c r="F6678" s="165" t="s">
        <v>3060</v>
      </c>
    </row>
    <row r="6679" customFormat="false" ht="15" hidden="false" customHeight="true" outlineLevel="0" collapsed="false">
      <c r="A6679" s="163" t="s">
        <v>3013</v>
      </c>
      <c r="B6679" s="163" t="s">
        <v>2027</v>
      </c>
      <c r="C6679" s="163" t="s">
        <v>4884</v>
      </c>
      <c r="D6679" s="163" t="s">
        <v>4885</v>
      </c>
      <c r="E6679" s="164" t="n">
        <v>20000</v>
      </c>
      <c r="F6679" s="165" t="s">
        <v>3060</v>
      </c>
    </row>
    <row r="6680" customFormat="false" ht="15" hidden="false" customHeight="true" outlineLevel="0" collapsed="false">
      <c r="A6680" s="163" t="s">
        <v>3013</v>
      </c>
      <c r="B6680" s="163" t="s">
        <v>2027</v>
      </c>
      <c r="C6680" s="163" t="s">
        <v>5028</v>
      </c>
      <c r="D6680" s="163" t="s">
        <v>1931</v>
      </c>
      <c r="E6680" s="164" t="n">
        <v>20000</v>
      </c>
      <c r="F6680" s="165" t="s">
        <v>3060</v>
      </c>
    </row>
    <row r="6681" customFormat="false" ht="15" hidden="false" customHeight="true" outlineLevel="0" collapsed="false">
      <c r="A6681" s="163" t="s">
        <v>3013</v>
      </c>
      <c r="B6681" s="163" t="s">
        <v>2037</v>
      </c>
      <c r="C6681" s="163" t="s">
        <v>10603</v>
      </c>
      <c r="D6681" s="163" t="s">
        <v>10604</v>
      </c>
      <c r="E6681" s="164" t="n">
        <v>50000</v>
      </c>
      <c r="F6681" s="165" t="s">
        <v>3060</v>
      </c>
    </row>
    <row r="6682" customFormat="false" ht="15" hidden="false" customHeight="true" outlineLevel="0" collapsed="false">
      <c r="A6682" s="163" t="s">
        <v>3013</v>
      </c>
      <c r="B6682" s="163" t="s">
        <v>2037</v>
      </c>
      <c r="C6682" s="163" t="s">
        <v>6621</v>
      </c>
      <c r="D6682" s="163" t="s">
        <v>6622</v>
      </c>
      <c r="E6682" s="164" t="n">
        <v>20000</v>
      </c>
      <c r="F6682" s="165" t="s">
        <v>3060</v>
      </c>
    </row>
    <row r="6683" customFormat="false" ht="15" hidden="false" customHeight="true" outlineLevel="0" collapsed="false">
      <c r="A6683" s="163" t="s">
        <v>3013</v>
      </c>
      <c r="B6683" s="163" t="s">
        <v>2037</v>
      </c>
      <c r="C6683" s="163" t="s">
        <v>372</v>
      </c>
      <c r="D6683" s="163" t="s">
        <v>2692</v>
      </c>
      <c r="E6683" s="164" t="n">
        <v>15000</v>
      </c>
      <c r="F6683" s="165" t="s">
        <v>3060</v>
      </c>
    </row>
    <row r="6684" customFormat="false" ht="15" hidden="false" customHeight="true" outlineLevel="0" collapsed="false">
      <c r="A6684" s="163" t="s">
        <v>3013</v>
      </c>
      <c r="B6684" s="163" t="s">
        <v>2037</v>
      </c>
      <c r="C6684" s="163" t="s">
        <v>5015</v>
      </c>
      <c r="D6684" s="163" t="s">
        <v>5016</v>
      </c>
      <c r="E6684" s="164" t="n">
        <v>10000</v>
      </c>
      <c r="F6684" s="165" t="s">
        <v>3060</v>
      </c>
    </row>
    <row r="6685" customFormat="false" ht="15" hidden="false" customHeight="true" outlineLevel="0" collapsed="false">
      <c r="A6685" s="163" t="s">
        <v>3013</v>
      </c>
      <c r="B6685" s="163" t="s">
        <v>2037</v>
      </c>
      <c r="C6685" s="163" t="s">
        <v>1860</v>
      </c>
      <c r="D6685" s="163" t="s">
        <v>1861</v>
      </c>
      <c r="E6685" s="164" t="n">
        <v>10000</v>
      </c>
      <c r="F6685" s="165" t="s">
        <v>3060</v>
      </c>
    </row>
    <row r="6686" customFormat="false" ht="15" hidden="false" customHeight="true" outlineLevel="0" collapsed="false">
      <c r="A6686" s="163" t="s">
        <v>3013</v>
      </c>
      <c r="B6686" s="163" t="s">
        <v>2037</v>
      </c>
      <c r="C6686" s="163" t="s">
        <v>4966</v>
      </c>
      <c r="D6686" s="163" t="s">
        <v>4967</v>
      </c>
      <c r="E6686" s="164" t="n">
        <v>10000</v>
      </c>
      <c r="F6686" s="165" t="s">
        <v>3060</v>
      </c>
    </row>
    <row r="6687" customFormat="false" ht="15" hidden="false" customHeight="true" outlineLevel="0" collapsed="false">
      <c r="A6687" s="163" t="s">
        <v>3013</v>
      </c>
      <c r="B6687" s="163" t="s">
        <v>2037</v>
      </c>
      <c r="C6687" s="163" t="s">
        <v>5139</v>
      </c>
      <c r="D6687" s="163" t="s">
        <v>5140</v>
      </c>
      <c r="E6687" s="164" t="n">
        <v>10000</v>
      </c>
      <c r="F6687" s="165" t="s">
        <v>3060</v>
      </c>
    </row>
    <row r="6688" customFormat="false" ht="15" hidden="false" customHeight="true" outlineLevel="0" collapsed="false">
      <c r="A6688" s="163" t="s">
        <v>3013</v>
      </c>
      <c r="B6688" s="163" t="s">
        <v>2037</v>
      </c>
      <c r="C6688" s="163" t="s">
        <v>7084</v>
      </c>
      <c r="D6688" s="163" t="s">
        <v>7085</v>
      </c>
      <c r="E6688" s="164" t="n">
        <v>10000</v>
      </c>
      <c r="F6688" s="165" t="s">
        <v>3060</v>
      </c>
    </row>
    <row r="6689" customFormat="false" ht="15" hidden="false" customHeight="true" outlineLevel="0" collapsed="false">
      <c r="A6689" s="163" t="s">
        <v>3013</v>
      </c>
      <c r="B6689" s="163" t="s">
        <v>2037</v>
      </c>
      <c r="C6689" s="163" t="s">
        <v>240</v>
      </c>
      <c r="D6689" s="163" t="s">
        <v>2418</v>
      </c>
      <c r="E6689" s="164" t="n">
        <v>10000</v>
      </c>
      <c r="F6689" s="165" t="s">
        <v>3060</v>
      </c>
    </row>
    <row r="6690" customFormat="false" ht="15" hidden="false" customHeight="true" outlineLevel="0" collapsed="false">
      <c r="A6690" s="163" t="s">
        <v>3013</v>
      </c>
      <c r="B6690" s="163" t="s">
        <v>2037</v>
      </c>
      <c r="C6690" s="163" t="s">
        <v>3099</v>
      </c>
      <c r="D6690" s="163" t="s">
        <v>3100</v>
      </c>
      <c r="E6690" s="164" t="n">
        <v>10000</v>
      </c>
      <c r="F6690" s="165" t="s">
        <v>3060</v>
      </c>
    </row>
    <row r="6691" customFormat="false" ht="15" hidden="false" customHeight="true" outlineLevel="0" collapsed="false">
      <c r="A6691" s="163" t="s">
        <v>3013</v>
      </c>
      <c r="B6691" s="163" t="s">
        <v>2037</v>
      </c>
      <c r="C6691" s="163" t="s">
        <v>4910</v>
      </c>
      <c r="D6691" s="163" t="s">
        <v>4911</v>
      </c>
      <c r="E6691" s="164" t="n">
        <v>10000</v>
      </c>
      <c r="F6691" s="165" t="s">
        <v>3060</v>
      </c>
    </row>
    <row r="6692" customFormat="false" ht="15" hidden="false" customHeight="true" outlineLevel="0" collapsed="false">
      <c r="A6692" s="163" t="s">
        <v>3013</v>
      </c>
      <c r="B6692" s="163" t="s">
        <v>2037</v>
      </c>
      <c r="C6692" s="163" t="s">
        <v>3451</v>
      </c>
      <c r="D6692" s="163" t="s">
        <v>3452</v>
      </c>
      <c r="E6692" s="164" t="n">
        <v>10000</v>
      </c>
      <c r="F6692" s="165" t="s">
        <v>3060</v>
      </c>
    </row>
    <row r="6693" customFormat="false" ht="15" hidden="false" customHeight="true" outlineLevel="0" collapsed="false">
      <c r="A6693" s="163" t="s">
        <v>3013</v>
      </c>
      <c r="B6693" s="163" t="s">
        <v>2037</v>
      </c>
      <c r="C6693" s="163" t="s">
        <v>10605</v>
      </c>
      <c r="D6693" s="163" t="s">
        <v>10606</v>
      </c>
      <c r="E6693" s="164" t="n">
        <v>10000</v>
      </c>
      <c r="F6693" s="165" t="s">
        <v>3060</v>
      </c>
    </row>
    <row r="6694" customFormat="false" ht="15" hidden="false" customHeight="true" outlineLevel="0" collapsed="false">
      <c r="A6694" s="163" t="s">
        <v>3013</v>
      </c>
      <c r="B6694" s="163" t="s">
        <v>2037</v>
      </c>
      <c r="C6694" s="163" t="s">
        <v>6947</v>
      </c>
      <c r="D6694" s="163" t="s">
        <v>6948</v>
      </c>
      <c r="E6694" s="164" t="n">
        <v>5000</v>
      </c>
      <c r="F6694" s="165" t="s">
        <v>3060</v>
      </c>
    </row>
    <row r="6695" customFormat="false" ht="15" hidden="false" customHeight="true" outlineLevel="0" collapsed="false">
      <c r="A6695" s="163" t="s">
        <v>3013</v>
      </c>
      <c r="B6695" s="163" t="s">
        <v>2037</v>
      </c>
      <c r="C6695" s="163" t="s">
        <v>4121</v>
      </c>
      <c r="D6695" s="163" t="s">
        <v>4122</v>
      </c>
      <c r="E6695" s="164" t="n">
        <v>5000</v>
      </c>
      <c r="F6695" s="165" t="s">
        <v>3060</v>
      </c>
    </row>
    <row r="6696" customFormat="false" ht="15" hidden="false" customHeight="true" outlineLevel="0" collapsed="false">
      <c r="A6696" s="163" t="s">
        <v>3013</v>
      </c>
      <c r="B6696" s="163" t="s">
        <v>894</v>
      </c>
      <c r="C6696" s="163" t="s">
        <v>4953</v>
      </c>
      <c r="D6696" s="163" t="s">
        <v>4954</v>
      </c>
      <c r="E6696" s="164" t="n">
        <v>20000</v>
      </c>
      <c r="F6696" s="165" t="s">
        <v>3060</v>
      </c>
    </row>
    <row r="6697" customFormat="false" ht="15" hidden="false" customHeight="true" outlineLevel="0" collapsed="false">
      <c r="A6697" s="163" t="s">
        <v>3013</v>
      </c>
      <c r="B6697" s="163" t="s">
        <v>894</v>
      </c>
      <c r="C6697" s="163" t="s">
        <v>9438</v>
      </c>
      <c r="D6697" s="163" t="s">
        <v>9439</v>
      </c>
      <c r="E6697" s="164" t="n">
        <v>20000</v>
      </c>
      <c r="F6697" s="165" t="s">
        <v>9440</v>
      </c>
    </row>
    <row r="6698" customFormat="false" ht="15" hidden="false" customHeight="true" outlineLevel="0" collapsed="false">
      <c r="A6698" s="163" t="s">
        <v>3013</v>
      </c>
      <c r="B6698" s="163" t="s">
        <v>894</v>
      </c>
      <c r="C6698" s="163" t="s">
        <v>552</v>
      </c>
      <c r="D6698" s="163" t="s">
        <v>2445</v>
      </c>
      <c r="E6698" s="164" t="n">
        <v>15000</v>
      </c>
      <c r="F6698" s="165" t="s">
        <v>10607</v>
      </c>
    </row>
    <row r="6699" customFormat="false" ht="15" hidden="false" customHeight="true" outlineLevel="0" collapsed="false">
      <c r="A6699" s="163" t="s">
        <v>3013</v>
      </c>
      <c r="B6699" s="163" t="s">
        <v>894</v>
      </c>
      <c r="C6699" s="163" t="s">
        <v>7115</v>
      </c>
      <c r="D6699" s="163" t="s">
        <v>7116</v>
      </c>
      <c r="E6699" s="164" t="n">
        <v>15000</v>
      </c>
      <c r="F6699" s="165" t="s">
        <v>9440</v>
      </c>
    </row>
    <row r="6700" customFormat="false" ht="15" hidden="false" customHeight="true" outlineLevel="0" collapsed="false">
      <c r="A6700" s="163" t="s">
        <v>3013</v>
      </c>
      <c r="B6700" s="163" t="s">
        <v>894</v>
      </c>
      <c r="C6700" s="163" t="s">
        <v>5096</v>
      </c>
      <c r="D6700" s="163" t="s">
        <v>5097</v>
      </c>
      <c r="E6700" s="164" t="n">
        <v>10000</v>
      </c>
      <c r="F6700" s="165" t="s">
        <v>10608</v>
      </c>
    </row>
    <row r="6701" customFormat="false" ht="15" hidden="false" customHeight="true" outlineLevel="0" collapsed="false">
      <c r="A6701" s="163" t="s">
        <v>3013</v>
      </c>
      <c r="B6701" s="163" t="s">
        <v>894</v>
      </c>
      <c r="C6701" s="163" t="s">
        <v>4902</v>
      </c>
      <c r="D6701" s="163" t="s">
        <v>4903</v>
      </c>
      <c r="E6701" s="164" t="n">
        <v>10000</v>
      </c>
      <c r="F6701" s="165" t="s">
        <v>10609</v>
      </c>
    </row>
    <row r="6702" customFormat="false" ht="15" hidden="false" customHeight="true" outlineLevel="0" collapsed="false">
      <c r="A6702" s="163" t="s">
        <v>3013</v>
      </c>
      <c r="B6702" s="163" t="s">
        <v>894</v>
      </c>
      <c r="C6702" s="163" t="s">
        <v>328</v>
      </c>
      <c r="D6702" s="163" t="s">
        <v>2660</v>
      </c>
      <c r="E6702" s="164" t="n">
        <v>10000</v>
      </c>
      <c r="F6702" s="165" t="s">
        <v>10610</v>
      </c>
    </row>
    <row r="6703" customFormat="false" ht="15" hidden="false" customHeight="true" outlineLevel="0" collapsed="false">
      <c r="A6703" s="163" t="s">
        <v>3013</v>
      </c>
      <c r="B6703" s="163" t="s">
        <v>894</v>
      </c>
      <c r="C6703" s="163" t="s">
        <v>4081</v>
      </c>
      <c r="D6703" s="163" t="s">
        <v>4082</v>
      </c>
      <c r="E6703" s="164" t="n">
        <v>10000</v>
      </c>
      <c r="F6703" s="165" t="s">
        <v>9440</v>
      </c>
    </row>
    <row r="6704" customFormat="false" ht="15" hidden="false" customHeight="true" outlineLevel="0" collapsed="false">
      <c r="A6704" s="163" t="s">
        <v>3013</v>
      </c>
      <c r="B6704" s="163" t="s">
        <v>894</v>
      </c>
      <c r="C6704" s="163" t="s">
        <v>4914</v>
      </c>
      <c r="D6704" s="163" t="s">
        <v>4915</v>
      </c>
      <c r="E6704" s="164" t="n">
        <v>10000</v>
      </c>
      <c r="F6704" s="165" t="s">
        <v>9440</v>
      </c>
    </row>
    <row r="6705" customFormat="false" ht="15" hidden="false" customHeight="true" outlineLevel="0" collapsed="false">
      <c r="A6705" s="163" t="s">
        <v>3013</v>
      </c>
      <c r="B6705" s="163" t="s">
        <v>894</v>
      </c>
      <c r="C6705" s="163" t="s">
        <v>10611</v>
      </c>
      <c r="D6705" s="163" t="s">
        <v>10612</v>
      </c>
      <c r="E6705" s="164" t="n">
        <v>10000</v>
      </c>
      <c r="F6705" s="165" t="s">
        <v>9440</v>
      </c>
    </row>
    <row r="6706" customFormat="false" ht="15" hidden="false" customHeight="true" outlineLevel="0" collapsed="false">
      <c r="A6706" s="163" t="s">
        <v>3013</v>
      </c>
      <c r="B6706" s="163" t="s">
        <v>894</v>
      </c>
      <c r="C6706" s="163" t="s">
        <v>8066</v>
      </c>
      <c r="D6706" s="163" t="s">
        <v>8067</v>
      </c>
      <c r="E6706" s="164" t="n">
        <v>10000</v>
      </c>
      <c r="F6706" s="165" t="s">
        <v>9440</v>
      </c>
    </row>
    <row r="6707" customFormat="false" ht="15" hidden="false" customHeight="true" outlineLevel="0" collapsed="false">
      <c r="A6707" s="163" t="s">
        <v>3013</v>
      </c>
      <c r="B6707" s="163" t="s">
        <v>894</v>
      </c>
      <c r="C6707" s="163" t="s">
        <v>4986</v>
      </c>
      <c r="D6707" s="163" t="s">
        <v>4987</v>
      </c>
      <c r="E6707" s="164" t="n">
        <v>10000</v>
      </c>
      <c r="F6707" s="165" t="s">
        <v>10613</v>
      </c>
    </row>
    <row r="6708" customFormat="false" ht="15" hidden="false" customHeight="true" outlineLevel="0" collapsed="false">
      <c r="A6708" s="163" t="s">
        <v>3013</v>
      </c>
      <c r="B6708" s="163" t="s">
        <v>894</v>
      </c>
      <c r="C6708" s="163" t="s">
        <v>4705</v>
      </c>
      <c r="D6708" s="163" t="s">
        <v>4706</v>
      </c>
      <c r="E6708" s="164" t="n">
        <v>10000</v>
      </c>
      <c r="F6708" s="165" t="s">
        <v>9440</v>
      </c>
    </row>
    <row r="6709" customFormat="false" ht="15" hidden="false" customHeight="true" outlineLevel="0" collapsed="false">
      <c r="A6709" s="163" t="s">
        <v>3013</v>
      </c>
      <c r="B6709" s="163" t="s">
        <v>894</v>
      </c>
      <c r="C6709" s="163" t="s">
        <v>10614</v>
      </c>
      <c r="D6709" s="163" t="s">
        <v>10615</v>
      </c>
      <c r="E6709" s="164" t="n">
        <v>10000</v>
      </c>
      <c r="F6709" s="165" t="s">
        <v>9440</v>
      </c>
    </row>
    <row r="6710" customFormat="false" ht="15" hidden="false" customHeight="true" outlineLevel="0" collapsed="false">
      <c r="A6710" s="163" t="s">
        <v>3013</v>
      </c>
      <c r="B6710" s="163" t="s">
        <v>894</v>
      </c>
      <c r="C6710" s="163" t="s">
        <v>452</v>
      </c>
      <c r="D6710" s="163" t="s">
        <v>2102</v>
      </c>
      <c r="E6710" s="164" t="n">
        <v>10000</v>
      </c>
      <c r="F6710" s="165" t="s">
        <v>10616</v>
      </c>
    </row>
    <row r="6711" customFormat="false" ht="15" hidden="false" customHeight="true" outlineLevel="0" collapsed="false">
      <c r="A6711" s="163" t="s">
        <v>3013</v>
      </c>
      <c r="B6711" s="163" t="s">
        <v>894</v>
      </c>
      <c r="C6711" s="163" t="s">
        <v>5058</v>
      </c>
      <c r="D6711" s="163" t="s">
        <v>1931</v>
      </c>
      <c r="E6711" s="164" t="n">
        <v>10000</v>
      </c>
      <c r="F6711" s="165" t="s">
        <v>9440</v>
      </c>
    </row>
    <row r="6712" customFormat="false" ht="15" hidden="false" customHeight="true" outlineLevel="0" collapsed="false">
      <c r="A6712" s="163" t="s">
        <v>3013</v>
      </c>
      <c r="B6712" s="163" t="s">
        <v>894</v>
      </c>
      <c r="C6712" s="163" t="s">
        <v>5479</v>
      </c>
      <c r="D6712" s="163" t="s">
        <v>5480</v>
      </c>
      <c r="E6712" s="164" t="n">
        <v>10000</v>
      </c>
      <c r="F6712" s="165" t="s">
        <v>10617</v>
      </c>
    </row>
    <row r="6713" customFormat="false" ht="15" hidden="false" customHeight="true" outlineLevel="0" collapsed="false">
      <c r="A6713" s="163" t="s">
        <v>3013</v>
      </c>
      <c r="B6713" s="163" t="s">
        <v>894</v>
      </c>
      <c r="C6713" s="163" t="s">
        <v>3317</v>
      </c>
      <c r="D6713" s="163" t="s">
        <v>3318</v>
      </c>
      <c r="E6713" s="164" t="n">
        <v>10000</v>
      </c>
      <c r="F6713" s="165" t="s">
        <v>10618</v>
      </c>
    </row>
    <row r="6714" customFormat="false" ht="15" hidden="false" customHeight="true" outlineLevel="0" collapsed="false">
      <c r="A6714" s="163" t="s">
        <v>3013</v>
      </c>
      <c r="B6714" s="163" t="s">
        <v>894</v>
      </c>
      <c r="C6714" s="163" t="s">
        <v>5028</v>
      </c>
      <c r="D6714" s="163" t="s">
        <v>1931</v>
      </c>
      <c r="E6714" s="164" t="n">
        <v>8500</v>
      </c>
      <c r="F6714" s="165" t="s">
        <v>10619</v>
      </c>
    </row>
    <row r="6715" customFormat="false" ht="15" hidden="false" customHeight="true" outlineLevel="0" collapsed="false">
      <c r="A6715" s="163" t="s">
        <v>3013</v>
      </c>
      <c r="B6715" s="163" t="s">
        <v>894</v>
      </c>
      <c r="C6715" s="163" t="s">
        <v>5028</v>
      </c>
      <c r="D6715" s="163" t="s">
        <v>1931</v>
      </c>
      <c r="E6715" s="164" t="n">
        <v>8500</v>
      </c>
      <c r="F6715" s="165" t="s">
        <v>10620</v>
      </c>
    </row>
    <row r="6716" customFormat="false" ht="15" hidden="false" customHeight="true" outlineLevel="0" collapsed="false">
      <c r="A6716" s="163" t="s">
        <v>3013</v>
      </c>
      <c r="B6716" s="163" t="s">
        <v>894</v>
      </c>
      <c r="C6716" s="163" t="s">
        <v>5028</v>
      </c>
      <c r="D6716" s="163" t="s">
        <v>1931</v>
      </c>
      <c r="E6716" s="164" t="n">
        <v>8500</v>
      </c>
      <c r="F6716" s="165" t="s">
        <v>10621</v>
      </c>
    </row>
    <row r="6717" customFormat="false" ht="15" hidden="false" customHeight="true" outlineLevel="0" collapsed="false">
      <c r="A6717" s="163" t="s">
        <v>3013</v>
      </c>
      <c r="B6717" s="163" t="s">
        <v>894</v>
      </c>
      <c r="C6717" s="163" t="s">
        <v>5028</v>
      </c>
      <c r="D6717" s="163" t="s">
        <v>1931</v>
      </c>
      <c r="E6717" s="164" t="n">
        <v>8500</v>
      </c>
      <c r="F6717" s="165" t="s">
        <v>10622</v>
      </c>
    </row>
    <row r="6718" customFormat="false" ht="15" hidden="false" customHeight="true" outlineLevel="0" collapsed="false">
      <c r="A6718" s="163" t="s">
        <v>3013</v>
      </c>
      <c r="B6718" s="163" t="s">
        <v>894</v>
      </c>
      <c r="C6718" s="163" t="s">
        <v>4966</v>
      </c>
      <c r="D6718" s="163" t="s">
        <v>4967</v>
      </c>
      <c r="E6718" s="164" t="n">
        <v>7500</v>
      </c>
      <c r="F6718" s="165" t="s">
        <v>10623</v>
      </c>
    </row>
    <row r="6719" customFormat="false" ht="15" hidden="false" customHeight="true" outlineLevel="0" collapsed="false">
      <c r="A6719" s="163" t="s">
        <v>3013</v>
      </c>
      <c r="B6719" s="163" t="s">
        <v>894</v>
      </c>
      <c r="C6719" s="163" t="s">
        <v>4884</v>
      </c>
      <c r="D6719" s="163" t="s">
        <v>4885</v>
      </c>
      <c r="E6719" s="164" t="n">
        <v>7500</v>
      </c>
      <c r="F6719" s="165" t="s">
        <v>3060</v>
      </c>
    </row>
    <row r="6720" customFormat="false" ht="15" hidden="false" customHeight="true" outlineLevel="0" collapsed="false">
      <c r="A6720" s="163" t="s">
        <v>3013</v>
      </c>
      <c r="B6720" s="163" t="s">
        <v>894</v>
      </c>
      <c r="C6720" s="163" t="s">
        <v>4984</v>
      </c>
      <c r="D6720" s="163" t="s">
        <v>4985</v>
      </c>
      <c r="E6720" s="164" t="n">
        <v>7500</v>
      </c>
      <c r="F6720" s="165" t="s">
        <v>3060</v>
      </c>
    </row>
    <row r="6721" customFormat="false" ht="15" hidden="false" customHeight="true" outlineLevel="0" collapsed="false">
      <c r="A6721" s="163" t="s">
        <v>3013</v>
      </c>
      <c r="B6721" s="163" t="s">
        <v>894</v>
      </c>
      <c r="C6721" s="163" t="s">
        <v>2780</v>
      </c>
      <c r="D6721" s="163" t="s">
        <v>2429</v>
      </c>
      <c r="E6721" s="164" t="n">
        <v>6500</v>
      </c>
      <c r="F6721" s="165" t="s">
        <v>3060</v>
      </c>
    </row>
    <row r="6722" customFormat="false" ht="15" hidden="false" customHeight="true" outlineLevel="0" collapsed="false">
      <c r="A6722" s="163" t="s">
        <v>3013</v>
      </c>
      <c r="B6722" s="163" t="s">
        <v>894</v>
      </c>
      <c r="C6722" s="163" t="s">
        <v>3709</v>
      </c>
      <c r="D6722" s="163" t="s">
        <v>3710</v>
      </c>
      <c r="E6722" s="164" t="n">
        <v>6000</v>
      </c>
      <c r="F6722" s="165" t="s">
        <v>9440</v>
      </c>
    </row>
    <row r="6723" customFormat="false" ht="15" hidden="false" customHeight="true" outlineLevel="0" collapsed="false">
      <c r="A6723" s="163" t="s">
        <v>3013</v>
      </c>
      <c r="B6723" s="163" t="s">
        <v>894</v>
      </c>
      <c r="C6723" s="163" t="s">
        <v>6169</v>
      </c>
      <c r="D6723" s="163" t="s">
        <v>6170</v>
      </c>
      <c r="E6723" s="164" t="n">
        <v>6000</v>
      </c>
      <c r="F6723" s="165" t="s">
        <v>10624</v>
      </c>
    </row>
    <row r="6724" customFormat="false" ht="15" hidden="false" customHeight="true" outlineLevel="0" collapsed="false">
      <c r="A6724" s="163" t="s">
        <v>3013</v>
      </c>
      <c r="B6724" s="163" t="s">
        <v>894</v>
      </c>
      <c r="C6724" s="163" t="s">
        <v>4923</v>
      </c>
      <c r="D6724" s="163" t="s">
        <v>4924</v>
      </c>
      <c r="E6724" s="164" t="n">
        <v>5000</v>
      </c>
      <c r="F6724" s="165" t="s">
        <v>3060</v>
      </c>
    </row>
    <row r="6725" customFormat="false" ht="15" hidden="false" customHeight="true" outlineLevel="0" collapsed="false">
      <c r="A6725" s="163" t="s">
        <v>3013</v>
      </c>
      <c r="B6725" s="163" t="s">
        <v>894</v>
      </c>
      <c r="C6725" s="163" t="s">
        <v>10625</v>
      </c>
      <c r="D6725" s="163" t="s">
        <v>10626</v>
      </c>
      <c r="E6725" s="164" t="n">
        <v>5000</v>
      </c>
      <c r="F6725" s="165" t="s">
        <v>3060</v>
      </c>
    </row>
    <row r="6726" customFormat="false" ht="15" hidden="false" customHeight="true" outlineLevel="0" collapsed="false">
      <c r="A6726" s="163" t="s">
        <v>3013</v>
      </c>
      <c r="B6726" s="163" t="s">
        <v>894</v>
      </c>
      <c r="C6726" s="163" t="s">
        <v>5010</v>
      </c>
      <c r="D6726" s="163" t="s">
        <v>1931</v>
      </c>
      <c r="E6726" s="164" t="n">
        <v>5000</v>
      </c>
      <c r="F6726" s="165" t="s">
        <v>10627</v>
      </c>
    </row>
    <row r="6727" customFormat="false" ht="15" hidden="false" customHeight="true" outlineLevel="0" collapsed="false">
      <c r="A6727" s="163" t="s">
        <v>3013</v>
      </c>
      <c r="B6727" s="163" t="s">
        <v>894</v>
      </c>
      <c r="C6727" s="163" t="s">
        <v>7074</v>
      </c>
      <c r="D6727" s="163" t="s">
        <v>7075</v>
      </c>
      <c r="E6727" s="164" t="n">
        <v>5000</v>
      </c>
      <c r="F6727" s="165" t="s">
        <v>10628</v>
      </c>
    </row>
    <row r="6728" customFormat="false" ht="15" hidden="false" customHeight="true" outlineLevel="0" collapsed="false">
      <c r="A6728" s="163" t="s">
        <v>3013</v>
      </c>
      <c r="B6728" s="163" t="s">
        <v>894</v>
      </c>
      <c r="C6728" s="163" t="s">
        <v>4957</v>
      </c>
      <c r="D6728" s="163" t="s">
        <v>4958</v>
      </c>
      <c r="E6728" s="164" t="n">
        <v>5000</v>
      </c>
      <c r="F6728" s="165" t="s">
        <v>9440</v>
      </c>
    </row>
    <row r="6729" customFormat="false" ht="15" hidden="false" customHeight="true" outlineLevel="0" collapsed="false">
      <c r="A6729" s="163" t="s">
        <v>3013</v>
      </c>
      <c r="B6729" s="163" t="s">
        <v>894</v>
      </c>
      <c r="C6729" s="163" t="s">
        <v>3706</v>
      </c>
      <c r="D6729" s="163" t="s">
        <v>3707</v>
      </c>
      <c r="E6729" s="164" t="n">
        <v>5000</v>
      </c>
      <c r="F6729" s="165" t="s">
        <v>9440</v>
      </c>
    </row>
    <row r="6730" customFormat="false" ht="15" hidden="false" customHeight="true" outlineLevel="0" collapsed="false">
      <c r="A6730" s="163" t="s">
        <v>3013</v>
      </c>
      <c r="B6730" s="163" t="s">
        <v>894</v>
      </c>
      <c r="C6730" s="163" t="s">
        <v>10629</v>
      </c>
      <c r="D6730" s="163" t="s">
        <v>10630</v>
      </c>
      <c r="E6730" s="164" t="n">
        <v>5000</v>
      </c>
      <c r="F6730" s="165" t="s">
        <v>3060</v>
      </c>
    </row>
    <row r="6731" customFormat="false" ht="15" hidden="false" customHeight="true" outlineLevel="0" collapsed="false">
      <c r="A6731" s="163" t="s">
        <v>3013</v>
      </c>
      <c r="B6731" s="163" t="s">
        <v>894</v>
      </c>
      <c r="C6731" s="163" t="s">
        <v>3395</v>
      </c>
      <c r="D6731" s="163" t="s">
        <v>3396</v>
      </c>
      <c r="E6731" s="164" t="n">
        <v>5000</v>
      </c>
      <c r="F6731" s="165" t="s">
        <v>10631</v>
      </c>
    </row>
    <row r="6732" customFormat="false" ht="15" hidden="false" customHeight="true" outlineLevel="0" collapsed="false">
      <c r="A6732" s="163" t="s">
        <v>3013</v>
      </c>
      <c r="B6732" s="163" t="s">
        <v>894</v>
      </c>
      <c r="C6732" s="163" t="s">
        <v>4931</v>
      </c>
      <c r="D6732" s="163" t="s">
        <v>4932</v>
      </c>
      <c r="E6732" s="164" t="n">
        <v>5000</v>
      </c>
      <c r="F6732" s="165" t="s">
        <v>10632</v>
      </c>
    </row>
    <row r="6733" customFormat="false" ht="15" hidden="false" customHeight="true" outlineLevel="0" collapsed="false">
      <c r="A6733" s="163" t="s">
        <v>3013</v>
      </c>
      <c r="B6733" s="163" t="s">
        <v>894</v>
      </c>
      <c r="C6733" s="163" t="s">
        <v>3278</v>
      </c>
      <c r="D6733" s="163" t="s">
        <v>3279</v>
      </c>
      <c r="E6733" s="164" t="n">
        <v>5000</v>
      </c>
      <c r="F6733" s="165" t="s">
        <v>3060</v>
      </c>
    </row>
    <row r="6734" customFormat="false" ht="15" hidden="false" customHeight="true" outlineLevel="0" collapsed="false">
      <c r="A6734" s="163" t="s">
        <v>3013</v>
      </c>
      <c r="B6734" s="163" t="s">
        <v>894</v>
      </c>
      <c r="C6734" s="163" t="s">
        <v>10633</v>
      </c>
      <c r="D6734" s="163" t="s">
        <v>10634</v>
      </c>
      <c r="E6734" s="164" t="n">
        <v>5000</v>
      </c>
      <c r="F6734" s="165" t="s">
        <v>10635</v>
      </c>
    </row>
    <row r="6735" customFormat="false" ht="15" hidden="false" customHeight="true" outlineLevel="0" collapsed="false">
      <c r="A6735" s="163" t="s">
        <v>3013</v>
      </c>
      <c r="B6735" s="163" t="s">
        <v>894</v>
      </c>
      <c r="C6735" s="163" t="s">
        <v>10636</v>
      </c>
      <c r="D6735" s="163" t="s">
        <v>10637</v>
      </c>
      <c r="E6735" s="164" t="n">
        <v>5000</v>
      </c>
      <c r="F6735" s="165" t="s">
        <v>9440</v>
      </c>
    </row>
    <row r="6736" customFormat="false" ht="15" hidden="false" customHeight="true" outlineLevel="0" collapsed="false">
      <c r="A6736" s="163" t="s">
        <v>3013</v>
      </c>
      <c r="B6736" s="163" t="s">
        <v>894</v>
      </c>
      <c r="C6736" s="163" t="s">
        <v>4269</v>
      </c>
      <c r="D6736" s="163" t="s">
        <v>4270</v>
      </c>
      <c r="E6736" s="164" t="n">
        <v>5000</v>
      </c>
      <c r="F6736" s="165" t="s">
        <v>3060</v>
      </c>
    </row>
    <row r="6737" customFormat="false" ht="15" hidden="false" customHeight="true" outlineLevel="0" collapsed="false">
      <c r="A6737" s="163" t="s">
        <v>3013</v>
      </c>
      <c r="B6737" s="163" t="s">
        <v>894</v>
      </c>
      <c r="C6737" s="163" t="s">
        <v>3783</v>
      </c>
      <c r="D6737" s="163" t="s">
        <v>3784</v>
      </c>
      <c r="E6737" s="164" t="n">
        <v>5000</v>
      </c>
      <c r="F6737" s="165" t="s">
        <v>3060</v>
      </c>
    </row>
    <row r="6738" customFormat="false" ht="15" hidden="false" customHeight="true" outlineLevel="0" collapsed="false">
      <c r="A6738" s="163" t="s">
        <v>3013</v>
      </c>
      <c r="B6738" s="163" t="s">
        <v>894</v>
      </c>
      <c r="C6738" s="163" t="s">
        <v>7158</v>
      </c>
      <c r="D6738" s="163" t="s">
        <v>7159</v>
      </c>
      <c r="E6738" s="164" t="n">
        <v>5000</v>
      </c>
      <c r="F6738" s="165" t="s">
        <v>9440</v>
      </c>
    </row>
    <row r="6739" customFormat="false" ht="15" hidden="false" customHeight="true" outlineLevel="0" collapsed="false">
      <c r="A6739" s="163" t="s">
        <v>3013</v>
      </c>
      <c r="B6739" s="163" t="s">
        <v>894</v>
      </c>
      <c r="C6739" s="163" t="s">
        <v>4859</v>
      </c>
      <c r="D6739" s="163" t="s">
        <v>4860</v>
      </c>
      <c r="E6739" s="164" t="n">
        <v>5000</v>
      </c>
      <c r="F6739" s="165" t="s">
        <v>9440</v>
      </c>
    </row>
    <row r="6740" customFormat="false" ht="15" hidden="false" customHeight="true" outlineLevel="0" collapsed="false">
      <c r="A6740" s="163" t="s">
        <v>3013</v>
      </c>
      <c r="B6740" s="163" t="s">
        <v>894</v>
      </c>
      <c r="C6740" s="163" t="s">
        <v>5214</v>
      </c>
      <c r="D6740" s="163" t="s">
        <v>5215</v>
      </c>
      <c r="E6740" s="164" t="n">
        <v>5000</v>
      </c>
      <c r="F6740" s="165" t="s">
        <v>9440</v>
      </c>
    </row>
    <row r="6741" customFormat="false" ht="15" hidden="false" customHeight="true" outlineLevel="0" collapsed="false">
      <c r="A6741" s="163" t="s">
        <v>3013</v>
      </c>
      <c r="B6741" s="163" t="s">
        <v>894</v>
      </c>
      <c r="C6741" s="163" t="s">
        <v>10638</v>
      </c>
      <c r="D6741" s="163" t="s">
        <v>10639</v>
      </c>
      <c r="E6741" s="164" t="n">
        <v>5000</v>
      </c>
      <c r="F6741" s="165" t="s">
        <v>10640</v>
      </c>
    </row>
    <row r="6742" customFormat="false" ht="15" hidden="false" customHeight="true" outlineLevel="0" collapsed="false">
      <c r="A6742" s="163" t="s">
        <v>3013</v>
      </c>
      <c r="B6742" s="163" t="s">
        <v>894</v>
      </c>
      <c r="C6742" s="163" t="s">
        <v>10641</v>
      </c>
      <c r="D6742" s="163" t="s">
        <v>10642</v>
      </c>
      <c r="E6742" s="164" t="n">
        <v>5000</v>
      </c>
      <c r="F6742" s="165" t="s">
        <v>10643</v>
      </c>
    </row>
    <row r="6743" customFormat="false" ht="15" hidden="false" customHeight="true" outlineLevel="0" collapsed="false">
      <c r="A6743" s="163" t="s">
        <v>3013</v>
      </c>
      <c r="B6743" s="163" t="s">
        <v>894</v>
      </c>
      <c r="C6743" s="163" t="s">
        <v>10644</v>
      </c>
      <c r="D6743" s="163" t="s">
        <v>10645</v>
      </c>
      <c r="E6743" s="164" t="n">
        <v>5000</v>
      </c>
      <c r="F6743" s="165" t="s">
        <v>10646</v>
      </c>
    </row>
    <row r="6744" customFormat="false" ht="15" hidden="false" customHeight="true" outlineLevel="0" collapsed="false">
      <c r="A6744" s="163" t="s">
        <v>3013</v>
      </c>
      <c r="B6744" s="163" t="s">
        <v>894</v>
      </c>
      <c r="C6744" s="163" t="s">
        <v>4893</v>
      </c>
      <c r="D6744" s="163" t="s">
        <v>4894</v>
      </c>
      <c r="E6744" s="164" t="n">
        <v>5000</v>
      </c>
      <c r="F6744" s="165" t="s">
        <v>10647</v>
      </c>
    </row>
    <row r="6745" customFormat="false" ht="15" hidden="false" customHeight="true" outlineLevel="0" collapsed="false">
      <c r="A6745" s="163" t="s">
        <v>3013</v>
      </c>
      <c r="B6745" s="163" t="s">
        <v>894</v>
      </c>
      <c r="C6745" s="163" t="s">
        <v>260</v>
      </c>
      <c r="D6745" s="163" t="s">
        <v>2097</v>
      </c>
      <c r="E6745" s="164" t="n">
        <v>3885</v>
      </c>
      <c r="F6745" s="165" t="s">
        <v>10648</v>
      </c>
    </row>
    <row r="6746" customFormat="false" ht="15" hidden="false" customHeight="true" outlineLevel="0" collapsed="false">
      <c r="A6746" s="163" t="s">
        <v>3013</v>
      </c>
      <c r="B6746" s="163" t="s">
        <v>894</v>
      </c>
      <c r="C6746" s="163" t="s">
        <v>260</v>
      </c>
      <c r="D6746" s="163" t="s">
        <v>2097</v>
      </c>
      <c r="E6746" s="164" t="n">
        <v>3885</v>
      </c>
      <c r="F6746" s="165" t="s">
        <v>10649</v>
      </c>
    </row>
    <row r="6747" customFormat="false" ht="15" hidden="false" customHeight="true" outlineLevel="0" collapsed="false">
      <c r="A6747" s="163" t="s">
        <v>3013</v>
      </c>
      <c r="B6747" s="163" t="s">
        <v>894</v>
      </c>
      <c r="C6747" s="163" t="s">
        <v>260</v>
      </c>
      <c r="D6747" s="163" t="s">
        <v>2097</v>
      </c>
      <c r="E6747" s="164" t="n">
        <v>2230</v>
      </c>
      <c r="F6747" s="165" t="s">
        <v>10650</v>
      </c>
    </row>
    <row r="6748" customFormat="false" ht="15" hidden="false" customHeight="true" outlineLevel="0" collapsed="false">
      <c r="A6748" s="163" t="s">
        <v>3013</v>
      </c>
      <c r="B6748" s="163" t="s">
        <v>882</v>
      </c>
      <c r="C6748" s="163" t="s">
        <v>640</v>
      </c>
      <c r="D6748" s="163" t="s">
        <v>1931</v>
      </c>
      <c r="E6748" s="164" t="n">
        <v>200000</v>
      </c>
      <c r="F6748" s="165" t="s">
        <v>3060</v>
      </c>
    </row>
    <row r="6749" customFormat="false" ht="15" hidden="false" customHeight="true" outlineLevel="0" collapsed="false">
      <c r="A6749" s="163" t="s">
        <v>3013</v>
      </c>
      <c r="B6749" s="163" t="s">
        <v>882</v>
      </c>
      <c r="C6749" s="163" t="s">
        <v>2759</v>
      </c>
      <c r="D6749" s="163" t="s">
        <v>2760</v>
      </c>
      <c r="E6749" s="164" t="n">
        <v>45000</v>
      </c>
      <c r="F6749" s="165" t="s">
        <v>3060</v>
      </c>
    </row>
    <row r="6750" customFormat="false" ht="15" hidden="false" customHeight="true" outlineLevel="0" collapsed="false">
      <c r="A6750" s="163" t="s">
        <v>3013</v>
      </c>
      <c r="B6750" s="163" t="s">
        <v>882</v>
      </c>
      <c r="C6750" s="163" t="s">
        <v>3112</v>
      </c>
      <c r="D6750" s="163" t="s">
        <v>3113</v>
      </c>
      <c r="E6750" s="164" t="n">
        <v>30000</v>
      </c>
      <c r="F6750" s="165" t="s">
        <v>3060</v>
      </c>
    </row>
    <row r="6751" customFormat="false" ht="15" hidden="false" customHeight="true" outlineLevel="0" collapsed="false">
      <c r="A6751" s="163" t="s">
        <v>3013</v>
      </c>
      <c r="B6751" s="163" t="s">
        <v>882</v>
      </c>
      <c r="C6751" s="163" t="s">
        <v>3939</v>
      </c>
      <c r="D6751" s="163" t="s">
        <v>3940</v>
      </c>
      <c r="E6751" s="164" t="n">
        <v>5000</v>
      </c>
      <c r="F6751" s="165" t="s">
        <v>3060</v>
      </c>
    </row>
    <row r="6752" customFormat="false" ht="15" hidden="false" customHeight="true" outlineLevel="0" collapsed="false">
      <c r="A6752" s="163" t="s">
        <v>3013</v>
      </c>
      <c r="B6752" s="163" t="s">
        <v>2328</v>
      </c>
      <c r="C6752" s="163" t="s">
        <v>5074</v>
      </c>
      <c r="D6752" s="163" t="s">
        <v>5075</v>
      </c>
      <c r="E6752" s="164" t="n">
        <v>25000</v>
      </c>
      <c r="F6752" s="165" t="s">
        <v>3060</v>
      </c>
    </row>
    <row r="6753" customFormat="false" ht="15" hidden="false" customHeight="true" outlineLevel="0" collapsed="false">
      <c r="A6753" s="163" t="s">
        <v>3013</v>
      </c>
      <c r="B6753" s="163" t="s">
        <v>2328</v>
      </c>
      <c r="C6753" s="163" t="s">
        <v>5074</v>
      </c>
      <c r="D6753" s="163" t="s">
        <v>5075</v>
      </c>
      <c r="E6753" s="164" t="n">
        <v>15000</v>
      </c>
      <c r="F6753" s="165" t="s">
        <v>3060</v>
      </c>
    </row>
    <row r="6754" customFormat="false" ht="15" hidden="false" customHeight="true" outlineLevel="0" collapsed="false">
      <c r="A6754" s="163" t="s">
        <v>3013</v>
      </c>
      <c r="B6754" s="163" t="s">
        <v>2328</v>
      </c>
      <c r="C6754" s="163" t="s">
        <v>10651</v>
      </c>
      <c r="D6754" s="163" t="s">
        <v>10652</v>
      </c>
      <c r="E6754" s="164" t="n">
        <v>10000</v>
      </c>
      <c r="F6754" s="165" t="s">
        <v>3060</v>
      </c>
    </row>
    <row r="6755" customFormat="false" ht="15" hidden="false" customHeight="true" outlineLevel="0" collapsed="false">
      <c r="A6755" s="163" t="s">
        <v>3013</v>
      </c>
      <c r="B6755" s="163" t="s">
        <v>2342</v>
      </c>
      <c r="C6755" s="163" t="s">
        <v>197</v>
      </c>
      <c r="D6755" s="163" t="s">
        <v>1931</v>
      </c>
      <c r="E6755" s="164" t="n">
        <v>45000</v>
      </c>
      <c r="F6755" s="165" t="s">
        <v>3060</v>
      </c>
    </row>
    <row r="6756" customFormat="false" ht="15" hidden="false" customHeight="true" outlineLevel="0" collapsed="false">
      <c r="A6756" s="163" t="s">
        <v>3013</v>
      </c>
      <c r="B6756" s="163" t="s">
        <v>2342</v>
      </c>
      <c r="C6756" s="163" t="s">
        <v>4884</v>
      </c>
      <c r="D6756" s="163" t="s">
        <v>4885</v>
      </c>
      <c r="E6756" s="164" t="n">
        <v>40000</v>
      </c>
      <c r="F6756" s="165" t="s">
        <v>3060</v>
      </c>
    </row>
    <row r="6757" customFormat="false" ht="15" hidden="false" customHeight="true" outlineLevel="0" collapsed="false">
      <c r="A6757" s="163" t="s">
        <v>3013</v>
      </c>
      <c r="B6757" s="163" t="s">
        <v>2342</v>
      </c>
      <c r="C6757" s="163" t="s">
        <v>230</v>
      </c>
      <c r="D6757" s="163" t="s">
        <v>2077</v>
      </c>
      <c r="E6757" s="164" t="n">
        <v>5000</v>
      </c>
      <c r="F6757" s="165" t="s">
        <v>3060</v>
      </c>
    </row>
    <row r="6758" customFormat="false" ht="15" hidden="false" customHeight="true" outlineLevel="0" collapsed="false">
      <c r="A6758" s="163" t="s">
        <v>3013</v>
      </c>
      <c r="B6758" s="163" t="s">
        <v>2766</v>
      </c>
      <c r="C6758" s="163" t="s">
        <v>4890</v>
      </c>
      <c r="D6758" s="163" t="s">
        <v>4891</v>
      </c>
      <c r="E6758" s="164" t="n">
        <v>15000</v>
      </c>
      <c r="F6758" s="165" t="s">
        <v>10653</v>
      </c>
    </row>
    <row r="6759" customFormat="false" ht="15" hidden="false" customHeight="true" outlineLevel="0" collapsed="false">
      <c r="A6759" s="163" t="s">
        <v>3013</v>
      </c>
      <c r="B6759" s="163" t="s">
        <v>2766</v>
      </c>
      <c r="C6759" s="163" t="s">
        <v>4890</v>
      </c>
      <c r="D6759" s="163" t="s">
        <v>4891</v>
      </c>
      <c r="E6759" s="164" t="n">
        <v>15000</v>
      </c>
      <c r="F6759" s="165" t="s">
        <v>10654</v>
      </c>
    </row>
    <row r="6760" customFormat="false" ht="15" hidden="false" customHeight="true" outlineLevel="0" collapsed="false">
      <c r="A6760" s="163" t="s">
        <v>3013</v>
      </c>
      <c r="B6760" s="163" t="s">
        <v>2766</v>
      </c>
      <c r="C6760" s="163" t="s">
        <v>4957</v>
      </c>
      <c r="D6760" s="163" t="s">
        <v>4958</v>
      </c>
      <c r="E6760" s="164" t="n">
        <v>15000</v>
      </c>
      <c r="F6760" s="165" t="s">
        <v>10655</v>
      </c>
    </row>
    <row r="6761" customFormat="false" ht="15" hidden="false" customHeight="true" outlineLevel="0" collapsed="false">
      <c r="A6761" s="163" t="s">
        <v>3013</v>
      </c>
      <c r="B6761" s="163" t="s">
        <v>2766</v>
      </c>
      <c r="C6761" s="163" t="s">
        <v>4946</v>
      </c>
      <c r="D6761" s="163" t="s">
        <v>4947</v>
      </c>
      <c r="E6761" s="164" t="n">
        <v>15000</v>
      </c>
      <c r="F6761" s="165" t="s">
        <v>10656</v>
      </c>
    </row>
    <row r="6762" customFormat="false" ht="15" hidden="false" customHeight="true" outlineLevel="0" collapsed="false">
      <c r="A6762" s="163" t="s">
        <v>3013</v>
      </c>
      <c r="B6762" s="163" t="s">
        <v>2766</v>
      </c>
      <c r="C6762" s="163" t="s">
        <v>10599</v>
      </c>
      <c r="D6762" s="163" t="s">
        <v>10600</v>
      </c>
      <c r="E6762" s="164" t="n">
        <v>15000</v>
      </c>
      <c r="F6762" s="165" t="s">
        <v>10577</v>
      </c>
    </row>
    <row r="6763" customFormat="false" ht="15" hidden="false" customHeight="true" outlineLevel="0" collapsed="false">
      <c r="A6763" s="163" t="s">
        <v>3013</v>
      </c>
      <c r="B6763" s="163" t="s">
        <v>1743</v>
      </c>
      <c r="C6763" s="163" t="s">
        <v>4900</v>
      </c>
      <c r="D6763" s="163" t="s">
        <v>4901</v>
      </c>
      <c r="E6763" s="164" t="n">
        <v>40000</v>
      </c>
      <c r="F6763" s="165" t="s">
        <v>3060</v>
      </c>
    </row>
    <row r="6764" customFormat="false" ht="15" hidden="false" customHeight="true" outlineLevel="0" collapsed="false">
      <c r="A6764" s="163" t="s">
        <v>3013</v>
      </c>
      <c r="B6764" s="163" t="s">
        <v>1743</v>
      </c>
      <c r="C6764" s="163" t="s">
        <v>4898</v>
      </c>
      <c r="D6764" s="163" t="s">
        <v>4899</v>
      </c>
      <c r="E6764" s="164" t="n">
        <v>15000</v>
      </c>
      <c r="F6764" s="165" t="s">
        <v>3060</v>
      </c>
    </row>
    <row r="6765" customFormat="false" ht="15" hidden="false" customHeight="true" outlineLevel="0" collapsed="false">
      <c r="A6765" s="163" t="s">
        <v>3013</v>
      </c>
      <c r="B6765" s="163" t="s">
        <v>1743</v>
      </c>
      <c r="C6765" s="163" t="s">
        <v>3567</v>
      </c>
      <c r="D6765" s="163" t="s">
        <v>3568</v>
      </c>
      <c r="E6765" s="164" t="n">
        <v>10000</v>
      </c>
      <c r="F6765" s="165" t="s">
        <v>3060</v>
      </c>
    </row>
    <row r="6766" customFormat="false" ht="15" hidden="false" customHeight="true" outlineLevel="0" collapsed="false">
      <c r="A6766" s="163" t="s">
        <v>3013</v>
      </c>
      <c r="B6766" s="163" t="s">
        <v>1743</v>
      </c>
      <c r="C6766" s="163" t="s">
        <v>3567</v>
      </c>
      <c r="D6766" s="163" t="s">
        <v>3568</v>
      </c>
      <c r="E6766" s="164" t="n">
        <v>10000</v>
      </c>
      <c r="F6766" s="165" t="s">
        <v>10657</v>
      </c>
    </row>
    <row r="6767" customFormat="false" ht="15" hidden="false" customHeight="true" outlineLevel="0" collapsed="false">
      <c r="A6767" s="163" t="s">
        <v>3013</v>
      </c>
      <c r="B6767" s="163" t="s">
        <v>1743</v>
      </c>
      <c r="C6767" s="163" t="s">
        <v>6557</v>
      </c>
      <c r="D6767" s="163" t="s">
        <v>6558</v>
      </c>
      <c r="E6767" s="164" t="n">
        <v>10000</v>
      </c>
      <c r="F6767" s="165" t="s">
        <v>3060</v>
      </c>
    </row>
    <row r="6768" customFormat="false" ht="15" hidden="false" customHeight="true" outlineLevel="0" collapsed="false">
      <c r="A6768" s="163" t="s">
        <v>3013</v>
      </c>
      <c r="B6768" s="163" t="s">
        <v>1743</v>
      </c>
      <c r="C6768" s="163" t="s">
        <v>4887</v>
      </c>
      <c r="D6768" s="163" t="s">
        <v>4888</v>
      </c>
      <c r="E6768" s="164" t="n">
        <v>10000</v>
      </c>
      <c r="F6768" s="165" t="s">
        <v>3060</v>
      </c>
    </row>
    <row r="6769" customFormat="false" ht="15" hidden="false" customHeight="true" outlineLevel="0" collapsed="false">
      <c r="A6769" s="163" t="s">
        <v>3013</v>
      </c>
      <c r="B6769" s="163" t="s">
        <v>1743</v>
      </c>
      <c r="C6769" s="163" t="s">
        <v>7080</v>
      </c>
      <c r="D6769" s="163" t="s">
        <v>7081</v>
      </c>
      <c r="E6769" s="164" t="n">
        <v>10000</v>
      </c>
      <c r="F6769" s="165" t="s">
        <v>3060</v>
      </c>
    </row>
    <row r="6770" customFormat="false" ht="15" hidden="false" customHeight="true" outlineLevel="0" collapsed="false">
      <c r="A6770" s="163" t="s">
        <v>3013</v>
      </c>
      <c r="B6770" s="163" t="s">
        <v>1743</v>
      </c>
      <c r="C6770" s="163" t="s">
        <v>10579</v>
      </c>
      <c r="D6770" s="163" t="s">
        <v>10580</v>
      </c>
      <c r="E6770" s="164" t="n">
        <v>10000</v>
      </c>
      <c r="F6770" s="165" t="s">
        <v>3060</v>
      </c>
    </row>
    <row r="6771" customFormat="false" ht="15" hidden="false" customHeight="true" outlineLevel="0" collapsed="false">
      <c r="A6771" s="163" t="s">
        <v>3013</v>
      </c>
      <c r="B6771" s="163" t="s">
        <v>1743</v>
      </c>
      <c r="C6771" s="163" t="s">
        <v>6438</v>
      </c>
      <c r="D6771" s="163" t="s">
        <v>6439</v>
      </c>
      <c r="E6771" s="164" t="n">
        <v>10000</v>
      </c>
      <c r="F6771" s="165" t="s">
        <v>3060</v>
      </c>
    </row>
    <row r="6772" customFormat="false" ht="15" hidden="false" customHeight="true" outlineLevel="0" collapsed="false">
      <c r="A6772" s="163" t="s">
        <v>3013</v>
      </c>
      <c r="B6772" s="163" t="s">
        <v>1743</v>
      </c>
      <c r="C6772" s="163" t="s">
        <v>5214</v>
      </c>
      <c r="D6772" s="163" t="s">
        <v>5215</v>
      </c>
      <c r="E6772" s="164" t="n">
        <v>10000</v>
      </c>
      <c r="F6772" s="165" t="s">
        <v>3060</v>
      </c>
    </row>
    <row r="6773" customFormat="false" ht="15" hidden="false" customHeight="true" outlineLevel="0" collapsed="false">
      <c r="A6773" s="163" t="s">
        <v>3013</v>
      </c>
      <c r="B6773" s="163" t="s">
        <v>1743</v>
      </c>
      <c r="C6773" s="163" t="s">
        <v>7664</v>
      </c>
      <c r="D6773" s="163" t="s">
        <v>7665</v>
      </c>
      <c r="E6773" s="164" t="n">
        <v>10000</v>
      </c>
      <c r="F6773" s="165" t="s">
        <v>3060</v>
      </c>
    </row>
    <row r="6774" customFormat="false" ht="15" hidden="false" customHeight="true" outlineLevel="0" collapsed="false">
      <c r="A6774" s="163" t="s">
        <v>3013</v>
      </c>
      <c r="B6774" s="163" t="s">
        <v>1743</v>
      </c>
      <c r="C6774" s="163" t="s">
        <v>1021</v>
      </c>
      <c r="D6774" s="163" t="s">
        <v>1931</v>
      </c>
      <c r="E6774" s="164" t="n">
        <v>5000</v>
      </c>
      <c r="F6774" s="165" t="s">
        <v>10658</v>
      </c>
    </row>
    <row r="6775" customFormat="false" ht="15" hidden="false" customHeight="true" outlineLevel="0" collapsed="false">
      <c r="A6775" s="163" t="s">
        <v>3013</v>
      </c>
      <c r="B6775" s="163" t="s">
        <v>928</v>
      </c>
      <c r="C6775" s="163" t="s">
        <v>10587</v>
      </c>
      <c r="D6775" s="163" t="s">
        <v>10588</v>
      </c>
      <c r="E6775" s="164" t="n">
        <v>10000</v>
      </c>
      <c r="F6775" s="165" t="s">
        <v>3060</v>
      </c>
    </row>
    <row r="6776" customFormat="false" ht="15" hidden="false" customHeight="true" outlineLevel="0" collapsed="false">
      <c r="A6776" s="163" t="s">
        <v>3013</v>
      </c>
      <c r="B6776" s="163" t="s">
        <v>928</v>
      </c>
      <c r="C6776" s="163" t="s">
        <v>5011</v>
      </c>
      <c r="D6776" s="163" t="s">
        <v>5012</v>
      </c>
      <c r="E6776" s="164" t="n">
        <v>10000</v>
      </c>
      <c r="F6776" s="165" t="s">
        <v>10659</v>
      </c>
    </row>
    <row r="6777" customFormat="false" ht="15" hidden="false" customHeight="true" outlineLevel="0" collapsed="false">
      <c r="A6777" s="163" t="s">
        <v>3013</v>
      </c>
      <c r="B6777" s="163" t="s">
        <v>928</v>
      </c>
      <c r="C6777" s="163" t="s">
        <v>395</v>
      </c>
      <c r="D6777" s="163" t="s">
        <v>2196</v>
      </c>
      <c r="E6777" s="164" t="n">
        <v>10000</v>
      </c>
      <c r="F6777" s="165" t="s">
        <v>9440</v>
      </c>
    </row>
    <row r="6778" customFormat="false" ht="15" hidden="false" customHeight="true" outlineLevel="0" collapsed="false">
      <c r="A6778" s="163" t="s">
        <v>3013</v>
      </c>
      <c r="B6778" s="163" t="s">
        <v>928</v>
      </c>
      <c r="C6778" s="163" t="s">
        <v>10660</v>
      </c>
      <c r="D6778" s="163" t="s">
        <v>10661</v>
      </c>
      <c r="E6778" s="164" t="n">
        <v>10000</v>
      </c>
      <c r="F6778" s="165" t="s">
        <v>9440</v>
      </c>
    </row>
    <row r="6779" customFormat="false" ht="15" hidden="false" customHeight="true" outlineLevel="0" collapsed="false">
      <c r="A6779" s="163" t="s">
        <v>3013</v>
      </c>
      <c r="B6779" s="163" t="s">
        <v>928</v>
      </c>
      <c r="C6779" s="163" t="s">
        <v>4705</v>
      </c>
      <c r="D6779" s="163" t="s">
        <v>4706</v>
      </c>
      <c r="E6779" s="164" t="n">
        <v>10000</v>
      </c>
      <c r="F6779" s="165" t="s">
        <v>9440</v>
      </c>
    </row>
    <row r="6780" customFormat="false" ht="15" hidden="false" customHeight="true" outlineLevel="0" collapsed="false">
      <c r="A6780" s="163" t="s">
        <v>3013</v>
      </c>
      <c r="B6780" s="163" t="s">
        <v>928</v>
      </c>
      <c r="C6780" s="163" t="s">
        <v>10662</v>
      </c>
      <c r="D6780" s="163" t="s">
        <v>10663</v>
      </c>
      <c r="E6780" s="164" t="n">
        <v>10000</v>
      </c>
      <c r="F6780" s="165" t="s">
        <v>9440</v>
      </c>
    </row>
    <row r="6781" customFormat="false" ht="15" hidden="false" customHeight="true" outlineLevel="0" collapsed="false">
      <c r="A6781" s="163" t="s">
        <v>3013</v>
      </c>
      <c r="B6781" s="163" t="s">
        <v>928</v>
      </c>
      <c r="C6781" s="163" t="s">
        <v>5591</v>
      </c>
      <c r="D6781" s="163" t="s">
        <v>5592</v>
      </c>
      <c r="E6781" s="164" t="n">
        <v>10000</v>
      </c>
      <c r="F6781" s="165" t="s">
        <v>10664</v>
      </c>
    </row>
    <row r="6782" customFormat="false" ht="15" hidden="false" customHeight="true" outlineLevel="0" collapsed="false">
      <c r="A6782" s="163" t="s">
        <v>3013</v>
      </c>
      <c r="B6782" s="163" t="s">
        <v>928</v>
      </c>
      <c r="C6782" s="163" t="s">
        <v>1159</v>
      </c>
      <c r="D6782" s="163" t="s">
        <v>1936</v>
      </c>
      <c r="E6782" s="164" t="n">
        <v>10000</v>
      </c>
      <c r="F6782" s="165" t="s">
        <v>3060</v>
      </c>
    </row>
    <row r="6783" customFormat="false" ht="15" hidden="false" customHeight="true" outlineLevel="0" collapsed="false">
      <c r="A6783" s="163" t="s">
        <v>3013</v>
      </c>
      <c r="B6783" s="163" t="s">
        <v>928</v>
      </c>
      <c r="C6783" s="163" t="s">
        <v>4797</v>
      </c>
      <c r="D6783" s="163" t="s">
        <v>4798</v>
      </c>
      <c r="E6783" s="164" t="n">
        <v>9500</v>
      </c>
      <c r="F6783" s="165" t="s">
        <v>9440</v>
      </c>
    </row>
    <row r="6784" customFormat="false" ht="15" hidden="false" customHeight="true" outlineLevel="0" collapsed="false">
      <c r="A6784" s="163" t="s">
        <v>3013</v>
      </c>
      <c r="B6784" s="163" t="s">
        <v>928</v>
      </c>
      <c r="C6784" s="163" t="s">
        <v>9659</v>
      </c>
      <c r="D6784" s="163" t="s">
        <v>9660</v>
      </c>
      <c r="E6784" s="164" t="n">
        <v>9500</v>
      </c>
      <c r="F6784" s="165" t="s">
        <v>10665</v>
      </c>
    </row>
    <row r="6785" customFormat="false" ht="15" hidden="false" customHeight="true" outlineLevel="0" collapsed="false">
      <c r="A6785" s="163" t="s">
        <v>3013</v>
      </c>
      <c r="B6785" s="163" t="s">
        <v>928</v>
      </c>
      <c r="C6785" s="163" t="s">
        <v>10666</v>
      </c>
      <c r="D6785" s="163" t="s">
        <v>10667</v>
      </c>
      <c r="E6785" s="164" t="n">
        <v>8500</v>
      </c>
      <c r="F6785" s="165" t="s">
        <v>10668</v>
      </c>
    </row>
    <row r="6786" customFormat="false" ht="15" hidden="false" customHeight="true" outlineLevel="0" collapsed="false">
      <c r="A6786" s="163" t="s">
        <v>3013</v>
      </c>
      <c r="B6786" s="163" t="s">
        <v>928</v>
      </c>
      <c r="C6786" s="163" t="s">
        <v>4973</v>
      </c>
      <c r="D6786" s="163" t="s">
        <v>4974</v>
      </c>
      <c r="E6786" s="164" t="n">
        <v>6500</v>
      </c>
      <c r="F6786" s="165" t="s">
        <v>3060</v>
      </c>
    </row>
    <row r="6787" customFormat="false" ht="15" hidden="false" customHeight="true" outlineLevel="0" collapsed="false">
      <c r="A6787" s="163" t="s">
        <v>3013</v>
      </c>
      <c r="B6787" s="163" t="s">
        <v>928</v>
      </c>
      <c r="C6787" s="163" t="s">
        <v>4427</v>
      </c>
      <c r="D6787" s="163" t="s">
        <v>4428</v>
      </c>
      <c r="E6787" s="164" t="n">
        <v>6000</v>
      </c>
      <c r="F6787" s="165" t="s">
        <v>9440</v>
      </c>
    </row>
    <row r="6788" customFormat="false" ht="15" hidden="false" customHeight="true" outlineLevel="0" collapsed="false">
      <c r="A6788" s="163" t="s">
        <v>3013</v>
      </c>
      <c r="B6788" s="163" t="s">
        <v>928</v>
      </c>
      <c r="C6788" s="163" t="s">
        <v>1199</v>
      </c>
      <c r="D6788" s="163" t="s">
        <v>1929</v>
      </c>
      <c r="E6788" s="164" t="n">
        <v>5000</v>
      </c>
      <c r="F6788" s="165" t="s">
        <v>9440</v>
      </c>
    </row>
    <row r="6789" customFormat="false" ht="15" hidden="false" customHeight="true" outlineLevel="0" collapsed="false">
      <c r="A6789" s="163" t="s">
        <v>3013</v>
      </c>
      <c r="B6789" s="163" t="s">
        <v>928</v>
      </c>
      <c r="C6789" s="163" t="s">
        <v>5092</v>
      </c>
      <c r="D6789" s="163" t="s">
        <v>5093</v>
      </c>
      <c r="E6789" s="164" t="n">
        <v>5000</v>
      </c>
      <c r="F6789" s="165" t="s">
        <v>10669</v>
      </c>
    </row>
    <row r="6790" customFormat="false" ht="15" hidden="false" customHeight="true" outlineLevel="0" collapsed="false">
      <c r="A6790" s="163" t="s">
        <v>3013</v>
      </c>
      <c r="B6790" s="163" t="s">
        <v>928</v>
      </c>
      <c r="C6790" s="163" t="s">
        <v>5090</v>
      </c>
      <c r="D6790" s="163" t="s">
        <v>5091</v>
      </c>
      <c r="E6790" s="164" t="n">
        <v>5000</v>
      </c>
      <c r="F6790" s="165" t="s">
        <v>3060</v>
      </c>
    </row>
    <row r="6791" customFormat="false" ht="15" hidden="false" customHeight="true" outlineLevel="0" collapsed="false">
      <c r="A6791" s="163" t="s">
        <v>3013</v>
      </c>
      <c r="B6791" s="163" t="s">
        <v>928</v>
      </c>
      <c r="C6791" s="163" t="s">
        <v>4998</v>
      </c>
      <c r="D6791" s="163" t="s">
        <v>4999</v>
      </c>
      <c r="E6791" s="164" t="n">
        <v>5000</v>
      </c>
      <c r="F6791" s="165" t="s">
        <v>7148</v>
      </c>
    </row>
    <row r="6792" customFormat="false" ht="15" hidden="false" customHeight="true" outlineLevel="0" collapsed="false">
      <c r="A6792" s="163" t="s">
        <v>3013</v>
      </c>
      <c r="B6792" s="163" t="s">
        <v>928</v>
      </c>
      <c r="C6792" s="163" t="s">
        <v>7127</v>
      </c>
      <c r="D6792" s="163" t="s">
        <v>7128</v>
      </c>
      <c r="E6792" s="164" t="n">
        <v>5000</v>
      </c>
      <c r="F6792" s="165" t="s">
        <v>9440</v>
      </c>
    </row>
    <row r="6793" customFormat="false" ht="15" hidden="false" customHeight="true" outlineLevel="0" collapsed="false">
      <c r="A6793" s="163" t="s">
        <v>3013</v>
      </c>
      <c r="B6793" s="163" t="s">
        <v>928</v>
      </c>
      <c r="C6793" s="163" t="s">
        <v>8739</v>
      </c>
      <c r="D6793" s="163" t="s">
        <v>8740</v>
      </c>
      <c r="E6793" s="164" t="n">
        <v>5000</v>
      </c>
      <c r="F6793" s="165" t="s">
        <v>9440</v>
      </c>
    </row>
    <row r="6794" customFormat="false" ht="15" hidden="false" customHeight="true" outlineLevel="0" collapsed="false">
      <c r="A6794" s="163" t="s">
        <v>3041</v>
      </c>
      <c r="B6794" s="163" t="s">
        <v>926</v>
      </c>
      <c r="C6794" s="163" t="s">
        <v>4313</v>
      </c>
      <c r="D6794" s="163" t="s">
        <v>4314</v>
      </c>
      <c r="E6794" s="164" t="n">
        <v>35000</v>
      </c>
      <c r="F6794" s="165" t="s">
        <v>3060</v>
      </c>
    </row>
    <row r="6795" customFormat="false" ht="15" hidden="false" customHeight="true" outlineLevel="0" collapsed="false">
      <c r="A6795" s="163" t="s">
        <v>3041</v>
      </c>
      <c r="B6795" s="163" t="s">
        <v>926</v>
      </c>
      <c r="C6795" s="163" t="s">
        <v>10670</v>
      </c>
      <c r="D6795" s="163" t="s">
        <v>10671</v>
      </c>
      <c r="E6795" s="164" t="n">
        <v>25000</v>
      </c>
      <c r="F6795" s="165" t="s">
        <v>10672</v>
      </c>
    </row>
    <row r="6796" customFormat="false" ht="15" hidden="false" customHeight="true" outlineLevel="0" collapsed="false">
      <c r="A6796" s="163" t="s">
        <v>3041</v>
      </c>
      <c r="B6796" s="163" t="s">
        <v>926</v>
      </c>
      <c r="C6796" s="163" t="s">
        <v>3063</v>
      </c>
      <c r="D6796" s="163" t="s">
        <v>3064</v>
      </c>
      <c r="E6796" s="164" t="n">
        <v>24000</v>
      </c>
      <c r="F6796" s="165" t="s">
        <v>10673</v>
      </c>
    </row>
    <row r="6797" customFormat="false" ht="15" hidden="false" customHeight="true" outlineLevel="0" collapsed="false">
      <c r="A6797" s="163" t="s">
        <v>3041</v>
      </c>
      <c r="B6797" s="163" t="s">
        <v>926</v>
      </c>
      <c r="C6797" s="163" t="s">
        <v>3334</v>
      </c>
      <c r="D6797" s="163" t="s">
        <v>3335</v>
      </c>
      <c r="E6797" s="164" t="n">
        <v>9000</v>
      </c>
      <c r="F6797" s="165" t="s">
        <v>10674</v>
      </c>
    </row>
    <row r="6798" customFormat="false" ht="15" hidden="false" customHeight="true" outlineLevel="0" collapsed="false">
      <c r="A6798" s="163" t="s">
        <v>3041</v>
      </c>
      <c r="B6798" s="163" t="s">
        <v>926</v>
      </c>
      <c r="C6798" s="163" t="s">
        <v>974</v>
      </c>
      <c r="D6798" s="163" t="s">
        <v>1931</v>
      </c>
      <c r="E6798" s="164" t="n">
        <v>7000</v>
      </c>
      <c r="F6798" s="165" t="s">
        <v>10675</v>
      </c>
    </row>
    <row r="6799" customFormat="false" ht="15" hidden="false" customHeight="true" outlineLevel="0" collapsed="false">
      <c r="A6799" s="163" t="s">
        <v>3041</v>
      </c>
      <c r="B6799" s="163" t="s">
        <v>957</v>
      </c>
      <c r="C6799" s="163" t="s">
        <v>3210</v>
      </c>
      <c r="D6799" s="163" t="s">
        <v>3211</v>
      </c>
      <c r="E6799" s="164" t="n">
        <v>19500</v>
      </c>
      <c r="F6799" s="165" t="s">
        <v>10676</v>
      </c>
    </row>
    <row r="6800" customFormat="false" ht="15" hidden="false" customHeight="true" outlineLevel="0" collapsed="false">
      <c r="A6800" s="163" t="s">
        <v>3041</v>
      </c>
      <c r="B6800" s="163" t="s">
        <v>957</v>
      </c>
      <c r="C6800" s="163" t="s">
        <v>10677</v>
      </c>
      <c r="D6800" s="163" t="s">
        <v>10678</v>
      </c>
      <c r="E6800" s="164" t="n">
        <v>10500</v>
      </c>
      <c r="F6800" s="165" t="s">
        <v>10679</v>
      </c>
    </row>
    <row r="6801" customFormat="false" ht="15" hidden="false" customHeight="true" outlineLevel="0" collapsed="false">
      <c r="A6801" s="163" t="s">
        <v>3041</v>
      </c>
      <c r="B6801" s="163" t="s">
        <v>957</v>
      </c>
      <c r="C6801" s="163" t="s">
        <v>4329</v>
      </c>
      <c r="D6801" s="163" t="s">
        <v>4330</v>
      </c>
      <c r="E6801" s="164" t="n">
        <v>9000</v>
      </c>
      <c r="F6801" s="165" t="s">
        <v>10680</v>
      </c>
    </row>
    <row r="6802" customFormat="false" ht="15" hidden="false" customHeight="true" outlineLevel="0" collapsed="false">
      <c r="A6802" s="163" t="s">
        <v>3041</v>
      </c>
      <c r="B6802" s="163" t="s">
        <v>957</v>
      </c>
      <c r="C6802" s="163" t="s">
        <v>10681</v>
      </c>
      <c r="D6802" s="163" t="s">
        <v>10682</v>
      </c>
      <c r="E6802" s="164" t="n">
        <v>9000</v>
      </c>
      <c r="F6802" s="165" t="s">
        <v>10683</v>
      </c>
    </row>
    <row r="6803" customFormat="false" ht="15" hidden="false" customHeight="true" outlineLevel="0" collapsed="false">
      <c r="A6803" s="163" t="s">
        <v>3041</v>
      </c>
      <c r="B6803" s="163" t="s">
        <v>957</v>
      </c>
      <c r="C6803" s="163" t="s">
        <v>4326</v>
      </c>
      <c r="D6803" s="163" t="s">
        <v>4327</v>
      </c>
      <c r="E6803" s="164" t="n">
        <v>8500</v>
      </c>
      <c r="F6803" s="165" t="s">
        <v>10684</v>
      </c>
    </row>
    <row r="6804" customFormat="false" ht="15" hidden="false" customHeight="true" outlineLevel="0" collapsed="false">
      <c r="A6804" s="163" t="s">
        <v>3041</v>
      </c>
      <c r="B6804" s="163" t="s">
        <v>957</v>
      </c>
      <c r="C6804" s="163" t="s">
        <v>3276</v>
      </c>
      <c r="D6804" s="163" t="s">
        <v>3277</v>
      </c>
      <c r="E6804" s="164" t="n">
        <v>8000</v>
      </c>
      <c r="F6804" s="165" t="s">
        <v>10685</v>
      </c>
    </row>
    <row r="6805" customFormat="false" ht="15" hidden="false" customHeight="true" outlineLevel="0" collapsed="false">
      <c r="A6805" s="163" t="s">
        <v>3041</v>
      </c>
      <c r="B6805" s="163" t="s">
        <v>957</v>
      </c>
      <c r="C6805" s="163" t="s">
        <v>10686</v>
      </c>
      <c r="D6805" s="163" t="s">
        <v>10687</v>
      </c>
      <c r="E6805" s="164" t="n">
        <v>7500</v>
      </c>
      <c r="F6805" s="165" t="s">
        <v>10688</v>
      </c>
    </row>
    <row r="6806" customFormat="false" ht="15" hidden="false" customHeight="true" outlineLevel="0" collapsed="false">
      <c r="A6806" s="163" t="s">
        <v>3041</v>
      </c>
      <c r="B6806" s="163" t="s">
        <v>957</v>
      </c>
      <c r="C6806" s="163" t="s">
        <v>3212</v>
      </c>
      <c r="D6806" s="163" t="s">
        <v>3213</v>
      </c>
      <c r="E6806" s="164" t="n">
        <v>7000</v>
      </c>
      <c r="F6806" s="165" t="s">
        <v>10689</v>
      </c>
    </row>
    <row r="6807" customFormat="false" ht="15" hidden="false" customHeight="true" outlineLevel="0" collapsed="false">
      <c r="A6807" s="163" t="s">
        <v>3041</v>
      </c>
      <c r="B6807" s="163" t="s">
        <v>957</v>
      </c>
      <c r="C6807" s="163" t="s">
        <v>5997</v>
      </c>
      <c r="D6807" s="163" t="s">
        <v>5998</v>
      </c>
      <c r="E6807" s="164" t="n">
        <v>6000</v>
      </c>
      <c r="F6807" s="165" t="s">
        <v>10690</v>
      </c>
    </row>
    <row r="6808" customFormat="false" ht="15" hidden="false" customHeight="true" outlineLevel="0" collapsed="false">
      <c r="A6808" s="163" t="s">
        <v>3041</v>
      </c>
      <c r="B6808" s="163" t="s">
        <v>957</v>
      </c>
      <c r="C6808" s="163" t="s">
        <v>10691</v>
      </c>
      <c r="D6808" s="163" t="s">
        <v>10692</v>
      </c>
      <c r="E6808" s="164" t="n">
        <v>5000</v>
      </c>
      <c r="F6808" s="165" t="s">
        <v>10693</v>
      </c>
    </row>
    <row r="6809" customFormat="false" ht="15" hidden="false" customHeight="true" outlineLevel="0" collapsed="false">
      <c r="A6809" s="163" t="s">
        <v>3041</v>
      </c>
      <c r="B6809" s="163" t="s">
        <v>957</v>
      </c>
      <c r="C6809" s="163" t="s">
        <v>4343</v>
      </c>
      <c r="D6809" s="163" t="s">
        <v>4344</v>
      </c>
      <c r="E6809" s="164" t="n">
        <v>5000</v>
      </c>
      <c r="F6809" s="165" t="s">
        <v>10694</v>
      </c>
    </row>
    <row r="6810" customFormat="false" ht="15" hidden="false" customHeight="true" outlineLevel="0" collapsed="false">
      <c r="A6810" s="163" t="s">
        <v>3041</v>
      </c>
      <c r="B6810" s="163" t="s">
        <v>957</v>
      </c>
      <c r="C6810" s="163" t="s">
        <v>4420</v>
      </c>
      <c r="D6810" s="163" t="s">
        <v>4421</v>
      </c>
      <c r="E6810" s="164" t="n">
        <v>5000</v>
      </c>
      <c r="F6810" s="165" t="s">
        <v>10695</v>
      </c>
    </row>
    <row r="6811" customFormat="false" ht="15" hidden="false" customHeight="true" outlineLevel="0" collapsed="false">
      <c r="A6811" s="163" t="s">
        <v>3041</v>
      </c>
      <c r="B6811" s="163" t="s">
        <v>957</v>
      </c>
      <c r="C6811" s="163" t="s">
        <v>1264</v>
      </c>
      <c r="D6811" s="163" t="s">
        <v>2227</v>
      </c>
      <c r="E6811" s="164" t="n">
        <v>5000</v>
      </c>
      <c r="F6811" s="165" t="s">
        <v>10688</v>
      </c>
    </row>
    <row r="6812" customFormat="false" ht="15" hidden="false" customHeight="true" outlineLevel="0" collapsed="false">
      <c r="A6812" s="163" t="s">
        <v>3041</v>
      </c>
      <c r="B6812" s="163" t="s">
        <v>957</v>
      </c>
      <c r="C6812" s="163" t="s">
        <v>3219</v>
      </c>
      <c r="D6812" s="163" t="s">
        <v>3220</v>
      </c>
      <c r="E6812" s="164" t="n">
        <v>5000</v>
      </c>
      <c r="F6812" s="165" t="s">
        <v>10696</v>
      </c>
    </row>
    <row r="6813" customFormat="false" ht="15" hidden="false" customHeight="true" outlineLevel="0" collapsed="false">
      <c r="A6813" s="163" t="s">
        <v>3041</v>
      </c>
      <c r="B6813" s="163" t="s">
        <v>945</v>
      </c>
      <c r="C6813" s="163" t="s">
        <v>10697</v>
      </c>
      <c r="D6813" s="163" t="s">
        <v>10698</v>
      </c>
      <c r="E6813" s="164" t="n">
        <v>20000</v>
      </c>
      <c r="F6813" s="165" t="s">
        <v>10699</v>
      </c>
    </row>
    <row r="6814" customFormat="false" ht="15" hidden="false" customHeight="true" outlineLevel="0" collapsed="false">
      <c r="A6814" s="163" t="s">
        <v>3041</v>
      </c>
      <c r="B6814" s="163" t="s">
        <v>945</v>
      </c>
      <c r="C6814" s="163" t="s">
        <v>1264</v>
      </c>
      <c r="D6814" s="163" t="s">
        <v>2227</v>
      </c>
      <c r="E6814" s="164" t="n">
        <v>5000</v>
      </c>
      <c r="F6814" s="165" t="s">
        <v>10688</v>
      </c>
    </row>
    <row r="6815" customFormat="false" ht="15" hidden="false" customHeight="true" outlineLevel="0" collapsed="false">
      <c r="A6815" s="163" t="s">
        <v>3041</v>
      </c>
      <c r="B6815" s="163" t="s">
        <v>3111</v>
      </c>
      <c r="C6815" s="163" t="s">
        <v>5997</v>
      </c>
      <c r="D6815" s="163" t="s">
        <v>5998</v>
      </c>
      <c r="E6815" s="164" t="n">
        <v>16000</v>
      </c>
      <c r="F6815" s="165" t="s">
        <v>10700</v>
      </c>
    </row>
    <row r="6816" customFormat="false" ht="15" hidden="false" customHeight="true" outlineLevel="0" collapsed="false">
      <c r="A6816" s="163" t="s">
        <v>3041</v>
      </c>
      <c r="B6816" s="163" t="s">
        <v>1938</v>
      </c>
      <c r="C6816" s="163" t="s">
        <v>3143</v>
      </c>
      <c r="D6816" s="163" t="s">
        <v>3144</v>
      </c>
      <c r="E6816" s="164" t="n">
        <v>20000</v>
      </c>
      <c r="F6816" s="165" t="s">
        <v>10701</v>
      </c>
    </row>
    <row r="6817" customFormat="false" ht="15" hidden="false" customHeight="true" outlineLevel="0" collapsed="false">
      <c r="A6817" s="163" t="s">
        <v>3041</v>
      </c>
      <c r="B6817" s="163" t="s">
        <v>1938</v>
      </c>
      <c r="C6817" s="163" t="s">
        <v>10702</v>
      </c>
      <c r="D6817" s="163" t="s">
        <v>10703</v>
      </c>
      <c r="E6817" s="164" t="n">
        <v>20000</v>
      </c>
      <c r="F6817" s="165" t="s">
        <v>10704</v>
      </c>
    </row>
    <row r="6818" customFormat="false" ht="15" hidden="false" customHeight="true" outlineLevel="0" collapsed="false">
      <c r="A6818" s="163" t="s">
        <v>3041</v>
      </c>
      <c r="B6818" s="163" t="s">
        <v>1938</v>
      </c>
      <c r="C6818" s="163" t="s">
        <v>10670</v>
      </c>
      <c r="D6818" s="163" t="s">
        <v>10671</v>
      </c>
      <c r="E6818" s="164" t="n">
        <v>20000</v>
      </c>
      <c r="F6818" s="165" t="s">
        <v>10705</v>
      </c>
    </row>
    <row r="6819" customFormat="false" ht="15" hidden="false" customHeight="true" outlineLevel="0" collapsed="false">
      <c r="A6819" s="163" t="s">
        <v>3041</v>
      </c>
      <c r="B6819" s="163" t="s">
        <v>1938</v>
      </c>
      <c r="C6819" s="163" t="s">
        <v>10670</v>
      </c>
      <c r="D6819" s="163" t="s">
        <v>10671</v>
      </c>
      <c r="E6819" s="164" t="n">
        <v>20000</v>
      </c>
      <c r="F6819" s="165" t="s">
        <v>10706</v>
      </c>
    </row>
    <row r="6820" customFormat="false" ht="15" hidden="false" customHeight="true" outlineLevel="0" collapsed="false">
      <c r="A6820" s="163" t="s">
        <v>3041</v>
      </c>
      <c r="B6820" s="163" t="s">
        <v>1938</v>
      </c>
      <c r="C6820" s="163" t="s">
        <v>6718</v>
      </c>
      <c r="D6820" s="163" t="s">
        <v>6719</v>
      </c>
      <c r="E6820" s="164" t="n">
        <v>20000</v>
      </c>
      <c r="F6820" s="165" t="s">
        <v>10707</v>
      </c>
    </row>
    <row r="6821" customFormat="false" ht="15" hidden="false" customHeight="true" outlineLevel="0" collapsed="false">
      <c r="A6821" s="163" t="s">
        <v>3041</v>
      </c>
      <c r="B6821" s="163" t="s">
        <v>1938</v>
      </c>
      <c r="C6821" s="163" t="s">
        <v>1129</v>
      </c>
      <c r="D6821" s="163" t="s">
        <v>2892</v>
      </c>
      <c r="E6821" s="164" t="n">
        <v>20000</v>
      </c>
      <c r="F6821" s="165" t="s">
        <v>10705</v>
      </c>
    </row>
    <row r="6822" customFormat="false" ht="15" hidden="false" customHeight="true" outlineLevel="0" collapsed="false">
      <c r="A6822" s="163" t="s">
        <v>3041</v>
      </c>
      <c r="B6822" s="163" t="s">
        <v>1938</v>
      </c>
      <c r="C6822" s="163" t="s">
        <v>1129</v>
      </c>
      <c r="D6822" s="163" t="s">
        <v>2892</v>
      </c>
      <c r="E6822" s="164" t="n">
        <v>20000</v>
      </c>
      <c r="F6822" s="165" t="s">
        <v>10708</v>
      </c>
    </row>
    <row r="6823" customFormat="false" ht="15" hidden="false" customHeight="true" outlineLevel="0" collapsed="false">
      <c r="A6823" s="163" t="s">
        <v>3041</v>
      </c>
      <c r="B6823" s="163" t="s">
        <v>1938</v>
      </c>
      <c r="C6823" s="163" t="s">
        <v>10709</v>
      </c>
      <c r="D6823" s="163" t="s">
        <v>10710</v>
      </c>
      <c r="E6823" s="164" t="n">
        <v>20000</v>
      </c>
      <c r="F6823" s="165" t="s">
        <v>10711</v>
      </c>
    </row>
    <row r="6824" customFormat="false" ht="15" hidden="false" customHeight="true" outlineLevel="0" collapsed="false">
      <c r="A6824" s="163" t="s">
        <v>3041</v>
      </c>
      <c r="B6824" s="163" t="s">
        <v>1938</v>
      </c>
      <c r="C6824" s="163" t="s">
        <v>332</v>
      </c>
      <c r="D6824" s="163" t="s">
        <v>2673</v>
      </c>
      <c r="E6824" s="164" t="n">
        <v>20000</v>
      </c>
      <c r="F6824" s="165" t="s">
        <v>10712</v>
      </c>
    </row>
    <row r="6825" customFormat="false" ht="15" hidden="false" customHeight="true" outlineLevel="0" collapsed="false">
      <c r="A6825" s="163" t="s">
        <v>3041</v>
      </c>
      <c r="B6825" s="163" t="s">
        <v>1938</v>
      </c>
      <c r="C6825" s="163" t="s">
        <v>3602</v>
      </c>
      <c r="D6825" s="163" t="s">
        <v>3603</v>
      </c>
      <c r="E6825" s="164" t="n">
        <v>20000</v>
      </c>
      <c r="F6825" s="165" t="s">
        <v>10706</v>
      </c>
    </row>
    <row r="6826" customFormat="false" ht="15" hidden="false" customHeight="true" outlineLevel="0" collapsed="false">
      <c r="A6826" s="163" t="s">
        <v>3041</v>
      </c>
      <c r="B6826" s="163" t="s">
        <v>1938</v>
      </c>
      <c r="C6826" s="163" t="s">
        <v>431</v>
      </c>
      <c r="D6826" s="163" t="s">
        <v>2678</v>
      </c>
      <c r="E6826" s="164" t="n">
        <v>20000</v>
      </c>
      <c r="F6826" s="165" t="s">
        <v>10713</v>
      </c>
    </row>
    <row r="6827" customFormat="false" ht="15" hidden="false" customHeight="true" outlineLevel="0" collapsed="false">
      <c r="A6827" s="163" t="s">
        <v>3041</v>
      </c>
      <c r="B6827" s="163" t="s">
        <v>1938</v>
      </c>
      <c r="C6827" s="163" t="s">
        <v>4411</v>
      </c>
      <c r="D6827" s="163" t="s">
        <v>4412</v>
      </c>
      <c r="E6827" s="164" t="n">
        <v>20000</v>
      </c>
      <c r="F6827" s="165" t="s">
        <v>10714</v>
      </c>
    </row>
    <row r="6828" customFormat="false" ht="15" hidden="false" customHeight="true" outlineLevel="0" collapsed="false">
      <c r="A6828" s="163" t="s">
        <v>3041</v>
      </c>
      <c r="B6828" s="163" t="s">
        <v>1938</v>
      </c>
      <c r="C6828" s="163" t="s">
        <v>10715</v>
      </c>
      <c r="D6828" s="163" t="s">
        <v>10716</v>
      </c>
      <c r="E6828" s="164" t="n">
        <v>20000</v>
      </c>
      <c r="F6828" s="165" t="s">
        <v>10717</v>
      </c>
    </row>
    <row r="6829" customFormat="false" ht="15" hidden="false" customHeight="true" outlineLevel="0" collapsed="false">
      <c r="A6829" s="163" t="s">
        <v>3041</v>
      </c>
      <c r="B6829" s="163" t="s">
        <v>1938</v>
      </c>
      <c r="C6829" s="163" t="s">
        <v>10715</v>
      </c>
      <c r="D6829" s="163" t="s">
        <v>10716</v>
      </c>
      <c r="E6829" s="164" t="n">
        <v>20000</v>
      </c>
      <c r="F6829" s="165" t="s">
        <v>10718</v>
      </c>
    </row>
    <row r="6830" customFormat="false" ht="15" hidden="false" customHeight="true" outlineLevel="0" collapsed="false">
      <c r="A6830" s="163" t="s">
        <v>3041</v>
      </c>
      <c r="B6830" s="163" t="s">
        <v>1938</v>
      </c>
      <c r="C6830" s="163" t="s">
        <v>353</v>
      </c>
      <c r="D6830" s="163" t="s">
        <v>2667</v>
      </c>
      <c r="E6830" s="164" t="n">
        <v>20000</v>
      </c>
      <c r="F6830" s="165" t="s">
        <v>10719</v>
      </c>
    </row>
    <row r="6831" customFormat="false" ht="15" hidden="false" customHeight="true" outlineLevel="0" collapsed="false">
      <c r="A6831" s="163" t="s">
        <v>3041</v>
      </c>
      <c r="B6831" s="163" t="s">
        <v>1938</v>
      </c>
      <c r="C6831" s="163" t="s">
        <v>353</v>
      </c>
      <c r="D6831" s="163" t="s">
        <v>2667</v>
      </c>
      <c r="E6831" s="164" t="n">
        <v>20000</v>
      </c>
      <c r="F6831" s="165" t="s">
        <v>10719</v>
      </c>
    </row>
    <row r="6832" customFormat="false" ht="15" hidden="false" customHeight="true" outlineLevel="0" collapsed="false">
      <c r="A6832" s="163" t="s">
        <v>3041</v>
      </c>
      <c r="B6832" s="163" t="s">
        <v>1938</v>
      </c>
      <c r="C6832" s="163" t="s">
        <v>353</v>
      </c>
      <c r="D6832" s="163" t="s">
        <v>2667</v>
      </c>
      <c r="E6832" s="164" t="n">
        <v>20000</v>
      </c>
      <c r="F6832" s="165" t="s">
        <v>10704</v>
      </c>
    </row>
    <row r="6833" customFormat="false" ht="15" hidden="false" customHeight="true" outlineLevel="0" collapsed="false">
      <c r="A6833" s="163" t="s">
        <v>3041</v>
      </c>
      <c r="B6833" s="163" t="s">
        <v>691</v>
      </c>
      <c r="C6833" s="163" t="s">
        <v>3956</v>
      </c>
      <c r="D6833" s="163" t="s">
        <v>3957</v>
      </c>
      <c r="E6833" s="164" t="n">
        <v>20000</v>
      </c>
      <c r="F6833" s="165" t="s">
        <v>10720</v>
      </c>
    </row>
    <row r="6834" customFormat="false" ht="15" hidden="false" customHeight="true" outlineLevel="0" collapsed="false">
      <c r="A6834" s="163" t="s">
        <v>3041</v>
      </c>
      <c r="B6834" s="163" t="s">
        <v>691</v>
      </c>
      <c r="C6834" s="163" t="s">
        <v>3243</v>
      </c>
      <c r="D6834" s="163" t="s">
        <v>3244</v>
      </c>
      <c r="E6834" s="164" t="n">
        <v>15000</v>
      </c>
      <c r="F6834" s="165" t="s">
        <v>10721</v>
      </c>
    </row>
    <row r="6835" customFormat="false" ht="15" hidden="false" customHeight="true" outlineLevel="0" collapsed="false">
      <c r="A6835" s="163" t="s">
        <v>3041</v>
      </c>
      <c r="B6835" s="163" t="s">
        <v>691</v>
      </c>
      <c r="C6835" s="163" t="s">
        <v>296</v>
      </c>
      <c r="D6835" s="163" t="s">
        <v>2127</v>
      </c>
      <c r="E6835" s="164" t="n">
        <v>15000</v>
      </c>
      <c r="F6835" s="165" t="s">
        <v>10722</v>
      </c>
    </row>
    <row r="6836" customFormat="false" ht="15" hidden="false" customHeight="true" outlineLevel="0" collapsed="false">
      <c r="A6836" s="163" t="s">
        <v>3041</v>
      </c>
      <c r="B6836" s="163" t="s">
        <v>691</v>
      </c>
      <c r="C6836" s="163" t="s">
        <v>10670</v>
      </c>
      <c r="D6836" s="163" t="s">
        <v>10671</v>
      </c>
      <c r="E6836" s="164" t="n">
        <v>13000</v>
      </c>
      <c r="F6836" s="165" t="s">
        <v>10723</v>
      </c>
    </row>
    <row r="6837" customFormat="false" ht="15" hidden="false" customHeight="true" outlineLevel="0" collapsed="false">
      <c r="A6837" s="163" t="s">
        <v>3041</v>
      </c>
      <c r="B6837" s="163" t="s">
        <v>691</v>
      </c>
      <c r="C6837" s="163" t="s">
        <v>10724</v>
      </c>
      <c r="D6837" s="163" t="s">
        <v>10725</v>
      </c>
      <c r="E6837" s="164" t="n">
        <v>12000</v>
      </c>
      <c r="F6837" s="165" t="s">
        <v>10726</v>
      </c>
    </row>
    <row r="6838" customFormat="false" ht="15" hidden="false" customHeight="true" outlineLevel="0" collapsed="false">
      <c r="A6838" s="163" t="s">
        <v>3041</v>
      </c>
      <c r="B6838" s="163" t="s">
        <v>691</v>
      </c>
      <c r="C6838" s="163" t="s">
        <v>10727</v>
      </c>
      <c r="D6838" s="163" t="s">
        <v>10728</v>
      </c>
      <c r="E6838" s="164" t="n">
        <v>10000</v>
      </c>
      <c r="F6838" s="165" t="s">
        <v>10729</v>
      </c>
    </row>
    <row r="6839" customFormat="false" ht="15" hidden="false" customHeight="true" outlineLevel="0" collapsed="false">
      <c r="A6839" s="163" t="s">
        <v>3041</v>
      </c>
      <c r="B6839" s="163" t="s">
        <v>691</v>
      </c>
      <c r="C6839" s="163" t="s">
        <v>260</v>
      </c>
      <c r="D6839" s="163" t="s">
        <v>2097</v>
      </c>
      <c r="E6839" s="164" t="n">
        <v>10000</v>
      </c>
      <c r="F6839" s="165" t="s">
        <v>10730</v>
      </c>
    </row>
    <row r="6840" customFormat="false" ht="15" hidden="false" customHeight="true" outlineLevel="0" collapsed="false">
      <c r="A6840" s="163" t="s">
        <v>3041</v>
      </c>
      <c r="B6840" s="163" t="s">
        <v>691</v>
      </c>
      <c r="C6840" s="163" t="s">
        <v>431</v>
      </c>
      <c r="D6840" s="163" t="s">
        <v>2678</v>
      </c>
      <c r="E6840" s="164" t="n">
        <v>10000</v>
      </c>
      <c r="F6840" s="165" t="s">
        <v>10731</v>
      </c>
    </row>
    <row r="6841" customFormat="false" ht="15" hidden="false" customHeight="true" outlineLevel="0" collapsed="false">
      <c r="A6841" s="163" t="s">
        <v>3041</v>
      </c>
      <c r="B6841" s="163" t="s">
        <v>691</v>
      </c>
      <c r="C6841" s="163" t="s">
        <v>10732</v>
      </c>
      <c r="D6841" s="163" t="s">
        <v>10733</v>
      </c>
      <c r="E6841" s="164" t="n">
        <v>10000</v>
      </c>
      <c r="F6841" s="165" t="s">
        <v>10734</v>
      </c>
    </row>
    <row r="6842" customFormat="false" ht="15" hidden="false" customHeight="true" outlineLevel="0" collapsed="false">
      <c r="A6842" s="163" t="s">
        <v>3041</v>
      </c>
      <c r="B6842" s="163" t="s">
        <v>691</v>
      </c>
      <c r="C6842" s="163" t="s">
        <v>10735</v>
      </c>
      <c r="D6842" s="163" t="s">
        <v>10736</v>
      </c>
      <c r="E6842" s="164" t="n">
        <v>10000</v>
      </c>
      <c r="F6842" s="165" t="s">
        <v>10737</v>
      </c>
    </row>
    <row r="6843" customFormat="false" ht="15" hidden="false" customHeight="true" outlineLevel="0" collapsed="false">
      <c r="A6843" s="163" t="s">
        <v>3041</v>
      </c>
      <c r="B6843" s="163" t="s">
        <v>691</v>
      </c>
      <c r="C6843" s="163" t="s">
        <v>10738</v>
      </c>
      <c r="D6843" s="163" t="s">
        <v>10739</v>
      </c>
      <c r="E6843" s="164" t="n">
        <v>10000</v>
      </c>
      <c r="F6843" s="165" t="s">
        <v>10740</v>
      </c>
    </row>
    <row r="6844" customFormat="false" ht="15" hidden="false" customHeight="true" outlineLevel="0" collapsed="false">
      <c r="A6844" s="163" t="s">
        <v>3041</v>
      </c>
      <c r="B6844" s="163" t="s">
        <v>691</v>
      </c>
      <c r="C6844" s="163" t="s">
        <v>10741</v>
      </c>
      <c r="D6844" s="163" t="s">
        <v>10742</v>
      </c>
      <c r="E6844" s="164" t="n">
        <v>10000</v>
      </c>
      <c r="F6844" s="165" t="s">
        <v>3060</v>
      </c>
    </row>
    <row r="6845" customFormat="false" ht="15" hidden="false" customHeight="true" outlineLevel="0" collapsed="false">
      <c r="A6845" s="163" t="s">
        <v>3041</v>
      </c>
      <c r="B6845" s="163" t="s">
        <v>2027</v>
      </c>
      <c r="C6845" s="163" t="s">
        <v>5479</v>
      </c>
      <c r="D6845" s="163" t="s">
        <v>5480</v>
      </c>
      <c r="E6845" s="164" t="n">
        <v>20000</v>
      </c>
      <c r="F6845" s="165" t="s">
        <v>10743</v>
      </c>
    </row>
    <row r="6846" customFormat="false" ht="15" hidden="false" customHeight="true" outlineLevel="0" collapsed="false">
      <c r="A6846" s="163" t="s">
        <v>3041</v>
      </c>
      <c r="B6846" s="163" t="s">
        <v>2027</v>
      </c>
      <c r="C6846" s="163" t="s">
        <v>10744</v>
      </c>
      <c r="D6846" s="163" t="s">
        <v>10745</v>
      </c>
      <c r="E6846" s="164" t="n">
        <v>20000</v>
      </c>
      <c r="F6846" s="165" t="s">
        <v>10746</v>
      </c>
    </row>
    <row r="6847" customFormat="false" ht="15" hidden="false" customHeight="true" outlineLevel="0" collapsed="false">
      <c r="A6847" s="163" t="s">
        <v>3041</v>
      </c>
      <c r="B6847" s="163" t="s">
        <v>2027</v>
      </c>
      <c r="C6847" s="163" t="s">
        <v>3210</v>
      </c>
      <c r="D6847" s="163" t="s">
        <v>3211</v>
      </c>
      <c r="E6847" s="164" t="n">
        <v>20000</v>
      </c>
      <c r="F6847" s="165" t="s">
        <v>10676</v>
      </c>
    </row>
    <row r="6848" customFormat="false" ht="15" hidden="false" customHeight="true" outlineLevel="0" collapsed="false">
      <c r="A6848" s="163" t="s">
        <v>3041</v>
      </c>
      <c r="B6848" s="163" t="s">
        <v>2027</v>
      </c>
      <c r="C6848" s="163" t="s">
        <v>935</v>
      </c>
      <c r="D6848" s="163" t="s">
        <v>3162</v>
      </c>
      <c r="E6848" s="164" t="n">
        <v>15000</v>
      </c>
      <c r="F6848" s="165" t="s">
        <v>10747</v>
      </c>
    </row>
    <row r="6849" customFormat="false" ht="15" hidden="false" customHeight="true" outlineLevel="0" collapsed="false">
      <c r="A6849" s="163" t="s">
        <v>3041</v>
      </c>
      <c r="B6849" s="163" t="s">
        <v>2027</v>
      </c>
      <c r="C6849" s="163" t="s">
        <v>4420</v>
      </c>
      <c r="D6849" s="163" t="s">
        <v>4421</v>
      </c>
      <c r="E6849" s="164" t="n">
        <v>15000</v>
      </c>
      <c r="F6849" s="165" t="s">
        <v>5565</v>
      </c>
    </row>
    <row r="6850" customFormat="false" ht="15" hidden="false" customHeight="true" outlineLevel="0" collapsed="false">
      <c r="A6850" s="163" t="s">
        <v>3041</v>
      </c>
      <c r="B6850" s="163" t="s">
        <v>2037</v>
      </c>
      <c r="C6850" s="163" t="s">
        <v>4452</v>
      </c>
      <c r="D6850" s="163" t="s">
        <v>4453</v>
      </c>
      <c r="E6850" s="164" t="n">
        <v>50000</v>
      </c>
      <c r="F6850" s="165" t="s">
        <v>10748</v>
      </c>
    </row>
    <row r="6851" customFormat="false" ht="15" hidden="false" customHeight="true" outlineLevel="0" collapsed="false">
      <c r="A6851" s="163" t="s">
        <v>3041</v>
      </c>
      <c r="B6851" s="163" t="s">
        <v>2037</v>
      </c>
      <c r="C6851" s="163" t="s">
        <v>4360</v>
      </c>
      <c r="D6851" s="163" t="s">
        <v>4361</v>
      </c>
      <c r="E6851" s="164" t="n">
        <v>43000</v>
      </c>
      <c r="F6851" s="165" t="s">
        <v>3060</v>
      </c>
    </row>
    <row r="6852" customFormat="false" ht="15" hidden="false" customHeight="true" outlineLevel="0" collapsed="false">
      <c r="A6852" s="163" t="s">
        <v>3041</v>
      </c>
      <c r="B6852" s="163" t="s">
        <v>2037</v>
      </c>
      <c r="C6852" s="163" t="s">
        <v>4173</v>
      </c>
      <c r="D6852" s="163" t="s">
        <v>4174</v>
      </c>
      <c r="E6852" s="164" t="n">
        <v>20000</v>
      </c>
      <c r="F6852" s="165" t="s">
        <v>10749</v>
      </c>
    </row>
    <row r="6853" customFormat="false" ht="15" hidden="false" customHeight="true" outlineLevel="0" collapsed="false">
      <c r="A6853" s="163" t="s">
        <v>3041</v>
      </c>
      <c r="B6853" s="163" t="s">
        <v>2037</v>
      </c>
      <c r="C6853" s="163" t="s">
        <v>4448</v>
      </c>
      <c r="D6853" s="163" t="s">
        <v>4449</v>
      </c>
      <c r="E6853" s="164" t="n">
        <v>10000</v>
      </c>
      <c r="F6853" s="165" t="s">
        <v>10750</v>
      </c>
    </row>
    <row r="6854" customFormat="false" ht="15" hidden="false" customHeight="true" outlineLevel="0" collapsed="false">
      <c r="A6854" s="163" t="s">
        <v>3041</v>
      </c>
      <c r="B6854" s="163" t="s">
        <v>2037</v>
      </c>
      <c r="C6854" s="163" t="s">
        <v>10751</v>
      </c>
      <c r="D6854" s="163" t="s">
        <v>10752</v>
      </c>
      <c r="E6854" s="164" t="n">
        <v>10000</v>
      </c>
      <c r="F6854" s="165" t="s">
        <v>10753</v>
      </c>
    </row>
    <row r="6855" customFormat="false" ht="15" hidden="false" customHeight="true" outlineLevel="0" collapsed="false">
      <c r="A6855" s="163" t="s">
        <v>3041</v>
      </c>
      <c r="B6855" s="163" t="s">
        <v>894</v>
      </c>
      <c r="C6855" s="163" t="s">
        <v>5997</v>
      </c>
      <c r="D6855" s="163" t="s">
        <v>5998</v>
      </c>
      <c r="E6855" s="164" t="n">
        <v>66000</v>
      </c>
      <c r="F6855" s="165" t="s">
        <v>10700</v>
      </c>
    </row>
    <row r="6856" customFormat="false" ht="15" hidden="false" customHeight="true" outlineLevel="0" collapsed="false">
      <c r="A6856" s="163" t="s">
        <v>3041</v>
      </c>
      <c r="B6856" s="163" t="s">
        <v>894</v>
      </c>
      <c r="C6856" s="163" t="s">
        <v>4360</v>
      </c>
      <c r="D6856" s="163" t="s">
        <v>4361</v>
      </c>
      <c r="E6856" s="164" t="n">
        <v>14500</v>
      </c>
      <c r="F6856" s="165" t="s">
        <v>10754</v>
      </c>
    </row>
    <row r="6857" customFormat="false" ht="15" hidden="false" customHeight="true" outlineLevel="0" collapsed="false">
      <c r="A6857" s="163" t="s">
        <v>3041</v>
      </c>
      <c r="B6857" s="163" t="s">
        <v>894</v>
      </c>
      <c r="C6857" s="163" t="s">
        <v>6094</v>
      </c>
      <c r="D6857" s="163" t="s">
        <v>6095</v>
      </c>
      <c r="E6857" s="164" t="n">
        <v>12500</v>
      </c>
      <c r="F6857" s="165" t="s">
        <v>10755</v>
      </c>
    </row>
    <row r="6858" customFormat="false" ht="15" hidden="false" customHeight="true" outlineLevel="0" collapsed="false">
      <c r="A6858" s="163" t="s">
        <v>3041</v>
      </c>
      <c r="B6858" s="163" t="s">
        <v>894</v>
      </c>
      <c r="C6858" s="163" t="s">
        <v>10697</v>
      </c>
      <c r="D6858" s="163" t="s">
        <v>10698</v>
      </c>
      <c r="E6858" s="164" t="n">
        <v>10000</v>
      </c>
      <c r="F6858" s="165" t="s">
        <v>3060</v>
      </c>
    </row>
    <row r="6859" customFormat="false" ht="15" hidden="false" customHeight="true" outlineLevel="0" collapsed="false">
      <c r="A6859" s="163" t="s">
        <v>3041</v>
      </c>
      <c r="B6859" s="163" t="s">
        <v>894</v>
      </c>
      <c r="C6859" s="163" t="s">
        <v>3133</v>
      </c>
      <c r="D6859" s="163" t="s">
        <v>3134</v>
      </c>
      <c r="E6859" s="164" t="n">
        <v>10000</v>
      </c>
      <c r="F6859" s="165" t="s">
        <v>10756</v>
      </c>
    </row>
    <row r="6860" customFormat="false" ht="15" hidden="false" customHeight="true" outlineLevel="0" collapsed="false">
      <c r="A6860" s="163" t="s">
        <v>3041</v>
      </c>
      <c r="B6860" s="163" t="s">
        <v>894</v>
      </c>
      <c r="C6860" s="163" t="s">
        <v>10757</v>
      </c>
      <c r="D6860" s="163" t="s">
        <v>10758</v>
      </c>
      <c r="E6860" s="164" t="n">
        <v>8000</v>
      </c>
      <c r="F6860" s="165" t="s">
        <v>10759</v>
      </c>
    </row>
    <row r="6861" customFormat="false" ht="15" hidden="false" customHeight="true" outlineLevel="0" collapsed="false">
      <c r="A6861" s="163" t="s">
        <v>3041</v>
      </c>
      <c r="B6861" s="163" t="s">
        <v>894</v>
      </c>
      <c r="C6861" s="163" t="s">
        <v>10760</v>
      </c>
      <c r="D6861" s="163" t="s">
        <v>10761</v>
      </c>
      <c r="E6861" s="164" t="n">
        <v>7500</v>
      </c>
      <c r="F6861" s="165" t="s">
        <v>10762</v>
      </c>
    </row>
    <row r="6862" customFormat="false" ht="15" hidden="false" customHeight="true" outlineLevel="0" collapsed="false">
      <c r="A6862" s="163" t="s">
        <v>3041</v>
      </c>
      <c r="B6862" s="163" t="s">
        <v>894</v>
      </c>
      <c r="C6862" s="163" t="s">
        <v>4452</v>
      </c>
      <c r="D6862" s="163" t="s">
        <v>4453</v>
      </c>
      <c r="E6862" s="164" t="n">
        <v>7500</v>
      </c>
      <c r="F6862" s="165" t="s">
        <v>769</v>
      </c>
    </row>
    <row r="6863" customFormat="false" ht="15" hidden="false" customHeight="true" outlineLevel="0" collapsed="false">
      <c r="A6863" s="163" t="s">
        <v>3041</v>
      </c>
      <c r="B6863" s="163" t="s">
        <v>894</v>
      </c>
      <c r="C6863" s="163" t="s">
        <v>353</v>
      </c>
      <c r="D6863" s="163" t="s">
        <v>2667</v>
      </c>
      <c r="E6863" s="164" t="n">
        <v>7500</v>
      </c>
      <c r="F6863" s="165" t="s">
        <v>10763</v>
      </c>
    </row>
    <row r="6864" customFormat="false" ht="15" hidden="false" customHeight="true" outlineLevel="0" collapsed="false">
      <c r="A6864" s="163" t="s">
        <v>3041</v>
      </c>
      <c r="B6864" s="163" t="s">
        <v>894</v>
      </c>
      <c r="C6864" s="163" t="s">
        <v>3222</v>
      </c>
      <c r="D6864" s="163" t="s">
        <v>3223</v>
      </c>
      <c r="E6864" s="164" t="n">
        <v>7000</v>
      </c>
      <c r="F6864" s="165" t="s">
        <v>10764</v>
      </c>
    </row>
    <row r="6865" customFormat="false" ht="15" hidden="false" customHeight="true" outlineLevel="0" collapsed="false">
      <c r="A6865" s="163" t="s">
        <v>3041</v>
      </c>
      <c r="B6865" s="163" t="s">
        <v>894</v>
      </c>
      <c r="C6865" s="163" t="s">
        <v>10765</v>
      </c>
      <c r="D6865" s="163" t="s">
        <v>10766</v>
      </c>
      <c r="E6865" s="164" t="n">
        <v>7000</v>
      </c>
      <c r="F6865" s="165" t="s">
        <v>3060</v>
      </c>
    </row>
    <row r="6866" customFormat="false" ht="15" hidden="false" customHeight="true" outlineLevel="0" collapsed="false">
      <c r="A6866" s="163" t="s">
        <v>3041</v>
      </c>
      <c r="B6866" s="163" t="s">
        <v>894</v>
      </c>
      <c r="C6866" s="163" t="s">
        <v>10767</v>
      </c>
      <c r="D6866" s="163" t="s">
        <v>10768</v>
      </c>
      <c r="E6866" s="164" t="n">
        <v>6500</v>
      </c>
      <c r="F6866" s="165" t="s">
        <v>10769</v>
      </c>
    </row>
    <row r="6867" customFormat="false" ht="15" hidden="false" customHeight="true" outlineLevel="0" collapsed="false">
      <c r="A6867" s="163" t="s">
        <v>3041</v>
      </c>
      <c r="B6867" s="163" t="s">
        <v>894</v>
      </c>
      <c r="C6867" s="163" t="s">
        <v>3063</v>
      </c>
      <c r="D6867" s="163" t="s">
        <v>3064</v>
      </c>
      <c r="E6867" s="164" t="n">
        <v>6000</v>
      </c>
      <c r="F6867" s="165" t="s">
        <v>10770</v>
      </c>
    </row>
    <row r="6868" customFormat="false" ht="15" hidden="false" customHeight="true" outlineLevel="0" collapsed="false">
      <c r="A6868" s="163" t="s">
        <v>3041</v>
      </c>
      <c r="B6868" s="163" t="s">
        <v>894</v>
      </c>
      <c r="C6868" s="163" t="s">
        <v>10771</v>
      </c>
      <c r="D6868" s="163" t="s">
        <v>10772</v>
      </c>
      <c r="E6868" s="164" t="n">
        <v>5000</v>
      </c>
      <c r="F6868" s="165" t="s">
        <v>10773</v>
      </c>
    </row>
    <row r="6869" customFormat="false" ht="15" hidden="false" customHeight="true" outlineLevel="0" collapsed="false">
      <c r="A6869" s="163" t="s">
        <v>3041</v>
      </c>
      <c r="B6869" s="163" t="s">
        <v>894</v>
      </c>
      <c r="C6869" s="163" t="s">
        <v>10774</v>
      </c>
      <c r="D6869" s="163" t="s">
        <v>10775</v>
      </c>
      <c r="E6869" s="164" t="n">
        <v>5000</v>
      </c>
      <c r="F6869" s="165" t="s">
        <v>10776</v>
      </c>
    </row>
    <row r="6870" customFormat="false" ht="15" hidden="false" customHeight="true" outlineLevel="0" collapsed="false">
      <c r="A6870" s="163" t="s">
        <v>3041</v>
      </c>
      <c r="B6870" s="163" t="s">
        <v>894</v>
      </c>
      <c r="C6870" s="163" t="s">
        <v>8240</v>
      </c>
      <c r="D6870" s="163" t="s">
        <v>8241</v>
      </c>
      <c r="E6870" s="164" t="n">
        <v>5000</v>
      </c>
      <c r="F6870" s="165" t="s">
        <v>10777</v>
      </c>
    </row>
    <row r="6871" customFormat="false" ht="15" hidden="false" customHeight="true" outlineLevel="0" collapsed="false">
      <c r="A6871" s="163" t="s">
        <v>3041</v>
      </c>
      <c r="B6871" s="163" t="s">
        <v>894</v>
      </c>
      <c r="C6871" s="163" t="s">
        <v>7343</v>
      </c>
      <c r="D6871" s="163" t="s">
        <v>7344</v>
      </c>
      <c r="E6871" s="164" t="n">
        <v>5000</v>
      </c>
      <c r="F6871" s="165" t="s">
        <v>3060</v>
      </c>
    </row>
    <row r="6872" customFormat="false" ht="15" hidden="false" customHeight="true" outlineLevel="0" collapsed="false">
      <c r="A6872" s="163" t="s">
        <v>3041</v>
      </c>
      <c r="B6872" s="163" t="s">
        <v>894</v>
      </c>
      <c r="C6872" s="163" t="s">
        <v>4478</v>
      </c>
      <c r="D6872" s="163" t="s">
        <v>4479</v>
      </c>
      <c r="E6872" s="164" t="n">
        <v>5000</v>
      </c>
      <c r="F6872" s="165" t="s">
        <v>10778</v>
      </c>
    </row>
    <row r="6873" customFormat="false" ht="15" hidden="false" customHeight="true" outlineLevel="0" collapsed="false">
      <c r="A6873" s="163" t="s">
        <v>3041</v>
      </c>
      <c r="B6873" s="163" t="s">
        <v>894</v>
      </c>
      <c r="C6873" s="163" t="s">
        <v>3468</v>
      </c>
      <c r="D6873" s="163" t="s">
        <v>3469</v>
      </c>
      <c r="E6873" s="164" t="n">
        <v>5000</v>
      </c>
      <c r="F6873" s="165" t="s">
        <v>10779</v>
      </c>
    </row>
    <row r="6874" customFormat="false" ht="15" hidden="false" customHeight="true" outlineLevel="0" collapsed="false">
      <c r="A6874" s="163" t="s">
        <v>3041</v>
      </c>
      <c r="B6874" s="163" t="s">
        <v>894</v>
      </c>
      <c r="C6874" s="163" t="s">
        <v>5898</v>
      </c>
      <c r="D6874" s="163" t="s">
        <v>5899</v>
      </c>
      <c r="E6874" s="164" t="n">
        <v>5000</v>
      </c>
      <c r="F6874" s="165" t="s">
        <v>10780</v>
      </c>
    </row>
    <row r="6875" customFormat="false" ht="15" hidden="false" customHeight="true" outlineLevel="0" collapsed="false">
      <c r="A6875" s="163" t="s">
        <v>3041</v>
      </c>
      <c r="B6875" s="163" t="s">
        <v>894</v>
      </c>
      <c r="C6875" s="163" t="s">
        <v>3139</v>
      </c>
      <c r="D6875" s="163" t="s">
        <v>3140</v>
      </c>
      <c r="E6875" s="164" t="n">
        <v>5000</v>
      </c>
      <c r="F6875" s="165" t="s">
        <v>10688</v>
      </c>
    </row>
    <row r="6876" customFormat="false" ht="15" hidden="false" customHeight="true" outlineLevel="0" collapsed="false">
      <c r="A6876" s="163" t="s">
        <v>3041</v>
      </c>
      <c r="B6876" s="163" t="s">
        <v>894</v>
      </c>
      <c r="C6876" s="163" t="s">
        <v>4623</v>
      </c>
      <c r="D6876" s="163" t="s">
        <v>4624</v>
      </c>
      <c r="E6876" s="164" t="n">
        <v>5000</v>
      </c>
      <c r="F6876" s="165" t="s">
        <v>10781</v>
      </c>
    </row>
    <row r="6877" customFormat="false" ht="15" hidden="false" customHeight="true" outlineLevel="0" collapsed="false">
      <c r="A6877" s="163" t="s">
        <v>3041</v>
      </c>
      <c r="B6877" s="163" t="s">
        <v>894</v>
      </c>
      <c r="C6877" s="163" t="s">
        <v>5682</v>
      </c>
      <c r="D6877" s="163" t="s">
        <v>5683</v>
      </c>
      <c r="E6877" s="164" t="n">
        <v>5000</v>
      </c>
      <c r="F6877" s="165" t="s">
        <v>10782</v>
      </c>
    </row>
    <row r="6878" customFormat="false" ht="15" hidden="false" customHeight="true" outlineLevel="0" collapsed="false">
      <c r="A6878" s="163" t="s">
        <v>3041</v>
      </c>
      <c r="B6878" s="163" t="s">
        <v>894</v>
      </c>
      <c r="C6878" s="163" t="s">
        <v>4597</v>
      </c>
      <c r="D6878" s="163" t="s">
        <v>4598</v>
      </c>
      <c r="E6878" s="164" t="n">
        <v>5000</v>
      </c>
      <c r="F6878" s="165" t="s">
        <v>10688</v>
      </c>
    </row>
    <row r="6879" customFormat="false" ht="15" hidden="false" customHeight="true" outlineLevel="0" collapsed="false">
      <c r="A6879" s="163" t="s">
        <v>3041</v>
      </c>
      <c r="B6879" s="163" t="s">
        <v>894</v>
      </c>
      <c r="C6879" s="163" t="s">
        <v>10783</v>
      </c>
      <c r="D6879" s="163" t="s">
        <v>10784</v>
      </c>
      <c r="E6879" s="164" t="n">
        <v>5000</v>
      </c>
      <c r="F6879" s="165" t="s">
        <v>10785</v>
      </c>
    </row>
    <row r="6880" customFormat="false" ht="15" hidden="false" customHeight="true" outlineLevel="0" collapsed="false">
      <c r="A6880" s="163" t="s">
        <v>3041</v>
      </c>
      <c r="B6880" s="163" t="s">
        <v>894</v>
      </c>
      <c r="C6880" s="163" t="s">
        <v>10786</v>
      </c>
      <c r="D6880" s="163" t="s">
        <v>10787</v>
      </c>
      <c r="E6880" s="164" t="n">
        <v>5000</v>
      </c>
      <c r="F6880" s="165" t="s">
        <v>10788</v>
      </c>
    </row>
    <row r="6881" customFormat="false" ht="15" hidden="false" customHeight="true" outlineLevel="0" collapsed="false">
      <c r="A6881" s="163" t="s">
        <v>3041</v>
      </c>
      <c r="B6881" s="163" t="s">
        <v>894</v>
      </c>
      <c r="C6881" s="163" t="s">
        <v>893</v>
      </c>
      <c r="D6881" s="163" t="s">
        <v>1931</v>
      </c>
      <c r="E6881" s="164" t="n">
        <v>5000</v>
      </c>
      <c r="F6881" s="165" t="s">
        <v>10789</v>
      </c>
    </row>
    <row r="6882" customFormat="false" ht="15" hidden="false" customHeight="true" outlineLevel="0" collapsed="false">
      <c r="A6882" s="163" t="s">
        <v>3041</v>
      </c>
      <c r="B6882" s="163" t="s">
        <v>894</v>
      </c>
      <c r="C6882" s="163" t="s">
        <v>10790</v>
      </c>
      <c r="D6882" s="163" t="s">
        <v>10791</v>
      </c>
      <c r="E6882" s="164" t="n">
        <v>5000</v>
      </c>
      <c r="F6882" s="165" t="s">
        <v>10792</v>
      </c>
    </row>
    <row r="6883" customFormat="false" ht="15" hidden="false" customHeight="true" outlineLevel="0" collapsed="false">
      <c r="A6883" s="163" t="s">
        <v>3041</v>
      </c>
      <c r="B6883" s="163" t="s">
        <v>894</v>
      </c>
      <c r="C6883" s="163" t="s">
        <v>10793</v>
      </c>
      <c r="D6883" s="163" t="s">
        <v>10794</v>
      </c>
      <c r="E6883" s="164" t="n">
        <v>5000</v>
      </c>
      <c r="F6883" s="165" t="s">
        <v>10795</v>
      </c>
    </row>
    <row r="6884" customFormat="false" ht="15" hidden="false" customHeight="true" outlineLevel="0" collapsed="false">
      <c r="A6884" s="163" t="s">
        <v>3041</v>
      </c>
      <c r="B6884" s="163" t="s">
        <v>894</v>
      </c>
      <c r="C6884" s="163" t="s">
        <v>6088</v>
      </c>
      <c r="D6884" s="163" t="s">
        <v>6089</v>
      </c>
      <c r="E6884" s="164" t="n">
        <v>5000</v>
      </c>
      <c r="F6884" s="165" t="s">
        <v>3060</v>
      </c>
    </row>
    <row r="6885" customFormat="false" ht="15" hidden="false" customHeight="true" outlineLevel="0" collapsed="false">
      <c r="A6885" s="163" t="s">
        <v>3041</v>
      </c>
      <c r="B6885" s="163" t="s">
        <v>894</v>
      </c>
      <c r="C6885" s="163" t="s">
        <v>8520</v>
      </c>
      <c r="D6885" s="163" t="s">
        <v>8521</v>
      </c>
      <c r="E6885" s="164" t="n">
        <v>5000</v>
      </c>
      <c r="F6885" s="165" t="s">
        <v>10796</v>
      </c>
    </row>
    <row r="6886" customFormat="false" ht="15" hidden="false" customHeight="true" outlineLevel="0" collapsed="false">
      <c r="A6886" s="163" t="s">
        <v>3041</v>
      </c>
      <c r="B6886" s="163" t="s">
        <v>894</v>
      </c>
      <c r="C6886" s="163" t="s">
        <v>3315</v>
      </c>
      <c r="D6886" s="163" t="s">
        <v>3316</v>
      </c>
      <c r="E6886" s="164" t="n">
        <v>5000</v>
      </c>
      <c r="F6886" s="165" t="s">
        <v>10797</v>
      </c>
    </row>
    <row r="6887" customFormat="false" ht="15" hidden="false" customHeight="true" outlineLevel="0" collapsed="false">
      <c r="A6887" s="163" t="s">
        <v>3041</v>
      </c>
      <c r="B6887" s="163" t="s">
        <v>894</v>
      </c>
      <c r="C6887" s="163" t="s">
        <v>10798</v>
      </c>
      <c r="D6887" s="163" t="s">
        <v>10799</v>
      </c>
      <c r="E6887" s="164" t="n">
        <v>5000</v>
      </c>
      <c r="F6887" s="165" t="s">
        <v>10800</v>
      </c>
    </row>
    <row r="6888" customFormat="false" ht="15" hidden="false" customHeight="true" outlineLevel="0" collapsed="false">
      <c r="A6888" s="163" t="s">
        <v>3041</v>
      </c>
      <c r="B6888" s="163" t="s">
        <v>894</v>
      </c>
      <c r="C6888" s="163" t="s">
        <v>10801</v>
      </c>
      <c r="D6888" s="163" t="s">
        <v>10802</v>
      </c>
      <c r="E6888" s="164" t="n">
        <v>5000</v>
      </c>
      <c r="F6888" s="165" t="s">
        <v>10803</v>
      </c>
    </row>
    <row r="6889" customFormat="false" ht="15" hidden="false" customHeight="true" outlineLevel="0" collapsed="false">
      <c r="A6889" s="163" t="s">
        <v>3041</v>
      </c>
      <c r="B6889" s="163" t="s">
        <v>894</v>
      </c>
      <c r="C6889" s="163" t="s">
        <v>4448</v>
      </c>
      <c r="D6889" s="163" t="s">
        <v>4449</v>
      </c>
      <c r="E6889" s="164" t="n">
        <v>5000</v>
      </c>
      <c r="F6889" s="165" t="s">
        <v>10804</v>
      </c>
    </row>
    <row r="6890" customFormat="false" ht="15" hidden="false" customHeight="true" outlineLevel="0" collapsed="false">
      <c r="A6890" s="163" t="s">
        <v>3041</v>
      </c>
      <c r="B6890" s="163" t="s">
        <v>894</v>
      </c>
      <c r="C6890" s="163" t="s">
        <v>10805</v>
      </c>
      <c r="D6890" s="163" t="s">
        <v>10806</v>
      </c>
      <c r="E6890" s="164" t="n">
        <v>5000</v>
      </c>
      <c r="F6890" s="165" t="s">
        <v>3060</v>
      </c>
    </row>
    <row r="6891" customFormat="false" ht="15" hidden="false" customHeight="true" outlineLevel="0" collapsed="false">
      <c r="A6891" s="163" t="s">
        <v>3041</v>
      </c>
      <c r="B6891" s="163" t="s">
        <v>894</v>
      </c>
      <c r="C6891" s="163" t="s">
        <v>8867</v>
      </c>
      <c r="D6891" s="163" t="s">
        <v>8868</v>
      </c>
      <c r="E6891" s="164" t="n">
        <v>5000</v>
      </c>
      <c r="F6891" s="165" t="s">
        <v>3060</v>
      </c>
    </row>
    <row r="6892" customFormat="false" ht="15" hidden="false" customHeight="true" outlineLevel="0" collapsed="false">
      <c r="A6892" s="163" t="s">
        <v>3041</v>
      </c>
      <c r="B6892" s="163" t="s">
        <v>894</v>
      </c>
      <c r="C6892" s="163" t="s">
        <v>6241</v>
      </c>
      <c r="D6892" s="163" t="s">
        <v>6242</v>
      </c>
      <c r="E6892" s="164" t="n">
        <v>5000</v>
      </c>
      <c r="F6892" s="165" t="s">
        <v>10807</v>
      </c>
    </row>
    <row r="6893" customFormat="false" ht="15" hidden="false" customHeight="true" outlineLevel="0" collapsed="false">
      <c r="A6893" s="163" t="s">
        <v>3041</v>
      </c>
      <c r="B6893" s="163" t="s">
        <v>894</v>
      </c>
      <c r="C6893" s="163" t="s">
        <v>10808</v>
      </c>
      <c r="D6893" s="163" t="s">
        <v>10809</v>
      </c>
      <c r="E6893" s="164" t="n">
        <v>5000</v>
      </c>
      <c r="F6893" s="165" t="s">
        <v>10810</v>
      </c>
    </row>
    <row r="6894" customFormat="false" ht="15" hidden="false" customHeight="true" outlineLevel="0" collapsed="false">
      <c r="A6894" s="163" t="s">
        <v>3041</v>
      </c>
      <c r="B6894" s="163" t="s">
        <v>894</v>
      </c>
      <c r="C6894" s="163" t="s">
        <v>10811</v>
      </c>
      <c r="D6894" s="163" t="s">
        <v>10812</v>
      </c>
      <c r="E6894" s="164" t="n">
        <v>5000</v>
      </c>
      <c r="F6894" s="165" t="s">
        <v>3060</v>
      </c>
    </row>
    <row r="6895" customFormat="false" ht="15" hidden="false" customHeight="true" outlineLevel="0" collapsed="false">
      <c r="A6895" s="163" t="s">
        <v>3041</v>
      </c>
      <c r="B6895" s="163" t="s">
        <v>894</v>
      </c>
      <c r="C6895" s="163" t="s">
        <v>925</v>
      </c>
      <c r="D6895" s="163" t="s">
        <v>1931</v>
      </c>
      <c r="E6895" s="164" t="n">
        <v>5000</v>
      </c>
      <c r="F6895" s="165" t="s">
        <v>10813</v>
      </c>
    </row>
    <row r="6896" customFormat="false" ht="15" hidden="false" customHeight="true" outlineLevel="0" collapsed="false">
      <c r="A6896" s="163" t="s">
        <v>3041</v>
      </c>
      <c r="B6896" s="163" t="s">
        <v>894</v>
      </c>
      <c r="C6896" s="163" t="s">
        <v>925</v>
      </c>
      <c r="D6896" s="163" t="s">
        <v>1931</v>
      </c>
      <c r="E6896" s="164" t="n">
        <v>5000</v>
      </c>
      <c r="F6896" s="165" t="s">
        <v>10814</v>
      </c>
    </row>
    <row r="6897" customFormat="false" ht="15" hidden="false" customHeight="true" outlineLevel="0" collapsed="false">
      <c r="A6897" s="163" t="s">
        <v>3041</v>
      </c>
      <c r="B6897" s="163" t="s">
        <v>894</v>
      </c>
      <c r="C6897" s="163" t="s">
        <v>10815</v>
      </c>
      <c r="D6897" s="163" t="s">
        <v>10816</v>
      </c>
      <c r="E6897" s="164" t="n">
        <v>5000</v>
      </c>
      <c r="F6897" s="165" t="s">
        <v>10817</v>
      </c>
    </row>
    <row r="6898" customFormat="false" ht="15" hidden="false" customHeight="true" outlineLevel="0" collapsed="false">
      <c r="A6898" s="163" t="s">
        <v>3041</v>
      </c>
      <c r="B6898" s="163" t="s">
        <v>894</v>
      </c>
      <c r="C6898" s="163" t="s">
        <v>6109</v>
      </c>
      <c r="D6898" s="163" t="s">
        <v>6110</v>
      </c>
      <c r="E6898" s="164" t="n">
        <v>5000</v>
      </c>
      <c r="F6898" s="165" t="s">
        <v>10818</v>
      </c>
    </row>
    <row r="6899" customFormat="false" ht="15" hidden="false" customHeight="true" outlineLevel="0" collapsed="false">
      <c r="A6899" s="163" t="s">
        <v>3041</v>
      </c>
      <c r="B6899" s="163" t="s">
        <v>894</v>
      </c>
      <c r="C6899" s="163" t="s">
        <v>10819</v>
      </c>
      <c r="D6899" s="163" t="s">
        <v>10820</v>
      </c>
      <c r="E6899" s="164" t="n">
        <v>5000</v>
      </c>
      <c r="F6899" s="165" t="s">
        <v>10821</v>
      </c>
    </row>
    <row r="6900" customFormat="false" ht="15" hidden="false" customHeight="true" outlineLevel="0" collapsed="false">
      <c r="A6900" s="163" t="s">
        <v>3041</v>
      </c>
      <c r="B6900" s="163" t="s">
        <v>894</v>
      </c>
      <c r="C6900" s="163" t="s">
        <v>10822</v>
      </c>
      <c r="D6900" s="163" t="s">
        <v>10823</v>
      </c>
      <c r="E6900" s="164" t="n">
        <v>5000</v>
      </c>
      <c r="F6900" s="165" t="s">
        <v>10824</v>
      </c>
    </row>
    <row r="6901" customFormat="false" ht="15" hidden="false" customHeight="true" outlineLevel="0" collapsed="false">
      <c r="A6901" s="163" t="s">
        <v>3041</v>
      </c>
      <c r="B6901" s="163" t="s">
        <v>894</v>
      </c>
      <c r="C6901" s="163" t="s">
        <v>10825</v>
      </c>
      <c r="D6901" s="163" t="s">
        <v>10826</v>
      </c>
      <c r="E6901" s="164" t="n">
        <v>5000</v>
      </c>
      <c r="F6901" s="165" t="s">
        <v>10827</v>
      </c>
    </row>
    <row r="6902" customFormat="false" ht="15" hidden="false" customHeight="true" outlineLevel="0" collapsed="false">
      <c r="A6902" s="163" t="s">
        <v>3041</v>
      </c>
      <c r="B6902" s="163" t="s">
        <v>894</v>
      </c>
      <c r="C6902" s="163" t="s">
        <v>4193</v>
      </c>
      <c r="D6902" s="163" t="s">
        <v>4194</v>
      </c>
      <c r="E6902" s="164" t="n">
        <v>5000</v>
      </c>
      <c r="F6902" s="165" t="s">
        <v>10828</v>
      </c>
    </row>
    <row r="6903" customFormat="false" ht="15" hidden="false" customHeight="true" outlineLevel="0" collapsed="false">
      <c r="A6903" s="163" t="s">
        <v>3041</v>
      </c>
      <c r="B6903" s="163" t="s">
        <v>894</v>
      </c>
      <c r="C6903" s="163" t="s">
        <v>296</v>
      </c>
      <c r="D6903" s="163" t="s">
        <v>2127</v>
      </c>
      <c r="E6903" s="164" t="n">
        <v>5000</v>
      </c>
      <c r="F6903" s="165" t="s">
        <v>10829</v>
      </c>
    </row>
    <row r="6904" customFormat="false" ht="15" hidden="false" customHeight="true" outlineLevel="0" collapsed="false">
      <c r="A6904" s="163" t="s">
        <v>3041</v>
      </c>
      <c r="B6904" s="163" t="s">
        <v>894</v>
      </c>
      <c r="C6904" s="163" t="s">
        <v>10830</v>
      </c>
      <c r="D6904" s="163" t="s">
        <v>10831</v>
      </c>
      <c r="E6904" s="164" t="n">
        <v>5000</v>
      </c>
      <c r="F6904" s="165" t="s">
        <v>10832</v>
      </c>
    </row>
    <row r="6905" customFormat="false" ht="15" hidden="false" customHeight="true" outlineLevel="0" collapsed="false">
      <c r="A6905" s="163" t="s">
        <v>3041</v>
      </c>
      <c r="B6905" s="163" t="s">
        <v>894</v>
      </c>
      <c r="C6905" s="163" t="s">
        <v>3116</v>
      </c>
      <c r="D6905" s="163" t="s">
        <v>3117</v>
      </c>
      <c r="E6905" s="164" t="n">
        <v>5000</v>
      </c>
      <c r="F6905" s="165" t="s">
        <v>7118</v>
      </c>
    </row>
    <row r="6906" customFormat="false" ht="15" hidden="false" customHeight="true" outlineLevel="0" collapsed="false">
      <c r="A6906" s="163" t="s">
        <v>3041</v>
      </c>
      <c r="B6906" s="163" t="s">
        <v>894</v>
      </c>
      <c r="C6906" s="163" t="s">
        <v>10833</v>
      </c>
      <c r="D6906" s="163" t="s">
        <v>10834</v>
      </c>
      <c r="E6906" s="164" t="n">
        <v>5000</v>
      </c>
      <c r="F6906" s="165" t="s">
        <v>10835</v>
      </c>
    </row>
    <row r="6907" customFormat="false" ht="15" hidden="false" customHeight="true" outlineLevel="0" collapsed="false">
      <c r="A6907" s="163" t="s">
        <v>3041</v>
      </c>
      <c r="B6907" s="163" t="s">
        <v>894</v>
      </c>
      <c r="C6907" s="163" t="s">
        <v>10836</v>
      </c>
      <c r="D6907" s="163" t="s">
        <v>10837</v>
      </c>
      <c r="E6907" s="164" t="n">
        <v>5000</v>
      </c>
      <c r="F6907" s="165" t="s">
        <v>10838</v>
      </c>
    </row>
    <row r="6908" customFormat="false" ht="15" hidden="false" customHeight="true" outlineLevel="0" collapsed="false">
      <c r="A6908" s="163" t="s">
        <v>3041</v>
      </c>
      <c r="B6908" s="163" t="s">
        <v>894</v>
      </c>
      <c r="C6908" s="163" t="s">
        <v>6800</v>
      </c>
      <c r="D6908" s="163" t="s">
        <v>6801</v>
      </c>
      <c r="E6908" s="164" t="n">
        <v>5000</v>
      </c>
      <c r="F6908" s="165" t="s">
        <v>10839</v>
      </c>
    </row>
    <row r="6909" customFormat="false" ht="15" hidden="false" customHeight="true" outlineLevel="0" collapsed="false">
      <c r="A6909" s="163" t="s">
        <v>3041</v>
      </c>
      <c r="B6909" s="163" t="s">
        <v>894</v>
      </c>
      <c r="C6909" s="163" t="s">
        <v>5981</v>
      </c>
      <c r="D6909" s="163" t="s">
        <v>5982</v>
      </c>
      <c r="E6909" s="164" t="n">
        <v>5000</v>
      </c>
      <c r="F6909" s="165" t="s">
        <v>10688</v>
      </c>
    </row>
    <row r="6910" customFormat="false" ht="15" hidden="false" customHeight="true" outlineLevel="0" collapsed="false">
      <c r="A6910" s="163" t="s">
        <v>3041</v>
      </c>
      <c r="B6910" s="163" t="s">
        <v>894</v>
      </c>
      <c r="C6910" s="163" t="s">
        <v>8288</v>
      </c>
      <c r="D6910" s="163" t="s">
        <v>8289</v>
      </c>
      <c r="E6910" s="164" t="n">
        <v>5000</v>
      </c>
      <c r="F6910" s="165" t="s">
        <v>10840</v>
      </c>
    </row>
    <row r="6911" customFormat="false" ht="15" hidden="false" customHeight="true" outlineLevel="0" collapsed="false">
      <c r="A6911" s="163" t="s">
        <v>3041</v>
      </c>
      <c r="B6911" s="163" t="s">
        <v>894</v>
      </c>
      <c r="C6911" s="163" t="s">
        <v>10841</v>
      </c>
      <c r="D6911" s="163" t="s">
        <v>10842</v>
      </c>
      <c r="E6911" s="164" t="n">
        <v>5000</v>
      </c>
      <c r="F6911" s="165" t="s">
        <v>3060</v>
      </c>
    </row>
    <row r="6912" customFormat="false" ht="15" hidden="false" customHeight="true" outlineLevel="0" collapsed="false">
      <c r="A6912" s="163" t="s">
        <v>3041</v>
      </c>
      <c r="B6912" s="163" t="s">
        <v>894</v>
      </c>
      <c r="C6912" s="163" t="s">
        <v>10843</v>
      </c>
      <c r="D6912" s="163" t="s">
        <v>10844</v>
      </c>
      <c r="E6912" s="164" t="n">
        <v>5000</v>
      </c>
      <c r="F6912" s="165" t="s">
        <v>3060</v>
      </c>
    </row>
    <row r="6913" customFormat="false" ht="15" hidden="false" customHeight="true" outlineLevel="0" collapsed="false">
      <c r="A6913" s="163" t="s">
        <v>3041</v>
      </c>
      <c r="B6913" s="163" t="s">
        <v>882</v>
      </c>
      <c r="C6913" s="163" t="s">
        <v>2759</v>
      </c>
      <c r="D6913" s="163" t="s">
        <v>2760</v>
      </c>
      <c r="E6913" s="164" t="n">
        <v>210000</v>
      </c>
      <c r="F6913" s="165" t="s">
        <v>10845</v>
      </c>
    </row>
    <row r="6914" customFormat="false" ht="15" hidden="false" customHeight="true" outlineLevel="0" collapsed="false">
      <c r="A6914" s="163" t="s">
        <v>3041</v>
      </c>
      <c r="B6914" s="163" t="s">
        <v>882</v>
      </c>
      <c r="C6914" s="163" t="s">
        <v>2759</v>
      </c>
      <c r="D6914" s="163" t="s">
        <v>2760</v>
      </c>
      <c r="E6914" s="164" t="n">
        <v>30000</v>
      </c>
      <c r="F6914" s="165" t="s">
        <v>10846</v>
      </c>
    </row>
    <row r="6915" customFormat="false" ht="15" hidden="false" customHeight="true" outlineLevel="0" collapsed="false">
      <c r="A6915" s="163" t="s">
        <v>3041</v>
      </c>
      <c r="B6915" s="163" t="s">
        <v>882</v>
      </c>
      <c r="C6915" s="163" t="s">
        <v>3709</v>
      </c>
      <c r="D6915" s="163" t="s">
        <v>3710</v>
      </c>
      <c r="E6915" s="164" t="n">
        <v>30000</v>
      </c>
      <c r="F6915" s="165" t="s">
        <v>10847</v>
      </c>
    </row>
    <row r="6916" customFormat="false" ht="15" hidden="false" customHeight="true" outlineLevel="0" collapsed="false">
      <c r="A6916" s="163" t="s">
        <v>3041</v>
      </c>
      <c r="B6916" s="163" t="s">
        <v>882</v>
      </c>
      <c r="C6916" s="163" t="s">
        <v>3939</v>
      </c>
      <c r="D6916" s="163" t="s">
        <v>3940</v>
      </c>
      <c r="E6916" s="164" t="n">
        <v>10000</v>
      </c>
      <c r="F6916" s="165" t="s">
        <v>10848</v>
      </c>
    </row>
    <row r="6917" customFormat="false" ht="15" hidden="false" customHeight="true" outlineLevel="0" collapsed="false">
      <c r="A6917" s="163" t="s">
        <v>3041</v>
      </c>
      <c r="B6917" s="163" t="s">
        <v>2328</v>
      </c>
      <c r="C6917" s="163" t="s">
        <v>8720</v>
      </c>
      <c r="D6917" s="163" t="s">
        <v>8721</v>
      </c>
      <c r="E6917" s="164" t="n">
        <v>15000</v>
      </c>
      <c r="F6917" s="165" t="s">
        <v>10849</v>
      </c>
    </row>
    <row r="6918" customFormat="false" ht="15" hidden="false" customHeight="true" outlineLevel="0" collapsed="false">
      <c r="A6918" s="163" t="s">
        <v>3041</v>
      </c>
      <c r="B6918" s="163" t="s">
        <v>2328</v>
      </c>
      <c r="C6918" s="163" t="s">
        <v>10850</v>
      </c>
      <c r="D6918" s="163" t="s">
        <v>10851</v>
      </c>
      <c r="E6918" s="164" t="n">
        <v>15000</v>
      </c>
      <c r="F6918" s="165" t="s">
        <v>10852</v>
      </c>
    </row>
    <row r="6919" customFormat="false" ht="15" hidden="false" customHeight="true" outlineLevel="0" collapsed="false">
      <c r="A6919" s="163" t="s">
        <v>3041</v>
      </c>
      <c r="B6919" s="163" t="s">
        <v>2328</v>
      </c>
      <c r="C6919" s="163" t="s">
        <v>10853</v>
      </c>
      <c r="D6919" s="163" t="s">
        <v>10854</v>
      </c>
      <c r="E6919" s="164" t="n">
        <v>10000</v>
      </c>
      <c r="F6919" s="165" t="s">
        <v>10855</v>
      </c>
    </row>
    <row r="6920" customFormat="false" ht="15" hidden="false" customHeight="true" outlineLevel="0" collapsed="false">
      <c r="A6920" s="163" t="s">
        <v>3041</v>
      </c>
      <c r="B6920" s="163" t="s">
        <v>2328</v>
      </c>
      <c r="C6920" s="163" t="s">
        <v>5262</v>
      </c>
      <c r="D6920" s="163" t="s">
        <v>5263</v>
      </c>
      <c r="E6920" s="164" t="n">
        <v>10000</v>
      </c>
      <c r="F6920" s="165" t="s">
        <v>10856</v>
      </c>
    </row>
    <row r="6921" customFormat="false" ht="15" hidden="false" customHeight="true" outlineLevel="0" collapsed="false">
      <c r="A6921" s="163" t="s">
        <v>3041</v>
      </c>
      <c r="B6921" s="163" t="s">
        <v>2342</v>
      </c>
      <c r="C6921" s="163" t="s">
        <v>3063</v>
      </c>
      <c r="D6921" s="163" t="s">
        <v>3064</v>
      </c>
      <c r="E6921" s="164" t="n">
        <v>40000</v>
      </c>
      <c r="F6921" s="165" t="s">
        <v>10857</v>
      </c>
    </row>
    <row r="6922" customFormat="false" ht="15" hidden="false" customHeight="true" outlineLevel="0" collapsed="false">
      <c r="A6922" s="163" t="s">
        <v>3041</v>
      </c>
      <c r="B6922" s="163" t="s">
        <v>2342</v>
      </c>
      <c r="C6922" s="163" t="s">
        <v>3063</v>
      </c>
      <c r="D6922" s="163" t="s">
        <v>3064</v>
      </c>
      <c r="E6922" s="164" t="n">
        <v>23000</v>
      </c>
      <c r="F6922" s="165" t="s">
        <v>3060</v>
      </c>
    </row>
    <row r="6923" customFormat="false" ht="15" hidden="false" customHeight="true" outlineLevel="0" collapsed="false">
      <c r="A6923" s="163" t="s">
        <v>3041</v>
      </c>
      <c r="B6923" s="163" t="s">
        <v>2342</v>
      </c>
      <c r="C6923" s="163" t="s">
        <v>197</v>
      </c>
      <c r="D6923" s="163" t="s">
        <v>1931</v>
      </c>
      <c r="E6923" s="164" t="n">
        <v>17000</v>
      </c>
      <c r="F6923" s="165" t="s">
        <v>10858</v>
      </c>
    </row>
    <row r="6924" customFormat="false" ht="15" hidden="false" customHeight="true" outlineLevel="0" collapsed="false">
      <c r="A6924" s="163" t="s">
        <v>3041</v>
      </c>
      <c r="B6924" s="163" t="s">
        <v>2342</v>
      </c>
      <c r="C6924" s="163" t="s">
        <v>197</v>
      </c>
      <c r="D6924" s="163" t="s">
        <v>1931</v>
      </c>
      <c r="E6924" s="164" t="n">
        <v>10000</v>
      </c>
      <c r="F6924" s="165" t="s">
        <v>10859</v>
      </c>
    </row>
    <row r="6925" customFormat="false" ht="15" hidden="false" customHeight="true" outlineLevel="0" collapsed="false">
      <c r="A6925" s="163" t="s">
        <v>3041</v>
      </c>
      <c r="B6925" s="163" t="s">
        <v>2766</v>
      </c>
      <c r="C6925" s="163" t="s">
        <v>4478</v>
      </c>
      <c r="D6925" s="163" t="s">
        <v>4479</v>
      </c>
      <c r="E6925" s="164" t="n">
        <v>15000</v>
      </c>
      <c r="F6925" s="165" t="s">
        <v>10860</v>
      </c>
    </row>
    <row r="6926" customFormat="false" ht="15" hidden="false" customHeight="true" outlineLevel="0" collapsed="false">
      <c r="A6926" s="163" t="s">
        <v>3041</v>
      </c>
      <c r="B6926" s="163" t="s">
        <v>2766</v>
      </c>
      <c r="C6926" s="163" t="s">
        <v>5997</v>
      </c>
      <c r="D6926" s="163" t="s">
        <v>5998</v>
      </c>
      <c r="E6926" s="164" t="n">
        <v>15000</v>
      </c>
      <c r="F6926" s="165" t="s">
        <v>10861</v>
      </c>
    </row>
    <row r="6927" customFormat="false" ht="15" hidden="false" customHeight="true" outlineLevel="0" collapsed="false">
      <c r="A6927" s="163" t="s">
        <v>3041</v>
      </c>
      <c r="B6927" s="163" t="s">
        <v>1743</v>
      </c>
      <c r="C6927" s="163" t="s">
        <v>5997</v>
      </c>
      <c r="D6927" s="163" t="s">
        <v>5998</v>
      </c>
      <c r="E6927" s="164" t="n">
        <v>40000</v>
      </c>
      <c r="F6927" s="165" t="s">
        <v>10862</v>
      </c>
    </row>
    <row r="6928" customFormat="false" ht="15" hidden="false" customHeight="true" outlineLevel="0" collapsed="false">
      <c r="A6928" s="163" t="s">
        <v>3041</v>
      </c>
      <c r="B6928" s="163" t="s">
        <v>1743</v>
      </c>
      <c r="C6928" s="163" t="s">
        <v>3210</v>
      </c>
      <c r="D6928" s="163" t="s">
        <v>3211</v>
      </c>
      <c r="E6928" s="164" t="n">
        <v>30000</v>
      </c>
      <c r="F6928" s="165" t="s">
        <v>10863</v>
      </c>
    </row>
    <row r="6929" customFormat="false" ht="15" hidden="false" customHeight="true" outlineLevel="0" collapsed="false">
      <c r="A6929" s="163" t="s">
        <v>3041</v>
      </c>
      <c r="B6929" s="163" t="s">
        <v>1743</v>
      </c>
      <c r="C6929" s="163" t="s">
        <v>10744</v>
      </c>
      <c r="D6929" s="163" t="s">
        <v>10745</v>
      </c>
      <c r="E6929" s="164" t="n">
        <v>25000</v>
      </c>
      <c r="F6929" s="165" t="s">
        <v>10864</v>
      </c>
    </row>
    <row r="6930" customFormat="false" ht="15" hidden="false" customHeight="true" outlineLevel="0" collapsed="false">
      <c r="A6930" s="163" t="s">
        <v>3041</v>
      </c>
      <c r="B6930" s="163" t="s">
        <v>1743</v>
      </c>
      <c r="C6930" s="163" t="s">
        <v>4326</v>
      </c>
      <c r="D6930" s="163" t="s">
        <v>4327</v>
      </c>
      <c r="E6930" s="164" t="n">
        <v>20000</v>
      </c>
      <c r="F6930" s="165" t="s">
        <v>10865</v>
      </c>
    </row>
    <row r="6931" customFormat="false" ht="15" hidden="false" customHeight="true" outlineLevel="0" collapsed="false">
      <c r="A6931" s="163" t="s">
        <v>3041</v>
      </c>
      <c r="B6931" s="163" t="s">
        <v>1743</v>
      </c>
      <c r="C6931" s="163" t="s">
        <v>1264</v>
      </c>
      <c r="D6931" s="163" t="s">
        <v>2227</v>
      </c>
      <c r="E6931" s="164" t="n">
        <v>15000</v>
      </c>
      <c r="F6931" s="165" t="s">
        <v>3060</v>
      </c>
    </row>
    <row r="6932" customFormat="false" ht="15" hidden="false" customHeight="true" outlineLevel="0" collapsed="false">
      <c r="A6932" s="163" t="s">
        <v>3041</v>
      </c>
      <c r="B6932" s="163" t="s">
        <v>1743</v>
      </c>
      <c r="C6932" s="163" t="s">
        <v>4346</v>
      </c>
      <c r="D6932" s="163" t="s">
        <v>4347</v>
      </c>
      <c r="E6932" s="164" t="n">
        <v>10000</v>
      </c>
      <c r="F6932" s="165" t="s">
        <v>4348</v>
      </c>
    </row>
    <row r="6933" customFormat="false" ht="15" hidden="false" customHeight="true" outlineLevel="0" collapsed="false">
      <c r="A6933" s="163" t="s">
        <v>3041</v>
      </c>
      <c r="B6933" s="163" t="s">
        <v>1743</v>
      </c>
      <c r="C6933" s="163" t="s">
        <v>10686</v>
      </c>
      <c r="D6933" s="163" t="s">
        <v>10687</v>
      </c>
      <c r="E6933" s="164" t="n">
        <v>10000</v>
      </c>
      <c r="F6933" s="165" t="s">
        <v>3060</v>
      </c>
    </row>
    <row r="6934" customFormat="false" ht="15" hidden="false" customHeight="true" outlineLevel="0" collapsed="false">
      <c r="A6934" s="163" t="s">
        <v>3041</v>
      </c>
      <c r="B6934" s="163" t="s">
        <v>928</v>
      </c>
      <c r="C6934" s="163" t="s">
        <v>10744</v>
      </c>
      <c r="D6934" s="163" t="s">
        <v>10745</v>
      </c>
      <c r="E6934" s="164" t="n">
        <v>44500</v>
      </c>
      <c r="F6934" s="165" t="s">
        <v>10866</v>
      </c>
    </row>
    <row r="6935" customFormat="false" ht="15" hidden="false" customHeight="true" outlineLevel="0" collapsed="false">
      <c r="A6935" s="163" t="s">
        <v>3041</v>
      </c>
      <c r="B6935" s="163" t="s">
        <v>928</v>
      </c>
      <c r="C6935" s="163" t="s">
        <v>3980</v>
      </c>
      <c r="D6935" s="163" t="s">
        <v>3981</v>
      </c>
      <c r="E6935" s="164" t="n">
        <v>10000</v>
      </c>
      <c r="F6935" s="165" t="s">
        <v>10867</v>
      </c>
    </row>
    <row r="6936" customFormat="false" ht="15" hidden="false" customHeight="true" outlineLevel="0" collapsed="false">
      <c r="A6936" s="163" t="s">
        <v>3041</v>
      </c>
      <c r="B6936" s="163" t="s">
        <v>928</v>
      </c>
      <c r="C6936" s="163" t="s">
        <v>10868</v>
      </c>
      <c r="D6936" s="163" t="s">
        <v>10869</v>
      </c>
      <c r="E6936" s="164" t="n">
        <v>7500</v>
      </c>
      <c r="F6936" s="165" t="s">
        <v>10870</v>
      </c>
    </row>
    <row r="6937" customFormat="false" ht="15" hidden="false" customHeight="true" outlineLevel="0" collapsed="false">
      <c r="A6937" s="163" t="s">
        <v>3041</v>
      </c>
      <c r="B6937" s="163" t="s">
        <v>928</v>
      </c>
      <c r="C6937" s="163" t="s">
        <v>3319</v>
      </c>
      <c r="D6937" s="163" t="s">
        <v>3320</v>
      </c>
      <c r="E6937" s="164" t="n">
        <v>7000</v>
      </c>
      <c r="F6937" s="165" t="s">
        <v>10871</v>
      </c>
    </row>
    <row r="6938" customFormat="false" ht="15" hidden="false" customHeight="true" outlineLevel="0" collapsed="false">
      <c r="A6938" s="163" t="s">
        <v>3041</v>
      </c>
      <c r="B6938" s="163" t="s">
        <v>928</v>
      </c>
      <c r="C6938" s="163" t="s">
        <v>1199</v>
      </c>
      <c r="D6938" s="163" t="s">
        <v>1929</v>
      </c>
      <c r="E6938" s="164" t="n">
        <v>6000</v>
      </c>
      <c r="F6938" s="165" t="s">
        <v>10688</v>
      </c>
    </row>
    <row r="6939" customFormat="false" ht="15" hidden="false" customHeight="true" outlineLevel="0" collapsed="false">
      <c r="A6939" s="163" t="s">
        <v>3041</v>
      </c>
      <c r="B6939" s="163" t="s">
        <v>928</v>
      </c>
      <c r="C6939" s="163" t="s">
        <v>7153</v>
      </c>
      <c r="D6939" s="163" t="s">
        <v>7154</v>
      </c>
      <c r="E6939" s="164" t="n">
        <v>5000</v>
      </c>
      <c r="F6939" s="165" t="s">
        <v>10688</v>
      </c>
    </row>
    <row r="6940" customFormat="false" ht="15" hidden="false" customHeight="true" outlineLevel="0" collapsed="false">
      <c r="A6940" s="163" t="s">
        <v>3041</v>
      </c>
      <c r="B6940" s="163" t="s">
        <v>928</v>
      </c>
      <c r="C6940" s="163" t="s">
        <v>3317</v>
      </c>
      <c r="D6940" s="163" t="s">
        <v>3318</v>
      </c>
      <c r="E6940" s="164" t="n">
        <v>5000</v>
      </c>
      <c r="F6940" s="165" t="s">
        <v>10872</v>
      </c>
    </row>
    <row r="6941" customFormat="false" ht="15" hidden="false" customHeight="true" outlineLevel="0" collapsed="false">
      <c r="A6941" s="163" t="s">
        <v>3041</v>
      </c>
      <c r="B6941" s="163" t="s">
        <v>928</v>
      </c>
      <c r="C6941" s="163" t="s">
        <v>7912</v>
      </c>
      <c r="D6941" s="163" t="s">
        <v>7913</v>
      </c>
      <c r="E6941" s="164" t="n">
        <v>5000</v>
      </c>
      <c r="F6941" s="165" t="s">
        <v>10688</v>
      </c>
    </row>
    <row r="6942" customFormat="false" ht="15" hidden="false" customHeight="true" outlineLevel="0" collapsed="false">
      <c r="A6942" s="163" t="s">
        <v>3041</v>
      </c>
      <c r="B6942" s="163" t="s">
        <v>928</v>
      </c>
      <c r="C6942" s="163" t="s">
        <v>7485</v>
      </c>
      <c r="D6942" s="163" t="s">
        <v>7486</v>
      </c>
      <c r="E6942" s="164" t="n">
        <v>5000</v>
      </c>
      <c r="F6942" s="165" t="s">
        <v>10873</v>
      </c>
    </row>
    <row r="6943" customFormat="false" ht="15" hidden="false" customHeight="true" outlineLevel="0" collapsed="false">
      <c r="A6943" s="163" t="s">
        <v>3041</v>
      </c>
      <c r="B6943" s="163" t="s">
        <v>928</v>
      </c>
      <c r="C6943" s="163" t="s">
        <v>7433</v>
      </c>
      <c r="D6943" s="163" t="s">
        <v>7434</v>
      </c>
      <c r="E6943" s="164" t="n">
        <v>5000</v>
      </c>
      <c r="F6943" s="165" t="s">
        <v>10874</v>
      </c>
    </row>
    <row r="6944" customFormat="false" ht="15" hidden="false" customHeight="true" outlineLevel="0" collapsed="false">
      <c r="A6944" s="163" t="s">
        <v>3041</v>
      </c>
      <c r="B6944" s="163" t="s">
        <v>928</v>
      </c>
      <c r="C6944" s="163" t="s">
        <v>5997</v>
      </c>
      <c r="D6944" s="163" t="s">
        <v>5998</v>
      </c>
      <c r="E6944" s="164" t="n">
        <v>5000</v>
      </c>
      <c r="F6944" s="165" t="s">
        <v>10875</v>
      </c>
    </row>
    <row r="6945" customFormat="false" ht="15" hidden="false" customHeight="true" outlineLevel="0" collapsed="false">
      <c r="A6945" s="163" t="s">
        <v>3041</v>
      </c>
      <c r="B6945" s="163" t="s">
        <v>928</v>
      </c>
      <c r="C6945" s="163" t="s">
        <v>4287</v>
      </c>
      <c r="D6945" s="163" t="s">
        <v>4288</v>
      </c>
      <c r="E6945" s="164" t="n">
        <v>5000</v>
      </c>
      <c r="F6945" s="165" t="s">
        <v>10688</v>
      </c>
    </row>
    <row r="6946" customFormat="false" ht="15" hidden="false" customHeight="true" outlineLevel="0" collapsed="false">
      <c r="A6946" s="163" t="s">
        <v>3041</v>
      </c>
      <c r="B6946" s="163" t="s">
        <v>928</v>
      </c>
      <c r="C6946" s="163" t="s">
        <v>5494</v>
      </c>
      <c r="D6946" s="163" t="s">
        <v>5495</v>
      </c>
      <c r="E6946" s="164" t="n">
        <v>5000</v>
      </c>
      <c r="F6946" s="165" t="s">
        <v>10876</v>
      </c>
    </row>
    <row r="6947" customFormat="false" ht="15" hidden="false" customHeight="true" outlineLevel="0" collapsed="false">
      <c r="A6947" s="163" t="s">
        <v>3041</v>
      </c>
      <c r="B6947" s="163" t="s">
        <v>928</v>
      </c>
      <c r="C6947" s="163" t="s">
        <v>8308</v>
      </c>
      <c r="D6947" s="163" t="s">
        <v>8309</v>
      </c>
      <c r="E6947" s="164" t="n">
        <v>5000</v>
      </c>
      <c r="F6947" s="165" t="s">
        <v>10877</v>
      </c>
    </row>
    <row r="6948" customFormat="false" ht="15" hidden="false" customHeight="true" outlineLevel="0" collapsed="false">
      <c r="A6948" s="163" t="s">
        <v>3041</v>
      </c>
      <c r="B6948" s="163" t="s">
        <v>928</v>
      </c>
      <c r="C6948" s="163" t="s">
        <v>3856</v>
      </c>
      <c r="D6948" s="163" t="s">
        <v>3857</v>
      </c>
      <c r="E6948" s="164" t="n">
        <v>5000</v>
      </c>
      <c r="F6948" s="165" t="s">
        <v>10688</v>
      </c>
    </row>
    <row r="6949" customFormat="false" ht="15" hidden="false" customHeight="true" outlineLevel="0" collapsed="false">
      <c r="A6949" s="163" t="s">
        <v>3041</v>
      </c>
      <c r="B6949" s="163" t="s">
        <v>928</v>
      </c>
      <c r="C6949" s="163" t="s">
        <v>2953</v>
      </c>
      <c r="D6949" s="163" t="s">
        <v>2954</v>
      </c>
      <c r="E6949" s="164" t="n">
        <v>5000</v>
      </c>
      <c r="F6949" s="165" t="s">
        <v>10878</v>
      </c>
    </row>
    <row r="6950" customFormat="false" ht="15" hidden="false" customHeight="true" outlineLevel="0" collapsed="false">
      <c r="A6950" s="163" t="s">
        <v>3041</v>
      </c>
      <c r="B6950" s="163" t="s">
        <v>928</v>
      </c>
      <c r="C6950" s="163" t="s">
        <v>10879</v>
      </c>
      <c r="D6950" s="163" t="s">
        <v>10880</v>
      </c>
      <c r="E6950" s="164" t="n">
        <v>5000</v>
      </c>
      <c r="F6950" s="165" t="s">
        <v>10688</v>
      </c>
    </row>
    <row r="6951" customFormat="false" ht="15" hidden="false" customHeight="true" outlineLevel="0" collapsed="false">
      <c r="A6951" s="163" t="s">
        <v>3041</v>
      </c>
      <c r="B6951" s="163" t="s">
        <v>928</v>
      </c>
      <c r="C6951" s="163" t="s">
        <v>5511</v>
      </c>
      <c r="D6951" s="163" t="s">
        <v>5512</v>
      </c>
      <c r="E6951" s="164" t="n">
        <v>5000</v>
      </c>
      <c r="F6951" s="165" t="s">
        <v>10881</v>
      </c>
    </row>
    <row r="6952" customFormat="false" ht="15" hidden="false" customHeight="true" outlineLevel="0" collapsed="false">
      <c r="A6952" s="163" t="s">
        <v>3041</v>
      </c>
      <c r="B6952" s="163" t="s">
        <v>928</v>
      </c>
      <c r="C6952" s="163" t="s">
        <v>6164</v>
      </c>
      <c r="D6952" s="163" t="s">
        <v>6165</v>
      </c>
      <c r="E6952" s="164" t="n">
        <v>5000</v>
      </c>
      <c r="F6952" s="165" t="s">
        <v>3060</v>
      </c>
    </row>
    <row r="6953" customFormat="false" ht="15" hidden="false" customHeight="true" outlineLevel="0" collapsed="false">
      <c r="A6953" s="163" t="s">
        <v>3041</v>
      </c>
      <c r="B6953" s="163" t="s">
        <v>928</v>
      </c>
      <c r="C6953" s="163" t="s">
        <v>3061</v>
      </c>
      <c r="D6953" s="163" t="s">
        <v>3062</v>
      </c>
      <c r="E6953" s="164" t="n">
        <v>5000</v>
      </c>
      <c r="F6953" s="165" t="s">
        <v>3060</v>
      </c>
    </row>
    <row r="6954" customFormat="false" ht="15" hidden="false" customHeight="true" outlineLevel="0" collapsed="false">
      <c r="A6954" s="163" t="s">
        <v>3024</v>
      </c>
      <c r="B6954" s="163" t="s">
        <v>926</v>
      </c>
      <c r="C6954" s="163" t="s">
        <v>6671</v>
      </c>
      <c r="D6954" s="163" t="s">
        <v>6672</v>
      </c>
      <c r="E6954" s="164" t="n">
        <v>20000</v>
      </c>
      <c r="F6954" s="165" t="s">
        <v>6673</v>
      </c>
    </row>
    <row r="6955" customFormat="false" ht="15" hidden="false" customHeight="true" outlineLevel="0" collapsed="false">
      <c r="A6955" s="163" t="s">
        <v>3024</v>
      </c>
      <c r="B6955" s="163" t="s">
        <v>926</v>
      </c>
      <c r="C6955" s="163" t="s">
        <v>3061</v>
      </c>
      <c r="D6955" s="163" t="s">
        <v>3062</v>
      </c>
      <c r="E6955" s="164" t="n">
        <v>15000</v>
      </c>
      <c r="F6955" s="165" t="s">
        <v>10882</v>
      </c>
    </row>
    <row r="6956" customFormat="false" ht="15" hidden="false" customHeight="true" outlineLevel="0" collapsed="false">
      <c r="A6956" s="163" t="s">
        <v>3024</v>
      </c>
      <c r="B6956" s="163" t="s">
        <v>926</v>
      </c>
      <c r="C6956" s="163" t="s">
        <v>3061</v>
      </c>
      <c r="D6956" s="163" t="s">
        <v>3062</v>
      </c>
      <c r="E6956" s="164" t="n">
        <v>15000</v>
      </c>
      <c r="F6956" s="165" t="s">
        <v>10883</v>
      </c>
    </row>
    <row r="6957" customFormat="false" ht="15" hidden="false" customHeight="true" outlineLevel="0" collapsed="false">
      <c r="A6957" s="163" t="s">
        <v>3024</v>
      </c>
      <c r="B6957" s="163" t="s">
        <v>926</v>
      </c>
      <c r="C6957" s="163" t="s">
        <v>3334</v>
      </c>
      <c r="D6957" s="163" t="s">
        <v>3335</v>
      </c>
      <c r="E6957" s="164" t="n">
        <v>15000</v>
      </c>
      <c r="F6957" s="165" t="s">
        <v>10884</v>
      </c>
    </row>
    <row r="6958" customFormat="false" ht="15" hidden="false" customHeight="true" outlineLevel="0" collapsed="false">
      <c r="A6958" s="163" t="s">
        <v>3024</v>
      </c>
      <c r="B6958" s="163" t="s">
        <v>926</v>
      </c>
      <c r="C6958" s="163" t="s">
        <v>10885</v>
      </c>
      <c r="D6958" s="163" t="s">
        <v>10886</v>
      </c>
      <c r="E6958" s="164" t="n">
        <v>15000</v>
      </c>
      <c r="F6958" s="165" t="s">
        <v>10887</v>
      </c>
    </row>
    <row r="6959" customFormat="false" ht="15" hidden="false" customHeight="true" outlineLevel="0" collapsed="false">
      <c r="A6959" s="163" t="s">
        <v>3024</v>
      </c>
      <c r="B6959" s="163" t="s">
        <v>926</v>
      </c>
      <c r="C6959" s="163" t="s">
        <v>424</v>
      </c>
      <c r="D6959" s="163" t="s">
        <v>2630</v>
      </c>
      <c r="E6959" s="164" t="n">
        <v>10000</v>
      </c>
      <c r="F6959" s="165" t="s">
        <v>10888</v>
      </c>
    </row>
    <row r="6960" customFormat="false" ht="15" hidden="false" customHeight="true" outlineLevel="0" collapsed="false">
      <c r="A6960" s="163" t="s">
        <v>3024</v>
      </c>
      <c r="B6960" s="163" t="s">
        <v>926</v>
      </c>
      <c r="C6960" s="163" t="s">
        <v>10885</v>
      </c>
      <c r="D6960" s="163" t="s">
        <v>10886</v>
      </c>
      <c r="E6960" s="164" t="n">
        <v>10000</v>
      </c>
      <c r="F6960" s="165" t="s">
        <v>10889</v>
      </c>
    </row>
    <row r="6961" customFormat="false" ht="15" hidden="false" customHeight="true" outlineLevel="0" collapsed="false">
      <c r="A6961" s="163" t="s">
        <v>3024</v>
      </c>
      <c r="B6961" s="163" t="s">
        <v>957</v>
      </c>
      <c r="C6961" s="163" t="s">
        <v>5244</v>
      </c>
      <c r="D6961" s="163" t="s">
        <v>5245</v>
      </c>
      <c r="E6961" s="164" t="n">
        <v>35000</v>
      </c>
      <c r="F6961" s="165" t="s">
        <v>10890</v>
      </c>
    </row>
    <row r="6962" customFormat="false" ht="15" hidden="false" customHeight="true" outlineLevel="0" collapsed="false">
      <c r="A6962" s="163" t="s">
        <v>3024</v>
      </c>
      <c r="B6962" s="163" t="s">
        <v>957</v>
      </c>
      <c r="C6962" s="163" t="s">
        <v>7776</v>
      </c>
      <c r="D6962" s="163" t="s">
        <v>7777</v>
      </c>
      <c r="E6962" s="164" t="n">
        <v>25000</v>
      </c>
      <c r="F6962" s="165" t="s">
        <v>10891</v>
      </c>
    </row>
    <row r="6963" customFormat="false" ht="15" hidden="false" customHeight="true" outlineLevel="0" collapsed="false">
      <c r="A6963" s="163" t="s">
        <v>3024</v>
      </c>
      <c r="B6963" s="163" t="s">
        <v>957</v>
      </c>
      <c r="C6963" s="163" t="s">
        <v>8276</v>
      </c>
      <c r="D6963" s="163" t="s">
        <v>8277</v>
      </c>
      <c r="E6963" s="164" t="n">
        <v>20000</v>
      </c>
      <c r="F6963" s="165" t="s">
        <v>10892</v>
      </c>
    </row>
    <row r="6964" customFormat="false" ht="15" hidden="false" customHeight="true" outlineLevel="0" collapsed="false">
      <c r="A6964" s="163" t="s">
        <v>3024</v>
      </c>
      <c r="B6964" s="163" t="s">
        <v>957</v>
      </c>
      <c r="C6964" s="163" t="s">
        <v>5632</v>
      </c>
      <c r="D6964" s="163" t="s">
        <v>5633</v>
      </c>
      <c r="E6964" s="164" t="n">
        <v>10000</v>
      </c>
      <c r="F6964" s="165" t="s">
        <v>10893</v>
      </c>
    </row>
    <row r="6965" customFormat="false" ht="15" hidden="false" customHeight="true" outlineLevel="0" collapsed="false">
      <c r="A6965" s="163" t="s">
        <v>3024</v>
      </c>
      <c r="B6965" s="163" t="s">
        <v>957</v>
      </c>
      <c r="C6965" s="163" t="s">
        <v>5121</v>
      </c>
      <c r="D6965" s="163" t="s">
        <v>5122</v>
      </c>
      <c r="E6965" s="164" t="n">
        <v>10000</v>
      </c>
      <c r="F6965" s="165" t="s">
        <v>10894</v>
      </c>
    </row>
    <row r="6966" customFormat="false" ht="15" hidden="false" customHeight="true" outlineLevel="0" collapsed="false">
      <c r="A6966" s="163" t="s">
        <v>3024</v>
      </c>
      <c r="B6966" s="163" t="s">
        <v>957</v>
      </c>
      <c r="C6966" s="163" t="s">
        <v>975</v>
      </c>
      <c r="D6966" s="163" t="s">
        <v>8228</v>
      </c>
      <c r="E6966" s="164" t="n">
        <v>10000</v>
      </c>
      <c r="F6966" s="165" t="s">
        <v>10895</v>
      </c>
    </row>
    <row r="6967" customFormat="false" ht="15" hidden="false" customHeight="true" outlineLevel="0" collapsed="false">
      <c r="A6967" s="163" t="s">
        <v>3024</v>
      </c>
      <c r="B6967" s="163" t="s">
        <v>945</v>
      </c>
      <c r="C6967" s="163" t="s">
        <v>925</v>
      </c>
      <c r="D6967" s="163" t="s">
        <v>1931</v>
      </c>
      <c r="E6967" s="164" t="n">
        <v>20000</v>
      </c>
      <c r="F6967" s="165" t="s">
        <v>10896</v>
      </c>
    </row>
    <row r="6968" customFormat="false" ht="15" hidden="false" customHeight="true" outlineLevel="0" collapsed="false">
      <c r="A6968" s="163" t="s">
        <v>3024</v>
      </c>
      <c r="B6968" s="163" t="s">
        <v>945</v>
      </c>
      <c r="C6968" s="163" t="s">
        <v>925</v>
      </c>
      <c r="D6968" s="163" t="s">
        <v>1931</v>
      </c>
      <c r="E6968" s="164" t="n">
        <v>15000</v>
      </c>
      <c r="F6968" s="165" t="s">
        <v>10897</v>
      </c>
    </row>
    <row r="6969" customFormat="false" ht="15" hidden="false" customHeight="true" outlineLevel="0" collapsed="false">
      <c r="A6969" s="163" t="s">
        <v>3024</v>
      </c>
      <c r="B6969" s="163" t="s">
        <v>945</v>
      </c>
      <c r="C6969" s="163" t="s">
        <v>925</v>
      </c>
      <c r="D6969" s="163" t="s">
        <v>1931</v>
      </c>
      <c r="E6969" s="164" t="n">
        <v>15000</v>
      </c>
      <c r="F6969" s="165" t="s">
        <v>10898</v>
      </c>
    </row>
    <row r="6970" customFormat="false" ht="15" hidden="false" customHeight="true" outlineLevel="0" collapsed="false">
      <c r="A6970" s="163" t="s">
        <v>3024</v>
      </c>
      <c r="B6970" s="163" t="s">
        <v>3111</v>
      </c>
      <c r="C6970" s="163" t="s">
        <v>9431</v>
      </c>
      <c r="D6970" s="163" t="s">
        <v>9432</v>
      </c>
      <c r="E6970" s="164" t="n">
        <v>68000</v>
      </c>
      <c r="F6970" s="165" t="s">
        <v>10899</v>
      </c>
    </row>
    <row r="6971" customFormat="false" ht="15" hidden="false" customHeight="true" outlineLevel="0" collapsed="false">
      <c r="A6971" s="163" t="s">
        <v>3024</v>
      </c>
      <c r="B6971" s="163" t="s">
        <v>3111</v>
      </c>
      <c r="C6971" s="163" t="s">
        <v>1159</v>
      </c>
      <c r="D6971" s="163" t="s">
        <v>1936</v>
      </c>
      <c r="E6971" s="164" t="n">
        <v>22000</v>
      </c>
      <c r="F6971" s="165" t="s">
        <v>10900</v>
      </c>
    </row>
    <row r="6972" customFormat="false" ht="15" hidden="false" customHeight="true" outlineLevel="0" collapsed="false">
      <c r="A6972" s="163" t="s">
        <v>3024</v>
      </c>
      <c r="B6972" s="163" t="s">
        <v>3111</v>
      </c>
      <c r="C6972" s="163" t="s">
        <v>5139</v>
      </c>
      <c r="D6972" s="163" t="s">
        <v>5140</v>
      </c>
      <c r="E6972" s="164" t="n">
        <v>10000</v>
      </c>
      <c r="F6972" s="165" t="s">
        <v>10901</v>
      </c>
    </row>
    <row r="6973" customFormat="false" ht="15" hidden="false" customHeight="true" outlineLevel="0" collapsed="false">
      <c r="A6973" s="163" t="s">
        <v>3024</v>
      </c>
      <c r="B6973" s="163" t="s">
        <v>1938</v>
      </c>
      <c r="C6973" s="163" t="s">
        <v>4478</v>
      </c>
      <c r="D6973" s="163" t="s">
        <v>4479</v>
      </c>
      <c r="E6973" s="164" t="n">
        <v>20000</v>
      </c>
      <c r="F6973" s="165" t="s">
        <v>10902</v>
      </c>
    </row>
    <row r="6974" customFormat="false" ht="15" hidden="false" customHeight="true" outlineLevel="0" collapsed="false">
      <c r="A6974" s="163" t="s">
        <v>3024</v>
      </c>
      <c r="B6974" s="163" t="s">
        <v>1938</v>
      </c>
      <c r="C6974" s="163" t="s">
        <v>5152</v>
      </c>
      <c r="D6974" s="163" t="s">
        <v>5153</v>
      </c>
      <c r="E6974" s="164" t="n">
        <v>20000</v>
      </c>
      <c r="F6974" s="165" t="s">
        <v>10903</v>
      </c>
    </row>
    <row r="6975" customFormat="false" ht="15" hidden="false" customHeight="true" outlineLevel="0" collapsed="false">
      <c r="A6975" s="163" t="s">
        <v>3024</v>
      </c>
      <c r="B6975" s="163" t="s">
        <v>1938</v>
      </c>
      <c r="C6975" s="163" t="s">
        <v>5152</v>
      </c>
      <c r="D6975" s="163" t="s">
        <v>5153</v>
      </c>
      <c r="E6975" s="164" t="n">
        <v>20000</v>
      </c>
      <c r="F6975" s="165" t="s">
        <v>10902</v>
      </c>
    </row>
    <row r="6976" customFormat="false" ht="15" hidden="false" customHeight="true" outlineLevel="0" collapsed="false">
      <c r="A6976" s="163" t="s">
        <v>3024</v>
      </c>
      <c r="B6976" s="163" t="s">
        <v>1938</v>
      </c>
      <c r="C6976" s="163" t="s">
        <v>5152</v>
      </c>
      <c r="D6976" s="163" t="s">
        <v>5153</v>
      </c>
      <c r="E6976" s="164" t="n">
        <v>20000</v>
      </c>
      <c r="F6976" s="165" t="s">
        <v>10904</v>
      </c>
    </row>
    <row r="6977" customFormat="false" ht="15" hidden="false" customHeight="true" outlineLevel="0" collapsed="false">
      <c r="A6977" s="163" t="s">
        <v>3024</v>
      </c>
      <c r="B6977" s="163" t="s">
        <v>1938</v>
      </c>
      <c r="C6977" s="163" t="s">
        <v>5152</v>
      </c>
      <c r="D6977" s="163" t="s">
        <v>5153</v>
      </c>
      <c r="E6977" s="164" t="n">
        <v>20000</v>
      </c>
      <c r="F6977" s="165" t="s">
        <v>10905</v>
      </c>
    </row>
    <row r="6978" customFormat="false" ht="15" hidden="false" customHeight="true" outlineLevel="0" collapsed="false">
      <c r="A6978" s="163" t="s">
        <v>3024</v>
      </c>
      <c r="B6978" s="163" t="s">
        <v>1938</v>
      </c>
      <c r="C6978" s="163" t="s">
        <v>3139</v>
      </c>
      <c r="D6978" s="163" t="s">
        <v>3140</v>
      </c>
      <c r="E6978" s="164" t="n">
        <v>20000</v>
      </c>
      <c r="F6978" s="165" t="s">
        <v>10906</v>
      </c>
    </row>
    <row r="6979" customFormat="false" ht="15" hidden="false" customHeight="true" outlineLevel="0" collapsed="false">
      <c r="A6979" s="163" t="s">
        <v>3024</v>
      </c>
      <c r="B6979" s="163" t="s">
        <v>1938</v>
      </c>
      <c r="C6979" s="163" t="s">
        <v>1129</v>
      </c>
      <c r="D6979" s="163" t="s">
        <v>2892</v>
      </c>
      <c r="E6979" s="164" t="n">
        <v>20000</v>
      </c>
      <c r="F6979" s="165" t="s">
        <v>10907</v>
      </c>
    </row>
    <row r="6980" customFormat="false" ht="15" hidden="false" customHeight="true" outlineLevel="0" collapsed="false">
      <c r="A6980" s="163" t="s">
        <v>3024</v>
      </c>
      <c r="B6980" s="163" t="s">
        <v>1938</v>
      </c>
      <c r="C6980" s="163" t="s">
        <v>9306</v>
      </c>
      <c r="D6980" s="163" t="s">
        <v>9307</v>
      </c>
      <c r="E6980" s="164" t="n">
        <v>20000</v>
      </c>
      <c r="F6980" s="165" t="s">
        <v>10908</v>
      </c>
    </row>
    <row r="6981" customFormat="false" ht="15" hidden="false" customHeight="true" outlineLevel="0" collapsed="false">
      <c r="A6981" s="163" t="s">
        <v>3024</v>
      </c>
      <c r="B6981" s="163" t="s">
        <v>1938</v>
      </c>
      <c r="C6981" s="163" t="s">
        <v>4303</v>
      </c>
      <c r="D6981" s="163" t="s">
        <v>4304</v>
      </c>
      <c r="E6981" s="164" t="n">
        <v>20000</v>
      </c>
      <c r="F6981" s="165" t="s">
        <v>10909</v>
      </c>
    </row>
    <row r="6982" customFormat="false" ht="15" hidden="false" customHeight="true" outlineLevel="0" collapsed="false">
      <c r="A6982" s="163" t="s">
        <v>3024</v>
      </c>
      <c r="B6982" s="163" t="s">
        <v>1938</v>
      </c>
      <c r="C6982" s="163" t="s">
        <v>3552</v>
      </c>
      <c r="D6982" s="163" t="s">
        <v>3553</v>
      </c>
      <c r="E6982" s="164" t="n">
        <v>20000</v>
      </c>
      <c r="F6982" s="165" t="s">
        <v>10910</v>
      </c>
    </row>
    <row r="6983" customFormat="false" ht="15" hidden="false" customHeight="true" outlineLevel="0" collapsed="false">
      <c r="A6983" s="163" t="s">
        <v>3024</v>
      </c>
      <c r="B6983" s="163" t="s">
        <v>1938</v>
      </c>
      <c r="C6983" s="163" t="s">
        <v>3552</v>
      </c>
      <c r="D6983" s="163" t="s">
        <v>3553</v>
      </c>
      <c r="E6983" s="164" t="n">
        <v>20000</v>
      </c>
      <c r="F6983" s="165" t="s">
        <v>10911</v>
      </c>
    </row>
    <row r="6984" customFormat="false" ht="15" hidden="false" customHeight="true" outlineLevel="0" collapsed="false">
      <c r="A6984" s="163" t="s">
        <v>3024</v>
      </c>
      <c r="B6984" s="163" t="s">
        <v>1938</v>
      </c>
      <c r="C6984" s="163" t="s">
        <v>3552</v>
      </c>
      <c r="D6984" s="163" t="s">
        <v>3553</v>
      </c>
      <c r="E6984" s="164" t="n">
        <v>20000</v>
      </c>
      <c r="F6984" s="165" t="s">
        <v>10912</v>
      </c>
    </row>
    <row r="6985" customFormat="false" ht="15" hidden="false" customHeight="true" outlineLevel="0" collapsed="false">
      <c r="A6985" s="163" t="s">
        <v>3024</v>
      </c>
      <c r="B6985" s="163" t="s">
        <v>1938</v>
      </c>
      <c r="C6985" s="163" t="s">
        <v>3552</v>
      </c>
      <c r="D6985" s="163" t="s">
        <v>3553</v>
      </c>
      <c r="E6985" s="164" t="n">
        <v>20000</v>
      </c>
      <c r="F6985" s="165" t="s">
        <v>10913</v>
      </c>
    </row>
    <row r="6986" customFormat="false" ht="15" hidden="false" customHeight="true" outlineLevel="0" collapsed="false">
      <c r="A6986" s="163" t="s">
        <v>3024</v>
      </c>
      <c r="B6986" s="163" t="s">
        <v>1938</v>
      </c>
      <c r="C6986" s="163" t="s">
        <v>4946</v>
      </c>
      <c r="D6986" s="163" t="s">
        <v>4947</v>
      </c>
      <c r="E6986" s="164" t="n">
        <v>20000</v>
      </c>
      <c r="F6986" s="165" t="s">
        <v>10914</v>
      </c>
    </row>
    <row r="6987" customFormat="false" ht="15" hidden="false" customHeight="true" outlineLevel="0" collapsed="false">
      <c r="A6987" s="163" t="s">
        <v>3024</v>
      </c>
      <c r="B6987" s="163" t="s">
        <v>1938</v>
      </c>
      <c r="C6987" s="163" t="s">
        <v>4388</v>
      </c>
      <c r="D6987" s="163" t="s">
        <v>4389</v>
      </c>
      <c r="E6987" s="164" t="n">
        <v>20000</v>
      </c>
      <c r="F6987" s="165" t="s">
        <v>10915</v>
      </c>
    </row>
    <row r="6988" customFormat="false" ht="15" hidden="false" customHeight="true" outlineLevel="0" collapsed="false">
      <c r="A6988" s="163" t="s">
        <v>3024</v>
      </c>
      <c r="B6988" s="163" t="s">
        <v>1938</v>
      </c>
      <c r="C6988" s="163" t="s">
        <v>4388</v>
      </c>
      <c r="D6988" s="163" t="s">
        <v>4389</v>
      </c>
      <c r="E6988" s="164" t="n">
        <v>20000</v>
      </c>
      <c r="F6988" s="165" t="s">
        <v>10915</v>
      </c>
    </row>
    <row r="6989" customFormat="false" ht="15" hidden="false" customHeight="true" outlineLevel="0" collapsed="false">
      <c r="A6989" s="163" t="s">
        <v>3024</v>
      </c>
      <c r="B6989" s="163" t="s">
        <v>1938</v>
      </c>
      <c r="C6989" s="163" t="s">
        <v>4388</v>
      </c>
      <c r="D6989" s="163" t="s">
        <v>4389</v>
      </c>
      <c r="E6989" s="164" t="n">
        <v>20000</v>
      </c>
      <c r="F6989" s="165" t="s">
        <v>10916</v>
      </c>
    </row>
    <row r="6990" customFormat="false" ht="15" hidden="false" customHeight="true" outlineLevel="0" collapsed="false">
      <c r="A6990" s="163" t="s">
        <v>3024</v>
      </c>
      <c r="B6990" s="163" t="s">
        <v>691</v>
      </c>
      <c r="C6990" s="163" t="s">
        <v>10917</v>
      </c>
      <c r="D6990" s="163" t="s">
        <v>10918</v>
      </c>
      <c r="E6990" s="164" t="n">
        <v>25000</v>
      </c>
      <c r="F6990" s="165" t="s">
        <v>10901</v>
      </c>
    </row>
    <row r="6991" customFormat="false" ht="15" hidden="false" customHeight="true" outlineLevel="0" collapsed="false">
      <c r="A6991" s="163" t="s">
        <v>3024</v>
      </c>
      <c r="B6991" s="163" t="s">
        <v>691</v>
      </c>
      <c r="C6991" s="163" t="s">
        <v>4890</v>
      </c>
      <c r="D6991" s="163" t="s">
        <v>4891</v>
      </c>
      <c r="E6991" s="164" t="n">
        <v>20000</v>
      </c>
      <c r="F6991" s="165" t="s">
        <v>10901</v>
      </c>
    </row>
    <row r="6992" customFormat="false" ht="15" hidden="false" customHeight="true" outlineLevel="0" collapsed="false">
      <c r="A6992" s="163" t="s">
        <v>3024</v>
      </c>
      <c r="B6992" s="163" t="s">
        <v>691</v>
      </c>
      <c r="C6992" s="163" t="s">
        <v>10919</v>
      </c>
      <c r="D6992" s="163" t="s">
        <v>10920</v>
      </c>
      <c r="E6992" s="164" t="n">
        <v>20000</v>
      </c>
      <c r="F6992" s="165" t="s">
        <v>10901</v>
      </c>
    </row>
    <row r="6993" customFormat="false" ht="15" hidden="false" customHeight="true" outlineLevel="0" collapsed="false">
      <c r="A6993" s="163" t="s">
        <v>3024</v>
      </c>
      <c r="B6993" s="163" t="s">
        <v>691</v>
      </c>
      <c r="C6993" s="163" t="s">
        <v>7824</v>
      </c>
      <c r="D6993" s="163" t="s">
        <v>7825</v>
      </c>
      <c r="E6993" s="164" t="n">
        <v>20000</v>
      </c>
      <c r="F6993" s="165" t="s">
        <v>10901</v>
      </c>
    </row>
    <row r="6994" customFormat="false" ht="15" hidden="false" customHeight="true" outlineLevel="0" collapsed="false">
      <c r="A6994" s="163" t="s">
        <v>3024</v>
      </c>
      <c r="B6994" s="163" t="s">
        <v>691</v>
      </c>
      <c r="C6994" s="163" t="s">
        <v>10921</v>
      </c>
      <c r="D6994" s="163" t="s">
        <v>10922</v>
      </c>
      <c r="E6994" s="164" t="n">
        <v>20000</v>
      </c>
      <c r="F6994" s="165" t="s">
        <v>10901</v>
      </c>
    </row>
    <row r="6995" customFormat="false" ht="15" hidden="false" customHeight="true" outlineLevel="0" collapsed="false">
      <c r="A6995" s="163" t="s">
        <v>3024</v>
      </c>
      <c r="B6995" s="163" t="s">
        <v>691</v>
      </c>
      <c r="C6995" s="163" t="s">
        <v>3276</v>
      </c>
      <c r="D6995" s="163" t="s">
        <v>3277</v>
      </c>
      <c r="E6995" s="164" t="n">
        <v>15000</v>
      </c>
      <c r="F6995" s="165" t="s">
        <v>10901</v>
      </c>
    </row>
    <row r="6996" customFormat="false" ht="15" hidden="false" customHeight="true" outlineLevel="0" collapsed="false">
      <c r="A6996" s="163" t="s">
        <v>3024</v>
      </c>
      <c r="B6996" s="163" t="s">
        <v>691</v>
      </c>
      <c r="C6996" s="163" t="s">
        <v>7819</v>
      </c>
      <c r="D6996" s="163" t="s">
        <v>7820</v>
      </c>
      <c r="E6996" s="164" t="n">
        <v>15000</v>
      </c>
      <c r="F6996" s="165" t="s">
        <v>10901</v>
      </c>
    </row>
    <row r="6997" customFormat="false" ht="15" hidden="false" customHeight="true" outlineLevel="0" collapsed="false">
      <c r="A6997" s="163" t="s">
        <v>3024</v>
      </c>
      <c r="B6997" s="163" t="s">
        <v>691</v>
      </c>
      <c r="C6997" s="163" t="s">
        <v>10429</v>
      </c>
      <c r="D6997" s="163" t="s">
        <v>10430</v>
      </c>
      <c r="E6997" s="164" t="n">
        <v>10000</v>
      </c>
      <c r="F6997" s="165" t="s">
        <v>10901</v>
      </c>
    </row>
    <row r="6998" customFormat="false" ht="15" hidden="false" customHeight="true" outlineLevel="0" collapsed="false">
      <c r="A6998" s="163" t="s">
        <v>3024</v>
      </c>
      <c r="B6998" s="163" t="s">
        <v>2027</v>
      </c>
      <c r="C6998" s="163" t="s">
        <v>7776</v>
      </c>
      <c r="D6998" s="163" t="s">
        <v>7777</v>
      </c>
      <c r="E6998" s="164" t="n">
        <v>50000</v>
      </c>
      <c r="F6998" s="165" t="s">
        <v>10923</v>
      </c>
    </row>
    <row r="6999" customFormat="false" ht="15" hidden="false" customHeight="true" outlineLevel="0" collapsed="false">
      <c r="A6999" s="163" t="s">
        <v>3024</v>
      </c>
      <c r="B6999" s="163" t="s">
        <v>2027</v>
      </c>
      <c r="C6999" s="163" t="s">
        <v>473</v>
      </c>
      <c r="D6999" s="163" t="s">
        <v>2764</v>
      </c>
      <c r="E6999" s="164" t="n">
        <v>20000</v>
      </c>
      <c r="F6999" s="165" t="s">
        <v>10924</v>
      </c>
    </row>
    <row r="7000" customFormat="false" ht="15" hidden="false" customHeight="true" outlineLevel="0" collapsed="false">
      <c r="A7000" s="163" t="s">
        <v>3024</v>
      </c>
      <c r="B7000" s="163" t="s">
        <v>2027</v>
      </c>
      <c r="C7000" s="163" t="s">
        <v>5028</v>
      </c>
      <c r="D7000" s="163" t="s">
        <v>1931</v>
      </c>
      <c r="E7000" s="164" t="n">
        <v>20000</v>
      </c>
      <c r="F7000" s="165" t="s">
        <v>10901</v>
      </c>
    </row>
    <row r="7001" customFormat="false" ht="15" hidden="false" customHeight="true" outlineLevel="0" collapsed="false">
      <c r="A7001" s="163" t="s">
        <v>3024</v>
      </c>
      <c r="B7001" s="163" t="s">
        <v>2037</v>
      </c>
      <c r="C7001" s="163" t="s">
        <v>10925</v>
      </c>
      <c r="D7001" s="163" t="s">
        <v>10926</v>
      </c>
      <c r="E7001" s="164" t="n">
        <v>39500</v>
      </c>
      <c r="F7001" s="165" t="s">
        <v>10901</v>
      </c>
    </row>
    <row r="7002" customFormat="false" ht="15" hidden="false" customHeight="true" outlineLevel="0" collapsed="false">
      <c r="A7002" s="163" t="s">
        <v>3024</v>
      </c>
      <c r="B7002" s="163" t="s">
        <v>2037</v>
      </c>
      <c r="C7002" s="163" t="s">
        <v>5266</v>
      </c>
      <c r="D7002" s="163" t="s">
        <v>5267</v>
      </c>
      <c r="E7002" s="164" t="n">
        <v>39500</v>
      </c>
      <c r="F7002" s="165" t="s">
        <v>10901</v>
      </c>
    </row>
    <row r="7003" customFormat="false" ht="15" hidden="false" customHeight="true" outlineLevel="0" collapsed="false">
      <c r="A7003" s="163" t="s">
        <v>3024</v>
      </c>
      <c r="B7003" s="163" t="s">
        <v>2037</v>
      </c>
      <c r="C7003" s="163" t="s">
        <v>10927</v>
      </c>
      <c r="D7003" s="163" t="s">
        <v>10928</v>
      </c>
      <c r="E7003" s="164" t="n">
        <v>27000</v>
      </c>
      <c r="F7003" s="165" t="s">
        <v>10901</v>
      </c>
    </row>
    <row r="7004" customFormat="false" ht="15" hidden="false" customHeight="true" outlineLevel="0" collapsed="false">
      <c r="A7004" s="163" t="s">
        <v>3024</v>
      </c>
      <c r="B7004" s="163" t="s">
        <v>2037</v>
      </c>
      <c r="C7004" s="163" t="s">
        <v>6627</v>
      </c>
      <c r="D7004" s="163" t="s">
        <v>6628</v>
      </c>
      <c r="E7004" s="164" t="n">
        <v>12250</v>
      </c>
      <c r="F7004" s="165" t="s">
        <v>10901</v>
      </c>
    </row>
    <row r="7005" customFormat="false" ht="15" hidden="false" customHeight="true" outlineLevel="0" collapsed="false">
      <c r="A7005" s="163" t="s">
        <v>3024</v>
      </c>
      <c r="B7005" s="163" t="s">
        <v>2037</v>
      </c>
      <c r="C7005" s="163" t="s">
        <v>3799</v>
      </c>
      <c r="D7005" s="163" t="s">
        <v>3800</v>
      </c>
      <c r="E7005" s="164" t="n">
        <v>7375</v>
      </c>
      <c r="F7005" s="165" t="s">
        <v>10901</v>
      </c>
    </row>
    <row r="7006" customFormat="false" ht="15" hidden="false" customHeight="true" outlineLevel="0" collapsed="false">
      <c r="A7006" s="163" t="s">
        <v>3024</v>
      </c>
      <c r="B7006" s="163" t="s">
        <v>2037</v>
      </c>
      <c r="C7006" s="163" t="s">
        <v>6945</v>
      </c>
      <c r="D7006" s="163" t="s">
        <v>6946</v>
      </c>
      <c r="E7006" s="164" t="n">
        <v>7375</v>
      </c>
      <c r="F7006" s="165" t="s">
        <v>10901</v>
      </c>
    </row>
    <row r="7007" customFormat="false" ht="15" hidden="false" customHeight="true" outlineLevel="0" collapsed="false">
      <c r="A7007" s="163" t="s">
        <v>3024</v>
      </c>
      <c r="B7007" s="163" t="s">
        <v>894</v>
      </c>
      <c r="C7007" s="163" t="s">
        <v>7783</v>
      </c>
      <c r="D7007" s="163" t="s">
        <v>7784</v>
      </c>
      <c r="E7007" s="164" t="n">
        <v>40000</v>
      </c>
      <c r="F7007" s="165" t="s">
        <v>10929</v>
      </c>
    </row>
    <row r="7008" customFormat="false" ht="15" hidden="false" customHeight="true" outlineLevel="0" collapsed="false">
      <c r="A7008" s="163" t="s">
        <v>3024</v>
      </c>
      <c r="B7008" s="163" t="s">
        <v>894</v>
      </c>
      <c r="C7008" s="163" t="s">
        <v>6813</v>
      </c>
      <c r="D7008" s="163" t="s">
        <v>6814</v>
      </c>
      <c r="E7008" s="164" t="n">
        <v>39500</v>
      </c>
      <c r="F7008" s="165" t="s">
        <v>10930</v>
      </c>
    </row>
    <row r="7009" customFormat="false" ht="15" hidden="false" customHeight="true" outlineLevel="0" collapsed="false">
      <c r="A7009" s="163" t="s">
        <v>3024</v>
      </c>
      <c r="B7009" s="163" t="s">
        <v>894</v>
      </c>
      <c r="C7009" s="163" t="s">
        <v>10931</v>
      </c>
      <c r="D7009" s="163" t="s">
        <v>10932</v>
      </c>
      <c r="E7009" s="164" t="n">
        <v>30000</v>
      </c>
      <c r="F7009" s="165" t="s">
        <v>3060</v>
      </c>
    </row>
    <row r="7010" customFormat="false" ht="15" hidden="false" customHeight="true" outlineLevel="0" collapsed="false">
      <c r="A7010" s="163" t="s">
        <v>3024</v>
      </c>
      <c r="B7010" s="163" t="s">
        <v>894</v>
      </c>
      <c r="C7010" s="163" t="s">
        <v>10933</v>
      </c>
      <c r="D7010" s="163" t="s">
        <v>10934</v>
      </c>
      <c r="E7010" s="164" t="n">
        <v>25000</v>
      </c>
      <c r="F7010" s="165" t="s">
        <v>10935</v>
      </c>
    </row>
    <row r="7011" customFormat="false" ht="15" hidden="false" customHeight="true" outlineLevel="0" collapsed="false">
      <c r="A7011" s="163" t="s">
        <v>3024</v>
      </c>
      <c r="B7011" s="163" t="s">
        <v>894</v>
      </c>
      <c r="C7011" s="163" t="s">
        <v>7776</v>
      </c>
      <c r="D7011" s="163" t="s">
        <v>7777</v>
      </c>
      <c r="E7011" s="164" t="n">
        <v>25000</v>
      </c>
      <c r="F7011" s="165" t="s">
        <v>10891</v>
      </c>
    </row>
    <row r="7012" customFormat="false" ht="15" hidden="false" customHeight="true" outlineLevel="0" collapsed="false">
      <c r="A7012" s="163" t="s">
        <v>3024</v>
      </c>
      <c r="B7012" s="163" t="s">
        <v>894</v>
      </c>
      <c r="C7012" s="163" t="s">
        <v>5244</v>
      </c>
      <c r="D7012" s="163" t="s">
        <v>5245</v>
      </c>
      <c r="E7012" s="164" t="n">
        <v>22000</v>
      </c>
      <c r="F7012" s="165" t="s">
        <v>10936</v>
      </c>
    </row>
    <row r="7013" customFormat="false" ht="15" hidden="false" customHeight="true" outlineLevel="0" collapsed="false">
      <c r="A7013" s="163" t="s">
        <v>3024</v>
      </c>
      <c r="B7013" s="163" t="s">
        <v>894</v>
      </c>
      <c r="C7013" s="163" t="s">
        <v>7783</v>
      </c>
      <c r="D7013" s="163" t="s">
        <v>7784</v>
      </c>
      <c r="E7013" s="164" t="n">
        <v>22000</v>
      </c>
      <c r="F7013" s="165" t="s">
        <v>10937</v>
      </c>
    </row>
    <row r="7014" customFormat="false" ht="15" hidden="false" customHeight="true" outlineLevel="0" collapsed="false">
      <c r="A7014" s="163" t="s">
        <v>3024</v>
      </c>
      <c r="B7014" s="163" t="s">
        <v>894</v>
      </c>
      <c r="C7014" s="163" t="s">
        <v>2167</v>
      </c>
      <c r="D7014" s="163" t="s">
        <v>1931</v>
      </c>
      <c r="E7014" s="164" t="n">
        <v>21000</v>
      </c>
      <c r="F7014" s="165" t="s">
        <v>3060</v>
      </c>
    </row>
    <row r="7015" customFormat="false" ht="15" hidden="false" customHeight="true" outlineLevel="0" collapsed="false">
      <c r="A7015" s="163" t="s">
        <v>3024</v>
      </c>
      <c r="B7015" s="163" t="s">
        <v>894</v>
      </c>
      <c r="C7015" s="163" t="s">
        <v>10938</v>
      </c>
      <c r="D7015" s="163" t="s">
        <v>10939</v>
      </c>
      <c r="E7015" s="164" t="n">
        <v>20000</v>
      </c>
      <c r="F7015" s="165" t="s">
        <v>10940</v>
      </c>
    </row>
    <row r="7016" customFormat="false" ht="15" hidden="false" customHeight="true" outlineLevel="0" collapsed="false">
      <c r="A7016" s="163" t="s">
        <v>3024</v>
      </c>
      <c r="B7016" s="163" t="s">
        <v>894</v>
      </c>
      <c r="C7016" s="163" t="s">
        <v>8932</v>
      </c>
      <c r="D7016" s="163" t="s">
        <v>8933</v>
      </c>
      <c r="E7016" s="164" t="n">
        <v>15000</v>
      </c>
      <c r="F7016" s="165" t="s">
        <v>10941</v>
      </c>
    </row>
    <row r="7017" customFormat="false" ht="15" hidden="false" customHeight="true" outlineLevel="0" collapsed="false">
      <c r="A7017" s="163" t="s">
        <v>3024</v>
      </c>
      <c r="B7017" s="163" t="s">
        <v>894</v>
      </c>
      <c r="C7017" s="163" t="s">
        <v>7783</v>
      </c>
      <c r="D7017" s="163" t="s">
        <v>7784</v>
      </c>
      <c r="E7017" s="164" t="n">
        <v>15000</v>
      </c>
      <c r="F7017" s="165" t="s">
        <v>10942</v>
      </c>
    </row>
    <row r="7018" customFormat="false" ht="15" hidden="false" customHeight="true" outlineLevel="0" collapsed="false">
      <c r="A7018" s="163" t="s">
        <v>3024</v>
      </c>
      <c r="B7018" s="163" t="s">
        <v>894</v>
      </c>
      <c r="C7018" s="163" t="s">
        <v>10919</v>
      </c>
      <c r="D7018" s="163" t="s">
        <v>10920</v>
      </c>
      <c r="E7018" s="164" t="n">
        <v>12000</v>
      </c>
      <c r="F7018" s="165" t="s">
        <v>10943</v>
      </c>
    </row>
    <row r="7019" customFormat="false" ht="15" hidden="false" customHeight="true" outlineLevel="0" collapsed="false">
      <c r="A7019" s="163" t="s">
        <v>3024</v>
      </c>
      <c r="B7019" s="163" t="s">
        <v>894</v>
      </c>
      <c r="C7019" s="163" t="s">
        <v>10538</v>
      </c>
      <c r="D7019" s="163" t="s">
        <v>10539</v>
      </c>
      <c r="E7019" s="164" t="n">
        <v>10000</v>
      </c>
      <c r="F7019" s="165" t="s">
        <v>4858</v>
      </c>
    </row>
    <row r="7020" customFormat="false" ht="15" hidden="false" customHeight="true" outlineLevel="0" collapsed="false">
      <c r="A7020" s="163" t="s">
        <v>3024</v>
      </c>
      <c r="B7020" s="163" t="s">
        <v>894</v>
      </c>
      <c r="C7020" s="163" t="s">
        <v>4995</v>
      </c>
      <c r="D7020" s="163" t="s">
        <v>4996</v>
      </c>
      <c r="E7020" s="164" t="n">
        <v>10000</v>
      </c>
      <c r="F7020" s="165" t="s">
        <v>10944</v>
      </c>
    </row>
    <row r="7021" customFormat="false" ht="15" hidden="false" customHeight="true" outlineLevel="0" collapsed="false">
      <c r="A7021" s="163" t="s">
        <v>3024</v>
      </c>
      <c r="B7021" s="163" t="s">
        <v>894</v>
      </c>
      <c r="C7021" s="163" t="s">
        <v>10945</v>
      </c>
      <c r="D7021" s="163" t="s">
        <v>10946</v>
      </c>
      <c r="E7021" s="164" t="n">
        <v>10000</v>
      </c>
      <c r="F7021" s="165" t="s">
        <v>10947</v>
      </c>
    </row>
    <row r="7022" customFormat="false" ht="15" hidden="false" customHeight="true" outlineLevel="0" collapsed="false">
      <c r="A7022" s="163" t="s">
        <v>3024</v>
      </c>
      <c r="B7022" s="163" t="s">
        <v>894</v>
      </c>
      <c r="C7022" s="163" t="s">
        <v>4986</v>
      </c>
      <c r="D7022" s="163" t="s">
        <v>4987</v>
      </c>
      <c r="E7022" s="164" t="n">
        <v>10000</v>
      </c>
      <c r="F7022" s="165" t="s">
        <v>10948</v>
      </c>
    </row>
    <row r="7023" customFormat="false" ht="15" hidden="false" customHeight="true" outlineLevel="0" collapsed="false">
      <c r="A7023" s="163" t="s">
        <v>3024</v>
      </c>
      <c r="B7023" s="163" t="s">
        <v>894</v>
      </c>
      <c r="C7023" s="163" t="s">
        <v>8276</v>
      </c>
      <c r="D7023" s="163" t="s">
        <v>8277</v>
      </c>
      <c r="E7023" s="164" t="n">
        <v>10000</v>
      </c>
      <c r="F7023" s="165" t="s">
        <v>10901</v>
      </c>
    </row>
    <row r="7024" customFormat="false" ht="15" hidden="false" customHeight="true" outlineLevel="0" collapsed="false">
      <c r="A7024" s="163" t="s">
        <v>3024</v>
      </c>
      <c r="B7024" s="163" t="s">
        <v>894</v>
      </c>
      <c r="C7024" s="163" t="s">
        <v>452</v>
      </c>
      <c r="D7024" s="163" t="s">
        <v>1931</v>
      </c>
      <c r="E7024" s="164" t="n">
        <v>10000</v>
      </c>
      <c r="F7024" s="165" t="s">
        <v>10949</v>
      </c>
    </row>
    <row r="7025" customFormat="false" ht="15" hidden="false" customHeight="true" outlineLevel="0" collapsed="false">
      <c r="A7025" s="163" t="s">
        <v>3024</v>
      </c>
      <c r="B7025" s="163" t="s">
        <v>894</v>
      </c>
      <c r="C7025" s="163" t="s">
        <v>5266</v>
      </c>
      <c r="D7025" s="163" t="s">
        <v>5267</v>
      </c>
      <c r="E7025" s="164" t="n">
        <v>10000</v>
      </c>
      <c r="F7025" s="165" t="s">
        <v>10950</v>
      </c>
    </row>
    <row r="7026" customFormat="false" ht="15" hidden="false" customHeight="true" outlineLevel="0" collapsed="false">
      <c r="A7026" s="163" t="s">
        <v>3024</v>
      </c>
      <c r="B7026" s="163" t="s">
        <v>894</v>
      </c>
      <c r="C7026" s="163" t="s">
        <v>10925</v>
      </c>
      <c r="D7026" s="163" t="s">
        <v>10926</v>
      </c>
      <c r="E7026" s="164" t="n">
        <v>7000</v>
      </c>
      <c r="F7026" s="165" t="s">
        <v>10951</v>
      </c>
    </row>
    <row r="7027" customFormat="false" ht="15" hidden="false" customHeight="true" outlineLevel="0" collapsed="false">
      <c r="A7027" s="163" t="s">
        <v>3024</v>
      </c>
      <c r="B7027" s="163" t="s">
        <v>894</v>
      </c>
      <c r="C7027" s="163" t="s">
        <v>974</v>
      </c>
      <c r="D7027" s="163" t="s">
        <v>1931</v>
      </c>
      <c r="E7027" s="164" t="n">
        <v>7000</v>
      </c>
      <c r="F7027" s="165" t="s">
        <v>10952</v>
      </c>
    </row>
    <row r="7028" customFormat="false" ht="15" hidden="false" customHeight="true" outlineLevel="0" collapsed="false">
      <c r="A7028" s="163" t="s">
        <v>3024</v>
      </c>
      <c r="B7028" s="163" t="s">
        <v>894</v>
      </c>
      <c r="C7028" s="163" t="s">
        <v>10953</v>
      </c>
      <c r="D7028" s="163" t="s">
        <v>10954</v>
      </c>
      <c r="E7028" s="164" t="n">
        <v>5000</v>
      </c>
      <c r="F7028" s="165" t="s">
        <v>10955</v>
      </c>
    </row>
    <row r="7029" customFormat="false" ht="15" hidden="false" customHeight="true" outlineLevel="0" collapsed="false">
      <c r="A7029" s="163" t="s">
        <v>3024</v>
      </c>
      <c r="B7029" s="163" t="s">
        <v>894</v>
      </c>
      <c r="C7029" s="163" t="s">
        <v>3317</v>
      </c>
      <c r="D7029" s="163" t="s">
        <v>3318</v>
      </c>
      <c r="E7029" s="164" t="n">
        <v>5000</v>
      </c>
      <c r="F7029" s="165" t="s">
        <v>10901</v>
      </c>
    </row>
    <row r="7030" customFormat="false" ht="15" hidden="false" customHeight="true" outlineLevel="0" collapsed="false">
      <c r="A7030" s="163" t="s">
        <v>3024</v>
      </c>
      <c r="B7030" s="163" t="s">
        <v>894</v>
      </c>
      <c r="C7030" s="163" t="s">
        <v>3243</v>
      </c>
      <c r="D7030" s="163" t="s">
        <v>3244</v>
      </c>
      <c r="E7030" s="164" t="n">
        <v>5000</v>
      </c>
      <c r="F7030" s="165" t="s">
        <v>10901</v>
      </c>
    </row>
    <row r="7031" customFormat="false" ht="15" hidden="false" customHeight="true" outlineLevel="0" collapsed="false">
      <c r="A7031" s="163" t="s">
        <v>3024</v>
      </c>
      <c r="B7031" s="163" t="s">
        <v>894</v>
      </c>
      <c r="C7031" s="163" t="s">
        <v>10956</v>
      </c>
      <c r="D7031" s="163" t="s">
        <v>10957</v>
      </c>
      <c r="E7031" s="164" t="n">
        <v>5000</v>
      </c>
      <c r="F7031" s="165" t="s">
        <v>10901</v>
      </c>
    </row>
    <row r="7032" customFormat="false" ht="15" hidden="false" customHeight="true" outlineLevel="0" collapsed="false">
      <c r="A7032" s="163" t="s">
        <v>3024</v>
      </c>
      <c r="B7032" s="163" t="s">
        <v>894</v>
      </c>
      <c r="C7032" s="163" t="s">
        <v>10958</v>
      </c>
      <c r="D7032" s="163" t="s">
        <v>10959</v>
      </c>
      <c r="E7032" s="164" t="n">
        <v>5000</v>
      </c>
      <c r="F7032" s="165" t="s">
        <v>10901</v>
      </c>
    </row>
    <row r="7033" customFormat="false" ht="15" hidden="false" customHeight="true" outlineLevel="0" collapsed="false">
      <c r="A7033" s="163" t="s">
        <v>3024</v>
      </c>
      <c r="B7033" s="163" t="s">
        <v>894</v>
      </c>
      <c r="C7033" s="163" t="s">
        <v>5028</v>
      </c>
      <c r="D7033" s="163" t="s">
        <v>1931</v>
      </c>
      <c r="E7033" s="164" t="n">
        <v>2500</v>
      </c>
      <c r="F7033" s="165" t="s">
        <v>10960</v>
      </c>
    </row>
    <row r="7034" customFormat="false" ht="15" hidden="false" customHeight="true" outlineLevel="0" collapsed="false">
      <c r="A7034" s="163" t="s">
        <v>3024</v>
      </c>
      <c r="B7034" s="163" t="s">
        <v>894</v>
      </c>
      <c r="C7034" s="163" t="s">
        <v>10961</v>
      </c>
      <c r="D7034" s="163" t="s">
        <v>1931</v>
      </c>
      <c r="E7034" s="164" t="n">
        <v>1000</v>
      </c>
      <c r="F7034" s="165" t="s">
        <v>10901</v>
      </c>
    </row>
    <row r="7035" customFormat="false" ht="15" hidden="false" customHeight="true" outlineLevel="0" collapsed="false">
      <c r="A7035" s="163" t="s">
        <v>3024</v>
      </c>
      <c r="B7035" s="163" t="s">
        <v>894</v>
      </c>
      <c r="C7035" s="163" t="s">
        <v>10962</v>
      </c>
      <c r="D7035" s="163" t="s">
        <v>1931</v>
      </c>
      <c r="E7035" s="164" t="n">
        <v>1000</v>
      </c>
      <c r="F7035" s="165" t="s">
        <v>10901</v>
      </c>
    </row>
    <row r="7036" customFormat="false" ht="15" hidden="false" customHeight="true" outlineLevel="0" collapsed="false">
      <c r="A7036" s="163" t="s">
        <v>3024</v>
      </c>
      <c r="B7036" s="163" t="s">
        <v>882</v>
      </c>
      <c r="C7036" s="163" t="s">
        <v>2759</v>
      </c>
      <c r="D7036" s="163" t="s">
        <v>2760</v>
      </c>
      <c r="E7036" s="164" t="n">
        <v>237000</v>
      </c>
      <c r="F7036" s="165" t="s">
        <v>10963</v>
      </c>
    </row>
    <row r="7037" customFormat="false" ht="15" hidden="false" customHeight="true" outlineLevel="0" collapsed="false">
      <c r="A7037" s="163" t="s">
        <v>3024</v>
      </c>
      <c r="B7037" s="163" t="s">
        <v>882</v>
      </c>
      <c r="C7037" s="163" t="s">
        <v>2759</v>
      </c>
      <c r="D7037" s="163" t="s">
        <v>2760</v>
      </c>
      <c r="E7037" s="164" t="n">
        <v>43000</v>
      </c>
      <c r="F7037" s="165" t="s">
        <v>10964</v>
      </c>
    </row>
    <row r="7038" customFormat="false" ht="15" hidden="false" customHeight="true" outlineLevel="0" collapsed="false">
      <c r="A7038" s="163" t="s">
        <v>3024</v>
      </c>
      <c r="B7038" s="163" t="s">
        <v>2328</v>
      </c>
      <c r="C7038" s="163" t="s">
        <v>10931</v>
      </c>
      <c r="D7038" s="163" t="s">
        <v>10932</v>
      </c>
      <c r="E7038" s="164" t="n">
        <v>30000</v>
      </c>
      <c r="F7038" s="165" t="s">
        <v>6527</v>
      </c>
    </row>
    <row r="7039" customFormat="false" ht="15" hidden="false" customHeight="true" outlineLevel="0" collapsed="false">
      <c r="A7039" s="163" t="s">
        <v>3024</v>
      </c>
      <c r="B7039" s="163" t="s">
        <v>2328</v>
      </c>
      <c r="C7039" s="163" t="s">
        <v>10965</v>
      </c>
      <c r="D7039" s="163" t="s">
        <v>10966</v>
      </c>
      <c r="E7039" s="164" t="n">
        <v>10000</v>
      </c>
      <c r="F7039" s="165" t="s">
        <v>10967</v>
      </c>
    </row>
    <row r="7040" customFormat="false" ht="15" hidden="false" customHeight="true" outlineLevel="0" collapsed="false">
      <c r="A7040" s="163" t="s">
        <v>3024</v>
      </c>
      <c r="B7040" s="163" t="s">
        <v>2328</v>
      </c>
      <c r="C7040" s="163" t="s">
        <v>10965</v>
      </c>
      <c r="D7040" s="163" t="s">
        <v>10966</v>
      </c>
      <c r="E7040" s="164" t="n">
        <v>10000</v>
      </c>
      <c r="F7040" s="165" t="s">
        <v>10968</v>
      </c>
    </row>
    <row r="7041" customFormat="false" ht="15" hidden="false" customHeight="true" outlineLevel="0" collapsed="false">
      <c r="A7041" s="163" t="s">
        <v>3024</v>
      </c>
      <c r="B7041" s="163" t="s">
        <v>2342</v>
      </c>
      <c r="C7041" s="163" t="s">
        <v>197</v>
      </c>
      <c r="D7041" s="163" t="s">
        <v>1931</v>
      </c>
      <c r="E7041" s="164" t="n">
        <v>25000</v>
      </c>
      <c r="F7041" s="165" t="s">
        <v>10969</v>
      </c>
    </row>
    <row r="7042" customFormat="false" ht="15" hidden="false" customHeight="true" outlineLevel="0" collapsed="false">
      <c r="A7042" s="163" t="s">
        <v>3024</v>
      </c>
      <c r="B7042" s="163" t="s">
        <v>2342</v>
      </c>
      <c r="C7042" s="163" t="s">
        <v>197</v>
      </c>
      <c r="D7042" s="163" t="s">
        <v>1931</v>
      </c>
      <c r="E7042" s="164" t="n">
        <v>16250</v>
      </c>
      <c r="F7042" s="165" t="s">
        <v>10970</v>
      </c>
    </row>
    <row r="7043" customFormat="false" ht="15" hidden="false" customHeight="true" outlineLevel="0" collapsed="false">
      <c r="A7043" s="163" t="s">
        <v>3024</v>
      </c>
      <c r="B7043" s="163" t="s">
        <v>2342</v>
      </c>
      <c r="C7043" s="163" t="s">
        <v>197</v>
      </c>
      <c r="D7043" s="163" t="s">
        <v>1931</v>
      </c>
      <c r="E7043" s="164" t="n">
        <v>16250</v>
      </c>
      <c r="F7043" s="165" t="s">
        <v>10971</v>
      </c>
    </row>
    <row r="7044" customFormat="false" ht="15" hidden="false" customHeight="true" outlineLevel="0" collapsed="false">
      <c r="A7044" s="163" t="s">
        <v>3024</v>
      </c>
      <c r="B7044" s="163" t="s">
        <v>2342</v>
      </c>
      <c r="C7044" s="163" t="s">
        <v>197</v>
      </c>
      <c r="D7044" s="163" t="s">
        <v>1931</v>
      </c>
      <c r="E7044" s="164" t="n">
        <v>16250</v>
      </c>
      <c r="F7044" s="165" t="s">
        <v>10972</v>
      </c>
    </row>
    <row r="7045" customFormat="false" ht="15" hidden="false" customHeight="true" outlineLevel="0" collapsed="false">
      <c r="A7045" s="163" t="s">
        <v>3024</v>
      </c>
      <c r="B7045" s="163" t="s">
        <v>2342</v>
      </c>
      <c r="C7045" s="163" t="s">
        <v>10885</v>
      </c>
      <c r="D7045" s="163" t="s">
        <v>10886</v>
      </c>
      <c r="E7045" s="164" t="n">
        <v>10000</v>
      </c>
      <c r="F7045" s="165" t="s">
        <v>10973</v>
      </c>
    </row>
    <row r="7046" customFormat="false" ht="15" hidden="false" customHeight="true" outlineLevel="0" collapsed="false">
      <c r="A7046" s="163" t="s">
        <v>3024</v>
      </c>
      <c r="B7046" s="163" t="s">
        <v>2342</v>
      </c>
      <c r="C7046" s="163" t="s">
        <v>197</v>
      </c>
      <c r="D7046" s="163" t="s">
        <v>1931</v>
      </c>
      <c r="E7046" s="164" t="n">
        <v>6250</v>
      </c>
      <c r="F7046" s="165" t="s">
        <v>10974</v>
      </c>
    </row>
    <row r="7047" customFormat="false" ht="15" hidden="false" customHeight="true" outlineLevel="0" collapsed="false">
      <c r="A7047" s="163" t="s">
        <v>3024</v>
      </c>
      <c r="B7047" s="163" t="s">
        <v>2766</v>
      </c>
      <c r="C7047" s="163" t="s">
        <v>4890</v>
      </c>
      <c r="D7047" s="163" t="s">
        <v>4891</v>
      </c>
      <c r="E7047" s="164" t="n">
        <v>15000</v>
      </c>
      <c r="F7047" s="165" t="s">
        <v>10895</v>
      </c>
    </row>
    <row r="7048" customFormat="false" ht="15" hidden="false" customHeight="true" outlineLevel="0" collapsed="false">
      <c r="A7048" s="163" t="s">
        <v>3024</v>
      </c>
      <c r="B7048" s="163" t="s">
        <v>2766</v>
      </c>
      <c r="C7048" s="163" t="s">
        <v>10293</v>
      </c>
      <c r="D7048" s="163" t="s">
        <v>10294</v>
      </c>
      <c r="E7048" s="164" t="n">
        <v>15000</v>
      </c>
      <c r="F7048" s="165" t="s">
        <v>10975</v>
      </c>
    </row>
    <row r="7049" customFormat="false" ht="15" hidden="false" customHeight="true" outlineLevel="0" collapsed="false">
      <c r="A7049" s="163" t="s">
        <v>3024</v>
      </c>
      <c r="B7049" s="163" t="s">
        <v>2766</v>
      </c>
      <c r="C7049" s="163" t="s">
        <v>4957</v>
      </c>
      <c r="D7049" s="163" t="s">
        <v>4958</v>
      </c>
      <c r="E7049" s="164" t="n">
        <v>15000</v>
      </c>
      <c r="F7049" s="165" t="s">
        <v>10975</v>
      </c>
    </row>
    <row r="7050" customFormat="false" ht="15" hidden="false" customHeight="true" outlineLevel="0" collapsed="false">
      <c r="A7050" s="163" t="s">
        <v>3024</v>
      </c>
      <c r="B7050" s="163" t="s">
        <v>2766</v>
      </c>
      <c r="C7050" s="163" t="s">
        <v>10429</v>
      </c>
      <c r="D7050" s="163" t="s">
        <v>10430</v>
      </c>
      <c r="E7050" s="164" t="n">
        <v>15000</v>
      </c>
      <c r="F7050" s="165" t="s">
        <v>10976</v>
      </c>
    </row>
    <row r="7051" customFormat="false" ht="15" hidden="false" customHeight="true" outlineLevel="0" collapsed="false">
      <c r="A7051" s="163" t="s">
        <v>3024</v>
      </c>
      <c r="B7051" s="163" t="s">
        <v>2766</v>
      </c>
      <c r="C7051" s="163" t="s">
        <v>4946</v>
      </c>
      <c r="D7051" s="163" t="s">
        <v>4947</v>
      </c>
      <c r="E7051" s="164" t="n">
        <v>15000</v>
      </c>
      <c r="F7051" s="165" t="s">
        <v>10977</v>
      </c>
    </row>
    <row r="7052" customFormat="false" ht="15" hidden="false" customHeight="true" outlineLevel="0" collapsed="false">
      <c r="A7052" s="163" t="s">
        <v>3024</v>
      </c>
      <c r="B7052" s="163" t="s">
        <v>1743</v>
      </c>
      <c r="C7052" s="163" t="s">
        <v>7776</v>
      </c>
      <c r="D7052" s="163" t="s">
        <v>7777</v>
      </c>
      <c r="E7052" s="164" t="n">
        <v>50000</v>
      </c>
      <c r="F7052" s="165" t="s">
        <v>10978</v>
      </c>
    </row>
    <row r="7053" customFormat="false" ht="15" hidden="false" customHeight="true" outlineLevel="0" collapsed="false">
      <c r="A7053" s="163" t="s">
        <v>3024</v>
      </c>
      <c r="B7053" s="163" t="s">
        <v>1743</v>
      </c>
      <c r="C7053" s="163" t="s">
        <v>975</v>
      </c>
      <c r="D7053" s="163" t="s">
        <v>8228</v>
      </c>
      <c r="E7053" s="164" t="n">
        <v>26000</v>
      </c>
      <c r="F7053" s="165" t="s">
        <v>10895</v>
      </c>
    </row>
    <row r="7054" customFormat="false" ht="15" hidden="false" customHeight="true" outlineLevel="0" collapsed="false">
      <c r="A7054" s="163" t="s">
        <v>3024</v>
      </c>
      <c r="B7054" s="163" t="s">
        <v>1743</v>
      </c>
      <c r="C7054" s="163" t="s">
        <v>5121</v>
      </c>
      <c r="D7054" s="163" t="s">
        <v>5122</v>
      </c>
      <c r="E7054" s="164" t="n">
        <v>25000</v>
      </c>
      <c r="F7054" s="165" t="s">
        <v>10894</v>
      </c>
    </row>
    <row r="7055" customFormat="false" ht="15" hidden="false" customHeight="true" outlineLevel="0" collapsed="false">
      <c r="A7055" s="163" t="s">
        <v>3024</v>
      </c>
      <c r="B7055" s="163" t="s">
        <v>1743</v>
      </c>
      <c r="C7055" s="163" t="s">
        <v>4635</v>
      </c>
      <c r="D7055" s="163" t="s">
        <v>4636</v>
      </c>
      <c r="E7055" s="164" t="n">
        <v>20000</v>
      </c>
      <c r="F7055" s="165" t="s">
        <v>10979</v>
      </c>
    </row>
    <row r="7056" customFormat="false" ht="15" hidden="false" customHeight="true" outlineLevel="0" collapsed="false">
      <c r="A7056" s="163" t="s">
        <v>3024</v>
      </c>
      <c r="B7056" s="163" t="s">
        <v>1743</v>
      </c>
      <c r="C7056" s="163" t="s">
        <v>5244</v>
      </c>
      <c r="D7056" s="163" t="s">
        <v>5245</v>
      </c>
      <c r="E7056" s="164" t="n">
        <v>17000</v>
      </c>
      <c r="F7056" s="165" t="s">
        <v>10980</v>
      </c>
    </row>
    <row r="7057" customFormat="false" ht="15" hidden="false" customHeight="true" outlineLevel="0" collapsed="false">
      <c r="A7057" s="163" t="s">
        <v>3024</v>
      </c>
      <c r="B7057" s="163" t="s">
        <v>1743</v>
      </c>
      <c r="C7057" s="163" t="s">
        <v>7783</v>
      </c>
      <c r="D7057" s="163" t="s">
        <v>7784</v>
      </c>
      <c r="E7057" s="164" t="n">
        <v>12000</v>
      </c>
      <c r="F7057" s="165" t="s">
        <v>10978</v>
      </c>
    </row>
    <row r="7058" customFormat="false" ht="15" hidden="false" customHeight="true" outlineLevel="0" collapsed="false">
      <c r="A7058" s="163" t="s">
        <v>3024</v>
      </c>
      <c r="B7058" s="163" t="s">
        <v>928</v>
      </c>
      <c r="C7058" s="163" t="s">
        <v>7776</v>
      </c>
      <c r="D7058" s="163" t="s">
        <v>7777</v>
      </c>
      <c r="E7058" s="164" t="n">
        <v>50000</v>
      </c>
      <c r="F7058" s="165" t="s">
        <v>10981</v>
      </c>
    </row>
    <row r="7059" customFormat="false" ht="15" hidden="false" customHeight="true" outlineLevel="0" collapsed="false">
      <c r="A7059" s="163" t="s">
        <v>3024</v>
      </c>
      <c r="B7059" s="163" t="s">
        <v>928</v>
      </c>
      <c r="C7059" s="163" t="s">
        <v>5244</v>
      </c>
      <c r="D7059" s="163" t="s">
        <v>5245</v>
      </c>
      <c r="E7059" s="164" t="n">
        <v>46000</v>
      </c>
      <c r="F7059" s="165" t="s">
        <v>10982</v>
      </c>
    </row>
    <row r="7060" customFormat="false" ht="15" hidden="false" customHeight="true" outlineLevel="0" collapsed="false">
      <c r="A7060" s="163" t="s">
        <v>3024</v>
      </c>
      <c r="B7060" s="163" t="s">
        <v>928</v>
      </c>
      <c r="C7060" s="163" t="s">
        <v>6467</v>
      </c>
      <c r="D7060" s="163" t="s">
        <v>6468</v>
      </c>
      <c r="E7060" s="164" t="n">
        <v>15000</v>
      </c>
      <c r="F7060" s="165" t="s">
        <v>10983</v>
      </c>
    </row>
    <row r="7061" customFormat="false" ht="15" hidden="false" customHeight="true" outlineLevel="0" collapsed="false">
      <c r="A7061" s="163" t="s">
        <v>3024</v>
      </c>
      <c r="B7061" s="163" t="s">
        <v>928</v>
      </c>
      <c r="C7061" s="163" t="s">
        <v>1159</v>
      </c>
      <c r="D7061" s="163" t="s">
        <v>1936</v>
      </c>
      <c r="E7061" s="164" t="n">
        <v>14000</v>
      </c>
      <c r="F7061" s="165" t="s">
        <v>10984</v>
      </c>
    </row>
    <row r="7062" customFormat="false" ht="15" hidden="false" customHeight="true" outlineLevel="0" collapsed="false">
      <c r="A7062" s="163" t="s">
        <v>3024</v>
      </c>
      <c r="B7062" s="163" t="s">
        <v>928</v>
      </c>
      <c r="C7062" s="163" t="s">
        <v>10885</v>
      </c>
      <c r="D7062" s="163" t="s">
        <v>10886</v>
      </c>
      <c r="E7062" s="164" t="n">
        <v>5000</v>
      </c>
      <c r="F7062" s="165" t="s">
        <v>10985</v>
      </c>
    </row>
    <row r="7063" customFormat="false" ht="15" hidden="false" customHeight="true" outlineLevel="0" collapsed="false">
      <c r="A7063" s="163" t="s">
        <v>3024</v>
      </c>
      <c r="B7063" s="163" t="s">
        <v>928</v>
      </c>
      <c r="C7063" s="163" t="s">
        <v>1199</v>
      </c>
      <c r="D7063" s="163" t="s">
        <v>1929</v>
      </c>
      <c r="E7063" s="164" t="n">
        <v>5000</v>
      </c>
      <c r="F7063" s="165" t="s">
        <v>10986</v>
      </c>
    </row>
    <row r="7064" customFormat="false" ht="15" hidden="false" customHeight="true" outlineLevel="0" collapsed="false">
      <c r="A7064" s="163" t="s">
        <v>3024</v>
      </c>
      <c r="B7064" s="163" t="s">
        <v>928</v>
      </c>
      <c r="C7064" s="163" t="s">
        <v>5313</v>
      </c>
      <c r="D7064" s="163" t="s">
        <v>5314</v>
      </c>
      <c r="E7064" s="164" t="n">
        <v>5000</v>
      </c>
      <c r="F7064" s="165" t="s">
        <v>10987</v>
      </c>
    </row>
    <row r="7065" customFormat="false" ht="15" hidden="false" customHeight="true" outlineLevel="0" collapsed="false">
      <c r="A7065" s="163" t="s">
        <v>3024</v>
      </c>
      <c r="B7065" s="163" t="s">
        <v>928</v>
      </c>
      <c r="C7065" s="163" t="s">
        <v>10988</v>
      </c>
      <c r="D7065" s="163" t="s">
        <v>10989</v>
      </c>
      <c r="E7065" s="164" t="n">
        <v>5000</v>
      </c>
      <c r="F7065" s="165" t="s">
        <v>10990</v>
      </c>
    </row>
    <row r="7066" customFormat="false" ht="15" hidden="false" customHeight="true" outlineLevel="0" collapsed="false">
      <c r="A7066" s="163" t="s">
        <v>3024</v>
      </c>
      <c r="B7066" s="163" t="s">
        <v>928</v>
      </c>
      <c r="C7066" s="163" t="s">
        <v>10991</v>
      </c>
      <c r="D7066" s="163" t="s">
        <v>10992</v>
      </c>
      <c r="E7066" s="164" t="n">
        <v>5000</v>
      </c>
      <c r="F7066" s="165" t="s">
        <v>2966</v>
      </c>
    </row>
    <row r="7067" customFormat="false" ht="15" hidden="false" customHeight="true" outlineLevel="0" collapsed="false">
      <c r="A7067" s="163" t="s">
        <v>3029</v>
      </c>
      <c r="B7067" s="163" t="s">
        <v>926</v>
      </c>
      <c r="C7067" s="163" t="s">
        <v>3709</v>
      </c>
      <c r="D7067" s="163" t="s">
        <v>3710</v>
      </c>
      <c r="E7067" s="164" t="n">
        <v>30000</v>
      </c>
      <c r="F7067" s="165" t="s">
        <v>10993</v>
      </c>
    </row>
    <row r="7068" customFormat="false" ht="15" hidden="false" customHeight="true" outlineLevel="0" collapsed="false">
      <c r="A7068" s="163" t="s">
        <v>3029</v>
      </c>
      <c r="B7068" s="163" t="s">
        <v>926</v>
      </c>
      <c r="C7068" s="163" t="s">
        <v>6671</v>
      </c>
      <c r="D7068" s="163" t="s">
        <v>6672</v>
      </c>
      <c r="E7068" s="164" t="n">
        <v>15000</v>
      </c>
      <c r="F7068" s="165" t="s">
        <v>10994</v>
      </c>
    </row>
    <row r="7069" customFormat="false" ht="15" hidden="false" customHeight="true" outlineLevel="0" collapsed="false">
      <c r="A7069" s="163" t="s">
        <v>3029</v>
      </c>
      <c r="B7069" s="163" t="s">
        <v>926</v>
      </c>
      <c r="C7069" s="163" t="s">
        <v>3706</v>
      </c>
      <c r="D7069" s="163" t="s">
        <v>3707</v>
      </c>
      <c r="E7069" s="164" t="n">
        <v>15000</v>
      </c>
      <c r="F7069" s="165" t="s">
        <v>10995</v>
      </c>
    </row>
    <row r="7070" customFormat="false" ht="15" hidden="false" customHeight="true" outlineLevel="0" collapsed="false">
      <c r="A7070" s="163" t="s">
        <v>3029</v>
      </c>
      <c r="B7070" s="163" t="s">
        <v>926</v>
      </c>
      <c r="C7070" s="163" t="s">
        <v>10996</v>
      </c>
      <c r="D7070" s="163" t="s">
        <v>10997</v>
      </c>
      <c r="E7070" s="164" t="n">
        <v>15000</v>
      </c>
      <c r="F7070" s="165" t="s">
        <v>10998</v>
      </c>
    </row>
    <row r="7071" customFormat="false" ht="15" hidden="false" customHeight="true" outlineLevel="0" collapsed="false">
      <c r="A7071" s="163" t="s">
        <v>3029</v>
      </c>
      <c r="B7071" s="163" t="s">
        <v>926</v>
      </c>
      <c r="C7071" s="163" t="s">
        <v>3939</v>
      </c>
      <c r="D7071" s="163" t="s">
        <v>3940</v>
      </c>
      <c r="E7071" s="164" t="n">
        <v>15000</v>
      </c>
      <c r="F7071" s="165" t="s">
        <v>10999</v>
      </c>
    </row>
    <row r="7072" customFormat="false" ht="15" hidden="false" customHeight="true" outlineLevel="0" collapsed="false">
      <c r="A7072" s="163" t="s">
        <v>3029</v>
      </c>
      <c r="B7072" s="163" t="s">
        <v>926</v>
      </c>
      <c r="C7072" s="163" t="s">
        <v>6678</v>
      </c>
      <c r="D7072" s="163" t="s">
        <v>6679</v>
      </c>
      <c r="E7072" s="164" t="n">
        <v>10000</v>
      </c>
      <c r="F7072" s="165" t="s">
        <v>11000</v>
      </c>
    </row>
    <row r="7073" customFormat="false" ht="15" hidden="false" customHeight="true" outlineLevel="0" collapsed="false">
      <c r="A7073" s="163" t="s">
        <v>3029</v>
      </c>
      <c r="B7073" s="163" t="s">
        <v>957</v>
      </c>
      <c r="C7073" s="163" t="s">
        <v>5214</v>
      </c>
      <c r="D7073" s="163" t="s">
        <v>5215</v>
      </c>
      <c r="E7073" s="164" t="n">
        <v>25000</v>
      </c>
      <c r="F7073" s="165" t="s">
        <v>11001</v>
      </c>
    </row>
    <row r="7074" customFormat="false" ht="15" hidden="false" customHeight="true" outlineLevel="0" collapsed="false">
      <c r="A7074" s="163" t="s">
        <v>3029</v>
      </c>
      <c r="B7074" s="163" t="s">
        <v>957</v>
      </c>
      <c r="C7074" s="163" t="s">
        <v>11002</v>
      </c>
      <c r="D7074" s="163" t="s">
        <v>11003</v>
      </c>
      <c r="E7074" s="164" t="n">
        <v>25000</v>
      </c>
      <c r="F7074" s="165" t="s">
        <v>11004</v>
      </c>
    </row>
    <row r="7075" customFormat="false" ht="15" hidden="false" customHeight="true" outlineLevel="0" collapsed="false">
      <c r="A7075" s="163" t="s">
        <v>3029</v>
      </c>
      <c r="B7075" s="163" t="s">
        <v>957</v>
      </c>
      <c r="C7075" s="163" t="s">
        <v>4635</v>
      </c>
      <c r="D7075" s="163" t="s">
        <v>4636</v>
      </c>
      <c r="E7075" s="164" t="n">
        <v>18000</v>
      </c>
      <c r="F7075" s="165" t="s">
        <v>11005</v>
      </c>
    </row>
    <row r="7076" customFormat="false" ht="15" hidden="false" customHeight="true" outlineLevel="0" collapsed="false">
      <c r="A7076" s="163" t="s">
        <v>3029</v>
      </c>
      <c r="B7076" s="163" t="s">
        <v>957</v>
      </c>
      <c r="C7076" s="163" t="s">
        <v>7901</v>
      </c>
      <c r="D7076" s="163" t="s">
        <v>7902</v>
      </c>
      <c r="E7076" s="164" t="n">
        <v>10000</v>
      </c>
      <c r="F7076" s="165" t="s">
        <v>11006</v>
      </c>
    </row>
    <row r="7077" customFormat="false" ht="15" hidden="false" customHeight="true" outlineLevel="0" collapsed="false">
      <c r="A7077" s="163" t="s">
        <v>3029</v>
      </c>
      <c r="B7077" s="163" t="s">
        <v>957</v>
      </c>
      <c r="C7077" s="163" t="s">
        <v>10996</v>
      </c>
      <c r="D7077" s="163" t="s">
        <v>10997</v>
      </c>
      <c r="E7077" s="164" t="n">
        <v>9000</v>
      </c>
      <c r="F7077" s="165" t="s">
        <v>11007</v>
      </c>
    </row>
    <row r="7078" customFormat="false" ht="15" hidden="false" customHeight="true" outlineLevel="0" collapsed="false">
      <c r="A7078" s="163" t="s">
        <v>3029</v>
      </c>
      <c r="B7078" s="163" t="s">
        <v>957</v>
      </c>
      <c r="C7078" s="163" t="s">
        <v>11008</v>
      </c>
      <c r="D7078" s="163" t="s">
        <v>11009</v>
      </c>
      <c r="E7078" s="164" t="n">
        <v>9000</v>
      </c>
      <c r="F7078" s="165" t="s">
        <v>11006</v>
      </c>
    </row>
    <row r="7079" customFormat="false" ht="15" hidden="false" customHeight="true" outlineLevel="0" collapsed="false">
      <c r="A7079" s="163" t="s">
        <v>3029</v>
      </c>
      <c r="B7079" s="163" t="s">
        <v>957</v>
      </c>
      <c r="C7079" s="163" t="s">
        <v>6858</v>
      </c>
      <c r="D7079" s="163" t="s">
        <v>6859</v>
      </c>
      <c r="E7079" s="164" t="n">
        <v>9000</v>
      </c>
      <c r="F7079" s="165" t="s">
        <v>11006</v>
      </c>
    </row>
    <row r="7080" customFormat="false" ht="15" hidden="false" customHeight="true" outlineLevel="0" collapsed="false">
      <c r="A7080" s="163" t="s">
        <v>3029</v>
      </c>
      <c r="B7080" s="163" t="s">
        <v>957</v>
      </c>
      <c r="C7080" s="163" t="s">
        <v>8276</v>
      </c>
      <c r="D7080" s="163" t="s">
        <v>8277</v>
      </c>
      <c r="E7080" s="164" t="n">
        <v>5000</v>
      </c>
      <c r="F7080" s="165" t="s">
        <v>11007</v>
      </c>
    </row>
    <row r="7081" customFormat="false" ht="15" hidden="false" customHeight="true" outlineLevel="0" collapsed="false">
      <c r="A7081" s="163" t="s">
        <v>3029</v>
      </c>
      <c r="B7081" s="163" t="s">
        <v>945</v>
      </c>
      <c r="C7081" s="163" t="s">
        <v>3567</v>
      </c>
      <c r="D7081" s="163" t="s">
        <v>3568</v>
      </c>
      <c r="E7081" s="164" t="n">
        <v>20000</v>
      </c>
      <c r="F7081" s="165" t="s">
        <v>11010</v>
      </c>
    </row>
    <row r="7082" customFormat="false" ht="15" hidden="false" customHeight="true" outlineLevel="0" collapsed="false">
      <c r="A7082" s="163" t="s">
        <v>3029</v>
      </c>
      <c r="B7082" s="163" t="s">
        <v>945</v>
      </c>
      <c r="C7082" s="163" t="s">
        <v>2879</v>
      </c>
      <c r="D7082" s="163" t="s">
        <v>1931</v>
      </c>
      <c r="E7082" s="164" t="n">
        <v>5000</v>
      </c>
      <c r="F7082" s="165" t="s">
        <v>11011</v>
      </c>
    </row>
    <row r="7083" customFormat="false" ht="15" hidden="false" customHeight="true" outlineLevel="0" collapsed="false">
      <c r="A7083" s="163" t="s">
        <v>3029</v>
      </c>
      <c r="B7083" s="163" t="s">
        <v>3111</v>
      </c>
      <c r="C7083" s="163" t="s">
        <v>6804</v>
      </c>
      <c r="D7083" s="163" t="s">
        <v>6805</v>
      </c>
      <c r="E7083" s="164" t="n">
        <v>20000</v>
      </c>
      <c r="F7083" s="165" t="s">
        <v>11012</v>
      </c>
    </row>
    <row r="7084" customFormat="false" ht="15" hidden="false" customHeight="true" outlineLevel="0" collapsed="false">
      <c r="A7084" s="163" t="s">
        <v>3029</v>
      </c>
      <c r="B7084" s="163" t="s">
        <v>3111</v>
      </c>
      <c r="C7084" s="163" t="s">
        <v>11013</v>
      </c>
      <c r="D7084" s="163" t="s">
        <v>11014</v>
      </c>
      <c r="E7084" s="164" t="n">
        <v>20000</v>
      </c>
      <c r="F7084" s="165" t="s">
        <v>11015</v>
      </c>
    </row>
    <row r="7085" customFormat="false" ht="15" hidden="false" customHeight="true" outlineLevel="0" collapsed="false">
      <c r="A7085" s="163" t="s">
        <v>3029</v>
      </c>
      <c r="B7085" s="163" t="s">
        <v>3111</v>
      </c>
      <c r="C7085" s="163" t="s">
        <v>10582</v>
      </c>
      <c r="D7085" s="163" t="s">
        <v>10583</v>
      </c>
      <c r="E7085" s="164" t="n">
        <v>15000</v>
      </c>
      <c r="F7085" s="165" t="s">
        <v>11016</v>
      </c>
    </row>
    <row r="7086" customFormat="false" ht="15" hidden="false" customHeight="true" outlineLevel="0" collapsed="false">
      <c r="A7086" s="163" t="s">
        <v>3029</v>
      </c>
      <c r="B7086" s="163" t="s">
        <v>3111</v>
      </c>
      <c r="C7086" s="163" t="s">
        <v>3468</v>
      </c>
      <c r="D7086" s="163" t="s">
        <v>3469</v>
      </c>
      <c r="E7086" s="164" t="n">
        <v>13000</v>
      </c>
      <c r="F7086" s="165" t="s">
        <v>11017</v>
      </c>
    </row>
    <row r="7087" customFormat="false" ht="15" hidden="false" customHeight="true" outlineLevel="0" collapsed="false">
      <c r="A7087" s="163" t="s">
        <v>3029</v>
      </c>
      <c r="B7087" s="163" t="s">
        <v>3111</v>
      </c>
      <c r="C7087" s="163" t="s">
        <v>3498</v>
      </c>
      <c r="D7087" s="163" t="s">
        <v>3499</v>
      </c>
      <c r="E7087" s="164" t="n">
        <v>12000</v>
      </c>
      <c r="F7087" s="165" t="s">
        <v>11018</v>
      </c>
    </row>
    <row r="7088" customFormat="false" ht="15" hidden="false" customHeight="true" outlineLevel="0" collapsed="false">
      <c r="A7088" s="163" t="s">
        <v>3029</v>
      </c>
      <c r="B7088" s="163" t="s">
        <v>3111</v>
      </c>
      <c r="C7088" s="163" t="s">
        <v>4639</v>
      </c>
      <c r="D7088" s="163" t="s">
        <v>4640</v>
      </c>
      <c r="E7088" s="164" t="n">
        <v>10000</v>
      </c>
      <c r="F7088" s="165" t="s">
        <v>11019</v>
      </c>
    </row>
    <row r="7089" customFormat="false" ht="15" hidden="false" customHeight="true" outlineLevel="0" collapsed="false">
      <c r="A7089" s="163" t="s">
        <v>3029</v>
      </c>
      <c r="B7089" s="163" t="s">
        <v>3111</v>
      </c>
      <c r="C7089" s="163" t="s">
        <v>11020</v>
      </c>
      <c r="D7089" s="163" t="s">
        <v>11021</v>
      </c>
      <c r="E7089" s="164" t="n">
        <v>10000</v>
      </c>
      <c r="F7089" s="165" t="s">
        <v>11022</v>
      </c>
    </row>
    <row r="7090" customFormat="false" ht="15" hidden="false" customHeight="true" outlineLevel="0" collapsed="false">
      <c r="A7090" s="163" t="s">
        <v>3029</v>
      </c>
      <c r="B7090" s="163" t="s">
        <v>1938</v>
      </c>
      <c r="C7090" s="163" t="s">
        <v>3377</v>
      </c>
      <c r="D7090" s="163" t="s">
        <v>3378</v>
      </c>
      <c r="E7090" s="164" t="n">
        <v>20000</v>
      </c>
      <c r="F7090" s="165" t="s">
        <v>11023</v>
      </c>
    </row>
    <row r="7091" customFormat="false" ht="15" hidden="false" customHeight="true" outlineLevel="0" collapsed="false">
      <c r="A7091" s="163" t="s">
        <v>3029</v>
      </c>
      <c r="B7091" s="163" t="s">
        <v>1938</v>
      </c>
      <c r="C7091" s="163" t="s">
        <v>3595</v>
      </c>
      <c r="D7091" s="163" t="s">
        <v>3596</v>
      </c>
      <c r="E7091" s="164" t="n">
        <v>20000</v>
      </c>
      <c r="F7091" s="165" t="s">
        <v>11024</v>
      </c>
    </row>
    <row r="7092" customFormat="false" ht="15" hidden="false" customHeight="true" outlineLevel="0" collapsed="false">
      <c r="A7092" s="163" t="s">
        <v>3029</v>
      </c>
      <c r="B7092" s="163" t="s">
        <v>1938</v>
      </c>
      <c r="C7092" s="163" t="s">
        <v>11025</v>
      </c>
      <c r="D7092" s="163" t="s">
        <v>11026</v>
      </c>
      <c r="E7092" s="164" t="n">
        <v>20000</v>
      </c>
      <c r="F7092" s="165" t="s">
        <v>11027</v>
      </c>
    </row>
    <row r="7093" customFormat="false" ht="15" hidden="false" customHeight="true" outlineLevel="0" collapsed="false">
      <c r="A7093" s="163" t="s">
        <v>3029</v>
      </c>
      <c r="B7093" s="163" t="s">
        <v>1938</v>
      </c>
      <c r="C7093" s="163" t="s">
        <v>11025</v>
      </c>
      <c r="D7093" s="163" t="s">
        <v>11026</v>
      </c>
      <c r="E7093" s="164" t="n">
        <v>20000</v>
      </c>
      <c r="F7093" s="165" t="s">
        <v>11027</v>
      </c>
    </row>
    <row r="7094" customFormat="false" ht="15" hidden="false" customHeight="true" outlineLevel="0" collapsed="false">
      <c r="A7094" s="163" t="s">
        <v>3029</v>
      </c>
      <c r="B7094" s="163" t="s">
        <v>1938</v>
      </c>
      <c r="C7094" s="163" t="s">
        <v>3700</v>
      </c>
      <c r="D7094" s="163" t="s">
        <v>3701</v>
      </c>
      <c r="E7094" s="164" t="n">
        <v>20000</v>
      </c>
      <c r="F7094" s="165" t="s">
        <v>11028</v>
      </c>
    </row>
    <row r="7095" customFormat="false" ht="15" hidden="false" customHeight="true" outlineLevel="0" collapsed="false">
      <c r="A7095" s="163" t="s">
        <v>3029</v>
      </c>
      <c r="B7095" s="163" t="s">
        <v>1938</v>
      </c>
      <c r="C7095" s="163" t="s">
        <v>3700</v>
      </c>
      <c r="D7095" s="163" t="s">
        <v>3701</v>
      </c>
      <c r="E7095" s="164" t="n">
        <v>20000</v>
      </c>
      <c r="F7095" s="165" t="s">
        <v>11029</v>
      </c>
    </row>
    <row r="7096" customFormat="false" ht="15" hidden="false" customHeight="true" outlineLevel="0" collapsed="false">
      <c r="A7096" s="163" t="s">
        <v>3029</v>
      </c>
      <c r="B7096" s="163" t="s">
        <v>1938</v>
      </c>
      <c r="C7096" s="163" t="s">
        <v>3700</v>
      </c>
      <c r="D7096" s="163" t="s">
        <v>3701</v>
      </c>
      <c r="E7096" s="164" t="n">
        <v>20000</v>
      </c>
      <c r="F7096" s="165" t="s">
        <v>11030</v>
      </c>
    </row>
    <row r="7097" customFormat="false" ht="15" hidden="false" customHeight="true" outlineLevel="0" collapsed="false">
      <c r="A7097" s="163" t="s">
        <v>3029</v>
      </c>
      <c r="B7097" s="163" t="s">
        <v>1938</v>
      </c>
      <c r="C7097" s="163" t="s">
        <v>1129</v>
      </c>
      <c r="D7097" s="163" t="s">
        <v>2892</v>
      </c>
      <c r="E7097" s="164" t="n">
        <v>20000</v>
      </c>
      <c r="F7097" s="165" t="s">
        <v>11028</v>
      </c>
    </row>
    <row r="7098" customFormat="false" ht="15" hidden="false" customHeight="true" outlineLevel="0" collapsed="false">
      <c r="A7098" s="163" t="s">
        <v>3029</v>
      </c>
      <c r="B7098" s="163" t="s">
        <v>1938</v>
      </c>
      <c r="C7098" s="163" t="s">
        <v>10996</v>
      </c>
      <c r="D7098" s="163" t="s">
        <v>10997</v>
      </c>
      <c r="E7098" s="164" t="n">
        <v>20000</v>
      </c>
      <c r="F7098" s="165" t="s">
        <v>11031</v>
      </c>
    </row>
    <row r="7099" customFormat="false" ht="15" hidden="false" customHeight="true" outlineLevel="0" collapsed="false">
      <c r="A7099" s="163" t="s">
        <v>3029</v>
      </c>
      <c r="B7099" s="163" t="s">
        <v>1938</v>
      </c>
      <c r="C7099" s="163" t="s">
        <v>10996</v>
      </c>
      <c r="D7099" s="163" t="s">
        <v>10997</v>
      </c>
      <c r="E7099" s="164" t="n">
        <v>20000</v>
      </c>
      <c r="F7099" s="165" t="s">
        <v>11032</v>
      </c>
    </row>
    <row r="7100" customFormat="false" ht="15" hidden="false" customHeight="true" outlineLevel="0" collapsed="false">
      <c r="A7100" s="163" t="s">
        <v>3029</v>
      </c>
      <c r="B7100" s="163" t="s">
        <v>1938</v>
      </c>
      <c r="C7100" s="163" t="s">
        <v>10996</v>
      </c>
      <c r="D7100" s="163" t="s">
        <v>10997</v>
      </c>
      <c r="E7100" s="164" t="n">
        <v>20000</v>
      </c>
      <c r="F7100" s="165" t="s">
        <v>11033</v>
      </c>
    </row>
    <row r="7101" customFormat="false" ht="15" hidden="false" customHeight="true" outlineLevel="0" collapsed="false">
      <c r="A7101" s="163" t="s">
        <v>3029</v>
      </c>
      <c r="B7101" s="163" t="s">
        <v>1938</v>
      </c>
      <c r="C7101" s="163" t="s">
        <v>3602</v>
      </c>
      <c r="D7101" s="163" t="s">
        <v>3603</v>
      </c>
      <c r="E7101" s="164" t="n">
        <v>20000</v>
      </c>
      <c r="F7101" s="165" t="s">
        <v>11034</v>
      </c>
    </row>
    <row r="7102" customFormat="false" ht="15" hidden="false" customHeight="true" outlineLevel="0" collapsed="false">
      <c r="A7102" s="163" t="s">
        <v>3029</v>
      </c>
      <c r="B7102" s="163" t="s">
        <v>1938</v>
      </c>
      <c r="C7102" s="163" t="s">
        <v>395</v>
      </c>
      <c r="D7102" s="163" t="s">
        <v>2196</v>
      </c>
      <c r="E7102" s="164" t="n">
        <v>20000</v>
      </c>
      <c r="F7102" s="165" t="s">
        <v>11035</v>
      </c>
    </row>
    <row r="7103" customFormat="false" ht="15" hidden="false" customHeight="true" outlineLevel="0" collapsed="false">
      <c r="A7103" s="163" t="s">
        <v>3029</v>
      </c>
      <c r="B7103" s="163" t="s">
        <v>1938</v>
      </c>
      <c r="C7103" s="163" t="s">
        <v>395</v>
      </c>
      <c r="D7103" s="163" t="s">
        <v>2196</v>
      </c>
      <c r="E7103" s="164" t="n">
        <v>20000</v>
      </c>
      <c r="F7103" s="165" t="s">
        <v>11036</v>
      </c>
    </row>
    <row r="7104" customFormat="false" ht="15" hidden="false" customHeight="true" outlineLevel="0" collapsed="false">
      <c r="A7104" s="163" t="s">
        <v>3029</v>
      </c>
      <c r="B7104" s="163" t="s">
        <v>1938</v>
      </c>
      <c r="C7104" s="163" t="s">
        <v>395</v>
      </c>
      <c r="D7104" s="163" t="s">
        <v>2196</v>
      </c>
      <c r="E7104" s="164" t="n">
        <v>20000</v>
      </c>
      <c r="F7104" s="165" t="s">
        <v>11037</v>
      </c>
    </row>
    <row r="7105" customFormat="false" ht="15" hidden="false" customHeight="true" outlineLevel="0" collapsed="false">
      <c r="A7105" s="163" t="s">
        <v>3029</v>
      </c>
      <c r="B7105" s="163" t="s">
        <v>1938</v>
      </c>
      <c r="C7105" s="163" t="s">
        <v>4388</v>
      </c>
      <c r="D7105" s="163" t="s">
        <v>4389</v>
      </c>
      <c r="E7105" s="164" t="n">
        <v>20000</v>
      </c>
      <c r="F7105" s="165" t="s">
        <v>11038</v>
      </c>
    </row>
    <row r="7106" customFormat="false" ht="15" hidden="false" customHeight="true" outlineLevel="0" collapsed="false">
      <c r="A7106" s="163" t="s">
        <v>3029</v>
      </c>
      <c r="B7106" s="163" t="s">
        <v>1938</v>
      </c>
      <c r="C7106" s="163" t="s">
        <v>3392</v>
      </c>
      <c r="D7106" s="163" t="s">
        <v>3393</v>
      </c>
      <c r="E7106" s="164" t="n">
        <v>20000</v>
      </c>
      <c r="F7106" s="165" t="s">
        <v>11039</v>
      </c>
    </row>
    <row r="7107" customFormat="false" ht="15" hidden="false" customHeight="true" outlineLevel="0" collapsed="false">
      <c r="A7107" s="163" t="s">
        <v>3029</v>
      </c>
      <c r="B7107" s="163" t="s">
        <v>691</v>
      </c>
      <c r="C7107" s="163" t="s">
        <v>3560</v>
      </c>
      <c r="D7107" s="163" t="s">
        <v>3561</v>
      </c>
      <c r="E7107" s="164" t="n">
        <v>70000</v>
      </c>
      <c r="F7107" s="165" t="s">
        <v>11040</v>
      </c>
    </row>
    <row r="7108" customFormat="false" ht="15" hidden="false" customHeight="true" outlineLevel="0" collapsed="false">
      <c r="A7108" s="163" t="s">
        <v>3029</v>
      </c>
      <c r="B7108" s="163" t="s">
        <v>691</v>
      </c>
      <c r="C7108" s="163" t="s">
        <v>3609</v>
      </c>
      <c r="D7108" s="163" t="s">
        <v>3610</v>
      </c>
      <c r="E7108" s="164" t="n">
        <v>20000</v>
      </c>
      <c r="F7108" s="165" t="s">
        <v>11041</v>
      </c>
    </row>
    <row r="7109" customFormat="false" ht="15" hidden="false" customHeight="true" outlineLevel="0" collapsed="false">
      <c r="A7109" s="163" t="s">
        <v>3029</v>
      </c>
      <c r="B7109" s="163" t="s">
        <v>691</v>
      </c>
      <c r="C7109" s="163" t="s">
        <v>260</v>
      </c>
      <c r="D7109" s="163" t="s">
        <v>2097</v>
      </c>
      <c r="E7109" s="164" t="n">
        <v>19000</v>
      </c>
      <c r="F7109" s="165" t="s">
        <v>11028</v>
      </c>
    </row>
    <row r="7110" customFormat="false" ht="15" hidden="false" customHeight="true" outlineLevel="0" collapsed="false">
      <c r="A7110" s="163" t="s">
        <v>3029</v>
      </c>
      <c r="B7110" s="163" t="s">
        <v>691</v>
      </c>
      <c r="C7110" s="163" t="s">
        <v>4396</v>
      </c>
      <c r="D7110" s="163" t="s">
        <v>4397</v>
      </c>
      <c r="E7110" s="164" t="n">
        <v>19000</v>
      </c>
      <c r="F7110" s="165" t="s">
        <v>11029</v>
      </c>
    </row>
    <row r="7111" customFormat="false" ht="15" hidden="false" customHeight="true" outlineLevel="0" collapsed="false">
      <c r="A7111" s="163" t="s">
        <v>3029</v>
      </c>
      <c r="B7111" s="163" t="s">
        <v>691</v>
      </c>
      <c r="C7111" s="163" t="s">
        <v>7893</v>
      </c>
      <c r="D7111" s="163" t="s">
        <v>7894</v>
      </c>
      <c r="E7111" s="164" t="n">
        <v>8500</v>
      </c>
      <c r="F7111" s="165" t="s">
        <v>11042</v>
      </c>
    </row>
    <row r="7112" customFormat="false" ht="15" hidden="false" customHeight="true" outlineLevel="0" collapsed="false">
      <c r="A7112" s="163" t="s">
        <v>3029</v>
      </c>
      <c r="B7112" s="163" t="s">
        <v>691</v>
      </c>
      <c r="C7112" s="163" t="s">
        <v>5165</v>
      </c>
      <c r="D7112" s="163" t="s">
        <v>5166</v>
      </c>
      <c r="E7112" s="164" t="n">
        <v>8500</v>
      </c>
      <c r="F7112" s="165" t="s">
        <v>11043</v>
      </c>
    </row>
    <row r="7113" customFormat="false" ht="15" hidden="false" customHeight="true" outlineLevel="0" collapsed="false">
      <c r="A7113" s="163" t="s">
        <v>3029</v>
      </c>
      <c r="B7113" s="163" t="s">
        <v>2027</v>
      </c>
      <c r="C7113" s="163" t="s">
        <v>3317</v>
      </c>
      <c r="D7113" s="163" t="s">
        <v>3318</v>
      </c>
      <c r="E7113" s="164" t="n">
        <v>20000</v>
      </c>
      <c r="F7113" s="165" t="s">
        <v>11044</v>
      </c>
    </row>
    <row r="7114" customFormat="false" ht="15" hidden="false" customHeight="true" outlineLevel="0" collapsed="false">
      <c r="A7114" s="163" t="s">
        <v>3029</v>
      </c>
      <c r="B7114" s="163" t="s">
        <v>2027</v>
      </c>
      <c r="C7114" s="163" t="s">
        <v>3425</v>
      </c>
      <c r="D7114" s="163" t="s">
        <v>3426</v>
      </c>
      <c r="E7114" s="164" t="n">
        <v>20000</v>
      </c>
      <c r="F7114" s="165" t="s">
        <v>11045</v>
      </c>
    </row>
    <row r="7115" customFormat="false" ht="15" hidden="false" customHeight="true" outlineLevel="0" collapsed="false">
      <c r="A7115" s="163" t="s">
        <v>3029</v>
      </c>
      <c r="B7115" s="163" t="s">
        <v>2027</v>
      </c>
      <c r="C7115" s="163" t="s">
        <v>360</v>
      </c>
      <c r="D7115" s="163" t="s">
        <v>2685</v>
      </c>
      <c r="E7115" s="164" t="n">
        <v>19000</v>
      </c>
      <c r="F7115" s="165" t="s">
        <v>11046</v>
      </c>
    </row>
    <row r="7116" customFormat="false" ht="15" hidden="false" customHeight="true" outlineLevel="0" collapsed="false">
      <c r="A7116" s="163" t="s">
        <v>3029</v>
      </c>
      <c r="B7116" s="163" t="s">
        <v>2027</v>
      </c>
      <c r="C7116" s="163" t="s">
        <v>4427</v>
      </c>
      <c r="D7116" s="163" t="s">
        <v>4428</v>
      </c>
      <c r="E7116" s="164" t="n">
        <v>14000</v>
      </c>
      <c r="F7116" s="165" t="s">
        <v>11047</v>
      </c>
    </row>
    <row r="7117" customFormat="false" ht="15" hidden="false" customHeight="true" outlineLevel="0" collapsed="false">
      <c r="A7117" s="163" t="s">
        <v>3029</v>
      </c>
      <c r="B7117" s="163" t="s">
        <v>2027</v>
      </c>
      <c r="C7117" s="163" t="s">
        <v>4269</v>
      </c>
      <c r="D7117" s="163" t="s">
        <v>4270</v>
      </c>
      <c r="E7117" s="164" t="n">
        <v>12000</v>
      </c>
      <c r="F7117" s="165" t="s">
        <v>11048</v>
      </c>
    </row>
    <row r="7118" customFormat="false" ht="15" hidden="false" customHeight="true" outlineLevel="0" collapsed="false">
      <c r="A7118" s="163" t="s">
        <v>3029</v>
      </c>
      <c r="B7118" s="163" t="s">
        <v>2027</v>
      </c>
      <c r="C7118" s="163" t="s">
        <v>4202</v>
      </c>
      <c r="D7118" s="163" t="s">
        <v>4203</v>
      </c>
      <c r="E7118" s="164" t="n">
        <v>5000</v>
      </c>
      <c r="F7118" s="165" t="s">
        <v>11049</v>
      </c>
    </row>
    <row r="7119" customFormat="false" ht="15" hidden="false" customHeight="true" outlineLevel="0" collapsed="false">
      <c r="A7119" s="163" t="s">
        <v>3029</v>
      </c>
      <c r="B7119" s="163" t="s">
        <v>2037</v>
      </c>
      <c r="C7119" s="163" t="s">
        <v>9528</v>
      </c>
      <c r="D7119" s="163" t="s">
        <v>9529</v>
      </c>
      <c r="E7119" s="164" t="n">
        <v>22000</v>
      </c>
      <c r="F7119" s="165" t="s">
        <v>11050</v>
      </c>
    </row>
    <row r="7120" customFormat="false" ht="15" hidden="false" customHeight="true" outlineLevel="0" collapsed="false">
      <c r="A7120" s="163" t="s">
        <v>3029</v>
      </c>
      <c r="B7120" s="163" t="s">
        <v>2037</v>
      </c>
      <c r="C7120" s="163" t="s">
        <v>10077</v>
      </c>
      <c r="D7120" s="163" t="s">
        <v>10078</v>
      </c>
      <c r="E7120" s="164" t="n">
        <v>14000</v>
      </c>
      <c r="F7120" s="165" t="s">
        <v>11051</v>
      </c>
    </row>
    <row r="7121" customFormat="false" ht="15" hidden="false" customHeight="true" outlineLevel="0" collapsed="false">
      <c r="A7121" s="163" t="s">
        <v>3029</v>
      </c>
      <c r="B7121" s="163" t="s">
        <v>2037</v>
      </c>
      <c r="C7121" s="163" t="s">
        <v>3631</v>
      </c>
      <c r="D7121" s="163" t="s">
        <v>1931</v>
      </c>
      <c r="E7121" s="164" t="n">
        <v>10000</v>
      </c>
      <c r="F7121" s="165" t="s">
        <v>11052</v>
      </c>
    </row>
    <row r="7122" customFormat="false" ht="15" hidden="false" customHeight="true" outlineLevel="0" collapsed="false">
      <c r="A7122" s="163" t="s">
        <v>3029</v>
      </c>
      <c r="B7122" s="163" t="s">
        <v>2037</v>
      </c>
      <c r="C7122" s="163" t="s">
        <v>3631</v>
      </c>
      <c r="D7122" s="163" t="s">
        <v>1931</v>
      </c>
      <c r="E7122" s="164" t="n">
        <v>10000</v>
      </c>
      <c r="F7122" s="165" t="s">
        <v>11053</v>
      </c>
    </row>
    <row r="7123" customFormat="false" ht="15" hidden="false" customHeight="true" outlineLevel="0" collapsed="false">
      <c r="A7123" s="163" t="s">
        <v>3029</v>
      </c>
      <c r="B7123" s="163" t="s">
        <v>2037</v>
      </c>
      <c r="C7123" s="163" t="s">
        <v>3631</v>
      </c>
      <c r="D7123" s="163" t="s">
        <v>1931</v>
      </c>
      <c r="E7123" s="164" t="n">
        <v>10000</v>
      </c>
      <c r="F7123" s="165" t="s">
        <v>11054</v>
      </c>
    </row>
    <row r="7124" customFormat="false" ht="15" hidden="false" customHeight="true" outlineLevel="0" collapsed="false">
      <c r="A7124" s="163" t="s">
        <v>3029</v>
      </c>
      <c r="B7124" s="163" t="s">
        <v>2037</v>
      </c>
      <c r="C7124" s="163" t="s">
        <v>5071</v>
      </c>
      <c r="D7124" s="163" t="s">
        <v>5072</v>
      </c>
      <c r="E7124" s="164" t="n">
        <v>8000</v>
      </c>
      <c r="F7124" s="165" t="s">
        <v>11055</v>
      </c>
    </row>
    <row r="7125" customFormat="false" ht="15" hidden="false" customHeight="true" outlineLevel="0" collapsed="false">
      <c r="A7125" s="163" t="s">
        <v>3029</v>
      </c>
      <c r="B7125" s="163" t="s">
        <v>2037</v>
      </c>
      <c r="C7125" s="163" t="s">
        <v>372</v>
      </c>
      <c r="D7125" s="163" t="s">
        <v>2692</v>
      </c>
      <c r="E7125" s="164" t="n">
        <v>7000</v>
      </c>
      <c r="F7125" s="165" t="s">
        <v>11056</v>
      </c>
    </row>
    <row r="7126" customFormat="false" ht="15" hidden="false" customHeight="true" outlineLevel="0" collapsed="false">
      <c r="A7126" s="163" t="s">
        <v>3029</v>
      </c>
      <c r="B7126" s="163" t="s">
        <v>2037</v>
      </c>
      <c r="C7126" s="163" t="s">
        <v>1860</v>
      </c>
      <c r="D7126" s="163" t="s">
        <v>1861</v>
      </c>
      <c r="E7126" s="164" t="n">
        <v>7000</v>
      </c>
      <c r="F7126" s="165" t="s">
        <v>11057</v>
      </c>
    </row>
    <row r="7127" customFormat="false" ht="15" hidden="false" customHeight="true" outlineLevel="0" collapsed="false">
      <c r="A7127" s="163" t="s">
        <v>3029</v>
      </c>
      <c r="B7127" s="163" t="s">
        <v>2037</v>
      </c>
      <c r="C7127" s="163" t="s">
        <v>2695</v>
      </c>
      <c r="D7127" s="163" t="s">
        <v>2696</v>
      </c>
      <c r="E7127" s="164" t="n">
        <v>5000</v>
      </c>
      <c r="F7127" s="165" t="s">
        <v>11058</v>
      </c>
    </row>
    <row r="7128" customFormat="false" ht="15" hidden="false" customHeight="true" outlineLevel="0" collapsed="false">
      <c r="A7128" s="163" t="s">
        <v>3029</v>
      </c>
      <c r="B7128" s="163" t="s">
        <v>2037</v>
      </c>
      <c r="C7128" s="163" t="s">
        <v>4910</v>
      </c>
      <c r="D7128" s="163" t="s">
        <v>4911</v>
      </c>
      <c r="E7128" s="164" t="n">
        <v>5000</v>
      </c>
      <c r="F7128" s="165" t="s">
        <v>11059</v>
      </c>
    </row>
    <row r="7129" customFormat="false" ht="15" hidden="false" customHeight="true" outlineLevel="0" collapsed="false">
      <c r="A7129" s="163" t="s">
        <v>3029</v>
      </c>
      <c r="B7129" s="163" t="s">
        <v>2037</v>
      </c>
      <c r="C7129" s="163" t="s">
        <v>10334</v>
      </c>
      <c r="D7129" s="163" t="s">
        <v>10335</v>
      </c>
      <c r="E7129" s="164" t="n">
        <v>5000</v>
      </c>
      <c r="F7129" s="165" t="s">
        <v>11060</v>
      </c>
    </row>
    <row r="7130" customFormat="false" ht="15" hidden="false" customHeight="true" outlineLevel="0" collapsed="false">
      <c r="A7130" s="163" t="s">
        <v>3029</v>
      </c>
      <c r="B7130" s="163" t="s">
        <v>2037</v>
      </c>
      <c r="C7130" s="163" t="s">
        <v>6627</v>
      </c>
      <c r="D7130" s="163" t="s">
        <v>6628</v>
      </c>
      <c r="E7130" s="164" t="n">
        <v>5000</v>
      </c>
      <c r="F7130" s="165" t="s">
        <v>11057</v>
      </c>
    </row>
    <row r="7131" customFormat="false" ht="15" hidden="false" customHeight="true" outlineLevel="0" collapsed="false">
      <c r="A7131" s="163" t="s">
        <v>3029</v>
      </c>
      <c r="B7131" s="163" t="s">
        <v>2037</v>
      </c>
      <c r="C7131" s="163" t="s">
        <v>2879</v>
      </c>
      <c r="D7131" s="163" t="s">
        <v>1931</v>
      </c>
      <c r="E7131" s="164" t="n">
        <v>5000</v>
      </c>
      <c r="F7131" s="165" t="s">
        <v>11061</v>
      </c>
    </row>
    <row r="7132" customFormat="false" ht="15" hidden="false" customHeight="true" outlineLevel="0" collapsed="false">
      <c r="A7132" s="163" t="s">
        <v>3029</v>
      </c>
      <c r="B7132" s="163" t="s">
        <v>2037</v>
      </c>
      <c r="C7132" s="163" t="s">
        <v>2879</v>
      </c>
      <c r="D7132" s="163" t="s">
        <v>1931</v>
      </c>
      <c r="E7132" s="164" t="n">
        <v>5000</v>
      </c>
      <c r="F7132" s="165" t="s">
        <v>11062</v>
      </c>
    </row>
    <row r="7133" customFormat="false" ht="15" hidden="false" customHeight="true" outlineLevel="0" collapsed="false">
      <c r="A7133" s="163" t="s">
        <v>3029</v>
      </c>
      <c r="B7133" s="163" t="s">
        <v>2037</v>
      </c>
      <c r="C7133" s="163" t="s">
        <v>2879</v>
      </c>
      <c r="D7133" s="163" t="s">
        <v>1931</v>
      </c>
      <c r="E7133" s="164" t="n">
        <v>5000</v>
      </c>
      <c r="F7133" s="165" t="s">
        <v>11063</v>
      </c>
    </row>
    <row r="7134" customFormat="false" ht="15" hidden="false" customHeight="true" outlineLevel="0" collapsed="false">
      <c r="A7134" s="163" t="s">
        <v>3029</v>
      </c>
      <c r="B7134" s="163" t="s">
        <v>2037</v>
      </c>
      <c r="C7134" s="163" t="s">
        <v>4966</v>
      </c>
      <c r="D7134" s="163" t="s">
        <v>4967</v>
      </c>
      <c r="E7134" s="164" t="n">
        <v>5000</v>
      </c>
      <c r="F7134" s="165" t="s">
        <v>11056</v>
      </c>
    </row>
    <row r="7135" customFormat="false" ht="15" hidden="false" customHeight="true" outlineLevel="0" collapsed="false">
      <c r="A7135" s="163" t="s">
        <v>3029</v>
      </c>
      <c r="B7135" s="163" t="s">
        <v>2037</v>
      </c>
      <c r="C7135" s="163" t="s">
        <v>6947</v>
      </c>
      <c r="D7135" s="163" t="s">
        <v>6948</v>
      </c>
      <c r="E7135" s="164" t="n">
        <v>5000</v>
      </c>
      <c r="F7135" s="165" t="s">
        <v>11057</v>
      </c>
    </row>
    <row r="7136" customFormat="false" ht="15" hidden="false" customHeight="true" outlineLevel="0" collapsed="false">
      <c r="A7136" s="163" t="s">
        <v>3029</v>
      </c>
      <c r="B7136" s="163" t="s">
        <v>894</v>
      </c>
      <c r="C7136" s="163" t="s">
        <v>7901</v>
      </c>
      <c r="D7136" s="163" t="s">
        <v>7902</v>
      </c>
      <c r="E7136" s="164" t="n">
        <v>40000</v>
      </c>
      <c r="F7136" s="165" t="s">
        <v>11064</v>
      </c>
    </row>
    <row r="7137" customFormat="false" ht="15" hidden="false" customHeight="true" outlineLevel="0" collapsed="false">
      <c r="A7137" s="163" t="s">
        <v>3029</v>
      </c>
      <c r="B7137" s="163" t="s">
        <v>894</v>
      </c>
      <c r="C7137" s="163" t="s">
        <v>3684</v>
      </c>
      <c r="D7137" s="163" t="s">
        <v>3685</v>
      </c>
      <c r="E7137" s="164" t="n">
        <v>30000</v>
      </c>
      <c r="F7137" s="165" t="s">
        <v>11065</v>
      </c>
    </row>
    <row r="7138" customFormat="false" ht="15" hidden="false" customHeight="true" outlineLevel="0" collapsed="false">
      <c r="A7138" s="163" t="s">
        <v>3029</v>
      </c>
      <c r="B7138" s="163" t="s">
        <v>894</v>
      </c>
      <c r="C7138" s="163" t="s">
        <v>6689</v>
      </c>
      <c r="D7138" s="163" t="s">
        <v>6690</v>
      </c>
      <c r="E7138" s="164" t="n">
        <v>20000</v>
      </c>
      <c r="F7138" s="165" t="s">
        <v>11007</v>
      </c>
    </row>
    <row r="7139" customFormat="false" ht="15" hidden="false" customHeight="true" outlineLevel="0" collapsed="false">
      <c r="A7139" s="163" t="s">
        <v>3029</v>
      </c>
      <c r="B7139" s="163" t="s">
        <v>894</v>
      </c>
      <c r="C7139" s="163" t="s">
        <v>3694</v>
      </c>
      <c r="D7139" s="163" t="s">
        <v>3695</v>
      </c>
      <c r="E7139" s="164" t="n">
        <v>18000</v>
      </c>
      <c r="F7139" s="165" t="s">
        <v>11066</v>
      </c>
    </row>
    <row r="7140" customFormat="false" ht="15" hidden="false" customHeight="true" outlineLevel="0" collapsed="false">
      <c r="A7140" s="163" t="s">
        <v>3029</v>
      </c>
      <c r="B7140" s="163" t="s">
        <v>894</v>
      </c>
      <c r="C7140" s="163" t="s">
        <v>4635</v>
      </c>
      <c r="D7140" s="163" t="s">
        <v>4636</v>
      </c>
      <c r="E7140" s="164" t="n">
        <v>16000</v>
      </c>
      <c r="F7140" s="165" t="s">
        <v>11067</v>
      </c>
    </row>
    <row r="7141" customFormat="false" ht="15" hidden="false" customHeight="true" outlineLevel="0" collapsed="false">
      <c r="A7141" s="163" t="s">
        <v>3029</v>
      </c>
      <c r="B7141" s="163" t="s">
        <v>894</v>
      </c>
      <c r="C7141" s="163" t="s">
        <v>11068</v>
      </c>
      <c r="D7141" s="163" t="s">
        <v>11069</v>
      </c>
      <c r="E7141" s="164" t="n">
        <v>15000</v>
      </c>
      <c r="F7141" s="165" t="s">
        <v>11070</v>
      </c>
    </row>
    <row r="7142" customFormat="false" ht="15" hidden="false" customHeight="true" outlineLevel="0" collapsed="false">
      <c r="A7142" s="163" t="s">
        <v>3029</v>
      </c>
      <c r="B7142" s="163" t="s">
        <v>894</v>
      </c>
      <c r="C7142" s="163" t="s">
        <v>3684</v>
      </c>
      <c r="D7142" s="163" t="s">
        <v>3685</v>
      </c>
      <c r="E7142" s="164" t="n">
        <v>15000</v>
      </c>
      <c r="F7142" s="165" t="s">
        <v>11071</v>
      </c>
    </row>
    <row r="7143" customFormat="false" ht="15" hidden="false" customHeight="true" outlineLevel="0" collapsed="false">
      <c r="A7143" s="163" t="s">
        <v>3029</v>
      </c>
      <c r="B7143" s="163" t="s">
        <v>894</v>
      </c>
      <c r="C7143" s="163" t="s">
        <v>11072</v>
      </c>
      <c r="D7143" s="163" t="s">
        <v>11073</v>
      </c>
      <c r="E7143" s="164" t="n">
        <v>15000</v>
      </c>
      <c r="F7143" s="165" t="s">
        <v>11074</v>
      </c>
    </row>
    <row r="7144" customFormat="false" ht="15" hidden="false" customHeight="true" outlineLevel="0" collapsed="false">
      <c r="A7144" s="163" t="s">
        <v>3029</v>
      </c>
      <c r="B7144" s="163" t="s">
        <v>894</v>
      </c>
      <c r="C7144" s="163" t="s">
        <v>11075</v>
      </c>
      <c r="D7144" s="163" t="s">
        <v>11076</v>
      </c>
      <c r="E7144" s="164" t="n">
        <v>12000</v>
      </c>
      <c r="F7144" s="165" t="s">
        <v>11077</v>
      </c>
    </row>
    <row r="7145" customFormat="false" ht="15" hidden="false" customHeight="true" outlineLevel="0" collapsed="false">
      <c r="A7145" s="163" t="s">
        <v>3029</v>
      </c>
      <c r="B7145" s="163" t="s">
        <v>894</v>
      </c>
      <c r="C7145" s="163" t="s">
        <v>11078</v>
      </c>
      <c r="D7145" s="163" t="s">
        <v>11079</v>
      </c>
      <c r="E7145" s="164" t="n">
        <v>10000</v>
      </c>
      <c r="F7145" s="165" t="s">
        <v>11080</v>
      </c>
    </row>
    <row r="7146" customFormat="false" ht="15" hidden="false" customHeight="true" outlineLevel="0" collapsed="false">
      <c r="A7146" s="163" t="s">
        <v>3029</v>
      </c>
      <c r="B7146" s="163" t="s">
        <v>894</v>
      </c>
      <c r="C7146" s="163" t="s">
        <v>11081</v>
      </c>
      <c r="D7146" s="163" t="s">
        <v>11082</v>
      </c>
      <c r="E7146" s="164" t="n">
        <v>10000</v>
      </c>
      <c r="F7146" s="165" t="s">
        <v>11083</v>
      </c>
    </row>
    <row r="7147" customFormat="false" ht="15" hidden="false" customHeight="true" outlineLevel="0" collapsed="false">
      <c r="A7147" s="163" t="s">
        <v>3029</v>
      </c>
      <c r="B7147" s="163" t="s">
        <v>894</v>
      </c>
      <c r="C7147" s="163" t="s">
        <v>10124</v>
      </c>
      <c r="D7147" s="163" t="s">
        <v>10125</v>
      </c>
      <c r="E7147" s="164" t="n">
        <v>10000</v>
      </c>
      <c r="F7147" s="165" t="s">
        <v>11084</v>
      </c>
    </row>
    <row r="7148" customFormat="false" ht="15" hidden="false" customHeight="true" outlineLevel="0" collapsed="false">
      <c r="A7148" s="163" t="s">
        <v>3029</v>
      </c>
      <c r="B7148" s="163" t="s">
        <v>894</v>
      </c>
      <c r="C7148" s="163" t="s">
        <v>11068</v>
      </c>
      <c r="D7148" s="163" t="s">
        <v>11069</v>
      </c>
      <c r="E7148" s="164" t="n">
        <v>10000</v>
      </c>
      <c r="F7148" s="165" t="s">
        <v>11064</v>
      </c>
    </row>
    <row r="7149" customFormat="false" ht="15" hidden="false" customHeight="true" outlineLevel="0" collapsed="false">
      <c r="A7149" s="163" t="s">
        <v>3029</v>
      </c>
      <c r="B7149" s="163" t="s">
        <v>894</v>
      </c>
      <c r="C7149" s="163" t="s">
        <v>3602</v>
      </c>
      <c r="D7149" s="163" t="s">
        <v>3603</v>
      </c>
      <c r="E7149" s="164" t="n">
        <v>10000</v>
      </c>
      <c r="F7149" s="165" t="s">
        <v>11085</v>
      </c>
    </row>
    <row r="7150" customFormat="false" ht="15" hidden="false" customHeight="true" outlineLevel="0" collapsed="false">
      <c r="A7150" s="163" t="s">
        <v>3029</v>
      </c>
      <c r="B7150" s="163" t="s">
        <v>894</v>
      </c>
      <c r="C7150" s="163" t="s">
        <v>3595</v>
      </c>
      <c r="D7150" s="163" t="s">
        <v>3596</v>
      </c>
      <c r="E7150" s="164" t="n">
        <v>10000</v>
      </c>
      <c r="F7150" s="165" t="s">
        <v>11064</v>
      </c>
    </row>
    <row r="7151" customFormat="false" ht="15" hidden="false" customHeight="true" outlineLevel="0" collapsed="false">
      <c r="A7151" s="163" t="s">
        <v>3029</v>
      </c>
      <c r="B7151" s="163" t="s">
        <v>894</v>
      </c>
      <c r="C7151" s="163" t="s">
        <v>893</v>
      </c>
      <c r="D7151" s="163" t="s">
        <v>1931</v>
      </c>
      <c r="E7151" s="164" t="n">
        <v>10000</v>
      </c>
      <c r="F7151" s="165" t="s">
        <v>11086</v>
      </c>
    </row>
    <row r="7152" customFormat="false" ht="15" hidden="false" customHeight="true" outlineLevel="0" collapsed="false">
      <c r="A7152" s="163" t="s">
        <v>3029</v>
      </c>
      <c r="B7152" s="163" t="s">
        <v>894</v>
      </c>
      <c r="C7152" s="163" t="s">
        <v>3635</v>
      </c>
      <c r="D7152" s="163" t="s">
        <v>3636</v>
      </c>
      <c r="E7152" s="164" t="n">
        <v>9000</v>
      </c>
      <c r="F7152" s="165" t="s">
        <v>11087</v>
      </c>
    </row>
    <row r="7153" customFormat="false" ht="15" hidden="false" customHeight="true" outlineLevel="0" collapsed="false">
      <c r="A7153" s="163" t="s">
        <v>3029</v>
      </c>
      <c r="B7153" s="163" t="s">
        <v>894</v>
      </c>
      <c r="C7153" s="163" t="s">
        <v>3635</v>
      </c>
      <c r="D7153" s="163" t="s">
        <v>3636</v>
      </c>
      <c r="E7153" s="164" t="n">
        <v>8500</v>
      </c>
      <c r="F7153" s="165" t="s">
        <v>11088</v>
      </c>
    </row>
    <row r="7154" customFormat="false" ht="15" hidden="false" customHeight="true" outlineLevel="0" collapsed="false">
      <c r="A7154" s="163" t="s">
        <v>3029</v>
      </c>
      <c r="B7154" s="163" t="s">
        <v>894</v>
      </c>
      <c r="C7154" s="163" t="s">
        <v>3709</v>
      </c>
      <c r="D7154" s="163" t="s">
        <v>3710</v>
      </c>
      <c r="E7154" s="164" t="n">
        <v>8500</v>
      </c>
      <c r="F7154" s="165" t="s">
        <v>11089</v>
      </c>
    </row>
    <row r="7155" customFormat="false" ht="15" hidden="false" customHeight="true" outlineLevel="0" collapsed="false">
      <c r="A7155" s="163" t="s">
        <v>3029</v>
      </c>
      <c r="B7155" s="163" t="s">
        <v>894</v>
      </c>
      <c r="C7155" s="163" t="s">
        <v>974</v>
      </c>
      <c r="D7155" s="163" t="s">
        <v>1931</v>
      </c>
      <c r="E7155" s="164" t="n">
        <v>8000</v>
      </c>
      <c r="F7155" s="165" t="s">
        <v>11090</v>
      </c>
    </row>
    <row r="7156" customFormat="false" ht="15" hidden="false" customHeight="true" outlineLevel="0" collapsed="false">
      <c r="A7156" s="163" t="s">
        <v>3029</v>
      </c>
      <c r="B7156" s="163" t="s">
        <v>894</v>
      </c>
      <c r="C7156" s="163" t="s">
        <v>3116</v>
      </c>
      <c r="D7156" s="163" t="s">
        <v>3117</v>
      </c>
      <c r="E7156" s="164" t="n">
        <v>7500</v>
      </c>
      <c r="F7156" s="165" t="s">
        <v>6112</v>
      </c>
    </row>
    <row r="7157" customFormat="false" ht="15" hidden="false" customHeight="true" outlineLevel="0" collapsed="false">
      <c r="A7157" s="163" t="s">
        <v>3029</v>
      </c>
      <c r="B7157" s="163" t="s">
        <v>894</v>
      </c>
      <c r="C7157" s="163" t="s">
        <v>5026</v>
      </c>
      <c r="D7157" s="163" t="s">
        <v>5027</v>
      </c>
      <c r="E7157" s="164" t="n">
        <v>7500</v>
      </c>
      <c r="F7157" s="165" t="s">
        <v>11091</v>
      </c>
    </row>
    <row r="7158" customFormat="false" ht="15" hidden="false" customHeight="true" outlineLevel="0" collapsed="false">
      <c r="A7158" s="163" t="s">
        <v>3029</v>
      </c>
      <c r="B7158" s="163" t="s">
        <v>894</v>
      </c>
      <c r="C7158" s="163" t="s">
        <v>3560</v>
      </c>
      <c r="D7158" s="163" t="s">
        <v>3561</v>
      </c>
      <c r="E7158" s="164" t="n">
        <v>7000</v>
      </c>
      <c r="F7158" s="165" t="s">
        <v>11064</v>
      </c>
    </row>
    <row r="7159" customFormat="false" ht="15" hidden="false" customHeight="true" outlineLevel="0" collapsed="false">
      <c r="A7159" s="163" t="s">
        <v>3029</v>
      </c>
      <c r="B7159" s="163" t="s">
        <v>894</v>
      </c>
      <c r="C7159" s="163" t="s">
        <v>3689</v>
      </c>
      <c r="D7159" s="163" t="s">
        <v>3690</v>
      </c>
      <c r="E7159" s="164" t="n">
        <v>6000</v>
      </c>
      <c r="F7159" s="165" t="s">
        <v>11092</v>
      </c>
    </row>
    <row r="7160" customFormat="false" ht="15" hidden="false" customHeight="true" outlineLevel="0" collapsed="false">
      <c r="A7160" s="163" t="s">
        <v>3029</v>
      </c>
      <c r="B7160" s="163" t="s">
        <v>894</v>
      </c>
      <c r="C7160" s="163" t="s">
        <v>3679</v>
      </c>
      <c r="D7160" s="163" t="s">
        <v>3680</v>
      </c>
      <c r="E7160" s="164" t="n">
        <v>6000</v>
      </c>
      <c r="F7160" s="165" t="s">
        <v>11064</v>
      </c>
    </row>
    <row r="7161" customFormat="false" ht="15" hidden="false" customHeight="true" outlineLevel="0" collapsed="false">
      <c r="A7161" s="163" t="s">
        <v>3029</v>
      </c>
      <c r="B7161" s="163" t="s">
        <v>894</v>
      </c>
      <c r="C7161" s="163" t="s">
        <v>6675</v>
      </c>
      <c r="D7161" s="163" t="s">
        <v>6676</v>
      </c>
      <c r="E7161" s="164" t="n">
        <v>6000</v>
      </c>
      <c r="F7161" s="165" t="s">
        <v>11064</v>
      </c>
    </row>
    <row r="7162" customFormat="false" ht="15" hidden="false" customHeight="true" outlineLevel="0" collapsed="false">
      <c r="A7162" s="163" t="s">
        <v>3029</v>
      </c>
      <c r="B7162" s="163" t="s">
        <v>894</v>
      </c>
      <c r="C7162" s="163" t="s">
        <v>5008</v>
      </c>
      <c r="D7162" s="163" t="s">
        <v>5009</v>
      </c>
      <c r="E7162" s="164" t="n">
        <v>5000</v>
      </c>
      <c r="F7162" s="165" t="s">
        <v>11088</v>
      </c>
    </row>
    <row r="7163" customFormat="false" ht="15" hidden="false" customHeight="true" outlineLevel="0" collapsed="false">
      <c r="A7163" s="163" t="s">
        <v>3029</v>
      </c>
      <c r="B7163" s="163" t="s">
        <v>894</v>
      </c>
      <c r="C7163" s="163" t="s">
        <v>11093</v>
      </c>
      <c r="D7163" s="163" t="s">
        <v>11094</v>
      </c>
      <c r="E7163" s="164" t="n">
        <v>5000</v>
      </c>
      <c r="F7163" s="165" t="s">
        <v>11064</v>
      </c>
    </row>
    <row r="7164" customFormat="false" ht="15" hidden="false" customHeight="true" outlineLevel="0" collapsed="false">
      <c r="A7164" s="163" t="s">
        <v>3029</v>
      </c>
      <c r="B7164" s="163" t="s">
        <v>894</v>
      </c>
      <c r="C7164" s="163" t="s">
        <v>7879</v>
      </c>
      <c r="D7164" s="163" t="s">
        <v>1931</v>
      </c>
      <c r="E7164" s="164" t="n">
        <v>5000</v>
      </c>
      <c r="F7164" s="165" t="s">
        <v>11095</v>
      </c>
    </row>
    <row r="7165" customFormat="false" ht="15" hidden="false" customHeight="true" outlineLevel="0" collapsed="false">
      <c r="A7165" s="163" t="s">
        <v>3029</v>
      </c>
      <c r="B7165" s="163" t="s">
        <v>894</v>
      </c>
      <c r="C7165" s="163" t="s">
        <v>11096</v>
      </c>
      <c r="D7165" s="163" t="s">
        <v>1931</v>
      </c>
      <c r="E7165" s="164" t="n">
        <v>5000</v>
      </c>
      <c r="F7165" s="165" t="s">
        <v>11095</v>
      </c>
    </row>
    <row r="7166" customFormat="false" ht="15" hidden="false" customHeight="true" outlineLevel="0" collapsed="false">
      <c r="A7166" s="163" t="s">
        <v>3029</v>
      </c>
      <c r="B7166" s="163" t="s">
        <v>894</v>
      </c>
      <c r="C7166" s="163" t="s">
        <v>11097</v>
      </c>
      <c r="D7166" s="163" t="s">
        <v>1931</v>
      </c>
      <c r="E7166" s="164" t="n">
        <v>5000</v>
      </c>
      <c r="F7166" s="165" t="s">
        <v>11095</v>
      </c>
    </row>
    <row r="7167" customFormat="false" ht="15" hidden="false" customHeight="true" outlineLevel="0" collapsed="false">
      <c r="A7167" s="163" t="s">
        <v>3029</v>
      </c>
      <c r="B7167" s="163" t="s">
        <v>894</v>
      </c>
      <c r="C7167" s="163" t="s">
        <v>3706</v>
      </c>
      <c r="D7167" s="163" t="s">
        <v>3707</v>
      </c>
      <c r="E7167" s="164" t="n">
        <v>5000</v>
      </c>
      <c r="F7167" s="165" t="s">
        <v>10995</v>
      </c>
    </row>
    <row r="7168" customFormat="false" ht="15" hidden="false" customHeight="true" outlineLevel="0" collapsed="false">
      <c r="A7168" s="163" t="s">
        <v>3029</v>
      </c>
      <c r="B7168" s="163" t="s">
        <v>894</v>
      </c>
      <c r="C7168" s="163" t="s">
        <v>3682</v>
      </c>
      <c r="D7168" s="163" t="s">
        <v>3683</v>
      </c>
      <c r="E7168" s="164" t="n">
        <v>5000</v>
      </c>
      <c r="F7168" s="165" t="s">
        <v>11098</v>
      </c>
    </row>
    <row r="7169" customFormat="false" ht="15" hidden="false" customHeight="true" outlineLevel="0" collapsed="false">
      <c r="A7169" s="163" t="s">
        <v>3029</v>
      </c>
      <c r="B7169" s="163" t="s">
        <v>894</v>
      </c>
      <c r="C7169" s="163" t="s">
        <v>11081</v>
      </c>
      <c r="D7169" s="163" t="s">
        <v>11082</v>
      </c>
      <c r="E7169" s="164" t="n">
        <v>5000</v>
      </c>
      <c r="F7169" s="165" t="s">
        <v>11099</v>
      </c>
    </row>
    <row r="7170" customFormat="false" ht="15" hidden="false" customHeight="true" outlineLevel="0" collapsed="false">
      <c r="A7170" s="163" t="s">
        <v>3029</v>
      </c>
      <c r="B7170" s="163" t="s">
        <v>894</v>
      </c>
      <c r="C7170" s="163" t="s">
        <v>3684</v>
      </c>
      <c r="D7170" s="163" t="s">
        <v>3685</v>
      </c>
      <c r="E7170" s="164" t="n">
        <v>5000</v>
      </c>
      <c r="F7170" s="165" t="s">
        <v>11100</v>
      </c>
    </row>
    <row r="7171" customFormat="false" ht="15" hidden="false" customHeight="true" outlineLevel="0" collapsed="false">
      <c r="A7171" s="163" t="s">
        <v>3029</v>
      </c>
      <c r="B7171" s="163" t="s">
        <v>894</v>
      </c>
      <c r="C7171" s="163" t="s">
        <v>4202</v>
      </c>
      <c r="D7171" s="163" t="s">
        <v>4203</v>
      </c>
      <c r="E7171" s="164" t="n">
        <v>5000</v>
      </c>
      <c r="F7171" s="165" t="s">
        <v>11101</v>
      </c>
    </row>
    <row r="7172" customFormat="false" ht="15" hidden="false" customHeight="true" outlineLevel="0" collapsed="false">
      <c r="A7172" s="163" t="s">
        <v>3029</v>
      </c>
      <c r="B7172" s="163" t="s">
        <v>894</v>
      </c>
      <c r="C7172" s="163" t="s">
        <v>11102</v>
      </c>
      <c r="D7172" s="163" t="s">
        <v>11103</v>
      </c>
      <c r="E7172" s="164" t="n">
        <v>5000</v>
      </c>
      <c r="F7172" s="165" t="s">
        <v>11104</v>
      </c>
    </row>
    <row r="7173" customFormat="false" ht="15" hidden="false" customHeight="true" outlineLevel="0" collapsed="false">
      <c r="A7173" s="163" t="s">
        <v>3029</v>
      </c>
      <c r="B7173" s="163" t="s">
        <v>894</v>
      </c>
      <c r="C7173" s="163" t="s">
        <v>11105</v>
      </c>
      <c r="D7173" s="163" t="s">
        <v>11106</v>
      </c>
      <c r="E7173" s="164" t="n">
        <v>5000</v>
      </c>
      <c r="F7173" s="165" t="s">
        <v>11107</v>
      </c>
    </row>
    <row r="7174" customFormat="false" ht="15" hidden="false" customHeight="true" outlineLevel="0" collapsed="false">
      <c r="A7174" s="163" t="s">
        <v>3029</v>
      </c>
      <c r="B7174" s="163" t="s">
        <v>894</v>
      </c>
      <c r="C7174" s="163" t="s">
        <v>11108</v>
      </c>
      <c r="D7174" s="163" t="s">
        <v>11109</v>
      </c>
      <c r="E7174" s="164" t="n">
        <v>5000</v>
      </c>
      <c r="F7174" s="165" t="s">
        <v>11110</v>
      </c>
    </row>
    <row r="7175" customFormat="false" ht="15" hidden="false" customHeight="true" outlineLevel="0" collapsed="false">
      <c r="A7175" s="163" t="s">
        <v>3029</v>
      </c>
      <c r="B7175" s="163" t="s">
        <v>894</v>
      </c>
      <c r="C7175" s="163" t="s">
        <v>1129</v>
      </c>
      <c r="D7175" s="163" t="s">
        <v>2892</v>
      </c>
      <c r="E7175" s="164" t="n">
        <v>5000</v>
      </c>
      <c r="F7175" s="165" t="s">
        <v>11064</v>
      </c>
    </row>
    <row r="7176" customFormat="false" ht="15" hidden="false" customHeight="true" outlineLevel="0" collapsed="false">
      <c r="A7176" s="163" t="s">
        <v>3029</v>
      </c>
      <c r="B7176" s="163" t="s">
        <v>894</v>
      </c>
      <c r="C7176" s="163" t="s">
        <v>9374</v>
      </c>
      <c r="D7176" s="163" t="s">
        <v>9375</v>
      </c>
      <c r="E7176" s="164" t="n">
        <v>5000</v>
      </c>
      <c r="F7176" s="165" t="s">
        <v>11111</v>
      </c>
    </row>
    <row r="7177" customFormat="false" ht="15" hidden="false" customHeight="true" outlineLevel="0" collapsed="false">
      <c r="A7177" s="163" t="s">
        <v>3029</v>
      </c>
      <c r="B7177" s="163" t="s">
        <v>882</v>
      </c>
      <c r="C7177" s="163" t="s">
        <v>2759</v>
      </c>
      <c r="D7177" s="163" t="s">
        <v>2760</v>
      </c>
      <c r="E7177" s="164" t="n">
        <v>120000</v>
      </c>
      <c r="F7177" s="165" t="s">
        <v>11112</v>
      </c>
    </row>
    <row r="7178" customFormat="false" ht="15" hidden="false" customHeight="true" outlineLevel="0" collapsed="false">
      <c r="A7178" s="163" t="s">
        <v>3029</v>
      </c>
      <c r="B7178" s="163" t="s">
        <v>882</v>
      </c>
      <c r="C7178" s="163" t="s">
        <v>640</v>
      </c>
      <c r="D7178" s="163" t="s">
        <v>1931</v>
      </c>
      <c r="E7178" s="164" t="n">
        <v>100000</v>
      </c>
      <c r="F7178" s="165" t="s">
        <v>11113</v>
      </c>
    </row>
    <row r="7179" customFormat="false" ht="15" hidden="false" customHeight="true" outlineLevel="0" collapsed="false">
      <c r="A7179" s="163" t="s">
        <v>3029</v>
      </c>
      <c r="B7179" s="163" t="s">
        <v>882</v>
      </c>
      <c r="C7179" s="163" t="s">
        <v>3706</v>
      </c>
      <c r="D7179" s="163" t="s">
        <v>3707</v>
      </c>
      <c r="E7179" s="164" t="n">
        <v>40000</v>
      </c>
      <c r="F7179" s="165" t="s">
        <v>11114</v>
      </c>
    </row>
    <row r="7180" customFormat="false" ht="15" hidden="false" customHeight="true" outlineLevel="0" collapsed="false">
      <c r="A7180" s="163" t="s">
        <v>3029</v>
      </c>
      <c r="B7180" s="163" t="s">
        <v>882</v>
      </c>
      <c r="C7180" s="163" t="s">
        <v>6678</v>
      </c>
      <c r="D7180" s="163" t="s">
        <v>6679</v>
      </c>
      <c r="E7180" s="164" t="n">
        <v>20000</v>
      </c>
      <c r="F7180" s="165" t="s">
        <v>11115</v>
      </c>
    </row>
    <row r="7181" customFormat="false" ht="15" hidden="false" customHeight="true" outlineLevel="0" collapsed="false">
      <c r="A7181" s="163" t="s">
        <v>3029</v>
      </c>
      <c r="B7181" s="163" t="s">
        <v>2328</v>
      </c>
      <c r="C7181" s="163" t="s">
        <v>6839</v>
      </c>
      <c r="D7181" s="163" t="s">
        <v>6840</v>
      </c>
      <c r="E7181" s="164" t="n">
        <v>30000</v>
      </c>
      <c r="F7181" s="165" t="s">
        <v>11116</v>
      </c>
    </row>
    <row r="7182" customFormat="false" ht="15" hidden="false" customHeight="true" outlineLevel="0" collapsed="false">
      <c r="A7182" s="163" t="s">
        <v>3029</v>
      </c>
      <c r="B7182" s="163" t="s">
        <v>2328</v>
      </c>
      <c r="C7182" s="163" t="s">
        <v>6678</v>
      </c>
      <c r="D7182" s="163" t="s">
        <v>6679</v>
      </c>
      <c r="E7182" s="164" t="n">
        <v>20000</v>
      </c>
      <c r="F7182" s="165" t="s">
        <v>11117</v>
      </c>
    </row>
    <row r="7183" customFormat="false" ht="15" hidden="false" customHeight="true" outlineLevel="0" collapsed="false">
      <c r="A7183" s="163" t="s">
        <v>3029</v>
      </c>
      <c r="B7183" s="163" t="s">
        <v>2342</v>
      </c>
      <c r="C7183" s="163" t="s">
        <v>3560</v>
      </c>
      <c r="D7183" s="163" t="s">
        <v>3561</v>
      </c>
      <c r="E7183" s="164" t="n">
        <v>30000</v>
      </c>
      <c r="F7183" s="165" t="s">
        <v>11064</v>
      </c>
    </row>
    <row r="7184" customFormat="false" ht="15" hidden="false" customHeight="true" outlineLevel="0" collapsed="false">
      <c r="A7184" s="163" t="s">
        <v>3029</v>
      </c>
      <c r="B7184" s="163" t="s">
        <v>2342</v>
      </c>
      <c r="C7184" s="163" t="s">
        <v>197</v>
      </c>
      <c r="D7184" s="163" t="s">
        <v>1931</v>
      </c>
      <c r="E7184" s="164" t="n">
        <v>25000</v>
      </c>
      <c r="F7184" s="165" t="s">
        <v>11118</v>
      </c>
    </row>
    <row r="7185" customFormat="false" ht="15" hidden="false" customHeight="true" outlineLevel="0" collapsed="false">
      <c r="A7185" s="163" t="s">
        <v>3029</v>
      </c>
      <c r="B7185" s="163" t="s">
        <v>2342</v>
      </c>
      <c r="C7185" s="163" t="s">
        <v>11002</v>
      </c>
      <c r="D7185" s="163" t="s">
        <v>11003</v>
      </c>
      <c r="E7185" s="164" t="n">
        <v>15000</v>
      </c>
      <c r="F7185" s="165" t="s">
        <v>11119</v>
      </c>
    </row>
    <row r="7186" customFormat="false" ht="15" hidden="false" customHeight="true" outlineLevel="0" collapsed="false">
      <c r="A7186" s="163" t="s">
        <v>3029</v>
      </c>
      <c r="B7186" s="163" t="s">
        <v>2342</v>
      </c>
      <c r="C7186" s="163" t="s">
        <v>197</v>
      </c>
      <c r="D7186" s="163" t="s">
        <v>1931</v>
      </c>
      <c r="E7186" s="164" t="n">
        <v>10000</v>
      </c>
      <c r="F7186" s="165" t="s">
        <v>11120</v>
      </c>
    </row>
    <row r="7187" customFormat="false" ht="15" hidden="false" customHeight="true" outlineLevel="0" collapsed="false">
      <c r="A7187" s="163" t="s">
        <v>3029</v>
      </c>
      <c r="B7187" s="163" t="s">
        <v>2342</v>
      </c>
      <c r="C7187" s="163" t="s">
        <v>2953</v>
      </c>
      <c r="D7187" s="163" t="s">
        <v>2954</v>
      </c>
      <c r="E7187" s="164" t="n">
        <v>10000</v>
      </c>
      <c r="F7187" s="165" t="s">
        <v>11064</v>
      </c>
    </row>
    <row r="7188" customFormat="false" ht="15" hidden="false" customHeight="true" outlineLevel="0" collapsed="false">
      <c r="A7188" s="163" t="s">
        <v>3029</v>
      </c>
      <c r="B7188" s="163" t="s">
        <v>2766</v>
      </c>
      <c r="C7188" s="163" t="s">
        <v>4396</v>
      </c>
      <c r="D7188" s="163" t="s">
        <v>4397</v>
      </c>
      <c r="E7188" s="164" t="n">
        <v>15000</v>
      </c>
      <c r="F7188" s="165" t="s">
        <v>11121</v>
      </c>
    </row>
    <row r="7189" customFormat="false" ht="15" hidden="false" customHeight="true" outlineLevel="0" collapsed="false">
      <c r="A7189" s="163" t="s">
        <v>3029</v>
      </c>
      <c r="B7189" s="163" t="s">
        <v>2766</v>
      </c>
      <c r="C7189" s="163" t="s">
        <v>431</v>
      </c>
      <c r="D7189" s="163" t="s">
        <v>2678</v>
      </c>
      <c r="E7189" s="164" t="n">
        <v>15000</v>
      </c>
      <c r="F7189" s="165" t="s">
        <v>11122</v>
      </c>
    </row>
    <row r="7190" customFormat="false" ht="15" hidden="false" customHeight="true" outlineLevel="0" collapsed="false">
      <c r="A7190" s="163" t="s">
        <v>3029</v>
      </c>
      <c r="B7190" s="163" t="s">
        <v>2766</v>
      </c>
      <c r="C7190" s="163" t="s">
        <v>431</v>
      </c>
      <c r="D7190" s="163" t="s">
        <v>2678</v>
      </c>
      <c r="E7190" s="164" t="n">
        <v>15000</v>
      </c>
      <c r="F7190" s="165" t="s">
        <v>11123</v>
      </c>
    </row>
    <row r="7191" customFormat="false" ht="15" hidden="false" customHeight="true" outlineLevel="0" collapsed="false">
      <c r="A7191" s="163" t="s">
        <v>3029</v>
      </c>
      <c r="B7191" s="163" t="s">
        <v>2766</v>
      </c>
      <c r="C7191" s="163" t="s">
        <v>4946</v>
      </c>
      <c r="D7191" s="163" t="s">
        <v>4947</v>
      </c>
      <c r="E7191" s="164" t="n">
        <v>15000</v>
      </c>
      <c r="F7191" s="165" t="s">
        <v>11124</v>
      </c>
    </row>
    <row r="7192" customFormat="false" ht="15" hidden="false" customHeight="true" outlineLevel="0" collapsed="false">
      <c r="A7192" s="163" t="s">
        <v>3029</v>
      </c>
      <c r="B7192" s="163" t="s">
        <v>2766</v>
      </c>
      <c r="C7192" s="163" t="s">
        <v>4946</v>
      </c>
      <c r="D7192" s="163" t="s">
        <v>4947</v>
      </c>
      <c r="E7192" s="164" t="n">
        <v>15000</v>
      </c>
      <c r="F7192" s="165" t="s">
        <v>11125</v>
      </c>
    </row>
    <row r="7193" customFormat="false" ht="15" hidden="false" customHeight="true" outlineLevel="0" collapsed="false">
      <c r="A7193" s="163" t="s">
        <v>3029</v>
      </c>
      <c r="B7193" s="163" t="s">
        <v>1743</v>
      </c>
      <c r="C7193" s="163" t="s">
        <v>4635</v>
      </c>
      <c r="D7193" s="163" t="s">
        <v>4636</v>
      </c>
      <c r="E7193" s="164" t="n">
        <v>100000</v>
      </c>
      <c r="F7193" s="165" t="s">
        <v>11067</v>
      </c>
    </row>
    <row r="7194" customFormat="false" ht="15" hidden="false" customHeight="true" outlineLevel="0" collapsed="false">
      <c r="A7194" s="163" t="s">
        <v>3029</v>
      </c>
      <c r="B7194" s="163" t="s">
        <v>1743</v>
      </c>
      <c r="C7194" s="163" t="s">
        <v>4635</v>
      </c>
      <c r="D7194" s="163" t="s">
        <v>4636</v>
      </c>
      <c r="E7194" s="164" t="n">
        <v>20000</v>
      </c>
      <c r="F7194" s="165" t="s">
        <v>4635</v>
      </c>
    </row>
    <row r="7195" customFormat="false" ht="15" hidden="false" customHeight="true" outlineLevel="0" collapsed="false">
      <c r="A7195" s="163" t="s">
        <v>3029</v>
      </c>
      <c r="B7195" s="163" t="s">
        <v>1743</v>
      </c>
      <c r="C7195" s="163" t="s">
        <v>3595</v>
      </c>
      <c r="D7195" s="163" t="s">
        <v>3596</v>
      </c>
      <c r="E7195" s="164" t="n">
        <v>15000</v>
      </c>
      <c r="F7195" s="165" t="s">
        <v>11126</v>
      </c>
    </row>
    <row r="7196" customFormat="false" ht="15" hidden="false" customHeight="true" outlineLevel="0" collapsed="false">
      <c r="A7196" s="163" t="s">
        <v>3029</v>
      </c>
      <c r="B7196" s="163" t="s">
        <v>1743</v>
      </c>
      <c r="C7196" s="163" t="s">
        <v>7901</v>
      </c>
      <c r="D7196" s="163" t="s">
        <v>7902</v>
      </c>
      <c r="E7196" s="164" t="n">
        <v>15000</v>
      </c>
      <c r="F7196" s="165" t="s">
        <v>11127</v>
      </c>
    </row>
    <row r="7197" customFormat="false" ht="15" hidden="false" customHeight="true" outlineLevel="0" collapsed="false">
      <c r="A7197" s="163" t="s">
        <v>3029</v>
      </c>
      <c r="B7197" s="163" t="s">
        <v>928</v>
      </c>
      <c r="C7197" s="163" t="s">
        <v>3700</v>
      </c>
      <c r="D7197" s="163" t="s">
        <v>3701</v>
      </c>
      <c r="E7197" s="164" t="n">
        <v>26500</v>
      </c>
      <c r="F7197" s="165" t="s">
        <v>11128</v>
      </c>
    </row>
    <row r="7198" customFormat="false" ht="15" hidden="false" customHeight="true" outlineLevel="0" collapsed="false">
      <c r="A7198" s="163" t="s">
        <v>3029</v>
      </c>
      <c r="B7198" s="163" t="s">
        <v>928</v>
      </c>
      <c r="C7198" s="163" t="s">
        <v>10996</v>
      </c>
      <c r="D7198" s="163" t="s">
        <v>10997</v>
      </c>
      <c r="E7198" s="164" t="n">
        <v>15000</v>
      </c>
      <c r="F7198" s="165" t="s">
        <v>11129</v>
      </c>
    </row>
    <row r="7199" customFormat="false" ht="15" hidden="false" customHeight="true" outlineLevel="0" collapsed="false">
      <c r="A7199" s="163" t="s">
        <v>3029</v>
      </c>
      <c r="B7199" s="163" t="s">
        <v>928</v>
      </c>
      <c r="C7199" s="163" t="s">
        <v>11130</v>
      </c>
      <c r="D7199" s="163" t="s">
        <v>11131</v>
      </c>
      <c r="E7199" s="164" t="n">
        <v>14000</v>
      </c>
      <c r="F7199" s="165" t="s">
        <v>11132</v>
      </c>
    </row>
    <row r="7200" customFormat="false" ht="15" hidden="false" customHeight="true" outlineLevel="0" collapsed="false">
      <c r="A7200" s="163" t="s">
        <v>3029</v>
      </c>
      <c r="B7200" s="163" t="s">
        <v>928</v>
      </c>
      <c r="C7200" s="163" t="s">
        <v>2953</v>
      </c>
      <c r="D7200" s="163" t="s">
        <v>2954</v>
      </c>
      <c r="E7200" s="164" t="n">
        <v>10000</v>
      </c>
      <c r="F7200" s="165" t="s">
        <v>11133</v>
      </c>
    </row>
    <row r="7201" customFormat="false" ht="15" hidden="false" customHeight="true" outlineLevel="0" collapsed="false">
      <c r="A7201" s="163" t="s">
        <v>3029</v>
      </c>
      <c r="B7201" s="163" t="s">
        <v>928</v>
      </c>
      <c r="C7201" s="163" t="s">
        <v>11134</v>
      </c>
      <c r="D7201" s="163" t="s">
        <v>11135</v>
      </c>
      <c r="E7201" s="164" t="n">
        <v>10000</v>
      </c>
      <c r="F7201" s="165" t="s">
        <v>11136</v>
      </c>
    </row>
    <row r="7202" customFormat="false" ht="15" hidden="false" customHeight="true" outlineLevel="0" collapsed="false">
      <c r="A7202" s="163" t="s">
        <v>3029</v>
      </c>
      <c r="B7202" s="163" t="s">
        <v>928</v>
      </c>
      <c r="C7202" s="163" t="s">
        <v>3700</v>
      </c>
      <c r="D7202" s="163" t="s">
        <v>3701</v>
      </c>
      <c r="E7202" s="164" t="n">
        <v>10000</v>
      </c>
      <c r="F7202" s="165" t="s">
        <v>11064</v>
      </c>
    </row>
    <row r="7203" customFormat="false" ht="15" hidden="false" customHeight="true" outlineLevel="0" collapsed="false">
      <c r="A7203" s="163" t="s">
        <v>3029</v>
      </c>
      <c r="B7203" s="163" t="s">
        <v>928</v>
      </c>
      <c r="C7203" s="163" t="s">
        <v>11137</v>
      </c>
      <c r="D7203" s="163" t="s">
        <v>11138</v>
      </c>
      <c r="E7203" s="164" t="n">
        <v>8500</v>
      </c>
      <c r="F7203" s="165" t="s">
        <v>11139</v>
      </c>
    </row>
    <row r="7204" customFormat="false" ht="15" hidden="false" customHeight="true" outlineLevel="0" collapsed="false">
      <c r="A7204" s="163" t="s">
        <v>3029</v>
      </c>
      <c r="B7204" s="163" t="s">
        <v>928</v>
      </c>
      <c r="C7204" s="163" t="s">
        <v>11140</v>
      </c>
      <c r="D7204" s="163" t="s">
        <v>11141</v>
      </c>
      <c r="E7204" s="164" t="n">
        <v>7500</v>
      </c>
      <c r="F7204" s="165" t="s">
        <v>11142</v>
      </c>
    </row>
    <row r="7205" customFormat="false" ht="15" hidden="false" customHeight="true" outlineLevel="0" collapsed="false">
      <c r="A7205" s="163" t="s">
        <v>3029</v>
      </c>
      <c r="B7205" s="163" t="s">
        <v>928</v>
      </c>
      <c r="C7205" s="163" t="s">
        <v>1199</v>
      </c>
      <c r="D7205" s="163" t="s">
        <v>1929</v>
      </c>
      <c r="E7205" s="164" t="n">
        <v>6000</v>
      </c>
      <c r="F7205" s="165" t="s">
        <v>11064</v>
      </c>
    </row>
    <row r="7206" customFormat="false" ht="15" hidden="false" customHeight="true" outlineLevel="0" collapsed="false">
      <c r="A7206" s="163" t="s">
        <v>3029</v>
      </c>
      <c r="B7206" s="163" t="s">
        <v>928</v>
      </c>
      <c r="C7206" s="163" t="s">
        <v>10996</v>
      </c>
      <c r="D7206" s="163" t="s">
        <v>10997</v>
      </c>
      <c r="E7206" s="164" t="n">
        <v>5500</v>
      </c>
      <c r="F7206" s="165" t="s">
        <v>11143</v>
      </c>
    </row>
    <row r="7207" customFormat="false" ht="15" hidden="false" customHeight="true" outlineLevel="0" collapsed="false">
      <c r="A7207" s="163" t="s">
        <v>3029</v>
      </c>
      <c r="B7207" s="163" t="s">
        <v>928</v>
      </c>
      <c r="C7207" s="163" t="s">
        <v>11144</v>
      </c>
      <c r="D7207" s="163" t="s">
        <v>11145</v>
      </c>
      <c r="E7207" s="164" t="n">
        <v>5000</v>
      </c>
      <c r="F7207" s="165" t="s">
        <v>11064</v>
      </c>
    </row>
    <row r="7208" customFormat="false" ht="15" hidden="false" customHeight="true" outlineLevel="0" collapsed="false">
      <c r="A7208" s="163" t="s">
        <v>3029</v>
      </c>
      <c r="B7208" s="163" t="s">
        <v>928</v>
      </c>
      <c r="C7208" s="163" t="s">
        <v>2780</v>
      </c>
      <c r="D7208" s="163" t="s">
        <v>2429</v>
      </c>
      <c r="E7208" s="164" t="n">
        <v>5000</v>
      </c>
      <c r="F7208" s="165" t="s">
        <v>11136</v>
      </c>
    </row>
    <row r="7209" customFormat="false" ht="15" hidden="false" customHeight="true" outlineLevel="0" collapsed="false">
      <c r="A7209" s="163" t="s">
        <v>3029</v>
      </c>
      <c r="B7209" s="163" t="s">
        <v>928</v>
      </c>
      <c r="C7209" s="163" t="s">
        <v>11146</v>
      </c>
      <c r="D7209" s="163" t="s">
        <v>11147</v>
      </c>
      <c r="E7209" s="164" t="n">
        <v>5000</v>
      </c>
      <c r="F7209" s="165" t="s">
        <v>11148</v>
      </c>
    </row>
    <row r="7210" customFormat="false" ht="15" hidden="false" customHeight="true" outlineLevel="0" collapsed="false">
      <c r="A7210" s="163" t="s">
        <v>3029</v>
      </c>
      <c r="B7210" s="163" t="s">
        <v>928</v>
      </c>
      <c r="C7210" s="163" t="s">
        <v>3108</v>
      </c>
      <c r="D7210" s="163" t="s">
        <v>3109</v>
      </c>
      <c r="E7210" s="164" t="n">
        <v>5000</v>
      </c>
      <c r="F7210" s="165" t="s">
        <v>11149</v>
      </c>
    </row>
    <row r="7211" customFormat="false" ht="15" hidden="false" customHeight="true" outlineLevel="0" collapsed="false">
      <c r="A7211" s="163" t="s">
        <v>3029</v>
      </c>
      <c r="B7211" s="163" t="s">
        <v>928</v>
      </c>
      <c r="C7211" s="163" t="s">
        <v>11150</v>
      </c>
      <c r="D7211" s="163" t="s">
        <v>11151</v>
      </c>
      <c r="E7211" s="164" t="n">
        <v>5000</v>
      </c>
      <c r="F7211" s="165" t="s">
        <v>11152</v>
      </c>
    </row>
    <row r="7212" customFormat="false" ht="15" hidden="false" customHeight="true" outlineLevel="0" collapsed="false">
      <c r="A7212" s="163" t="s">
        <v>3029</v>
      </c>
      <c r="B7212" s="163" t="s">
        <v>928</v>
      </c>
      <c r="C7212" s="163" t="s">
        <v>4427</v>
      </c>
      <c r="D7212" s="163" t="s">
        <v>4428</v>
      </c>
      <c r="E7212" s="164" t="n">
        <v>5000</v>
      </c>
      <c r="F7212" s="165" t="s">
        <v>11153</v>
      </c>
    </row>
    <row r="7213" customFormat="false" ht="15" hidden="false" customHeight="true" outlineLevel="0" collapsed="false">
      <c r="A7213" s="163" t="s">
        <v>3029</v>
      </c>
      <c r="B7213" s="163" t="s">
        <v>928</v>
      </c>
      <c r="C7213" s="163" t="s">
        <v>2167</v>
      </c>
      <c r="D7213" s="163" t="s">
        <v>1931</v>
      </c>
      <c r="E7213" s="164" t="n">
        <v>5000</v>
      </c>
      <c r="F7213" s="165" t="s">
        <v>3060</v>
      </c>
    </row>
    <row r="7214" customFormat="false" ht="15" hidden="false" customHeight="true" outlineLevel="0" collapsed="false">
      <c r="A7214" s="163" t="s">
        <v>3029</v>
      </c>
      <c r="B7214" s="163" t="s">
        <v>928</v>
      </c>
      <c r="C7214" s="163" t="s">
        <v>2780</v>
      </c>
      <c r="D7214" s="163" t="s">
        <v>2429</v>
      </c>
      <c r="E7214" s="164" t="n">
        <v>2000</v>
      </c>
      <c r="F7214" s="165" t="s">
        <v>11154</v>
      </c>
    </row>
    <row r="7215" customFormat="false" ht="15" hidden="false" customHeight="true" outlineLevel="0" collapsed="false">
      <c r="A7215" s="163" t="s">
        <v>3042</v>
      </c>
      <c r="B7215" s="163" t="s">
        <v>957</v>
      </c>
      <c r="C7215" s="163" t="s">
        <v>4754</v>
      </c>
      <c r="D7215" s="163" t="s">
        <v>4755</v>
      </c>
      <c r="E7215" s="164" t="n">
        <v>35000</v>
      </c>
      <c r="F7215" s="165" t="s">
        <v>11155</v>
      </c>
    </row>
    <row r="7216" customFormat="false" ht="15" hidden="false" customHeight="true" outlineLevel="0" collapsed="false">
      <c r="A7216" s="163" t="s">
        <v>3042</v>
      </c>
      <c r="B7216" s="163" t="s">
        <v>957</v>
      </c>
      <c r="C7216" s="163" t="s">
        <v>6342</v>
      </c>
      <c r="D7216" s="163" t="s">
        <v>6343</v>
      </c>
      <c r="E7216" s="164" t="n">
        <v>10000</v>
      </c>
      <c r="F7216" s="165" t="s">
        <v>11156</v>
      </c>
    </row>
    <row r="7217" customFormat="false" ht="15" hidden="false" customHeight="true" outlineLevel="0" collapsed="false">
      <c r="A7217" s="163" t="s">
        <v>3042</v>
      </c>
      <c r="B7217" s="163" t="s">
        <v>957</v>
      </c>
      <c r="C7217" s="163" t="s">
        <v>1137</v>
      </c>
      <c r="D7217" s="163" t="s">
        <v>10488</v>
      </c>
      <c r="E7217" s="164" t="n">
        <v>10000</v>
      </c>
      <c r="F7217" s="165" t="s">
        <v>11157</v>
      </c>
    </row>
    <row r="7218" customFormat="false" ht="15" hidden="false" customHeight="true" outlineLevel="0" collapsed="false">
      <c r="A7218" s="163" t="s">
        <v>3042</v>
      </c>
      <c r="B7218" s="163" t="s">
        <v>957</v>
      </c>
      <c r="C7218" s="163" t="s">
        <v>6410</v>
      </c>
      <c r="D7218" s="163" t="s">
        <v>6411</v>
      </c>
      <c r="E7218" s="164" t="n">
        <v>10000</v>
      </c>
      <c r="F7218" s="165" t="s">
        <v>1743</v>
      </c>
    </row>
    <row r="7219" customFormat="false" ht="15" hidden="false" customHeight="true" outlineLevel="0" collapsed="false">
      <c r="A7219" s="163" t="s">
        <v>3042</v>
      </c>
      <c r="B7219" s="163" t="s">
        <v>957</v>
      </c>
      <c r="C7219" s="163" t="s">
        <v>7725</v>
      </c>
      <c r="D7219" s="163" t="s">
        <v>7726</v>
      </c>
      <c r="E7219" s="164" t="n">
        <v>10000</v>
      </c>
      <c r="F7219" s="165" t="s">
        <v>3060</v>
      </c>
    </row>
    <row r="7220" customFormat="false" ht="15" hidden="false" customHeight="true" outlineLevel="0" collapsed="false">
      <c r="A7220" s="163" t="s">
        <v>3042</v>
      </c>
      <c r="B7220" s="163" t="s">
        <v>957</v>
      </c>
      <c r="C7220" s="163" t="s">
        <v>6307</v>
      </c>
      <c r="D7220" s="163" t="s">
        <v>6308</v>
      </c>
      <c r="E7220" s="164" t="n">
        <v>7500</v>
      </c>
      <c r="F7220" s="165" t="s">
        <v>11158</v>
      </c>
    </row>
    <row r="7221" customFormat="false" ht="15" hidden="false" customHeight="true" outlineLevel="0" collapsed="false">
      <c r="A7221" s="163" t="s">
        <v>3042</v>
      </c>
      <c r="B7221" s="163" t="s">
        <v>957</v>
      </c>
      <c r="C7221" s="163" t="s">
        <v>11159</v>
      </c>
      <c r="D7221" s="163" t="s">
        <v>11160</v>
      </c>
      <c r="E7221" s="164" t="n">
        <v>7500</v>
      </c>
      <c r="F7221" s="165" t="s">
        <v>11161</v>
      </c>
    </row>
    <row r="7222" customFormat="false" ht="15" hidden="false" customHeight="true" outlineLevel="0" collapsed="false">
      <c r="A7222" s="163" t="s">
        <v>3042</v>
      </c>
      <c r="B7222" s="163" t="s">
        <v>957</v>
      </c>
      <c r="C7222" s="163" t="s">
        <v>11162</v>
      </c>
      <c r="D7222" s="163" t="s">
        <v>11163</v>
      </c>
      <c r="E7222" s="164" t="n">
        <v>7500</v>
      </c>
      <c r="F7222" s="165" t="s">
        <v>11157</v>
      </c>
    </row>
    <row r="7223" customFormat="false" ht="15" hidden="false" customHeight="true" outlineLevel="0" collapsed="false">
      <c r="A7223" s="163" t="s">
        <v>3042</v>
      </c>
      <c r="B7223" s="163" t="s">
        <v>957</v>
      </c>
      <c r="C7223" s="163" t="s">
        <v>10370</v>
      </c>
      <c r="D7223" s="163" t="s">
        <v>10371</v>
      </c>
      <c r="E7223" s="164" t="n">
        <v>5000</v>
      </c>
      <c r="F7223" s="165" t="s">
        <v>11164</v>
      </c>
    </row>
    <row r="7224" customFormat="false" ht="15" hidden="false" customHeight="true" outlineLevel="0" collapsed="false">
      <c r="A7224" s="163" t="s">
        <v>3042</v>
      </c>
      <c r="B7224" s="163" t="s">
        <v>957</v>
      </c>
      <c r="C7224" s="163" t="s">
        <v>3567</v>
      </c>
      <c r="D7224" s="163" t="s">
        <v>3568</v>
      </c>
      <c r="E7224" s="164" t="n">
        <v>5000</v>
      </c>
      <c r="F7224" s="165" t="s">
        <v>11165</v>
      </c>
    </row>
    <row r="7225" customFormat="false" ht="15" hidden="false" customHeight="true" outlineLevel="0" collapsed="false">
      <c r="A7225" s="163" t="s">
        <v>3042</v>
      </c>
      <c r="B7225" s="163" t="s">
        <v>957</v>
      </c>
      <c r="C7225" s="163" t="s">
        <v>3354</v>
      </c>
      <c r="D7225" s="163" t="s">
        <v>1931</v>
      </c>
      <c r="E7225" s="164" t="n">
        <v>2500</v>
      </c>
      <c r="F7225" s="165" t="s">
        <v>3060</v>
      </c>
    </row>
    <row r="7226" customFormat="false" ht="15" hidden="false" customHeight="true" outlineLevel="0" collapsed="false">
      <c r="A7226" s="163" t="s">
        <v>3042</v>
      </c>
      <c r="B7226" s="163" t="s">
        <v>945</v>
      </c>
      <c r="C7226" s="163" t="s">
        <v>11166</v>
      </c>
      <c r="D7226" s="163" t="s">
        <v>11167</v>
      </c>
      <c r="E7226" s="164" t="n">
        <v>30000</v>
      </c>
      <c r="F7226" s="165" t="s">
        <v>11168</v>
      </c>
    </row>
    <row r="7227" customFormat="false" ht="15" hidden="false" customHeight="true" outlineLevel="0" collapsed="false">
      <c r="A7227" s="163" t="s">
        <v>3042</v>
      </c>
      <c r="B7227" s="163" t="s">
        <v>945</v>
      </c>
      <c r="C7227" s="163" t="s">
        <v>6359</v>
      </c>
      <c r="D7227" s="163" t="s">
        <v>6360</v>
      </c>
      <c r="E7227" s="164" t="n">
        <v>10000</v>
      </c>
      <c r="F7227" s="165" t="s">
        <v>11169</v>
      </c>
    </row>
    <row r="7228" customFormat="false" ht="15" hidden="false" customHeight="true" outlineLevel="0" collapsed="false">
      <c r="A7228" s="163" t="s">
        <v>3042</v>
      </c>
      <c r="B7228" s="163" t="s">
        <v>945</v>
      </c>
      <c r="C7228" s="163" t="s">
        <v>4193</v>
      </c>
      <c r="D7228" s="163" t="s">
        <v>4194</v>
      </c>
      <c r="E7228" s="164" t="n">
        <v>5000</v>
      </c>
      <c r="F7228" s="165" t="s">
        <v>11170</v>
      </c>
    </row>
    <row r="7229" customFormat="false" ht="15" hidden="false" customHeight="true" outlineLevel="0" collapsed="false">
      <c r="A7229" s="163" t="s">
        <v>3042</v>
      </c>
      <c r="B7229" s="163" t="s">
        <v>945</v>
      </c>
      <c r="C7229" s="163" t="s">
        <v>3933</v>
      </c>
      <c r="D7229" s="163" t="s">
        <v>3934</v>
      </c>
      <c r="E7229" s="164" t="n">
        <v>5000</v>
      </c>
      <c r="F7229" s="165" t="s">
        <v>11171</v>
      </c>
    </row>
    <row r="7230" customFormat="false" ht="15" hidden="false" customHeight="true" outlineLevel="0" collapsed="false">
      <c r="A7230" s="163" t="s">
        <v>3042</v>
      </c>
      <c r="B7230" s="163" t="s">
        <v>3111</v>
      </c>
      <c r="C7230" s="163" t="s">
        <v>6319</v>
      </c>
      <c r="D7230" s="163" t="s">
        <v>6320</v>
      </c>
      <c r="E7230" s="164" t="n">
        <v>20000</v>
      </c>
      <c r="F7230" s="165" t="s">
        <v>11172</v>
      </c>
    </row>
    <row r="7231" customFormat="false" ht="15" hidden="false" customHeight="true" outlineLevel="0" collapsed="false">
      <c r="A7231" s="163" t="s">
        <v>3042</v>
      </c>
      <c r="B7231" s="163" t="s">
        <v>3111</v>
      </c>
      <c r="C7231" s="163" t="s">
        <v>3853</v>
      </c>
      <c r="D7231" s="163" t="s">
        <v>3854</v>
      </c>
      <c r="E7231" s="164" t="n">
        <v>20000</v>
      </c>
      <c r="F7231" s="165" t="s">
        <v>11173</v>
      </c>
    </row>
    <row r="7232" customFormat="false" ht="15" hidden="false" customHeight="true" outlineLevel="0" collapsed="false">
      <c r="A7232" s="163" t="s">
        <v>3042</v>
      </c>
      <c r="B7232" s="163" t="s">
        <v>3111</v>
      </c>
      <c r="C7232" s="163" t="s">
        <v>3771</v>
      </c>
      <c r="D7232" s="163" t="s">
        <v>3772</v>
      </c>
      <c r="E7232" s="164" t="n">
        <v>20000</v>
      </c>
      <c r="F7232" s="165" t="s">
        <v>11174</v>
      </c>
    </row>
    <row r="7233" customFormat="false" ht="15" hidden="false" customHeight="true" outlineLevel="0" collapsed="false">
      <c r="A7233" s="163" t="s">
        <v>3042</v>
      </c>
      <c r="B7233" s="163" t="s">
        <v>3111</v>
      </c>
      <c r="C7233" s="163" t="s">
        <v>240</v>
      </c>
      <c r="D7233" s="163" t="s">
        <v>2418</v>
      </c>
      <c r="E7233" s="164" t="n">
        <v>10000</v>
      </c>
      <c r="F7233" s="165" t="s">
        <v>11175</v>
      </c>
    </row>
    <row r="7234" customFormat="false" ht="15" hidden="false" customHeight="true" outlineLevel="0" collapsed="false">
      <c r="A7234" s="163" t="s">
        <v>3042</v>
      </c>
      <c r="B7234" s="163" t="s">
        <v>3111</v>
      </c>
      <c r="C7234" s="163" t="s">
        <v>10490</v>
      </c>
      <c r="D7234" s="163" t="s">
        <v>10491</v>
      </c>
      <c r="E7234" s="164" t="n">
        <v>10000</v>
      </c>
      <c r="F7234" s="165" t="s">
        <v>11172</v>
      </c>
    </row>
    <row r="7235" customFormat="false" ht="15" hidden="false" customHeight="true" outlineLevel="0" collapsed="false">
      <c r="A7235" s="163" t="s">
        <v>3042</v>
      </c>
      <c r="B7235" s="163" t="s">
        <v>3111</v>
      </c>
      <c r="C7235" s="163" t="s">
        <v>273</v>
      </c>
      <c r="D7235" s="163" t="s">
        <v>1891</v>
      </c>
      <c r="E7235" s="164" t="n">
        <v>10000</v>
      </c>
      <c r="F7235" s="165" t="s">
        <v>11176</v>
      </c>
    </row>
    <row r="7236" customFormat="false" ht="15" hidden="false" customHeight="true" outlineLevel="0" collapsed="false">
      <c r="A7236" s="163" t="s">
        <v>3042</v>
      </c>
      <c r="B7236" s="163" t="s">
        <v>3111</v>
      </c>
      <c r="C7236" s="163" t="s">
        <v>1860</v>
      </c>
      <c r="D7236" s="163" t="s">
        <v>1861</v>
      </c>
      <c r="E7236" s="164" t="n">
        <v>10000</v>
      </c>
      <c r="F7236" s="165" t="s">
        <v>11177</v>
      </c>
    </row>
    <row r="7237" customFormat="false" ht="15" hidden="false" customHeight="true" outlineLevel="0" collapsed="false">
      <c r="A7237" s="163" t="s">
        <v>3042</v>
      </c>
      <c r="B7237" s="163" t="s">
        <v>1938</v>
      </c>
      <c r="C7237" s="163" t="s">
        <v>1169</v>
      </c>
      <c r="D7237" s="163" t="s">
        <v>2801</v>
      </c>
      <c r="E7237" s="164" t="n">
        <v>40000</v>
      </c>
      <c r="F7237" s="165" t="s">
        <v>11178</v>
      </c>
    </row>
    <row r="7238" customFormat="false" ht="15" hidden="false" customHeight="true" outlineLevel="0" collapsed="false">
      <c r="A7238" s="163" t="s">
        <v>3042</v>
      </c>
      <c r="B7238" s="163" t="s">
        <v>1938</v>
      </c>
      <c r="C7238" s="163" t="s">
        <v>3805</v>
      </c>
      <c r="D7238" s="163" t="s">
        <v>3806</v>
      </c>
      <c r="E7238" s="164" t="n">
        <v>20000</v>
      </c>
      <c r="F7238" s="165" t="s">
        <v>11179</v>
      </c>
    </row>
    <row r="7239" customFormat="false" ht="15" hidden="false" customHeight="true" outlineLevel="0" collapsed="false">
      <c r="A7239" s="163" t="s">
        <v>3042</v>
      </c>
      <c r="B7239" s="163" t="s">
        <v>1938</v>
      </c>
      <c r="C7239" s="163" t="s">
        <v>3808</v>
      </c>
      <c r="D7239" s="163" t="s">
        <v>3809</v>
      </c>
      <c r="E7239" s="164" t="n">
        <v>20000</v>
      </c>
      <c r="F7239" s="165" t="s">
        <v>11180</v>
      </c>
    </row>
    <row r="7240" customFormat="false" ht="15" hidden="false" customHeight="true" outlineLevel="0" collapsed="false">
      <c r="A7240" s="163" t="s">
        <v>3042</v>
      </c>
      <c r="B7240" s="163" t="s">
        <v>1938</v>
      </c>
      <c r="C7240" s="163" t="s">
        <v>1876</v>
      </c>
      <c r="D7240" s="163" t="s">
        <v>1877</v>
      </c>
      <c r="E7240" s="164" t="n">
        <v>20000</v>
      </c>
      <c r="F7240" s="165" t="s">
        <v>11181</v>
      </c>
    </row>
    <row r="7241" customFormat="false" ht="15" hidden="false" customHeight="true" outlineLevel="0" collapsed="false">
      <c r="A7241" s="163" t="s">
        <v>3042</v>
      </c>
      <c r="B7241" s="163" t="s">
        <v>1938</v>
      </c>
      <c r="C7241" s="163" t="s">
        <v>1876</v>
      </c>
      <c r="D7241" s="163" t="s">
        <v>1877</v>
      </c>
      <c r="E7241" s="164" t="n">
        <v>20000</v>
      </c>
      <c r="F7241" s="165" t="s">
        <v>11182</v>
      </c>
    </row>
    <row r="7242" customFormat="false" ht="15" hidden="false" customHeight="true" outlineLevel="0" collapsed="false">
      <c r="A7242" s="163" t="s">
        <v>3042</v>
      </c>
      <c r="B7242" s="163" t="s">
        <v>1938</v>
      </c>
      <c r="C7242" s="163" t="s">
        <v>3815</v>
      </c>
      <c r="D7242" s="163" t="s">
        <v>3816</v>
      </c>
      <c r="E7242" s="164" t="n">
        <v>20000</v>
      </c>
      <c r="F7242" s="165" t="s">
        <v>11183</v>
      </c>
    </row>
    <row r="7243" customFormat="false" ht="15" hidden="false" customHeight="true" outlineLevel="0" collapsed="false">
      <c r="A7243" s="163" t="s">
        <v>3042</v>
      </c>
      <c r="B7243" s="163" t="s">
        <v>1938</v>
      </c>
      <c r="C7243" s="163" t="s">
        <v>332</v>
      </c>
      <c r="D7243" s="163" t="s">
        <v>2673</v>
      </c>
      <c r="E7243" s="164" t="n">
        <v>20000</v>
      </c>
      <c r="F7243" s="165" t="s">
        <v>11184</v>
      </c>
    </row>
    <row r="7244" customFormat="false" ht="15" hidden="false" customHeight="true" outlineLevel="0" collapsed="false">
      <c r="A7244" s="163" t="s">
        <v>3042</v>
      </c>
      <c r="B7244" s="163" t="s">
        <v>1938</v>
      </c>
      <c r="C7244" s="163" t="s">
        <v>332</v>
      </c>
      <c r="D7244" s="163" t="s">
        <v>2673</v>
      </c>
      <c r="E7244" s="164" t="n">
        <v>20000</v>
      </c>
      <c r="F7244" s="165" t="s">
        <v>11185</v>
      </c>
    </row>
    <row r="7245" customFormat="false" ht="15" hidden="false" customHeight="true" outlineLevel="0" collapsed="false">
      <c r="A7245" s="163" t="s">
        <v>3042</v>
      </c>
      <c r="B7245" s="163" t="s">
        <v>1938</v>
      </c>
      <c r="C7245" s="163" t="s">
        <v>431</v>
      </c>
      <c r="D7245" s="163" t="s">
        <v>2678</v>
      </c>
      <c r="E7245" s="164" t="n">
        <v>20000</v>
      </c>
      <c r="F7245" s="165" t="s">
        <v>11186</v>
      </c>
    </row>
    <row r="7246" customFormat="false" ht="15" hidden="false" customHeight="true" outlineLevel="0" collapsed="false">
      <c r="A7246" s="163" t="s">
        <v>3042</v>
      </c>
      <c r="B7246" s="163" t="s">
        <v>1938</v>
      </c>
      <c r="C7246" s="163" t="s">
        <v>431</v>
      </c>
      <c r="D7246" s="163" t="s">
        <v>2678</v>
      </c>
      <c r="E7246" s="164" t="n">
        <v>20000</v>
      </c>
      <c r="F7246" s="165" t="s">
        <v>11187</v>
      </c>
    </row>
    <row r="7247" customFormat="false" ht="15" hidden="false" customHeight="true" outlineLevel="0" collapsed="false">
      <c r="A7247" s="163" t="s">
        <v>3042</v>
      </c>
      <c r="B7247" s="163" t="s">
        <v>1938</v>
      </c>
      <c r="C7247" s="163" t="s">
        <v>431</v>
      </c>
      <c r="D7247" s="163" t="s">
        <v>2678</v>
      </c>
      <c r="E7247" s="164" t="n">
        <v>20000</v>
      </c>
      <c r="F7247" s="165" t="s">
        <v>11188</v>
      </c>
    </row>
    <row r="7248" customFormat="false" ht="15" hidden="false" customHeight="true" outlineLevel="0" collapsed="false">
      <c r="A7248" s="163" t="s">
        <v>3042</v>
      </c>
      <c r="B7248" s="163" t="s">
        <v>1938</v>
      </c>
      <c r="C7248" s="163" t="s">
        <v>431</v>
      </c>
      <c r="D7248" s="163" t="s">
        <v>2678</v>
      </c>
      <c r="E7248" s="164" t="n">
        <v>20000</v>
      </c>
      <c r="F7248" s="165" t="s">
        <v>11189</v>
      </c>
    </row>
    <row r="7249" customFormat="false" ht="15" hidden="false" customHeight="true" outlineLevel="0" collapsed="false">
      <c r="A7249" s="163" t="s">
        <v>3042</v>
      </c>
      <c r="B7249" s="163" t="s">
        <v>1938</v>
      </c>
      <c r="C7249" s="163" t="s">
        <v>431</v>
      </c>
      <c r="D7249" s="163" t="s">
        <v>2678</v>
      </c>
      <c r="E7249" s="164" t="n">
        <v>20000</v>
      </c>
      <c r="F7249" s="165" t="s">
        <v>11190</v>
      </c>
    </row>
    <row r="7250" customFormat="false" ht="15" hidden="false" customHeight="true" outlineLevel="0" collapsed="false">
      <c r="A7250" s="163" t="s">
        <v>3042</v>
      </c>
      <c r="B7250" s="163" t="s">
        <v>1938</v>
      </c>
      <c r="C7250" s="163" t="s">
        <v>431</v>
      </c>
      <c r="D7250" s="163" t="s">
        <v>2678</v>
      </c>
      <c r="E7250" s="164" t="n">
        <v>20000</v>
      </c>
      <c r="F7250" s="165" t="s">
        <v>11191</v>
      </c>
    </row>
    <row r="7251" customFormat="false" ht="15" hidden="false" customHeight="true" outlineLevel="0" collapsed="false">
      <c r="A7251" s="163" t="s">
        <v>3042</v>
      </c>
      <c r="B7251" s="163" t="s">
        <v>1938</v>
      </c>
      <c r="C7251" s="163" t="s">
        <v>1169</v>
      </c>
      <c r="D7251" s="163" t="s">
        <v>2801</v>
      </c>
      <c r="E7251" s="164" t="n">
        <v>20000</v>
      </c>
      <c r="F7251" s="165" t="s">
        <v>11192</v>
      </c>
    </row>
    <row r="7252" customFormat="false" ht="15" hidden="false" customHeight="true" outlineLevel="0" collapsed="false">
      <c r="A7252" s="163" t="s">
        <v>3042</v>
      </c>
      <c r="B7252" s="163" t="s">
        <v>1938</v>
      </c>
      <c r="C7252" s="163" t="s">
        <v>1169</v>
      </c>
      <c r="D7252" s="163" t="s">
        <v>2801</v>
      </c>
      <c r="E7252" s="164" t="n">
        <v>20000</v>
      </c>
      <c r="F7252" s="165" t="s">
        <v>11193</v>
      </c>
    </row>
    <row r="7253" customFormat="false" ht="15" hidden="false" customHeight="true" outlineLevel="0" collapsed="false">
      <c r="A7253" s="163" t="s">
        <v>3042</v>
      </c>
      <c r="B7253" s="163" t="s">
        <v>691</v>
      </c>
      <c r="C7253" s="163" t="s">
        <v>3793</v>
      </c>
      <c r="D7253" s="163" t="s">
        <v>3794</v>
      </c>
      <c r="E7253" s="164" t="n">
        <v>30000</v>
      </c>
      <c r="F7253" s="165" t="s">
        <v>11194</v>
      </c>
    </row>
    <row r="7254" customFormat="false" ht="15" hidden="false" customHeight="true" outlineLevel="0" collapsed="false">
      <c r="A7254" s="163" t="s">
        <v>3042</v>
      </c>
      <c r="B7254" s="163" t="s">
        <v>691</v>
      </c>
      <c r="C7254" s="163" t="s">
        <v>11195</v>
      </c>
      <c r="D7254" s="163" t="s">
        <v>11196</v>
      </c>
      <c r="E7254" s="164" t="n">
        <v>30000</v>
      </c>
      <c r="F7254" s="165" t="s">
        <v>11197</v>
      </c>
    </row>
    <row r="7255" customFormat="false" ht="15" hidden="false" customHeight="true" outlineLevel="0" collapsed="false">
      <c r="A7255" s="163" t="s">
        <v>3042</v>
      </c>
      <c r="B7255" s="163" t="s">
        <v>691</v>
      </c>
      <c r="C7255" s="163" t="s">
        <v>11198</v>
      </c>
      <c r="D7255" s="163" t="s">
        <v>11199</v>
      </c>
      <c r="E7255" s="164" t="n">
        <v>20000</v>
      </c>
      <c r="F7255" s="165" t="s">
        <v>11200</v>
      </c>
    </row>
    <row r="7256" customFormat="false" ht="15" hidden="false" customHeight="true" outlineLevel="0" collapsed="false">
      <c r="A7256" s="163" t="s">
        <v>3042</v>
      </c>
      <c r="B7256" s="163" t="s">
        <v>691</v>
      </c>
      <c r="C7256" s="163" t="s">
        <v>11201</v>
      </c>
      <c r="D7256" s="163" t="s">
        <v>11202</v>
      </c>
      <c r="E7256" s="164" t="n">
        <v>20000</v>
      </c>
      <c r="F7256" s="165" t="s">
        <v>11203</v>
      </c>
    </row>
    <row r="7257" customFormat="false" ht="15" hidden="false" customHeight="true" outlineLevel="0" collapsed="false">
      <c r="A7257" s="163" t="s">
        <v>3042</v>
      </c>
      <c r="B7257" s="163" t="s">
        <v>691</v>
      </c>
      <c r="C7257" s="163" t="s">
        <v>4843</v>
      </c>
      <c r="D7257" s="163" t="s">
        <v>4844</v>
      </c>
      <c r="E7257" s="164" t="n">
        <v>15000</v>
      </c>
      <c r="F7257" s="165" t="s">
        <v>11204</v>
      </c>
    </row>
    <row r="7258" customFormat="false" ht="15" hidden="false" customHeight="true" outlineLevel="0" collapsed="false">
      <c r="A7258" s="163" t="s">
        <v>3042</v>
      </c>
      <c r="B7258" s="163" t="s">
        <v>691</v>
      </c>
      <c r="C7258" s="163" t="s">
        <v>4754</v>
      </c>
      <c r="D7258" s="163" t="s">
        <v>4755</v>
      </c>
      <c r="E7258" s="164" t="n">
        <v>10000</v>
      </c>
      <c r="F7258" s="165" t="s">
        <v>11205</v>
      </c>
    </row>
    <row r="7259" customFormat="false" ht="15" hidden="false" customHeight="true" outlineLevel="0" collapsed="false">
      <c r="A7259" s="163" t="s">
        <v>3042</v>
      </c>
      <c r="B7259" s="163" t="s">
        <v>691</v>
      </c>
      <c r="C7259" s="163" t="s">
        <v>11206</v>
      </c>
      <c r="D7259" s="163" t="s">
        <v>11207</v>
      </c>
      <c r="E7259" s="164" t="n">
        <v>10000</v>
      </c>
      <c r="F7259" s="165" t="s">
        <v>11208</v>
      </c>
    </row>
    <row r="7260" customFormat="false" ht="15" hidden="false" customHeight="true" outlineLevel="0" collapsed="false">
      <c r="A7260" s="163" t="s">
        <v>3042</v>
      </c>
      <c r="B7260" s="163" t="s">
        <v>691</v>
      </c>
      <c r="C7260" s="163" t="s">
        <v>1137</v>
      </c>
      <c r="D7260" s="163" t="s">
        <v>10488</v>
      </c>
      <c r="E7260" s="164" t="n">
        <v>10000</v>
      </c>
      <c r="F7260" s="165" t="s">
        <v>11209</v>
      </c>
    </row>
    <row r="7261" customFormat="false" ht="15" hidden="false" customHeight="true" outlineLevel="0" collapsed="false">
      <c r="A7261" s="163" t="s">
        <v>3042</v>
      </c>
      <c r="B7261" s="163" t="s">
        <v>2027</v>
      </c>
      <c r="C7261" s="163" t="s">
        <v>4754</v>
      </c>
      <c r="D7261" s="163" t="s">
        <v>4755</v>
      </c>
      <c r="E7261" s="164" t="n">
        <v>30000</v>
      </c>
      <c r="F7261" s="165" t="s">
        <v>11210</v>
      </c>
    </row>
    <row r="7262" customFormat="false" ht="15" hidden="false" customHeight="true" outlineLevel="0" collapsed="false">
      <c r="A7262" s="163" t="s">
        <v>3042</v>
      </c>
      <c r="B7262" s="163" t="s">
        <v>2027</v>
      </c>
      <c r="C7262" s="163" t="s">
        <v>3108</v>
      </c>
      <c r="D7262" s="163" t="s">
        <v>3109</v>
      </c>
      <c r="E7262" s="164" t="n">
        <v>20000</v>
      </c>
      <c r="F7262" s="165" t="s">
        <v>11211</v>
      </c>
    </row>
    <row r="7263" customFormat="false" ht="15" hidden="false" customHeight="true" outlineLevel="0" collapsed="false">
      <c r="A7263" s="163" t="s">
        <v>3042</v>
      </c>
      <c r="B7263" s="163" t="s">
        <v>2027</v>
      </c>
      <c r="C7263" s="163" t="s">
        <v>1137</v>
      </c>
      <c r="D7263" s="163" t="s">
        <v>10488</v>
      </c>
      <c r="E7263" s="164" t="n">
        <v>20000</v>
      </c>
      <c r="F7263" s="165" t="s">
        <v>11212</v>
      </c>
    </row>
    <row r="7264" customFormat="false" ht="15" hidden="false" customHeight="true" outlineLevel="0" collapsed="false">
      <c r="A7264" s="163" t="s">
        <v>3042</v>
      </c>
      <c r="B7264" s="163" t="s">
        <v>2027</v>
      </c>
      <c r="C7264" s="163" t="s">
        <v>5731</v>
      </c>
      <c r="D7264" s="163" t="s">
        <v>5732</v>
      </c>
      <c r="E7264" s="164" t="n">
        <v>20000</v>
      </c>
      <c r="F7264" s="165" t="s">
        <v>11213</v>
      </c>
    </row>
    <row r="7265" customFormat="false" ht="15" hidden="false" customHeight="true" outlineLevel="0" collapsed="false">
      <c r="A7265" s="163" t="s">
        <v>3042</v>
      </c>
      <c r="B7265" s="163" t="s">
        <v>2037</v>
      </c>
      <c r="C7265" s="163" t="s">
        <v>4754</v>
      </c>
      <c r="D7265" s="163" t="s">
        <v>4755</v>
      </c>
      <c r="E7265" s="164" t="n">
        <v>100000</v>
      </c>
      <c r="F7265" s="165" t="s">
        <v>7649</v>
      </c>
    </row>
    <row r="7266" customFormat="false" ht="15" hidden="false" customHeight="true" outlineLevel="0" collapsed="false">
      <c r="A7266" s="163" t="s">
        <v>3042</v>
      </c>
      <c r="B7266" s="163" t="s">
        <v>2037</v>
      </c>
      <c r="C7266" s="163" t="s">
        <v>1860</v>
      </c>
      <c r="D7266" s="163" t="s">
        <v>1861</v>
      </c>
      <c r="E7266" s="164" t="n">
        <v>23000</v>
      </c>
      <c r="F7266" s="165" t="s">
        <v>7649</v>
      </c>
    </row>
    <row r="7267" customFormat="false" ht="15" hidden="false" customHeight="true" outlineLevel="0" collapsed="false">
      <c r="A7267" s="163" t="s">
        <v>3042</v>
      </c>
      <c r="B7267" s="163" t="s">
        <v>2037</v>
      </c>
      <c r="C7267" s="163" t="s">
        <v>10334</v>
      </c>
      <c r="D7267" s="163" t="s">
        <v>10335</v>
      </c>
      <c r="E7267" s="164" t="n">
        <v>5000</v>
      </c>
      <c r="F7267" s="165" t="s">
        <v>11214</v>
      </c>
    </row>
    <row r="7268" customFormat="false" ht="15" hidden="false" customHeight="true" outlineLevel="0" collapsed="false">
      <c r="A7268" s="163" t="s">
        <v>3042</v>
      </c>
      <c r="B7268" s="163" t="s">
        <v>894</v>
      </c>
      <c r="C7268" s="163" t="s">
        <v>2167</v>
      </c>
      <c r="D7268" s="163" t="s">
        <v>1931</v>
      </c>
      <c r="E7268" s="164" t="n">
        <v>119000</v>
      </c>
      <c r="F7268" s="165" t="s">
        <v>3060</v>
      </c>
    </row>
    <row r="7269" customFormat="false" ht="15" hidden="false" customHeight="true" outlineLevel="0" collapsed="false">
      <c r="A7269" s="163" t="s">
        <v>3042</v>
      </c>
      <c r="B7269" s="163" t="s">
        <v>894</v>
      </c>
      <c r="C7269" s="163" t="s">
        <v>1860</v>
      </c>
      <c r="D7269" s="163" t="s">
        <v>1861</v>
      </c>
      <c r="E7269" s="164" t="n">
        <v>27000</v>
      </c>
      <c r="F7269" s="165" t="s">
        <v>11215</v>
      </c>
    </row>
    <row r="7270" customFormat="false" ht="15" hidden="false" customHeight="true" outlineLevel="0" collapsed="false">
      <c r="A7270" s="163" t="s">
        <v>3042</v>
      </c>
      <c r="B7270" s="163" t="s">
        <v>894</v>
      </c>
      <c r="C7270" s="163" t="s">
        <v>11216</v>
      </c>
      <c r="D7270" s="163" t="s">
        <v>11217</v>
      </c>
      <c r="E7270" s="164" t="n">
        <v>25000</v>
      </c>
      <c r="F7270" s="165" t="s">
        <v>11218</v>
      </c>
    </row>
    <row r="7271" customFormat="false" ht="15" hidden="false" customHeight="true" outlineLevel="0" collapsed="false">
      <c r="A7271" s="163" t="s">
        <v>3042</v>
      </c>
      <c r="B7271" s="163" t="s">
        <v>894</v>
      </c>
      <c r="C7271" s="163" t="s">
        <v>11166</v>
      </c>
      <c r="D7271" s="163" t="s">
        <v>11167</v>
      </c>
      <c r="E7271" s="164" t="n">
        <v>20000</v>
      </c>
      <c r="F7271" s="165" t="s">
        <v>11219</v>
      </c>
    </row>
    <row r="7272" customFormat="false" ht="15" hidden="false" customHeight="true" outlineLevel="0" collapsed="false">
      <c r="A7272" s="163" t="s">
        <v>3042</v>
      </c>
      <c r="B7272" s="163" t="s">
        <v>894</v>
      </c>
      <c r="C7272" s="163" t="s">
        <v>11220</v>
      </c>
      <c r="D7272" s="163" t="s">
        <v>11221</v>
      </c>
      <c r="E7272" s="164" t="n">
        <v>20000</v>
      </c>
      <c r="F7272" s="165" t="s">
        <v>11222</v>
      </c>
    </row>
    <row r="7273" customFormat="false" ht="15" hidden="false" customHeight="true" outlineLevel="0" collapsed="false">
      <c r="A7273" s="163" t="s">
        <v>3042</v>
      </c>
      <c r="B7273" s="163" t="s">
        <v>894</v>
      </c>
      <c r="C7273" s="163" t="s">
        <v>8553</v>
      </c>
      <c r="D7273" s="163" t="s">
        <v>8554</v>
      </c>
      <c r="E7273" s="164" t="n">
        <v>20000</v>
      </c>
      <c r="F7273" s="165" t="s">
        <v>11223</v>
      </c>
    </row>
    <row r="7274" customFormat="false" ht="15" hidden="false" customHeight="true" outlineLevel="0" collapsed="false">
      <c r="A7274" s="163" t="s">
        <v>3042</v>
      </c>
      <c r="B7274" s="163" t="s">
        <v>894</v>
      </c>
      <c r="C7274" s="163" t="s">
        <v>4754</v>
      </c>
      <c r="D7274" s="163" t="s">
        <v>4755</v>
      </c>
      <c r="E7274" s="164" t="n">
        <v>17000</v>
      </c>
      <c r="F7274" s="165" t="s">
        <v>11224</v>
      </c>
    </row>
    <row r="7275" customFormat="false" ht="15" hidden="false" customHeight="true" outlineLevel="0" collapsed="false">
      <c r="A7275" s="163" t="s">
        <v>3042</v>
      </c>
      <c r="B7275" s="163" t="s">
        <v>894</v>
      </c>
      <c r="C7275" s="163" t="s">
        <v>4754</v>
      </c>
      <c r="D7275" s="163" t="s">
        <v>4755</v>
      </c>
      <c r="E7275" s="164" t="n">
        <v>15000</v>
      </c>
      <c r="F7275" s="165" t="s">
        <v>11225</v>
      </c>
    </row>
    <row r="7276" customFormat="false" ht="15" hidden="false" customHeight="true" outlineLevel="0" collapsed="false">
      <c r="A7276" s="163" t="s">
        <v>3042</v>
      </c>
      <c r="B7276" s="163" t="s">
        <v>894</v>
      </c>
      <c r="C7276" s="163" t="s">
        <v>9940</v>
      </c>
      <c r="D7276" s="163" t="s">
        <v>9941</v>
      </c>
      <c r="E7276" s="164" t="n">
        <v>15000</v>
      </c>
      <c r="F7276" s="165" t="s">
        <v>11226</v>
      </c>
    </row>
    <row r="7277" customFormat="false" ht="15" hidden="false" customHeight="true" outlineLevel="0" collapsed="false">
      <c r="A7277" s="163" t="s">
        <v>3042</v>
      </c>
      <c r="B7277" s="163" t="s">
        <v>894</v>
      </c>
      <c r="C7277" s="163" t="s">
        <v>1135</v>
      </c>
      <c r="D7277" s="163" t="s">
        <v>2507</v>
      </c>
      <c r="E7277" s="164" t="n">
        <v>12500</v>
      </c>
      <c r="F7277" s="165" t="s">
        <v>11227</v>
      </c>
    </row>
    <row r="7278" customFormat="false" ht="15" hidden="false" customHeight="true" outlineLevel="0" collapsed="false">
      <c r="A7278" s="163" t="s">
        <v>3042</v>
      </c>
      <c r="B7278" s="163" t="s">
        <v>894</v>
      </c>
      <c r="C7278" s="163" t="s">
        <v>3845</v>
      </c>
      <c r="D7278" s="163" t="s">
        <v>3846</v>
      </c>
      <c r="E7278" s="164" t="n">
        <v>10000</v>
      </c>
      <c r="F7278" s="165" t="s">
        <v>11228</v>
      </c>
    </row>
    <row r="7279" customFormat="false" ht="15" hidden="false" customHeight="true" outlineLevel="0" collapsed="false">
      <c r="A7279" s="163" t="s">
        <v>3042</v>
      </c>
      <c r="B7279" s="163" t="s">
        <v>894</v>
      </c>
      <c r="C7279" s="163" t="s">
        <v>3793</v>
      </c>
      <c r="D7279" s="163" t="s">
        <v>3794</v>
      </c>
      <c r="E7279" s="164" t="n">
        <v>10000</v>
      </c>
      <c r="F7279" s="165" t="s">
        <v>2872</v>
      </c>
    </row>
    <row r="7280" customFormat="false" ht="15" hidden="false" customHeight="true" outlineLevel="0" collapsed="false">
      <c r="A7280" s="163" t="s">
        <v>3042</v>
      </c>
      <c r="B7280" s="163" t="s">
        <v>894</v>
      </c>
      <c r="C7280" s="163" t="s">
        <v>1137</v>
      </c>
      <c r="D7280" s="163" t="s">
        <v>10488</v>
      </c>
      <c r="E7280" s="164" t="n">
        <v>10000</v>
      </c>
      <c r="F7280" s="165" t="s">
        <v>11229</v>
      </c>
    </row>
    <row r="7281" customFormat="false" ht="15" hidden="false" customHeight="true" outlineLevel="0" collapsed="false">
      <c r="A7281" s="163" t="s">
        <v>3042</v>
      </c>
      <c r="B7281" s="163" t="s">
        <v>894</v>
      </c>
      <c r="C7281" s="163" t="s">
        <v>1137</v>
      </c>
      <c r="D7281" s="163" t="s">
        <v>10488</v>
      </c>
      <c r="E7281" s="164" t="n">
        <v>10000</v>
      </c>
      <c r="F7281" s="165" t="s">
        <v>11209</v>
      </c>
    </row>
    <row r="7282" customFormat="false" ht="15" hidden="false" customHeight="true" outlineLevel="0" collapsed="false">
      <c r="A7282" s="163" t="s">
        <v>3042</v>
      </c>
      <c r="B7282" s="163" t="s">
        <v>894</v>
      </c>
      <c r="C7282" s="163" t="s">
        <v>3946</v>
      </c>
      <c r="D7282" s="163" t="s">
        <v>3947</v>
      </c>
      <c r="E7282" s="164" t="n">
        <v>7500</v>
      </c>
      <c r="F7282" s="165" t="s">
        <v>11230</v>
      </c>
    </row>
    <row r="7283" customFormat="false" ht="15" hidden="false" customHeight="true" outlineLevel="0" collapsed="false">
      <c r="A7283" s="163" t="s">
        <v>3042</v>
      </c>
      <c r="B7283" s="163" t="s">
        <v>894</v>
      </c>
      <c r="C7283" s="163" t="s">
        <v>974</v>
      </c>
      <c r="D7283" s="163" t="s">
        <v>1931</v>
      </c>
      <c r="E7283" s="164" t="n">
        <v>7000</v>
      </c>
      <c r="F7283" s="165" t="s">
        <v>11231</v>
      </c>
    </row>
    <row r="7284" customFormat="false" ht="15" hidden="false" customHeight="true" outlineLevel="0" collapsed="false">
      <c r="A7284" s="163" t="s">
        <v>3042</v>
      </c>
      <c r="B7284" s="163" t="s">
        <v>894</v>
      </c>
      <c r="C7284" s="163" t="s">
        <v>11232</v>
      </c>
      <c r="D7284" s="163" t="s">
        <v>11233</v>
      </c>
      <c r="E7284" s="164" t="n">
        <v>5000</v>
      </c>
      <c r="F7284" s="165" t="s">
        <v>11234</v>
      </c>
    </row>
    <row r="7285" customFormat="false" ht="15" hidden="false" customHeight="true" outlineLevel="0" collapsed="false">
      <c r="A7285" s="163" t="s">
        <v>3042</v>
      </c>
      <c r="B7285" s="163" t="s">
        <v>894</v>
      </c>
      <c r="C7285" s="163" t="s">
        <v>3468</v>
      </c>
      <c r="D7285" s="163" t="s">
        <v>3469</v>
      </c>
      <c r="E7285" s="164" t="n">
        <v>5000</v>
      </c>
      <c r="F7285" s="165" t="s">
        <v>10779</v>
      </c>
    </row>
    <row r="7286" customFormat="false" ht="15" hidden="false" customHeight="true" outlineLevel="0" collapsed="false">
      <c r="A7286" s="163" t="s">
        <v>3042</v>
      </c>
      <c r="B7286" s="163" t="s">
        <v>894</v>
      </c>
      <c r="C7286" s="163" t="s">
        <v>11235</v>
      </c>
      <c r="D7286" s="163" t="s">
        <v>11236</v>
      </c>
      <c r="E7286" s="164" t="n">
        <v>5000</v>
      </c>
      <c r="F7286" s="165" t="s">
        <v>11237</v>
      </c>
    </row>
    <row r="7287" customFormat="false" ht="15" hidden="false" customHeight="true" outlineLevel="0" collapsed="false">
      <c r="A7287" s="163" t="s">
        <v>3042</v>
      </c>
      <c r="B7287" s="163" t="s">
        <v>894</v>
      </c>
      <c r="C7287" s="163" t="s">
        <v>4815</v>
      </c>
      <c r="D7287" s="163" t="s">
        <v>4816</v>
      </c>
      <c r="E7287" s="164" t="n">
        <v>5000</v>
      </c>
      <c r="F7287" s="165" t="s">
        <v>11238</v>
      </c>
    </row>
    <row r="7288" customFormat="false" ht="15" hidden="false" customHeight="true" outlineLevel="0" collapsed="false">
      <c r="A7288" s="163" t="s">
        <v>3042</v>
      </c>
      <c r="B7288" s="163" t="s">
        <v>894</v>
      </c>
      <c r="C7288" s="163" t="s">
        <v>8495</v>
      </c>
      <c r="D7288" s="163" t="s">
        <v>8496</v>
      </c>
      <c r="E7288" s="164" t="n">
        <v>5000</v>
      </c>
      <c r="F7288" s="165" t="s">
        <v>11239</v>
      </c>
    </row>
    <row r="7289" customFormat="false" ht="15" hidden="false" customHeight="true" outlineLevel="0" collapsed="false">
      <c r="A7289" s="163" t="s">
        <v>3042</v>
      </c>
      <c r="B7289" s="163" t="s">
        <v>894</v>
      </c>
      <c r="C7289" s="163" t="s">
        <v>11240</v>
      </c>
      <c r="D7289" s="163" t="s">
        <v>11241</v>
      </c>
      <c r="E7289" s="164" t="n">
        <v>5000</v>
      </c>
      <c r="F7289" s="165" t="s">
        <v>11242</v>
      </c>
    </row>
    <row r="7290" customFormat="false" ht="15" hidden="false" customHeight="true" outlineLevel="0" collapsed="false">
      <c r="A7290" s="163" t="s">
        <v>3042</v>
      </c>
      <c r="B7290" s="163" t="s">
        <v>894</v>
      </c>
      <c r="C7290" s="163" t="s">
        <v>11243</v>
      </c>
      <c r="D7290" s="163" t="s">
        <v>11244</v>
      </c>
      <c r="E7290" s="164" t="n">
        <v>5000</v>
      </c>
      <c r="F7290" s="165" t="s">
        <v>11245</v>
      </c>
    </row>
    <row r="7291" customFormat="false" ht="15" hidden="false" customHeight="true" outlineLevel="0" collapsed="false">
      <c r="A7291" s="163" t="s">
        <v>3042</v>
      </c>
      <c r="B7291" s="163" t="s">
        <v>894</v>
      </c>
      <c r="C7291" s="163" t="s">
        <v>11246</v>
      </c>
      <c r="D7291" s="163" t="s">
        <v>11247</v>
      </c>
      <c r="E7291" s="164" t="n">
        <v>5000</v>
      </c>
      <c r="F7291" s="165" t="s">
        <v>11242</v>
      </c>
    </row>
    <row r="7292" customFormat="false" ht="15" hidden="false" customHeight="true" outlineLevel="0" collapsed="false">
      <c r="A7292" s="163" t="s">
        <v>3042</v>
      </c>
      <c r="B7292" s="163" t="s">
        <v>894</v>
      </c>
      <c r="C7292" s="163" t="s">
        <v>6370</v>
      </c>
      <c r="D7292" s="163" t="s">
        <v>6371</v>
      </c>
      <c r="E7292" s="164" t="n">
        <v>5000</v>
      </c>
      <c r="F7292" s="165" t="s">
        <v>11248</v>
      </c>
    </row>
    <row r="7293" customFormat="false" ht="15" hidden="false" customHeight="true" outlineLevel="0" collapsed="false">
      <c r="A7293" s="163" t="s">
        <v>3042</v>
      </c>
      <c r="B7293" s="163" t="s">
        <v>894</v>
      </c>
      <c r="C7293" s="163" t="s">
        <v>1137</v>
      </c>
      <c r="D7293" s="163" t="s">
        <v>10488</v>
      </c>
      <c r="E7293" s="164" t="n">
        <v>5000</v>
      </c>
      <c r="F7293" s="165" t="s">
        <v>11249</v>
      </c>
    </row>
    <row r="7294" customFormat="false" ht="15" hidden="false" customHeight="true" outlineLevel="0" collapsed="false">
      <c r="A7294" s="163" t="s">
        <v>3042</v>
      </c>
      <c r="B7294" s="163" t="s">
        <v>894</v>
      </c>
      <c r="C7294" s="163" t="s">
        <v>4717</v>
      </c>
      <c r="D7294" s="163" t="s">
        <v>4718</v>
      </c>
      <c r="E7294" s="164" t="n">
        <v>5000</v>
      </c>
      <c r="F7294" s="165" t="s">
        <v>11250</v>
      </c>
    </row>
    <row r="7295" customFormat="false" ht="15" hidden="false" customHeight="true" outlineLevel="0" collapsed="false">
      <c r="A7295" s="163" t="s">
        <v>3042</v>
      </c>
      <c r="B7295" s="163" t="s">
        <v>882</v>
      </c>
      <c r="C7295" s="163" t="s">
        <v>640</v>
      </c>
      <c r="D7295" s="163" t="s">
        <v>1931</v>
      </c>
      <c r="E7295" s="164" t="n">
        <v>200000</v>
      </c>
      <c r="F7295" s="165" t="s">
        <v>11251</v>
      </c>
    </row>
    <row r="7296" customFormat="false" ht="15" hidden="false" customHeight="true" outlineLevel="0" collapsed="false">
      <c r="A7296" s="163" t="s">
        <v>3042</v>
      </c>
      <c r="B7296" s="163" t="s">
        <v>882</v>
      </c>
      <c r="C7296" s="163" t="s">
        <v>11220</v>
      </c>
      <c r="D7296" s="163" t="s">
        <v>11221</v>
      </c>
      <c r="E7296" s="164" t="n">
        <v>30800</v>
      </c>
      <c r="F7296" s="165" t="s">
        <v>11252</v>
      </c>
    </row>
    <row r="7297" customFormat="false" ht="15" hidden="false" customHeight="true" outlineLevel="0" collapsed="false">
      <c r="A7297" s="163" t="s">
        <v>3042</v>
      </c>
      <c r="B7297" s="163" t="s">
        <v>882</v>
      </c>
      <c r="C7297" s="163" t="s">
        <v>11195</v>
      </c>
      <c r="D7297" s="163" t="s">
        <v>11196</v>
      </c>
      <c r="E7297" s="164" t="n">
        <v>26000</v>
      </c>
      <c r="F7297" s="165" t="s">
        <v>11253</v>
      </c>
    </row>
    <row r="7298" customFormat="false" ht="15" hidden="false" customHeight="true" outlineLevel="0" collapsed="false">
      <c r="A7298" s="163" t="s">
        <v>3042</v>
      </c>
      <c r="B7298" s="163" t="s">
        <v>2328</v>
      </c>
      <c r="C7298" s="163" t="s">
        <v>11198</v>
      </c>
      <c r="D7298" s="163" t="s">
        <v>11199</v>
      </c>
      <c r="E7298" s="164" t="n">
        <v>45000</v>
      </c>
      <c r="F7298" s="165" t="s">
        <v>11254</v>
      </c>
    </row>
    <row r="7299" customFormat="false" ht="15" hidden="false" customHeight="true" outlineLevel="0" collapsed="false">
      <c r="A7299" s="163" t="s">
        <v>3042</v>
      </c>
      <c r="B7299" s="163" t="s">
        <v>2328</v>
      </c>
      <c r="C7299" s="163" t="s">
        <v>11255</v>
      </c>
      <c r="D7299" s="163" t="s">
        <v>11256</v>
      </c>
      <c r="E7299" s="164" t="n">
        <v>5000</v>
      </c>
      <c r="F7299" s="165" t="s">
        <v>11257</v>
      </c>
    </row>
    <row r="7300" customFormat="false" ht="15" hidden="false" customHeight="true" outlineLevel="0" collapsed="false">
      <c r="A7300" s="163" t="s">
        <v>3042</v>
      </c>
      <c r="B7300" s="163" t="s">
        <v>2342</v>
      </c>
      <c r="C7300" s="163" t="s">
        <v>2759</v>
      </c>
      <c r="D7300" s="163" t="s">
        <v>2760</v>
      </c>
      <c r="E7300" s="164" t="n">
        <v>50000</v>
      </c>
      <c r="F7300" s="165" t="s">
        <v>8575</v>
      </c>
    </row>
    <row r="7301" customFormat="false" ht="15" hidden="false" customHeight="true" outlineLevel="0" collapsed="false">
      <c r="A7301" s="163" t="s">
        <v>3042</v>
      </c>
      <c r="B7301" s="163" t="s">
        <v>2342</v>
      </c>
      <c r="C7301" s="163" t="s">
        <v>197</v>
      </c>
      <c r="D7301" s="163" t="s">
        <v>1931</v>
      </c>
      <c r="E7301" s="164" t="n">
        <v>13200</v>
      </c>
      <c r="F7301" s="165" t="s">
        <v>11258</v>
      </c>
    </row>
    <row r="7302" customFormat="false" ht="15" hidden="false" customHeight="true" outlineLevel="0" collapsed="false">
      <c r="A7302" s="163" t="s">
        <v>3042</v>
      </c>
      <c r="B7302" s="163" t="s">
        <v>2766</v>
      </c>
      <c r="C7302" s="163" t="s">
        <v>11259</v>
      </c>
      <c r="D7302" s="163" t="s">
        <v>11260</v>
      </c>
      <c r="E7302" s="164" t="n">
        <v>30000</v>
      </c>
      <c r="F7302" s="165" t="s">
        <v>11261</v>
      </c>
    </row>
    <row r="7303" customFormat="false" ht="15" hidden="false" customHeight="true" outlineLevel="0" collapsed="false">
      <c r="A7303" s="163" t="s">
        <v>3042</v>
      </c>
      <c r="B7303" s="163" t="s">
        <v>1743</v>
      </c>
      <c r="C7303" s="163" t="s">
        <v>1876</v>
      </c>
      <c r="D7303" s="163" t="s">
        <v>1877</v>
      </c>
      <c r="E7303" s="164" t="n">
        <v>50000</v>
      </c>
      <c r="F7303" s="165" t="s">
        <v>11262</v>
      </c>
    </row>
    <row r="7304" customFormat="false" ht="15" hidden="false" customHeight="true" outlineLevel="0" collapsed="false">
      <c r="A7304" s="163" t="s">
        <v>3042</v>
      </c>
      <c r="B7304" s="163" t="s">
        <v>1743</v>
      </c>
      <c r="C7304" s="163" t="s">
        <v>3976</v>
      </c>
      <c r="D7304" s="163" t="s">
        <v>3977</v>
      </c>
      <c r="E7304" s="164" t="n">
        <v>20000</v>
      </c>
      <c r="F7304" s="165" t="s">
        <v>11263</v>
      </c>
    </row>
    <row r="7305" customFormat="false" ht="15" hidden="false" customHeight="true" outlineLevel="0" collapsed="false">
      <c r="A7305" s="163" t="s">
        <v>3042</v>
      </c>
      <c r="B7305" s="163" t="s">
        <v>1743</v>
      </c>
      <c r="C7305" s="163" t="s">
        <v>1109</v>
      </c>
      <c r="D7305" s="163" t="s">
        <v>3755</v>
      </c>
      <c r="E7305" s="164" t="n">
        <v>20000</v>
      </c>
      <c r="F7305" s="165" t="s">
        <v>11264</v>
      </c>
    </row>
    <row r="7306" customFormat="false" ht="15" hidden="false" customHeight="true" outlineLevel="0" collapsed="false">
      <c r="A7306" s="163" t="s">
        <v>3042</v>
      </c>
      <c r="B7306" s="163" t="s">
        <v>1743</v>
      </c>
      <c r="C7306" s="163" t="s">
        <v>7794</v>
      </c>
      <c r="D7306" s="163" t="s">
        <v>7795</v>
      </c>
      <c r="E7306" s="164" t="n">
        <v>20000</v>
      </c>
      <c r="F7306" s="165" t="s">
        <v>11265</v>
      </c>
    </row>
    <row r="7307" customFormat="false" ht="15" hidden="false" customHeight="true" outlineLevel="0" collapsed="false">
      <c r="A7307" s="163" t="s">
        <v>3042</v>
      </c>
      <c r="B7307" s="163" t="s">
        <v>1743</v>
      </c>
      <c r="C7307" s="163" t="s">
        <v>1137</v>
      </c>
      <c r="D7307" s="163" t="s">
        <v>10488</v>
      </c>
      <c r="E7307" s="164" t="n">
        <v>20000</v>
      </c>
      <c r="F7307" s="165" t="s">
        <v>11266</v>
      </c>
    </row>
    <row r="7308" customFormat="false" ht="15" hidden="false" customHeight="true" outlineLevel="0" collapsed="false">
      <c r="A7308" s="163" t="s">
        <v>3042</v>
      </c>
      <c r="B7308" s="163" t="s">
        <v>1743</v>
      </c>
      <c r="C7308" s="163" t="s">
        <v>1135</v>
      </c>
      <c r="D7308" s="163" t="s">
        <v>2507</v>
      </c>
      <c r="E7308" s="164" t="n">
        <v>5000</v>
      </c>
      <c r="F7308" s="165" t="s">
        <v>11267</v>
      </c>
    </row>
    <row r="7309" customFormat="false" ht="15" hidden="false" customHeight="true" outlineLevel="0" collapsed="false">
      <c r="A7309" s="163" t="s">
        <v>3042</v>
      </c>
      <c r="B7309" s="163" t="s">
        <v>1743</v>
      </c>
      <c r="C7309" s="163" t="s">
        <v>3766</v>
      </c>
      <c r="D7309" s="163" t="s">
        <v>3767</v>
      </c>
      <c r="E7309" s="164" t="n">
        <v>5000</v>
      </c>
      <c r="F7309" s="165" t="s">
        <v>11268</v>
      </c>
    </row>
    <row r="7310" customFormat="false" ht="15" hidden="false" customHeight="true" outlineLevel="0" collapsed="false">
      <c r="A7310" s="163" t="s">
        <v>3042</v>
      </c>
      <c r="B7310" s="163" t="s">
        <v>1743</v>
      </c>
      <c r="C7310" s="163" t="s">
        <v>11198</v>
      </c>
      <c r="D7310" s="163" t="s">
        <v>11199</v>
      </c>
      <c r="E7310" s="164" t="n">
        <v>5000</v>
      </c>
      <c r="F7310" s="165" t="s">
        <v>11269</v>
      </c>
    </row>
    <row r="7311" customFormat="false" ht="15" hidden="false" customHeight="true" outlineLevel="0" collapsed="false">
      <c r="A7311" s="163" t="s">
        <v>3042</v>
      </c>
      <c r="B7311" s="163" t="s">
        <v>928</v>
      </c>
      <c r="C7311" s="163" t="s">
        <v>4754</v>
      </c>
      <c r="D7311" s="163" t="s">
        <v>4755</v>
      </c>
      <c r="E7311" s="164" t="n">
        <v>20000</v>
      </c>
      <c r="F7311" s="165" t="s">
        <v>10990</v>
      </c>
    </row>
    <row r="7312" customFormat="false" ht="15" hidden="false" customHeight="true" outlineLevel="0" collapsed="false">
      <c r="A7312" s="163" t="s">
        <v>3042</v>
      </c>
      <c r="B7312" s="163" t="s">
        <v>928</v>
      </c>
      <c r="C7312" s="163" t="s">
        <v>11220</v>
      </c>
      <c r="D7312" s="163" t="s">
        <v>11221</v>
      </c>
      <c r="E7312" s="164" t="n">
        <v>15000</v>
      </c>
      <c r="F7312" s="165" t="s">
        <v>11226</v>
      </c>
    </row>
    <row r="7313" customFormat="false" ht="15" hidden="false" customHeight="true" outlineLevel="0" collapsed="false">
      <c r="A7313" s="163" t="s">
        <v>3042</v>
      </c>
      <c r="B7313" s="163" t="s">
        <v>928</v>
      </c>
      <c r="C7313" s="163" t="s">
        <v>6203</v>
      </c>
      <c r="D7313" s="163" t="s">
        <v>6204</v>
      </c>
      <c r="E7313" s="164" t="n">
        <v>10000</v>
      </c>
      <c r="F7313" s="165" t="s">
        <v>11270</v>
      </c>
    </row>
    <row r="7314" customFormat="false" ht="15" hidden="false" customHeight="true" outlineLevel="0" collapsed="false">
      <c r="A7314" s="163" t="s">
        <v>3042</v>
      </c>
      <c r="B7314" s="163" t="s">
        <v>928</v>
      </c>
      <c r="C7314" s="163" t="s">
        <v>11271</v>
      </c>
      <c r="D7314" s="163" t="s">
        <v>11272</v>
      </c>
      <c r="E7314" s="164" t="n">
        <v>10000</v>
      </c>
      <c r="F7314" s="165" t="s">
        <v>11273</v>
      </c>
    </row>
    <row r="7315" customFormat="false" ht="15" hidden="false" customHeight="true" outlineLevel="0" collapsed="false">
      <c r="A7315" s="163" t="s">
        <v>3042</v>
      </c>
      <c r="B7315" s="163" t="s">
        <v>928</v>
      </c>
      <c r="C7315" s="163" t="s">
        <v>11274</v>
      </c>
      <c r="D7315" s="163" t="s">
        <v>11275</v>
      </c>
      <c r="E7315" s="164" t="n">
        <v>10000</v>
      </c>
      <c r="F7315" s="165" t="s">
        <v>11276</v>
      </c>
    </row>
    <row r="7316" customFormat="false" ht="15" hidden="false" customHeight="true" outlineLevel="0" collapsed="false">
      <c r="A7316" s="163" t="s">
        <v>3042</v>
      </c>
      <c r="B7316" s="163" t="s">
        <v>928</v>
      </c>
      <c r="C7316" s="163" t="s">
        <v>3881</v>
      </c>
      <c r="D7316" s="163" t="s">
        <v>3882</v>
      </c>
      <c r="E7316" s="164" t="n">
        <v>10000</v>
      </c>
      <c r="F7316" s="165" t="s">
        <v>11277</v>
      </c>
    </row>
    <row r="7317" customFormat="false" ht="15" hidden="false" customHeight="true" outlineLevel="0" collapsed="false">
      <c r="A7317" s="163" t="s">
        <v>3042</v>
      </c>
      <c r="B7317" s="163" t="s">
        <v>928</v>
      </c>
      <c r="C7317" s="163" t="s">
        <v>3881</v>
      </c>
      <c r="D7317" s="163" t="s">
        <v>3882</v>
      </c>
      <c r="E7317" s="164" t="n">
        <v>10000</v>
      </c>
      <c r="F7317" s="165" t="s">
        <v>11278</v>
      </c>
    </row>
    <row r="7318" customFormat="false" ht="15" hidden="false" customHeight="true" outlineLevel="0" collapsed="false">
      <c r="A7318" s="163" t="s">
        <v>3042</v>
      </c>
      <c r="B7318" s="163" t="s">
        <v>928</v>
      </c>
      <c r="C7318" s="163" t="s">
        <v>11201</v>
      </c>
      <c r="D7318" s="163" t="s">
        <v>11202</v>
      </c>
      <c r="E7318" s="164" t="n">
        <v>10000</v>
      </c>
      <c r="F7318" s="165" t="s">
        <v>11279</v>
      </c>
    </row>
    <row r="7319" customFormat="false" ht="15" hidden="false" customHeight="true" outlineLevel="0" collapsed="false">
      <c r="A7319" s="163" t="s">
        <v>3042</v>
      </c>
      <c r="B7319" s="163" t="s">
        <v>928</v>
      </c>
      <c r="C7319" s="163" t="s">
        <v>11280</v>
      </c>
      <c r="D7319" s="163" t="s">
        <v>11281</v>
      </c>
      <c r="E7319" s="164" t="n">
        <v>5000</v>
      </c>
      <c r="F7319" s="165" t="s">
        <v>11282</v>
      </c>
    </row>
    <row r="7320" customFormat="false" ht="15" hidden="false" customHeight="true" outlineLevel="0" collapsed="false">
      <c r="A7320" s="163" t="s">
        <v>3042</v>
      </c>
      <c r="B7320" s="163" t="s">
        <v>928</v>
      </c>
      <c r="C7320" s="163" t="s">
        <v>11283</v>
      </c>
      <c r="D7320" s="163" t="s">
        <v>11284</v>
      </c>
      <c r="E7320" s="164" t="n">
        <v>5000</v>
      </c>
      <c r="F7320" s="165" t="s">
        <v>11285</v>
      </c>
    </row>
    <row r="7321" customFormat="false" ht="15" hidden="false" customHeight="true" outlineLevel="0" collapsed="false">
      <c r="A7321" s="163" t="s">
        <v>3042</v>
      </c>
      <c r="B7321" s="163" t="s">
        <v>928</v>
      </c>
      <c r="C7321" s="163" t="s">
        <v>11286</v>
      </c>
      <c r="D7321" s="163" t="s">
        <v>11287</v>
      </c>
      <c r="E7321" s="164" t="n">
        <v>5000</v>
      </c>
      <c r="F7321" s="165" t="s">
        <v>11288</v>
      </c>
    </row>
    <row r="7322" customFormat="false" ht="15" hidden="false" customHeight="true" outlineLevel="0" collapsed="false">
      <c r="A7322" s="163" t="s">
        <v>3042</v>
      </c>
      <c r="B7322" s="163" t="s">
        <v>928</v>
      </c>
      <c r="C7322" s="163" t="s">
        <v>11289</v>
      </c>
      <c r="D7322" s="163" t="s">
        <v>11290</v>
      </c>
      <c r="E7322" s="164" t="n">
        <v>5000</v>
      </c>
      <c r="F7322" s="165" t="s">
        <v>11291</v>
      </c>
    </row>
    <row r="7323" customFormat="false" ht="15" hidden="false" customHeight="true" outlineLevel="0" collapsed="false">
      <c r="A7323" s="163" t="s">
        <v>3042</v>
      </c>
      <c r="B7323" s="163" t="s">
        <v>928</v>
      </c>
      <c r="C7323" s="163" t="s">
        <v>4191</v>
      </c>
      <c r="D7323" s="163" t="s">
        <v>4192</v>
      </c>
      <c r="E7323" s="164" t="n">
        <v>5000</v>
      </c>
      <c r="F7323" s="165" t="s">
        <v>11292</v>
      </c>
    </row>
    <row r="7324" customFormat="false" ht="15" hidden="false" customHeight="true" outlineLevel="0" collapsed="false">
      <c r="A7324" s="163" t="s">
        <v>3042</v>
      </c>
      <c r="B7324" s="163" t="s">
        <v>928</v>
      </c>
      <c r="C7324" s="163" t="s">
        <v>11293</v>
      </c>
      <c r="D7324" s="163" t="s">
        <v>11294</v>
      </c>
      <c r="E7324" s="164" t="n">
        <v>5000</v>
      </c>
      <c r="F7324" s="165" t="s">
        <v>11295</v>
      </c>
    </row>
    <row r="7325" customFormat="false" ht="15" hidden="false" customHeight="true" outlineLevel="0" collapsed="false">
      <c r="A7325" s="163" t="s">
        <v>3042</v>
      </c>
      <c r="B7325" s="163" t="s">
        <v>928</v>
      </c>
      <c r="C7325" s="163" t="s">
        <v>395</v>
      </c>
      <c r="D7325" s="163" t="s">
        <v>2196</v>
      </c>
      <c r="E7325" s="164" t="n">
        <v>5000</v>
      </c>
      <c r="F7325" s="165" t="s">
        <v>11296</v>
      </c>
    </row>
    <row r="7326" customFormat="false" ht="15" hidden="false" customHeight="true" outlineLevel="0" collapsed="false">
      <c r="A7326" s="163" t="s">
        <v>3042</v>
      </c>
      <c r="B7326" s="163" t="s">
        <v>928</v>
      </c>
      <c r="C7326" s="163" t="s">
        <v>11283</v>
      </c>
      <c r="D7326" s="163" t="s">
        <v>11284</v>
      </c>
      <c r="E7326" s="164" t="n">
        <v>5000</v>
      </c>
      <c r="F7326" s="165" t="s">
        <v>11285</v>
      </c>
    </row>
    <row r="7327" customFormat="false" ht="15" hidden="false" customHeight="true" outlineLevel="0" collapsed="false">
      <c r="A7327" s="163" t="s">
        <v>3042</v>
      </c>
      <c r="B7327" s="163" t="s">
        <v>928</v>
      </c>
      <c r="C7327" s="163" t="s">
        <v>10030</v>
      </c>
      <c r="D7327" s="163" t="s">
        <v>10031</v>
      </c>
      <c r="E7327" s="164" t="n">
        <v>5000</v>
      </c>
      <c r="F7327" s="165" t="s">
        <v>3691</v>
      </c>
    </row>
    <row r="7328" customFormat="false" ht="15" hidden="false" customHeight="true" outlineLevel="0" collapsed="false">
      <c r="A7328" s="163" t="s">
        <v>3042</v>
      </c>
      <c r="B7328" s="163" t="s">
        <v>928</v>
      </c>
      <c r="C7328" s="163" t="s">
        <v>11297</v>
      </c>
      <c r="D7328" s="163" t="s">
        <v>11298</v>
      </c>
      <c r="E7328" s="164" t="n">
        <v>5000</v>
      </c>
      <c r="F7328" s="165" t="s">
        <v>11299</v>
      </c>
    </row>
    <row r="7329" customFormat="false" ht="15" hidden="false" customHeight="true" outlineLevel="0" collapsed="false">
      <c r="A7329" s="163" t="s">
        <v>3042</v>
      </c>
      <c r="B7329" s="163" t="s">
        <v>928</v>
      </c>
      <c r="C7329" s="163" t="s">
        <v>2167</v>
      </c>
      <c r="D7329" s="163" t="s">
        <v>1931</v>
      </c>
      <c r="E7329" s="164" t="n">
        <v>4000</v>
      </c>
      <c r="F7329" s="165" t="s">
        <v>3060</v>
      </c>
    </row>
    <row r="7330" customFormat="false" ht="15" hidden="false" customHeight="true" outlineLevel="0" collapsed="false">
      <c r="A7330" s="163" t="s">
        <v>3042</v>
      </c>
      <c r="B7330" s="163" t="s">
        <v>928</v>
      </c>
      <c r="C7330" s="163" t="s">
        <v>11195</v>
      </c>
      <c r="D7330" s="163" t="s">
        <v>11196</v>
      </c>
      <c r="E7330" s="164" t="n">
        <v>1000</v>
      </c>
      <c r="F7330" s="165" t="s">
        <v>11300</v>
      </c>
    </row>
    <row r="7331" customFormat="false" ht="15" hidden="false" customHeight="true" outlineLevel="0" collapsed="false">
      <c r="D7331" s="90" t="s">
        <v>2542</v>
      </c>
      <c r="E7331" s="103" t="n">
        <f aca="false">SUM(E4:E7330)</f>
        <v>109853997</v>
      </c>
    </row>
  </sheetData>
  <autoFilter ref="A3:F73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62"/>
    <col collapsed="false" customWidth="true" hidden="false" outlineLevel="0" max="4" min="4" style="1" width="13"/>
    <col collapsed="false" customWidth="true" hidden="false" outlineLevel="0" max="5" min="5" style="1" width="26"/>
  </cols>
  <sheetData>
    <row r="1" customFormat="false" ht="15" hidden="false" customHeight="true" outlineLevel="0" collapsed="false">
      <c r="A1" s="7" t="s">
        <v>11301</v>
      </c>
    </row>
    <row r="3" customFormat="false" ht="15" hidden="false" customHeight="true" outlineLevel="0" collapsed="false">
      <c r="A3" s="10" t="s">
        <v>577</v>
      </c>
      <c r="B3" s="10" t="s">
        <v>11302</v>
      </c>
      <c r="C3" s="10" t="s">
        <v>573</v>
      </c>
      <c r="D3" s="10" t="s">
        <v>72</v>
      </c>
      <c r="E3" s="10" t="s">
        <v>11303</v>
      </c>
    </row>
    <row r="4" customFormat="false" ht="15" hidden="false" customHeight="true" outlineLevel="0" collapsed="false">
      <c r="A4" s="8" t="s">
        <v>11304</v>
      </c>
      <c r="B4" s="8" t="s">
        <v>11305</v>
      </c>
      <c r="C4" s="8" t="s">
        <v>11306</v>
      </c>
      <c r="D4" s="11" t="n">
        <v>50000</v>
      </c>
      <c r="E4" s="8" t="s">
        <v>11307</v>
      </c>
    </row>
    <row r="5" customFormat="false" ht="15" hidden="false" customHeight="true" outlineLevel="0" collapsed="false">
      <c r="A5" s="17" t="s">
        <v>11304</v>
      </c>
      <c r="B5" s="17" t="s">
        <v>11308</v>
      </c>
      <c r="C5" s="17" t="s">
        <v>745</v>
      </c>
      <c r="D5" s="18" t="n">
        <v>25000</v>
      </c>
      <c r="E5" s="41" t="s">
        <v>11309</v>
      </c>
    </row>
    <row r="6" customFormat="false" ht="15" hidden="false" customHeight="true" outlineLevel="0" collapsed="false">
      <c r="A6" s="8" t="s">
        <v>585</v>
      </c>
      <c r="B6" s="8" t="s">
        <v>11308</v>
      </c>
      <c r="C6" s="8" t="s">
        <v>11310</v>
      </c>
      <c r="D6" s="11" t="n">
        <v>75000</v>
      </c>
      <c r="E6" s="8" t="s">
        <v>11307</v>
      </c>
    </row>
    <row r="7" customFormat="false" ht="15" hidden="false" customHeight="true" outlineLevel="0" collapsed="false">
      <c r="A7" s="8" t="s">
        <v>588</v>
      </c>
      <c r="B7" s="8" t="s">
        <v>11308</v>
      </c>
      <c r="C7" s="8" t="s">
        <v>586</v>
      </c>
      <c r="D7" s="11" t="n">
        <v>40000</v>
      </c>
      <c r="E7" s="8" t="s">
        <v>11307</v>
      </c>
    </row>
    <row r="8" customFormat="false" ht="15" hidden="false" customHeight="true" outlineLevel="0" collapsed="false">
      <c r="A8" s="8" t="s">
        <v>11304</v>
      </c>
      <c r="B8" s="8" t="s">
        <v>11311</v>
      </c>
      <c r="C8" s="8" t="s">
        <v>2505</v>
      </c>
      <c r="D8" s="11" t="n">
        <v>50000</v>
      </c>
      <c r="E8" s="8" t="s">
        <v>11307</v>
      </c>
    </row>
    <row r="9" customFormat="false" ht="15" hidden="false" customHeight="true" outlineLevel="0" collapsed="false">
      <c r="A9" s="8" t="s">
        <v>595</v>
      </c>
      <c r="B9" s="8" t="s">
        <v>11308</v>
      </c>
      <c r="C9" s="8" t="s">
        <v>592</v>
      </c>
      <c r="D9" s="11" t="n">
        <v>25000</v>
      </c>
      <c r="E9" s="8" t="s">
        <v>11307</v>
      </c>
    </row>
    <row r="10" customFormat="false" ht="15" hidden="false" customHeight="true" outlineLevel="0" collapsed="false">
      <c r="A10" s="8" t="s">
        <v>595</v>
      </c>
      <c r="B10" s="8" t="s">
        <v>11308</v>
      </c>
      <c r="C10" s="8" t="s">
        <v>225</v>
      </c>
      <c r="D10" s="11" t="n">
        <v>30000</v>
      </c>
      <c r="E10" s="8" t="s">
        <v>11307</v>
      </c>
    </row>
    <row r="11" customFormat="false" ht="15" hidden="false" customHeight="true" outlineLevel="0" collapsed="false">
      <c r="A11" s="8" t="s">
        <v>599</v>
      </c>
      <c r="B11" s="8" t="s">
        <v>11305</v>
      </c>
      <c r="C11" s="8" t="s">
        <v>11312</v>
      </c>
      <c r="D11" s="11" t="n">
        <v>25000</v>
      </c>
      <c r="E11" s="8" t="s">
        <v>11307</v>
      </c>
    </row>
    <row r="12" customFormat="false" ht="15" hidden="false" customHeight="true" outlineLevel="0" collapsed="false">
      <c r="A12" s="8" t="s">
        <v>602</v>
      </c>
      <c r="B12" s="8" t="s">
        <v>11313</v>
      </c>
      <c r="C12" s="8" t="s">
        <v>11314</v>
      </c>
      <c r="D12" s="11" t="n">
        <v>25000</v>
      </c>
      <c r="E12" s="8" t="s">
        <v>11307</v>
      </c>
    </row>
    <row r="13" customFormat="false" ht="15" hidden="false" customHeight="true" outlineLevel="0" collapsed="false">
      <c r="A13" s="8" t="s">
        <v>11304</v>
      </c>
      <c r="B13" s="8" t="s">
        <v>11308</v>
      </c>
      <c r="C13" s="8" t="s">
        <v>2506</v>
      </c>
      <c r="D13" s="11" t="n">
        <v>50000</v>
      </c>
      <c r="E13" s="8" t="s">
        <v>11307</v>
      </c>
    </row>
    <row r="14" customFormat="false" ht="15" hidden="false" customHeight="true" outlineLevel="0" collapsed="false">
      <c r="A14" s="8" t="s">
        <v>602</v>
      </c>
      <c r="B14" s="8" t="s">
        <v>11305</v>
      </c>
      <c r="C14" s="8" t="s">
        <v>11315</v>
      </c>
      <c r="D14" s="11" t="n">
        <v>35000</v>
      </c>
      <c r="E14" s="8" t="s">
        <v>11307</v>
      </c>
    </row>
    <row r="15" customFormat="false" ht="15" hidden="false" customHeight="true" outlineLevel="0" collapsed="false">
      <c r="A15" s="8" t="s">
        <v>595</v>
      </c>
      <c r="B15" s="8" t="s">
        <v>11308</v>
      </c>
      <c r="C15" s="8" t="s">
        <v>11316</v>
      </c>
      <c r="D15" s="11" t="n">
        <v>500000</v>
      </c>
      <c r="E15" s="8" t="s">
        <v>11307</v>
      </c>
    </row>
    <row r="16" customFormat="false" ht="15" hidden="false" customHeight="true" outlineLevel="0" collapsed="false">
      <c r="A16" s="8" t="s">
        <v>595</v>
      </c>
      <c r="B16" s="8" t="s">
        <v>11305</v>
      </c>
      <c r="C16" s="8" t="s">
        <v>326</v>
      </c>
      <c r="D16" s="11" t="n">
        <v>35000</v>
      </c>
      <c r="E16" s="8" t="s">
        <v>11307</v>
      </c>
    </row>
    <row r="17" customFormat="false" ht="15" hidden="false" customHeight="true" outlineLevel="0" collapsed="false">
      <c r="A17" s="8" t="s">
        <v>613</v>
      </c>
      <c r="B17" s="8" t="s">
        <v>11308</v>
      </c>
      <c r="C17" s="8" t="s">
        <v>142</v>
      </c>
      <c r="D17" s="11" t="n">
        <v>30000</v>
      </c>
      <c r="E17" s="8" t="s">
        <v>11307</v>
      </c>
    </row>
    <row r="18" customFormat="false" ht="15" hidden="false" customHeight="true" outlineLevel="0" collapsed="false">
      <c r="A18" s="8" t="s">
        <v>602</v>
      </c>
      <c r="B18" s="8" t="s">
        <v>11308</v>
      </c>
      <c r="C18" s="8" t="s">
        <v>142</v>
      </c>
      <c r="D18" s="11" t="n">
        <v>50000</v>
      </c>
      <c r="E18" s="8" t="s">
        <v>11307</v>
      </c>
    </row>
    <row r="19" customFormat="false" ht="15" hidden="false" customHeight="true" outlineLevel="0" collapsed="false">
      <c r="A19" s="8" t="s">
        <v>11304</v>
      </c>
      <c r="B19" s="8" t="s">
        <v>11305</v>
      </c>
      <c r="C19" s="8" t="s">
        <v>11317</v>
      </c>
      <c r="D19" s="11" t="n">
        <v>250000</v>
      </c>
      <c r="E19" s="8" t="s">
        <v>11307</v>
      </c>
    </row>
    <row r="20" customFormat="false" ht="15" hidden="false" customHeight="true" outlineLevel="0" collapsed="false">
      <c r="A20" s="8" t="s">
        <v>585</v>
      </c>
      <c r="B20" s="8" t="s">
        <v>11318</v>
      </c>
      <c r="C20" s="8" t="s">
        <v>617</v>
      </c>
      <c r="D20" s="11" t="n">
        <v>25000</v>
      </c>
      <c r="E20" s="8" t="s">
        <v>11307</v>
      </c>
    </row>
    <row r="21" customFormat="false" ht="15" hidden="false" customHeight="true" outlineLevel="0" collapsed="false">
      <c r="A21" s="8" t="s">
        <v>11304</v>
      </c>
      <c r="B21" s="8" t="s">
        <v>11318</v>
      </c>
      <c r="C21" s="8" t="s">
        <v>1806</v>
      </c>
      <c r="D21" s="11" t="n">
        <v>75000</v>
      </c>
      <c r="E21" s="8" t="s">
        <v>11307</v>
      </c>
    </row>
    <row r="22" customFormat="false" ht="15" hidden="false" customHeight="true" outlineLevel="0" collapsed="false">
      <c r="A22" s="8" t="s">
        <v>11304</v>
      </c>
      <c r="B22" s="8" t="s">
        <v>11319</v>
      </c>
      <c r="C22" s="8" t="s">
        <v>343</v>
      </c>
      <c r="D22" s="11" t="n">
        <v>20000</v>
      </c>
      <c r="E22" s="8" t="s">
        <v>11307</v>
      </c>
    </row>
    <row r="23" customFormat="false" ht="15" hidden="false" customHeight="true" outlineLevel="0" collapsed="false">
      <c r="A23" s="8" t="s">
        <v>624</v>
      </c>
      <c r="B23" s="8" t="s">
        <v>11318</v>
      </c>
      <c r="C23" s="8" t="s">
        <v>11320</v>
      </c>
      <c r="D23" s="11" t="n">
        <v>200000</v>
      </c>
      <c r="E23" s="8" t="s">
        <v>11307</v>
      </c>
    </row>
    <row r="24" customFormat="false" ht="15" hidden="false" customHeight="true" outlineLevel="0" collapsed="false">
      <c r="A24" s="8" t="s">
        <v>602</v>
      </c>
      <c r="B24" s="8" t="s">
        <v>11308</v>
      </c>
      <c r="C24" s="8" t="s">
        <v>625</v>
      </c>
      <c r="D24" s="11" t="n">
        <v>25000</v>
      </c>
      <c r="E24" s="8" t="s">
        <v>11307</v>
      </c>
    </row>
    <row r="25" customFormat="false" ht="15" hidden="false" customHeight="true" outlineLevel="0" collapsed="false">
      <c r="A25" s="8" t="s">
        <v>630</v>
      </c>
      <c r="B25" s="8" t="s">
        <v>11319</v>
      </c>
      <c r="C25" s="8" t="s">
        <v>11321</v>
      </c>
      <c r="D25" s="11" t="n">
        <v>260000</v>
      </c>
      <c r="E25" s="8" t="s">
        <v>11307</v>
      </c>
    </row>
    <row r="26" customFormat="false" ht="15" hidden="false" customHeight="true" outlineLevel="0" collapsed="false">
      <c r="A26" s="8" t="s">
        <v>11304</v>
      </c>
      <c r="B26" s="8" t="s">
        <v>11319</v>
      </c>
      <c r="C26" s="8" t="s">
        <v>1805</v>
      </c>
      <c r="D26" s="11" t="n">
        <v>157880</v>
      </c>
      <c r="E26" s="8" t="s">
        <v>11307</v>
      </c>
    </row>
    <row r="27" customFormat="false" ht="15" hidden="false" customHeight="true" outlineLevel="0" collapsed="false">
      <c r="A27" s="8" t="s">
        <v>635</v>
      </c>
      <c r="B27" s="8" t="s">
        <v>11308</v>
      </c>
      <c r="C27" s="8" t="s">
        <v>633</v>
      </c>
      <c r="D27" s="11" t="n">
        <v>50000</v>
      </c>
      <c r="E27" s="8" t="s">
        <v>11307</v>
      </c>
    </row>
    <row r="28" customFormat="false" ht="15" hidden="false" customHeight="true" outlineLevel="0" collapsed="false">
      <c r="A28" s="8" t="s">
        <v>595</v>
      </c>
      <c r="B28" s="8" t="s">
        <v>11319</v>
      </c>
      <c r="C28" s="8" t="s">
        <v>636</v>
      </c>
      <c r="D28" s="11" t="n">
        <v>50000</v>
      </c>
      <c r="E28" s="8" t="s">
        <v>11307</v>
      </c>
    </row>
    <row r="29" customFormat="false" ht="15" hidden="false" customHeight="true" outlineLevel="0" collapsed="false">
      <c r="A29" s="17" t="s">
        <v>11304</v>
      </c>
      <c r="B29" s="17" t="s">
        <v>11308</v>
      </c>
      <c r="C29" s="17" t="s">
        <v>158</v>
      </c>
      <c r="D29" s="18" t="n">
        <v>25000</v>
      </c>
      <c r="E29" s="41" t="s">
        <v>11309</v>
      </c>
    </row>
    <row r="30" customFormat="false" ht="15" hidden="false" customHeight="true" outlineLevel="0" collapsed="false">
      <c r="A30" s="8" t="s">
        <v>595</v>
      </c>
      <c r="B30" s="8" t="s">
        <v>11322</v>
      </c>
      <c r="C30" s="8" t="s">
        <v>11323</v>
      </c>
      <c r="D30" s="11" t="n">
        <v>110000</v>
      </c>
      <c r="E30" s="8" t="s">
        <v>11307</v>
      </c>
    </row>
    <row r="31" customFormat="false" ht="15" hidden="false" customHeight="true" outlineLevel="0" collapsed="false">
      <c r="A31" s="8" t="s">
        <v>602</v>
      </c>
      <c r="B31" s="8" t="s">
        <v>11324</v>
      </c>
      <c r="C31" s="8" t="s">
        <v>640</v>
      </c>
      <c r="D31" s="11" t="n">
        <v>100000</v>
      </c>
      <c r="E31" s="8" t="s">
        <v>11307</v>
      </c>
    </row>
    <row r="32" customFormat="false" ht="15" hidden="false" customHeight="true" outlineLevel="0" collapsed="false">
      <c r="A32" s="8" t="s">
        <v>635</v>
      </c>
      <c r="B32" s="8" t="s">
        <v>11305</v>
      </c>
      <c r="C32" s="8" t="s">
        <v>380</v>
      </c>
      <c r="D32" s="11" t="n">
        <v>50000</v>
      </c>
      <c r="E32" s="8" t="s">
        <v>11307</v>
      </c>
    </row>
    <row r="33" customFormat="false" ht="15" hidden="false" customHeight="true" outlineLevel="0" collapsed="false">
      <c r="A33" s="8" t="s">
        <v>11304</v>
      </c>
      <c r="B33" s="8" t="s">
        <v>11308</v>
      </c>
      <c r="C33" s="8" t="s">
        <v>1810</v>
      </c>
      <c r="D33" s="11" t="n">
        <v>15000</v>
      </c>
      <c r="E33" s="8" t="s">
        <v>11307</v>
      </c>
    </row>
    <row r="34" customFormat="false" ht="15" hidden="false" customHeight="true" outlineLevel="0" collapsed="false">
      <c r="A34" s="8" t="s">
        <v>595</v>
      </c>
      <c r="B34" s="8" t="s">
        <v>11313</v>
      </c>
      <c r="C34" s="8" t="s">
        <v>11325</v>
      </c>
      <c r="D34" s="11" t="n">
        <v>25000</v>
      </c>
      <c r="E34" s="8" t="s">
        <v>11307</v>
      </c>
    </row>
    <row r="35" customFormat="false" ht="15" hidden="false" customHeight="true" outlineLevel="0" collapsed="false">
      <c r="A35" s="8" t="s">
        <v>585</v>
      </c>
      <c r="B35" s="8" t="s">
        <v>11308</v>
      </c>
      <c r="C35" s="8" t="s">
        <v>644</v>
      </c>
      <c r="D35" s="11" t="n">
        <v>100000</v>
      </c>
      <c r="E35" s="8" t="s">
        <v>11307</v>
      </c>
    </row>
    <row r="36" customFormat="false" ht="15" hidden="false" customHeight="true" outlineLevel="0" collapsed="false">
      <c r="A36" s="8" t="s">
        <v>624</v>
      </c>
      <c r="B36" s="8" t="s">
        <v>11318</v>
      </c>
      <c r="C36" s="8" t="s">
        <v>645</v>
      </c>
      <c r="D36" s="11" t="n">
        <v>45000</v>
      </c>
      <c r="E36" s="8" t="s">
        <v>11307</v>
      </c>
    </row>
    <row r="37" customFormat="false" ht="15" hidden="false" customHeight="true" outlineLevel="0" collapsed="false">
      <c r="A37" s="8" t="s">
        <v>635</v>
      </c>
      <c r="B37" s="8" t="s">
        <v>11318</v>
      </c>
      <c r="C37" s="8" t="s">
        <v>11326</v>
      </c>
      <c r="D37" s="11" t="n">
        <v>140000</v>
      </c>
      <c r="E37" s="8" t="s">
        <v>11307</v>
      </c>
    </row>
    <row r="38" customFormat="false" ht="15" hidden="false" customHeight="true" outlineLevel="0" collapsed="false">
      <c r="A38" s="8" t="s">
        <v>630</v>
      </c>
      <c r="B38" s="8" t="s">
        <v>11319</v>
      </c>
      <c r="C38" s="8" t="s">
        <v>2487</v>
      </c>
      <c r="D38" s="11" t="n">
        <v>50000</v>
      </c>
      <c r="E38" s="8" t="s">
        <v>11307</v>
      </c>
    </row>
    <row r="39" customFormat="false" ht="15" hidden="false" customHeight="true" outlineLevel="0" collapsed="false">
      <c r="A39" s="8" t="s">
        <v>595</v>
      </c>
      <c r="B39" s="8" t="s">
        <v>11318</v>
      </c>
      <c r="C39" s="8" t="s">
        <v>648</v>
      </c>
      <c r="D39" s="11" t="n">
        <v>50000</v>
      </c>
      <c r="E39" s="8" t="s">
        <v>11307</v>
      </c>
    </row>
    <row r="40" customFormat="false" ht="15" hidden="false" customHeight="true" outlineLevel="0" collapsed="false">
      <c r="C40" s="12" t="s">
        <v>11327</v>
      </c>
      <c r="D40" s="166" t="n">
        <f aca="false">SUM(D4:D39)</f>
        <v>2867880</v>
      </c>
    </row>
    <row r="41" customFormat="false" ht="15" hidden="false" customHeight="true" outlineLevel="0" collapsed="false">
      <c r="C41" s="12" t="s">
        <v>11328</v>
      </c>
      <c r="D41" s="166" t="n">
        <f aca="false">-SUMIF(E4:E39,"REMOVED*",D4:D39)</f>
        <v>-50000</v>
      </c>
    </row>
    <row r="42" customFormat="false" ht="15" hidden="false" customHeight="true" outlineLevel="0" collapsed="false">
      <c r="C42" s="12" t="s">
        <v>11329</v>
      </c>
      <c r="D42" s="13" t="n">
        <f aca="false">D40+D41</f>
        <v>2817880</v>
      </c>
    </row>
    <row r="44" customFormat="false" ht="15" hidden="false" customHeight="true" outlineLevel="0" collapsed="false">
      <c r="C44" s="8" t="s">
        <v>11330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4"/>
    <col collapsed="false" customWidth="true" hidden="false" outlineLevel="0" max="2" min="2" style="1" width="15"/>
    <col collapsed="false" customWidth="true" hidden="false" outlineLevel="0" max="3" min="3" style="1" width="70"/>
  </cols>
  <sheetData>
    <row r="1" customFormat="false" ht="15" hidden="false" customHeight="true" outlineLevel="0" collapsed="false">
      <c r="A1" s="7" t="s">
        <v>11331</v>
      </c>
    </row>
    <row r="2" customFormat="false" ht="15" hidden="false" customHeight="true" outlineLevel="0" collapsed="false">
      <c r="A2" s="8" t="s">
        <v>11332</v>
      </c>
    </row>
    <row r="4" customFormat="false" ht="15" hidden="false" customHeight="true" outlineLevel="0" collapsed="false">
      <c r="A4" s="10" t="s">
        <v>22</v>
      </c>
      <c r="B4" s="10" t="s">
        <v>72</v>
      </c>
      <c r="C4" s="10" t="s">
        <v>853</v>
      </c>
    </row>
    <row r="5" customFormat="false" ht="15" hidden="false" customHeight="true" outlineLevel="0" collapsed="false">
      <c r="A5" s="8" t="s">
        <v>11333</v>
      </c>
      <c r="B5" s="11" t="n">
        <v>6553360</v>
      </c>
      <c r="C5" s="8" t="s">
        <v>11334</v>
      </c>
    </row>
    <row r="6" customFormat="false" ht="15" hidden="false" customHeight="true" outlineLevel="0" collapsed="false">
      <c r="A6" s="8" t="s">
        <v>11335</v>
      </c>
      <c r="B6" s="11" t="n">
        <v>120000</v>
      </c>
      <c r="C6" s="8" t="s">
        <v>11336</v>
      </c>
    </row>
    <row r="7" customFormat="false" ht="15" hidden="false" customHeight="true" outlineLevel="0" collapsed="false">
      <c r="A7" s="8" t="s">
        <v>11337</v>
      </c>
      <c r="B7" s="11" t="n">
        <v>1678107</v>
      </c>
      <c r="C7" s="8" t="s">
        <v>11338</v>
      </c>
    </row>
    <row r="8" customFormat="false" ht="15" hidden="false" customHeight="true" outlineLevel="0" collapsed="false">
      <c r="A8" s="8" t="s">
        <v>11339</v>
      </c>
      <c r="B8" s="11" t="n">
        <v>-10000</v>
      </c>
      <c r="C8" s="8" t="s">
        <v>11340</v>
      </c>
    </row>
    <row r="9" customFormat="false" ht="15" hidden="false" customHeight="true" outlineLevel="0" collapsed="false">
      <c r="A9" s="12" t="s">
        <v>11341</v>
      </c>
      <c r="B9" s="166" t="n">
        <v>8341467</v>
      </c>
      <c r="C9" s="8" t="s">
        <v>11342</v>
      </c>
    </row>
    <row r="10" customFormat="false" ht="15" hidden="false" customHeight="true" outlineLevel="0" collapsed="false">
      <c r="A10" s="8" t="s">
        <v>11343</v>
      </c>
      <c r="B10" s="14" t="n">
        <f aca="false">SUM(B5:B8)</f>
        <v>8341467</v>
      </c>
    </row>
    <row r="12" customFormat="false" ht="15" hidden="false" customHeight="true" outlineLevel="0" collapsed="false">
      <c r="A12" s="4" t="s">
        <v>11344</v>
      </c>
    </row>
    <row r="13" customFormat="false" ht="15" hidden="false" customHeight="true" outlineLevel="0" collapsed="false">
      <c r="A13" s="10" t="s">
        <v>140</v>
      </c>
      <c r="B13" s="10" t="s">
        <v>11345</v>
      </c>
      <c r="C13" s="10" t="s">
        <v>11346</v>
      </c>
      <c r="D13" s="10" t="s">
        <v>190</v>
      </c>
      <c r="E13" s="10" t="s">
        <v>11347</v>
      </c>
    </row>
    <row r="14" customFormat="false" ht="15" hidden="false" customHeight="true" outlineLevel="0" collapsed="false">
      <c r="A14" s="8" t="s">
        <v>452</v>
      </c>
      <c r="B14" s="11" t="n">
        <v>500000</v>
      </c>
      <c r="C14" s="8" t="s">
        <v>11348</v>
      </c>
      <c r="D14" s="8" t="s">
        <v>2102</v>
      </c>
      <c r="E14" s="8" t="s">
        <v>11349</v>
      </c>
    </row>
    <row r="15" customFormat="false" ht="15" hidden="false" customHeight="true" outlineLevel="0" collapsed="false">
      <c r="A15" s="17" t="s">
        <v>151</v>
      </c>
      <c r="B15" s="18" t="n">
        <v>459357</v>
      </c>
      <c r="C15" s="17" t="s">
        <v>11350</v>
      </c>
      <c r="D15" s="41" t="s">
        <v>1045</v>
      </c>
      <c r="E15" s="41" t="s">
        <v>11351</v>
      </c>
    </row>
    <row r="16" customFormat="false" ht="15" hidden="false" customHeight="true" outlineLevel="0" collapsed="false">
      <c r="A16" s="8" t="s">
        <v>158</v>
      </c>
      <c r="B16" s="11" t="n">
        <v>224000</v>
      </c>
      <c r="C16" s="8" t="s">
        <v>11348</v>
      </c>
      <c r="D16" s="8" t="s">
        <v>2207</v>
      </c>
      <c r="E16" s="8" t="s">
        <v>11349</v>
      </c>
    </row>
    <row r="17" customFormat="false" ht="15" hidden="false" customHeight="true" outlineLevel="0" collapsed="false">
      <c r="A17" s="8" t="s">
        <v>427</v>
      </c>
      <c r="B17" s="11" t="n">
        <v>107500</v>
      </c>
      <c r="C17" s="8" t="s">
        <v>11348</v>
      </c>
      <c r="D17" s="8" t="s">
        <v>2173</v>
      </c>
      <c r="E17" s="8" t="s">
        <v>11349</v>
      </c>
    </row>
    <row r="18" customFormat="false" ht="15" hidden="false" customHeight="true" outlineLevel="0" collapsed="false">
      <c r="A18" s="8" t="s">
        <v>380</v>
      </c>
      <c r="B18" s="11" t="n">
        <v>107372</v>
      </c>
      <c r="C18" s="8" t="s">
        <v>11348</v>
      </c>
      <c r="D18" s="8" t="s">
        <v>1899</v>
      </c>
      <c r="E18" s="8" t="s">
        <v>11349</v>
      </c>
    </row>
    <row r="19" customFormat="false" ht="15" hidden="false" customHeight="true" outlineLevel="0" collapsed="false">
      <c r="A19" s="8" t="s">
        <v>1095</v>
      </c>
      <c r="B19" s="11" t="n">
        <v>41665</v>
      </c>
      <c r="C19" s="8" t="s">
        <v>11348</v>
      </c>
      <c r="D19" s="8" t="s">
        <v>1840</v>
      </c>
      <c r="E19" s="8" t="s">
        <v>11349</v>
      </c>
    </row>
    <row r="20" customFormat="false" ht="15" hidden="false" customHeight="true" outlineLevel="0" collapsed="false">
      <c r="A20" s="8" t="s">
        <v>225</v>
      </c>
      <c r="B20" s="11" t="n">
        <v>35000</v>
      </c>
      <c r="C20" s="8" t="s">
        <v>11348</v>
      </c>
      <c r="D20" s="8" t="s">
        <v>1887</v>
      </c>
      <c r="E20" s="8" t="s">
        <v>11349</v>
      </c>
    </row>
    <row r="21" customFormat="false" ht="15" hidden="false" customHeight="true" outlineLevel="0" collapsed="false">
      <c r="A21" s="8" t="s">
        <v>771</v>
      </c>
      <c r="B21" s="11" t="n">
        <v>35000</v>
      </c>
      <c r="C21" s="8" t="s">
        <v>11348</v>
      </c>
      <c r="D21" s="8" t="s">
        <v>2171</v>
      </c>
      <c r="E21" s="8" t="s">
        <v>11349</v>
      </c>
    </row>
    <row r="22" customFormat="false" ht="15" hidden="false" customHeight="true" outlineLevel="0" collapsed="false">
      <c r="A22" s="8" t="s">
        <v>563</v>
      </c>
      <c r="B22" s="11" t="n">
        <v>25000</v>
      </c>
      <c r="C22" s="8" t="s">
        <v>11348</v>
      </c>
      <c r="D22" s="8" t="s">
        <v>2454</v>
      </c>
      <c r="E22" s="8" t="s">
        <v>11349</v>
      </c>
    </row>
    <row r="23" customFormat="false" ht="15" hidden="false" customHeight="true" outlineLevel="0" collapsed="false">
      <c r="A23" s="17" t="s">
        <v>745</v>
      </c>
      <c r="B23" s="18" t="n">
        <v>25000</v>
      </c>
      <c r="C23" s="17" t="s">
        <v>11350</v>
      </c>
      <c r="D23" s="41" t="s">
        <v>1045</v>
      </c>
      <c r="E23" s="41" t="s">
        <v>11351</v>
      </c>
    </row>
    <row r="24" customFormat="false" ht="15" hidden="false" customHeight="true" outlineLevel="0" collapsed="false">
      <c r="A24" s="17" t="s">
        <v>180</v>
      </c>
      <c r="B24" s="18" t="n">
        <v>25000</v>
      </c>
      <c r="C24" s="17" t="s">
        <v>11350</v>
      </c>
      <c r="D24" s="41" t="s">
        <v>1045</v>
      </c>
      <c r="E24" s="41" t="s">
        <v>11351</v>
      </c>
    </row>
    <row r="25" customFormat="false" ht="15" hidden="false" customHeight="true" outlineLevel="0" collapsed="false">
      <c r="A25" s="17" t="s">
        <v>774</v>
      </c>
      <c r="B25" s="18" t="n">
        <v>18213</v>
      </c>
      <c r="C25" s="17" t="s">
        <v>11350</v>
      </c>
      <c r="D25" s="41" t="s">
        <v>1045</v>
      </c>
      <c r="E25" s="41" t="s">
        <v>11351</v>
      </c>
    </row>
    <row r="26" customFormat="false" ht="15" hidden="false" customHeight="true" outlineLevel="0" collapsed="false">
      <c r="A26" s="8" t="s">
        <v>11352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8"/>
    <col collapsed="false" customWidth="true" hidden="false" outlineLevel="0" max="3" min="3" style="1" width="14"/>
    <col collapsed="false" customWidth="true" hidden="false" outlineLevel="0" max="4" min="4" style="1" width="60"/>
  </cols>
  <sheetData>
    <row r="1" customFormat="false" ht="15" hidden="false" customHeight="true" outlineLevel="0" collapsed="false">
      <c r="A1" s="7" t="s">
        <v>11353</v>
      </c>
    </row>
    <row r="3" customFormat="false" ht="15" hidden="false" customHeight="true" outlineLevel="0" collapsed="false">
      <c r="A3" s="10" t="s">
        <v>1732</v>
      </c>
      <c r="B3" s="10" t="s">
        <v>11354</v>
      </c>
      <c r="C3" s="10" t="s">
        <v>72</v>
      </c>
      <c r="D3" s="10" t="s">
        <v>11355</v>
      </c>
    </row>
    <row r="4" customFormat="false" ht="15" hidden="false" customHeight="true" outlineLevel="0" collapsed="false">
      <c r="A4" s="12" t="s">
        <v>11356</v>
      </c>
      <c r="B4" s="8" t="s">
        <v>11357</v>
      </c>
      <c r="C4" s="11" t="n">
        <v>50000</v>
      </c>
      <c r="D4" s="8" t="s">
        <v>11358</v>
      </c>
    </row>
    <row r="5" customFormat="false" ht="15" hidden="false" customHeight="true" outlineLevel="0" collapsed="false">
      <c r="A5" s="12" t="s">
        <v>11359</v>
      </c>
      <c r="B5" s="8" t="s">
        <v>11360</v>
      </c>
      <c r="C5" s="11" t="n">
        <v>25000</v>
      </c>
      <c r="D5" s="4" t="s">
        <v>11361</v>
      </c>
    </row>
    <row r="6" customFormat="false" ht="15" hidden="false" customHeight="true" outlineLevel="0" collapsed="false">
      <c r="A6" s="40" t="s">
        <v>11362</v>
      </c>
      <c r="B6" s="17" t="s">
        <v>11363</v>
      </c>
      <c r="C6" s="18" t="n">
        <v>25000</v>
      </c>
      <c r="D6" s="41" t="s">
        <v>11364</v>
      </c>
    </row>
    <row r="7" customFormat="false" ht="15" hidden="false" customHeight="true" outlineLevel="0" collapsed="false">
      <c r="A7" s="12" t="s">
        <v>11365</v>
      </c>
      <c r="B7" s="8" t="s">
        <v>11366</v>
      </c>
      <c r="C7" s="11" t="n">
        <v>685000</v>
      </c>
      <c r="D7" s="8" t="s">
        <v>11367</v>
      </c>
    </row>
    <row r="8" customFormat="false" ht="15" hidden="false" customHeight="true" outlineLevel="0" collapsed="false">
      <c r="A8" s="40" t="s">
        <v>11368</v>
      </c>
      <c r="B8" s="17" t="s">
        <v>11369</v>
      </c>
      <c r="C8" s="18" t="n">
        <v>224000</v>
      </c>
      <c r="D8" s="41" t="s">
        <v>11370</v>
      </c>
    </row>
    <row r="9" customFormat="false" ht="15" hidden="false" customHeight="true" outlineLevel="0" collapsed="false">
      <c r="A9" s="12" t="s">
        <v>11371</v>
      </c>
      <c r="B9" s="8" t="s">
        <v>11372</v>
      </c>
      <c r="C9" s="11" t="n">
        <v>459357</v>
      </c>
      <c r="D9" s="4" t="s">
        <v>11373</v>
      </c>
    </row>
    <row r="10" customFormat="false" ht="15" hidden="false" customHeight="true" outlineLevel="0" collapsed="false">
      <c r="A10" s="40" t="s">
        <v>11374</v>
      </c>
      <c r="B10" s="17" t="s">
        <v>11375</v>
      </c>
      <c r="C10" s="167"/>
      <c r="D10" s="41" t="s">
        <v>11376</v>
      </c>
    </row>
    <row r="11" customFormat="false" ht="15" hidden="false" customHeight="true" outlineLevel="0" collapsed="false">
      <c r="A11" s="12" t="s">
        <v>11377</v>
      </c>
      <c r="B11" s="8" t="s">
        <v>11378</v>
      </c>
      <c r="C11" s="11" t="n">
        <v>120000</v>
      </c>
      <c r="D11" s="8" t="s">
        <v>11379</v>
      </c>
    </row>
    <row r="12" customFormat="false" ht="15" hidden="false" customHeight="true" outlineLevel="0" collapsed="false">
      <c r="A12" s="12" t="s">
        <v>11380</v>
      </c>
      <c r="B12" s="8" t="s">
        <v>11381</v>
      </c>
      <c r="C12" s="11" t="n">
        <v>10000</v>
      </c>
      <c r="D12" s="4" t="s">
        <v>11382</v>
      </c>
    </row>
    <row r="13" customFormat="false" ht="15" hidden="false" customHeight="true" outlineLevel="0" collapsed="false">
      <c r="A13" s="12" t="s">
        <v>11383</v>
      </c>
      <c r="B13" s="8" t="s">
        <v>11384</v>
      </c>
      <c r="D13" s="8" t="s">
        <v>11385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6"/>
  </cols>
  <sheetData>
    <row r="1" customFormat="false" ht="15" hidden="false" customHeight="true" outlineLevel="0" collapsed="false">
      <c r="A1" s="7" t="s">
        <v>11386</v>
      </c>
    </row>
    <row r="3" customFormat="false" ht="15" hidden="false" customHeight="true" outlineLevel="0" collapsed="false">
      <c r="A3" s="10" t="s">
        <v>11387</v>
      </c>
      <c r="B3" s="10" t="s">
        <v>11388</v>
      </c>
      <c r="C3" s="10" t="s">
        <v>11389</v>
      </c>
      <c r="D3" s="10" t="s">
        <v>11390</v>
      </c>
    </row>
    <row r="4" customFormat="false" ht="15" hidden="false" customHeight="true" outlineLevel="0" collapsed="false">
      <c r="A4" s="8" t="s">
        <v>11391</v>
      </c>
      <c r="B4" s="11" t="n">
        <v>77350000</v>
      </c>
      <c r="C4" s="11" t="n">
        <v>77350000</v>
      </c>
      <c r="D4" s="11" t="n">
        <v>77350000</v>
      </c>
    </row>
    <row r="5" customFormat="false" ht="15" hidden="false" customHeight="true" outlineLevel="0" collapsed="false">
      <c r="A5" s="8" t="s">
        <v>11392</v>
      </c>
      <c r="B5" s="11" t="n">
        <v>6773000</v>
      </c>
      <c r="C5" s="11" t="n">
        <v>6773000</v>
      </c>
      <c r="D5" s="11" t="n">
        <v>6638000</v>
      </c>
    </row>
    <row r="6" customFormat="false" ht="15" hidden="false" customHeight="true" outlineLevel="0" collapsed="false">
      <c r="A6" s="8" t="s">
        <v>11393</v>
      </c>
      <c r="B6" s="11"/>
      <c r="C6" s="11"/>
      <c r="D6" s="11" t="n">
        <v>120000</v>
      </c>
    </row>
    <row r="7" customFormat="false" ht="15" hidden="false" customHeight="true" outlineLevel="0" collapsed="false">
      <c r="A7" s="8" t="s">
        <v>11394</v>
      </c>
      <c r="B7" s="11" t="n">
        <v>2817880</v>
      </c>
      <c r="C7" s="11" t="n">
        <v>2132880</v>
      </c>
      <c r="D7" s="11" t="n">
        <v>2817880</v>
      </c>
    </row>
    <row r="8" customFormat="false" ht="15" hidden="false" customHeight="true" outlineLevel="0" collapsed="false">
      <c r="A8" s="8" t="s">
        <v>11395</v>
      </c>
      <c r="B8" s="11"/>
      <c r="C8" s="11"/>
      <c r="D8" s="11" t="n">
        <v>92000</v>
      </c>
    </row>
    <row r="9" customFormat="false" ht="15" hidden="false" customHeight="true" outlineLevel="0" collapsed="false">
      <c r="A9" s="8" t="s">
        <v>11396</v>
      </c>
      <c r="B9" s="11" t="n">
        <v>8341467</v>
      </c>
      <c r="C9" s="11" t="n">
        <v>8341467</v>
      </c>
      <c r="D9" s="11" t="n">
        <v>6553360</v>
      </c>
    </row>
    <row r="10" customFormat="false" ht="15" hidden="false" customHeight="true" outlineLevel="0" collapsed="false">
      <c r="A10" s="8" t="s">
        <v>11397</v>
      </c>
      <c r="D10" s="11" t="n">
        <v>90000</v>
      </c>
    </row>
    <row r="11" customFormat="false" ht="15" hidden="false" customHeight="true" outlineLevel="0" collapsed="false">
      <c r="A11" s="8" t="s">
        <v>11398</v>
      </c>
      <c r="B11" s="166" t="n">
        <f aca="false">SUM(B5:B10)</f>
        <v>17932347</v>
      </c>
      <c r="C11" s="166" t="n">
        <f aca="false">SUM(C5:C10)</f>
        <v>17247347</v>
      </c>
      <c r="D11" s="166" t="n">
        <f aca="false">SUM(D5:D10)</f>
        <v>16311240</v>
      </c>
    </row>
    <row r="12" customFormat="false" ht="15" hidden="false" customHeight="true" outlineLevel="0" collapsed="false">
      <c r="A12" s="8" t="s">
        <v>11399</v>
      </c>
      <c r="B12" s="13" t="n">
        <f aca="false">B4+B11</f>
        <v>95282347</v>
      </c>
      <c r="C12" s="13" t="n">
        <f aca="false">C4+C11</f>
        <v>94597347</v>
      </c>
      <c r="D12" s="13" t="n">
        <f aca="false">D4+D11</f>
        <v>93661240</v>
      </c>
    </row>
    <row r="13" customFormat="false" ht="15" hidden="false" customHeight="true" outlineLevel="0" collapsed="false"/>
    <row r="14" customFormat="false" ht="15" hidden="false" customHeight="true" outlineLevel="0" collapsed="false">
      <c r="A14" s="8" t="s">
        <v>11400</v>
      </c>
    </row>
    <row r="15" customFormat="false" ht="15" hidden="false" customHeight="true" outlineLevel="0" collapsed="false">
      <c r="A15" s="8" t="s">
        <v>11401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72"/>
    <col collapsed="false" customWidth="true" hidden="false" outlineLevel="0" max="4" min="4" style="1" width="14"/>
    <col collapsed="false" customWidth="true" hidden="false" outlineLevel="0" max="5" min="5" style="1" width="24"/>
  </cols>
  <sheetData>
    <row r="1" customFormat="false" ht="15" hidden="false" customHeight="true" outlineLevel="0" collapsed="false">
      <c r="A1" s="7" t="s">
        <v>11402</v>
      </c>
    </row>
    <row r="3" customFormat="false" ht="15" hidden="false" customHeight="true" outlineLevel="0" collapsed="false">
      <c r="A3" s="10" t="s">
        <v>11403</v>
      </c>
      <c r="B3" s="10" t="s">
        <v>11404</v>
      </c>
      <c r="C3" s="10" t="s">
        <v>779</v>
      </c>
      <c r="D3" s="10" t="s">
        <v>72</v>
      </c>
      <c r="E3" s="10" t="s">
        <v>11405</v>
      </c>
    </row>
    <row r="4" customFormat="false" ht="15" hidden="false" customHeight="true" outlineLevel="0" collapsed="false">
      <c r="A4" s="8" t="s">
        <v>1529</v>
      </c>
      <c r="B4" s="8" t="s">
        <v>783</v>
      </c>
      <c r="C4" s="8" t="s">
        <v>782</v>
      </c>
      <c r="D4" s="11" t="n">
        <v>7000000</v>
      </c>
      <c r="E4" s="8" t="s">
        <v>1542</v>
      </c>
    </row>
    <row r="5" customFormat="false" ht="15" hidden="false" customHeight="true" outlineLevel="0" collapsed="false">
      <c r="A5" s="8" t="s">
        <v>1529</v>
      </c>
      <c r="B5" s="8" t="s">
        <v>786</v>
      </c>
      <c r="C5" s="8" t="s">
        <v>785</v>
      </c>
      <c r="D5" s="11" t="n">
        <v>2500000</v>
      </c>
      <c r="E5" s="8" t="s">
        <v>1542</v>
      </c>
    </row>
    <row r="6" customFormat="false" ht="15" hidden="false" customHeight="true" outlineLevel="0" collapsed="false">
      <c r="A6" s="8" t="s">
        <v>1529</v>
      </c>
      <c r="B6" s="8" t="s">
        <v>789</v>
      </c>
      <c r="C6" s="8" t="s">
        <v>788</v>
      </c>
      <c r="D6" s="11" t="n">
        <v>2000000</v>
      </c>
      <c r="E6" s="8" t="s">
        <v>1542</v>
      </c>
    </row>
    <row r="7" customFormat="false" ht="15" hidden="false" customHeight="true" outlineLevel="0" collapsed="false">
      <c r="A7" s="8" t="s">
        <v>1529</v>
      </c>
      <c r="B7" s="8" t="s">
        <v>792</v>
      </c>
      <c r="C7" s="8" t="s">
        <v>791</v>
      </c>
      <c r="D7" s="11" t="n">
        <v>1250000</v>
      </c>
      <c r="E7" s="8" t="s">
        <v>1542</v>
      </c>
    </row>
    <row r="8" customFormat="false" ht="15" hidden="false" customHeight="true" outlineLevel="0" collapsed="false">
      <c r="A8" s="8" t="s">
        <v>1529</v>
      </c>
      <c r="B8" s="8" t="s">
        <v>794</v>
      </c>
      <c r="C8" s="8" t="s">
        <v>793</v>
      </c>
      <c r="D8" s="11" t="n">
        <v>870000</v>
      </c>
      <c r="E8" s="8" t="s">
        <v>1529</v>
      </c>
    </row>
    <row r="9" customFormat="false" ht="15" hidden="false" customHeight="true" outlineLevel="0" collapsed="false">
      <c r="A9" s="8" t="s">
        <v>1529</v>
      </c>
      <c r="B9" s="8" t="s">
        <v>796</v>
      </c>
      <c r="C9" s="8" t="s">
        <v>795</v>
      </c>
      <c r="D9" s="11" t="n">
        <v>500000</v>
      </c>
      <c r="E9" s="8" t="s">
        <v>1529</v>
      </c>
    </row>
    <row r="10" customFormat="false" ht="15" hidden="false" customHeight="true" outlineLevel="0" collapsed="false">
      <c r="A10" s="8" t="s">
        <v>1529</v>
      </c>
      <c r="B10" s="8" t="s">
        <v>799</v>
      </c>
      <c r="C10" s="8" t="s">
        <v>798</v>
      </c>
      <c r="D10" s="11" t="n">
        <v>500000</v>
      </c>
      <c r="E10" s="8" t="s">
        <v>1529</v>
      </c>
    </row>
    <row r="11" customFormat="false" ht="15" hidden="false" customHeight="true" outlineLevel="0" collapsed="false">
      <c r="A11" s="8" t="s">
        <v>1529</v>
      </c>
      <c r="B11" s="8" t="s">
        <v>802</v>
      </c>
      <c r="C11" s="8" t="s">
        <v>801</v>
      </c>
      <c r="D11" s="11" t="n">
        <v>500000</v>
      </c>
      <c r="E11" s="8" t="s">
        <v>1529</v>
      </c>
    </row>
    <row r="12" customFormat="false" ht="15" hidden="false" customHeight="true" outlineLevel="0" collapsed="false">
      <c r="A12" s="8" t="s">
        <v>1529</v>
      </c>
      <c r="B12" s="8" t="s">
        <v>805</v>
      </c>
      <c r="C12" s="8" t="s">
        <v>804</v>
      </c>
      <c r="D12" s="11" t="n">
        <v>400000</v>
      </c>
      <c r="E12" s="8" t="s">
        <v>1529</v>
      </c>
    </row>
    <row r="13" customFormat="false" ht="15" hidden="false" customHeight="true" outlineLevel="0" collapsed="false">
      <c r="A13" s="8" t="s">
        <v>1529</v>
      </c>
      <c r="B13" s="8" t="s">
        <v>808</v>
      </c>
      <c r="C13" s="8" t="s">
        <v>807</v>
      </c>
      <c r="D13" s="11" t="n">
        <v>340000</v>
      </c>
      <c r="E13" s="8" t="s">
        <v>1529</v>
      </c>
    </row>
    <row r="14" customFormat="false" ht="15" hidden="false" customHeight="true" outlineLevel="0" collapsed="false">
      <c r="A14" s="8" t="s">
        <v>1529</v>
      </c>
      <c r="B14" s="8" t="s">
        <v>810</v>
      </c>
      <c r="C14" s="8" t="s">
        <v>809</v>
      </c>
      <c r="D14" s="11" t="n">
        <v>250000</v>
      </c>
      <c r="E14" s="8" t="s">
        <v>1529</v>
      </c>
    </row>
    <row r="15" customFormat="false" ht="15" hidden="false" customHeight="true" outlineLevel="0" collapsed="false">
      <c r="A15" s="8" t="s">
        <v>1529</v>
      </c>
      <c r="B15" s="8" t="s">
        <v>813</v>
      </c>
      <c r="C15" s="8" t="s">
        <v>812</v>
      </c>
      <c r="D15" s="11" t="n">
        <v>250000</v>
      </c>
      <c r="E15" s="8" t="s">
        <v>1529</v>
      </c>
    </row>
    <row r="16" customFormat="false" ht="15" hidden="false" customHeight="true" outlineLevel="0" collapsed="false">
      <c r="A16" s="8" t="s">
        <v>1529</v>
      </c>
      <c r="B16" s="8" t="s">
        <v>816</v>
      </c>
      <c r="C16" s="8" t="s">
        <v>815</v>
      </c>
      <c r="D16" s="11" t="n">
        <v>250000</v>
      </c>
      <c r="E16" s="8" t="s">
        <v>1529</v>
      </c>
    </row>
    <row r="17" customFormat="false" ht="15" hidden="false" customHeight="true" outlineLevel="0" collapsed="false">
      <c r="A17" s="8" t="s">
        <v>1529</v>
      </c>
      <c r="B17" s="8" t="s">
        <v>819</v>
      </c>
      <c r="C17" s="8" t="s">
        <v>818</v>
      </c>
      <c r="D17" s="11" t="n">
        <v>250000</v>
      </c>
      <c r="E17" s="8" t="s">
        <v>1529</v>
      </c>
    </row>
    <row r="18" customFormat="false" ht="15" hidden="false" customHeight="true" outlineLevel="0" collapsed="false">
      <c r="A18" s="8" t="s">
        <v>1529</v>
      </c>
      <c r="B18" s="8" t="s">
        <v>822</v>
      </c>
      <c r="C18" s="8" t="s">
        <v>821</v>
      </c>
      <c r="D18" s="11" t="n">
        <v>200000</v>
      </c>
      <c r="E18" s="8" t="s">
        <v>1529</v>
      </c>
    </row>
    <row r="19" customFormat="false" ht="15" hidden="false" customHeight="true" outlineLevel="0" collapsed="false">
      <c r="A19" s="8" t="s">
        <v>1529</v>
      </c>
      <c r="B19" s="8" t="s">
        <v>824</v>
      </c>
      <c r="C19" s="8" t="s">
        <v>1530</v>
      </c>
      <c r="D19" s="11" t="n">
        <v>150000</v>
      </c>
      <c r="E19" s="8" t="s">
        <v>1529</v>
      </c>
    </row>
    <row r="20" customFormat="false" ht="15" hidden="false" customHeight="true" outlineLevel="0" collapsed="false">
      <c r="A20" s="8" t="s">
        <v>1529</v>
      </c>
      <c r="B20" s="8" t="s">
        <v>827</v>
      </c>
      <c r="C20" s="8" t="s">
        <v>1531</v>
      </c>
      <c r="D20" s="11" t="n">
        <v>150000</v>
      </c>
      <c r="E20" s="8" t="s">
        <v>1529</v>
      </c>
    </row>
    <row r="21" customFormat="false" ht="15" hidden="false" customHeight="true" outlineLevel="0" collapsed="false">
      <c r="A21" s="8" t="s">
        <v>1529</v>
      </c>
      <c r="B21" s="8" t="s">
        <v>830</v>
      </c>
      <c r="C21" s="8" t="s">
        <v>829</v>
      </c>
      <c r="D21" s="11" t="n">
        <v>120000</v>
      </c>
      <c r="E21" s="8" t="s">
        <v>1529</v>
      </c>
    </row>
    <row r="22" customFormat="false" ht="15" hidden="false" customHeight="true" outlineLevel="0" collapsed="false">
      <c r="A22" s="8" t="s">
        <v>1529</v>
      </c>
      <c r="B22" s="8" t="s">
        <v>832</v>
      </c>
      <c r="C22" s="8" t="s">
        <v>831</v>
      </c>
      <c r="D22" s="11" t="n">
        <v>75000</v>
      </c>
      <c r="E22" s="8" t="s">
        <v>1529</v>
      </c>
    </row>
    <row r="23" customFormat="false" ht="15" hidden="false" customHeight="true" outlineLevel="0" collapsed="false">
      <c r="A23" s="8" t="s">
        <v>1529</v>
      </c>
      <c r="B23" s="8" t="s">
        <v>835</v>
      </c>
      <c r="C23" s="8" t="s">
        <v>834</v>
      </c>
      <c r="D23" s="11" t="n">
        <v>75000</v>
      </c>
      <c r="E23" s="8" t="s">
        <v>1529</v>
      </c>
    </row>
    <row r="24" customFormat="false" ht="15" hidden="false" customHeight="true" outlineLevel="0" collapsed="false">
      <c r="A24" s="8" t="s">
        <v>1529</v>
      </c>
      <c r="B24" s="8" t="s">
        <v>838</v>
      </c>
      <c r="C24" s="8" t="s">
        <v>837</v>
      </c>
      <c r="D24" s="11" t="n">
        <v>70000</v>
      </c>
      <c r="E24" s="8" t="s">
        <v>1529</v>
      </c>
    </row>
    <row r="25" customFormat="false" ht="15" hidden="false" customHeight="true" outlineLevel="0" collapsed="false">
      <c r="A25" s="8" t="s">
        <v>1529</v>
      </c>
      <c r="B25" s="8" t="s">
        <v>841</v>
      </c>
      <c r="C25" s="8" t="s">
        <v>840</v>
      </c>
      <c r="D25" s="11" t="n">
        <v>50000</v>
      </c>
      <c r="E25" s="8" t="s">
        <v>1529</v>
      </c>
    </row>
    <row r="26" customFormat="false" ht="15" hidden="false" customHeight="true" outlineLevel="0" collapsed="false">
      <c r="C26" s="4" t="s">
        <v>11406</v>
      </c>
      <c r="D26" s="13" t="n">
        <f aca="false">SUM(D4:D25)</f>
        <v>17750000</v>
      </c>
    </row>
    <row r="28" customFormat="false" ht="15" hidden="false" customHeight="true" outlineLevel="0" collapsed="false">
      <c r="A28" s="8" t="s">
        <v>1433</v>
      </c>
      <c r="B28" s="8" t="s">
        <v>1623</v>
      </c>
      <c r="C28" s="8" t="s">
        <v>1624</v>
      </c>
      <c r="D28" s="11" t="n">
        <v>5300000</v>
      </c>
      <c r="E28" s="8" t="s">
        <v>1536</v>
      </c>
    </row>
    <row r="29" customFormat="false" ht="15" hidden="false" customHeight="true" outlineLevel="0" collapsed="false">
      <c r="A29" s="8" t="s">
        <v>1433</v>
      </c>
      <c r="B29" s="8" t="s">
        <v>1534</v>
      </c>
      <c r="C29" s="8" t="s">
        <v>1535</v>
      </c>
      <c r="D29" s="11" t="n">
        <v>2000000</v>
      </c>
      <c r="E29" s="8" t="s">
        <v>1536</v>
      </c>
    </row>
    <row r="30" customFormat="false" ht="15" hidden="false" customHeight="true" outlineLevel="0" collapsed="false">
      <c r="A30" s="8" t="s">
        <v>1433</v>
      </c>
      <c r="B30" s="8" t="s">
        <v>1537</v>
      </c>
      <c r="C30" s="8" t="s">
        <v>1538</v>
      </c>
      <c r="D30" s="11" t="n">
        <v>1800000</v>
      </c>
      <c r="E30" s="8" t="s">
        <v>1536</v>
      </c>
    </row>
    <row r="31" customFormat="false" ht="15" hidden="false" customHeight="true" outlineLevel="0" collapsed="false">
      <c r="A31" s="8" t="s">
        <v>1433</v>
      </c>
      <c r="B31" s="8" t="s">
        <v>1619</v>
      </c>
      <c r="C31" s="8" t="s">
        <v>1621</v>
      </c>
      <c r="D31" s="11" t="n">
        <v>1000000</v>
      </c>
      <c r="E31" s="8" t="s">
        <v>1536</v>
      </c>
    </row>
    <row r="32" customFormat="false" ht="15" hidden="false" customHeight="true" outlineLevel="0" collapsed="false">
      <c r="A32" s="8" t="s">
        <v>1433</v>
      </c>
      <c r="B32" s="8" t="s">
        <v>1603</v>
      </c>
      <c r="C32" s="8" t="s">
        <v>1604</v>
      </c>
      <c r="D32" s="11" t="n">
        <v>777000</v>
      </c>
      <c r="E32" s="8" t="s">
        <v>1433</v>
      </c>
    </row>
    <row r="33" customFormat="false" ht="15" hidden="false" customHeight="true" outlineLevel="0" collapsed="false">
      <c r="A33" s="8" t="s">
        <v>1433</v>
      </c>
      <c r="B33" s="8" t="s">
        <v>1454</v>
      </c>
      <c r="C33" s="8" t="s">
        <v>1455</v>
      </c>
      <c r="D33" s="11" t="n">
        <v>500000</v>
      </c>
      <c r="E33" s="8" t="s">
        <v>1433</v>
      </c>
    </row>
    <row r="34" customFormat="false" ht="15" hidden="false" customHeight="true" outlineLevel="0" collapsed="false">
      <c r="A34" s="8" t="s">
        <v>1433</v>
      </c>
      <c r="B34" s="8" t="s">
        <v>1638</v>
      </c>
      <c r="C34" s="8" t="s">
        <v>1640</v>
      </c>
      <c r="D34" s="11" t="n">
        <v>500000</v>
      </c>
      <c r="E34" s="8" t="s">
        <v>1433</v>
      </c>
    </row>
    <row r="35" customFormat="false" ht="15" hidden="false" customHeight="true" outlineLevel="0" collapsed="false">
      <c r="A35" s="8" t="s">
        <v>1433</v>
      </c>
      <c r="B35" s="8" t="s">
        <v>1641</v>
      </c>
      <c r="C35" s="8" t="s">
        <v>1642</v>
      </c>
      <c r="D35" s="11" t="n">
        <v>500000</v>
      </c>
      <c r="E35" s="8" t="s">
        <v>1536</v>
      </c>
    </row>
    <row r="36" customFormat="false" ht="15" hidden="false" customHeight="true" outlineLevel="0" collapsed="false">
      <c r="A36" s="8" t="s">
        <v>1433</v>
      </c>
      <c r="B36" s="8" t="s">
        <v>1562</v>
      </c>
      <c r="C36" s="8" t="s">
        <v>1564</v>
      </c>
      <c r="D36" s="11" t="n">
        <v>365000</v>
      </c>
      <c r="E36" s="8" t="s">
        <v>1433</v>
      </c>
    </row>
    <row r="37" customFormat="false" ht="15" hidden="false" customHeight="true" outlineLevel="0" collapsed="false">
      <c r="A37" s="8" t="s">
        <v>1433</v>
      </c>
      <c r="B37" s="8" t="s">
        <v>1592</v>
      </c>
      <c r="C37" s="8" t="s">
        <v>1593</v>
      </c>
      <c r="D37" s="11" t="n">
        <v>250000</v>
      </c>
      <c r="E37" s="8" t="s">
        <v>1433</v>
      </c>
    </row>
    <row r="38" customFormat="false" ht="15" hidden="false" customHeight="true" outlineLevel="0" collapsed="false">
      <c r="A38" s="8" t="s">
        <v>1433</v>
      </c>
      <c r="B38" s="8" t="s">
        <v>1555</v>
      </c>
      <c r="C38" s="8" t="s">
        <v>1557</v>
      </c>
      <c r="D38" s="11" t="n">
        <v>250000</v>
      </c>
      <c r="E38" s="8" t="s">
        <v>1433</v>
      </c>
    </row>
    <row r="39" customFormat="false" ht="15" hidden="false" customHeight="true" outlineLevel="0" collapsed="false">
      <c r="A39" s="8" t="s">
        <v>1433</v>
      </c>
      <c r="B39" s="8" t="s">
        <v>1442</v>
      </c>
      <c r="C39" s="8" t="s">
        <v>1443</v>
      </c>
      <c r="D39" s="11" t="n">
        <v>230000</v>
      </c>
      <c r="E39" s="8" t="s">
        <v>1433</v>
      </c>
    </row>
    <row r="40" customFormat="false" ht="15" hidden="false" customHeight="true" outlineLevel="0" collapsed="false">
      <c r="A40" s="8" t="s">
        <v>1433</v>
      </c>
      <c r="B40" s="8" t="s">
        <v>1470</v>
      </c>
      <c r="C40" s="8" t="s">
        <v>1471</v>
      </c>
      <c r="D40" s="11" t="n">
        <v>218000</v>
      </c>
      <c r="E40" s="8" t="s">
        <v>1433</v>
      </c>
    </row>
    <row r="41" customFormat="false" ht="15" hidden="false" customHeight="true" outlineLevel="0" collapsed="false">
      <c r="A41" s="8" t="s">
        <v>1433</v>
      </c>
      <c r="B41" s="8" t="s">
        <v>1599</v>
      </c>
      <c r="C41" s="8" t="s">
        <v>1600</v>
      </c>
      <c r="D41" s="11" t="n">
        <v>160000</v>
      </c>
      <c r="E41" s="8" t="s">
        <v>1433</v>
      </c>
    </row>
    <row r="42" customFormat="false" ht="15" hidden="false" customHeight="true" outlineLevel="0" collapsed="false">
      <c r="A42" s="8" t="s">
        <v>1433</v>
      </c>
      <c r="B42" s="8" t="s">
        <v>1472</v>
      </c>
      <c r="C42" s="8" t="s">
        <v>1473</v>
      </c>
      <c r="D42" s="11" t="n">
        <v>150000</v>
      </c>
      <c r="E42" s="8" t="s">
        <v>1433</v>
      </c>
    </row>
    <row r="43" customFormat="false" ht="15" hidden="false" customHeight="true" outlineLevel="0" collapsed="false">
      <c r="A43" s="8" t="s">
        <v>1433</v>
      </c>
      <c r="B43" s="8" t="s">
        <v>1596</v>
      </c>
      <c r="C43" s="8" t="s">
        <v>1598</v>
      </c>
      <c r="D43" s="11" t="n">
        <v>150000</v>
      </c>
      <c r="E43" s="8" t="s">
        <v>1433</v>
      </c>
    </row>
    <row r="44" customFormat="false" ht="15" hidden="false" customHeight="true" outlineLevel="0" collapsed="false">
      <c r="A44" s="8" t="s">
        <v>1433</v>
      </c>
      <c r="B44" s="8" t="s">
        <v>1605</v>
      </c>
      <c r="C44" s="8" t="s">
        <v>1606</v>
      </c>
      <c r="D44" s="11" t="n">
        <v>125000</v>
      </c>
      <c r="E44" s="8" t="s">
        <v>1433</v>
      </c>
    </row>
    <row r="45" customFormat="false" ht="15" hidden="false" customHeight="true" outlineLevel="0" collapsed="false">
      <c r="A45" s="8" t="s">
        <v>1433</v>
      </c>
      <c r="B45" s="8" t="s">
        <v>1436</v>
      </c>
      <c r="C45" s="8" t="s">
        <v>1437</v>
      </c>
      <c r="D45" s="11" t="n">
        <v>100000</v>
      </c>
      <c r="E45" s="8" t="s">
        <v>1433</v>
      </c>
    </row>
    <row r="46" customFormat="false" ht="15" hidden="false" customHeight="true" outlineLevel="0" collapsed="false">
      <c r="A46" s="8" t="s">
        <v>1433</v>
      </c>
      <c r="B46" s="8" t="s">
        <v>1450</v>
      </c>
      <c r="C46" s="8" t="s">
        <v>1451</v>
      </c>
      <c r="D46" s="11" t="n">
        <v>100000</v>
      </c>
      <c r="E46" s="8" t="s">
        <v>1433</v>
      </c>
    </row>
    <row r="47" customFormat="false" ht="15" hidden="false" customHeight="true" outlineLevel="0" collapsed="false">
      <c r="A47" s="8" t="s">
        <v>1433</v>
      </c>
      <c r="B47" s="8" t="s">
        <v>1429</v>
      </c>
      <c r="C47" s="8" t="s">
        <v>1432</v>
      </c>
      <c r="D47" s="11" t="n">
        <v>75000</v>
      </c>
      <c r="E47" s="8" t="s">
        <v>1433</v>
      </c>
    </row>
    <row r="48" customFormat="false" ht="15" hidden="false" customHeight="true" outlineLevel="0" collapsed="false">
      <c r="A48" s="8" t="s">
        <v>1433</v>
      </c>
      <c r="B48" s="8" t="s">
        <v>1434</v>
      </c>
      <c r="C48" s="8" t="s">
        <v>1435</v>
      </c>
      <c r="D48" s="11" t="n">
        <v>75000</v>
      </c>
      <c r="E48" s="8" t="s">
        <v>1433</v>
      </c>
    </row>
    <row r="49" customFormat="false" ht="15" hidden="false" customHeight="true" outlineLevel="0" collapsed="false">
      <c r="A49" s="8" t="s">
        <v>1433</v>
      </c>
      <c r="B49" s="8" t="s">
        <v>1438</v>
      </c>
      <c r="C49" s="8" t="s">
        <v>1439</v>
      </c>
      <c r="D49" s="11" t="n">
        <v>75000</v>
      </c>
      <c r="E49" s="8" t="s">
        <v>1433</v>
      </c>
    </row>
    <row r="50" customFormat="false" ht="15" hidden="false" customHeight="true" outlineLevel="0" collapsed="false">
      <c r="A50" s="8" t="s">
        <v>1433</v>
      </c>
      <c r="B50" s="8" t="s">
        <v>1440</v>
      </c>
      <c r="C50" s="8" t="s">
        <v>1441</v>
      </c>
      <c r="D50" s="11" t="n">
        <v>75000</v>
      </c>
      <c r="E50" s="8" t="s">
        <v>1433</v>
      </c>
    </row>
    <row r="51" customFormat="false" ht="15" hidden="false" customHeight="true" outlineLevel="0" collapsed="false">
      <c r="A51" s="8" t="s">
        <v>1433</v>
      </c>
      <c r="B51" s="8" t="s">
        <v>1444</v>
      </c>
      <c r="C51" s="8" t="s">
        <v>1445</v>
      </c>
      <c r="D51" s="11" t="n">
        <v>75000</v>
      </c>
      <c r="E51" s="8" t="s">
        <v>1433</v>
      </c>
    </row>
    <row r="52" customFormat="false" ht="15" hidden="false" customHeight="true" outlineLevel="0" collapsed="false">
      <c r="A52" s="8" t="s">
        <v>1433</v>
      </c>
      <c r="B52" s="8" t="s">
        <v>1446</v>
      </c>
      <c r="C52" s="8" t="s">
        <v>1447</v>
      </c>
      <c r="D52" s="11" t="n">
        <v>75000</v>
      </c>
      <c r="E52" s="8" t="s">
        <v>1433</v>
      </c>
    </row>
    <row r="53" customFormat="false" ht="15" hidden="false" customHeight="true" outlineLevel="0" collapsed="false">
      <c r="A53" s="8" t="s">
        <v>1433</v>
      </c>
      <c r="B53" s="8" t="s">
        <v>1448</v>
      </c>
      <c r="C53" s="8" t="s">
        <v>1449</v>
      </c>
      <c r="D53" s="11" t="n">
        <v>75000</v>
      </c>
      <c r="E53" s="8" t="s">
        <v>1433</v>
      </c>
    </row>
    <row r="54" customFormat="false" ht="15" hidden="false" customHeight="true" outlineLevel="0" collapsed="false">
      <c r="A54" s="8" t="s">
        <v>1433</v>
      </c>
      <c r="B54" s="8" t="s">
        <v>1452</v>
      </c>
      <c r="C54" s="8" t="s">
        <v>1453</v>
      </c>
      <c r="D54" s="11" t="n">
        <v>75000</v>
      </c>
      <c r="E54" s="8" t="s">
        <v>1433</v>
      </c>
    </row>
    <row r="55" customFormat="false" ht="15" hidden="false" customHeight="true" outlineLevel="0" collapsed="false">
      <c r="A55" s="8" t="s">
        <v>1433</v>
      </c>
      <c r="B55" s="8" t="s">
        <v>1456</v>
      </c>
      <c r="C55" s="8" t="s">
        <v>1457</v>
      </c>
      <c r="D55" s="11" t="n">
        <v>75000</v>
      </c>
      <c r="E55" s="8" t="s">
        <v>1433</v>
      </c>
    </row>
    <row r="56" customFormat="false" ht="15" hidden="false" customHeight="true" outlineLevel="0" collapsed="false">
      <c r="A56" s="8" t="s">
        <v>1433</v>
      </c>
      <c r="B56" s="8" t="s">
        <v>1458</v>
      </c>
      <c r="C56" s="8" t="s">
        <v>1459</v>
      </c>
      <c r="D56" s="11" t="n">
        <v>75000</v>
      </c>
      <c r="E56" s="8" t="s">
        <v>1433</v>
      </c>
    </row>
    <row r="57" customFormat="false" ht="15" hidden="false" customHeight="true" outlineLevel="0" collapsed="false">
      <c r="A57" s="8" t="s">
        <v>1433</v>
      </c>
      <c r="B57" s="8" t="s">
        <v>1460</v>
      </c>
      <c r="C57" s="8" t="s">
        <v>1461</v>
      </c>
      <c r="D57" s="11" t="n">
        <v>75000</v>
      </c>
      <c r="E57" s="8" t="s">
        <v>1433</v>
      </c>
    </row>
    <row r="58" customFormat="false" ht="15" hidden="false" customHeight="true" outlineLevel="0" collapsed="false">
      <c r="A58" s="8" t="s">
        <v>1433</v>
      </c>
      <c r="B58" s="8" t="s">
        <v>1462</v>
      </c>
      <c r="C58" s="8" t="s">
        <v>1463</v>
      </c>
      <c r="D58" s="11" t="n">
        <v>75000</v>
      </c>
      <c r="E58" s="8" t="s">
        <v>1433</v>
      </c>
    </row>
    <row r="59" customFormat="false" ht="15" hidden="false" customHeight="true" outlineLevel="0" collapsed="false">
      <c r="A59" s="8" t="s">
        <v>1433</v>
      </c>
      <c r="B59" s="8" t="s">
        <v>1464</v>
      </c>
      <c r="C59" s="8" t="s">
        <v>1465</v>
      </c>
      <c r="D59" s="11" t="n">
        <v>75000</v>
      </c>
      <c r="E59" s="8" t="s">
        <v>1433</v>
      </c>
    </row>
    <row r="60" customFormat="false" ht="15" hidden="false" customHeight="true" outlineLevel="0" collapsed="false">
      <c r="A60" s="8" t="s">
        <v>1433</v>
      </c>
      <c r="B60" s="8" t="s">
        <v>1466</v>
      </c>
      <c r="C60" s="8" t="s">
        <v>1467</v>
      </c>
      <c r="D60" s="11" t="n">
        <v>75000</v>
      </c>
      <c r="E60" s="8" t="s">
        <v>1433</v>
      </c>
    </row>
    <row r="61" customFormat="false" ht="15" hidden="false" customHeight="true" outlineLevel="0" collapsed="false">
      <c r="A61" s="8" t="s">
        <v>1433</v>
      </c>
      <c r="B61" s="8" t="s">
        <v>1468</v>
      </c>
      <c r="C61" s="8" t="s">
        <v>1469</v>
      </c>
      <c r="D61" s="11" t="n">
        <v>75000</v>
      </c>
      <c r="E61" s="8" t="s">
        <v>1433</v>
      </c>
    </row>
    <row r="62" customFormat="false" ht="15" hidden="false" customHeight="true" outlineLevel="0" collapsed="false">
      <c r="C62" s="4" t="s">
        <v>11407</v>
      </c>
      <c r="D62" s="13" t="n">
        <f aca="false">SUM(D28:D61)</f>
        <v>15600000</v>
      </c>
    </row>
    <row r="64" customFormat="false" ht="15" hidden="false" customHeight="true" outlineLevel="0" collapsed="false">
      <c r="A64" s="8" t="s">
        <v>1476</v>
      </c>
      <c r="B64" s="8" t="s">
        <v>1609</v>
      </c>
      <c r="C64" s="8" t="s">
        <v>1611</v>
      </c>
      <c r="D64" s="11" t="n">
        <v>3536000</v>
      </c>
      <c r="E64" s="8" t="s">
        <v>1561</v>
      </c>
    </row>
    <row r="65" customFormat="false" ht="15" hidden="false" customHeight="true" outlineLevel="0" collapsed="false">
      <c r="A65" s="8" t="s">
        <v>1476</v>
      </c>
      <c r="B65" s="8" t="s">
        <v>1558</v>
      </c>
      <c r="C65" s="8" t="s">
        <v>1560</v>
      </c>
      <c r="D65" s="11" t="n">
        <v>2000000</v>
      </c>
      <c r="E65" s="8" t="s">
        <v>1561</v>
      </c>
    </row>
    <row r="66" customFormat="false" ht="15" hidden="false" customHeight="true" outlineLevel="0" collapsed="false">
      <c r="A66" s="8" t="s">
        <v>1476</v>
      </c>
      <c r="B66" s="8" t="s">
        <v>1497</v>
      </c>
      <c r="C66" s="8" t="s">
        <v>1498</v>
      </c>
      <c r="D66" s="11" t="n">
        <v>500000</v>
      </c>
      <c r="E66" s="8" t="s">
        <v>1476</v>
      </c>
    </row>
    <row r="67" customFormat="false" ht="15" hidden="false" customHeight="true" outlineLevel="0" collapsed="false">
      <c r="A67" s="8" t="s">
        <v>1476</v>
      </c>
      <c r="B67" s="8" t="s">
        <v>1503</v>
      </c>
      <c r="C67" s="8" t="s">
        <v>1504</v>
      </c>
      <c r="D67" s="11" t="n">
        <v>425000</v>
      </c>
      <c r="E67" s="8" t="s">
        <v>1476</v>
      </c>
    </row>
    <row r="68" customFormat="false" ht="15" hidden="false" customHeight="true" outlineLevel="0" collapsed="false">
      <c r="A68" s="8" t="s">
        <v>1476</v>
      </c>
      <c r="B68" s="8" t="s">
        <v>1487</v>
      </c>
      <c r="C68" s="8" t="s">
        <v>1488</v>
      </c>
      <c r="D68" s="11" t="n">
        <v>360000</v>
      </c>
      <c r="E68" s="8" t="s">
        <v>1476</v>
      </c>
    </row>
    <row r="69" customFormat="false" ht="15" hidden="false" customHeight="true" outlineLevel="0" collapsed="false">
      <c r="A69" s="8" t="s">
        <v>1476</v>
      </c>
      <c r="B69" s="8" t="s">
        <v>1495</v>
      </c>
      <c r="C69" s="8" t="s">
        <v>1496</v>
      </c>
      <c r="D69" s="11" t="n">
        <v>300000</v>
      </c>
      <c r="E69" s="8" t="s">
        <v>1476</v>
      </c>
    </row>
    <row r="70" customFormat="false" ht="15" hidden="false" customHeight="true" outlineLevel="0" collapsed="false">
      <c r="A70" s="8" t="s">
        <v>1476</v>
      </c>
      <c r="B70" s="8" t="s">
        <v>1509</v>
      </c>
      <c r="C70" s="8" t="s">
        <v>1510</v>
      </c>
      <c r="D70" s="11" t="n">
        <v>270000</v>
      </c>
      <c r="E70" s="8" t="s">
        <v>1476</v>
      </c>
    </row>
    <row r="71" customFormat="false" ht="15" hidden="false" customHeight="true" outlineLevel="0" collapsed="false">
      <c r="A71" s="8" t="s">
        <v>1476</v>
      </c>
      <c r="B71" s="8" t="s">
        <v>1481</v>
      </c>
      <c r="C71" s="8" t="s">
        <v>1482</v>
      </c>
      <c r="D71" s="11" t="n">
        <v>250000</v>
      </c>
      <c r="E71" s="8" t="s">
        <v>1476</v>
      </c>
    </row>
    <row r="72" customFormat="false" ht="15" hidden="false" customHeight="true" outlineLevel="0" collapsed="false">
      <c r="A72" s="8" t="s">
        <v>1476</v>
      </c>
      <c r="B72" s="8" t="s">
        <v>1483</v>
      </c>
      <c r="C72" s="8" t="s">
        <v>1484</v>
      </c>
      <c r="D72" s="11" t="n">
        <v>250000</v>
      </c>
      <c r="E72" s="8" t="s">
        <v>1476</v>
      </c>
    </row>
    <row r="73" customFormat="false" ht="15" hidden="false" customHeight="true" outlineLevel="0" collapsed="false">
      <c r="A73" s="8" t="s">
        <v>1476</v>
      </c>
      <c r="B73" s="8" t="s">
        <v>1517</v>
      </c>
      <c r="C73" s="8" t="s">
        <v>1518</v>
      </c>
      <c r="D73" s="11" t="n">
        <v>250000</v>
      </c>
      <c r="E73" s="8" t="s">
        <v>1476</v>
      </c>
    </row>
    <row r="74" customFormat="false" ht="15" hidden="false" customHeight="true" outlineLevel="0" collapsed="false">
      <c r="A74" s="8" t="s">
        <v>1476</v>
      </c>
      <c r="B74" s="8" t="s">
        <v>1589</v>
      </c>
      <c r="C74" s="8" t="s">
        <v>1591</v>
      </c>
      <c r="D74" s="11" t="n">
        <v>242000</v>
      </c>
      <c r="E74" s="8" t="s">
        <v>1476</v>
      </c>
    </row>
    <row r="75" customFormat="false" ht="15" hidden="false" customHeight="true" outlineLevel="0" collapsed="false">
      <c r="A75" s="8" t="s">
        <v>1476</v>
      </c>
      <c r="B75" s="8" t="s">
        <v>1501</v>
      </c>
      <c r="C75" s="8" t="s">
        <v>1502</v>
      </c>
      <c r="D75" s="11" t="n">
        <v>218000</v>
      </c>
      <c r="E75" s="8" t="s">
        <v>1476</v>
      </c>
    </row>
    <row r="76" customFormat="false" ht="15" hidden="false" customHeight="true" outlineLevel="0" collapsed="false">
      <c r="A76" s="8" t="s">
        <v>1476</v>
      </c>
      <c r="B76" s="8" t="s">
        <v>1477</v>
      </c>
      <c r="C76" s="8" t="s">
        <v>1478</v>
      </c>
      <c r="D76" s="11" t="n">
        <v>200000</v>
      </c>
      <c r="E76" s="8" t="s">
        <v>1476</v>
      </c>
    </row>
    <row r="77" customFormat="false" ht="15" hidden="false" customHeight="true" outlineLevel="0" collapsed="false">
      <c r="A77" s="8" t="s">
        <v>1476</v>
      </c>
      <c r="B77" s="8" t="s">
        <v>1489</v>
      </c>
      <c r="C77" s="8" t="s">
        <v>1490</v>
      </c>
      <c r="D77" s="11" t="n">
        <v>200000</v>
      </c>
      <c r="E77" s="8" t="s">
        <v>1476</v>
      </c>
    </row>
    <row r="78" customFormat="false" ht="15" hidden="false" customHeight="true" outlineLevel="0" collapsed="false">
      <c r="A78" s="8" t="s">
        <v>1476</v>
      </c>
      <c r="B78" s="8" t="s">
        <v>1499</v>
      </c>
      <c r="C78" s="8" t="s">
        <v>1500</v>
      </c>
      <c r="D78" s="11" t="n">
        <v>200000</v>
      </c>
      <c r="E78" s="8" t="s">
        <v>1476</v>
      </c>
    </row>
    <row r="79" customFormat="false" ht="15" hidden="false" customHeight="true" outlineLevel="0" collapsed="false">
      <c r="A79" s="8" t="s">
        <v>1476</v>
      </c>
      <c r="B79" s="8" t="s">
        <v>1511</v>
      </c>
      <c r="C79" s="8" t="s">
        <v>1512</v>
      </c>
      <c r="D79" s="11" t="n">
        <v>200000</v>
      </c>
      <c r="E79" s="8" t="s">
        <v>1476</v>
      </c>
    </row>
    <row r="80" customFormat="false" ht="15" hidden="false" customHeight="true" outlineLevel="0" collapsed="false">
      <c r="A80" s="8" t="s">
        <v>1476</v>
      </c>
      <c r="B80" s="8" t="s">
        <v>1479</v>
      </c>
      <c r="C80" s="8" t="s">
        <v>1480</v>
      </c>
      <c r="D80" s="11" t="n">
        <v>150000</v>
      </c>
      <c r="E80" s="8" t="s">
        <v>1476</v>
      </c>
    </row>
    <row r="81" customFormat="false" ht="15" hidden="false" customHeight="true" outlineLevel="0" collapsed="false">
      <c r="A81" s="8" t="s">
        <v>1476</v>
      </c>
      <c r="B81" s="8" t="s">
        <v>1485</v>
      </c>
      <c r="C81" s="8" t="s">
        <v>1486</v>
      </c>
      <c r="D81" s="11" t="n">
        <v>100000</v>
      </c>
      <c r="E81" s="8" t="s">
        <v>1476</v>
      </c>
    </row>
    <row r="82" customFormat="false" ht="15" hidden="false" customHeight="true" outlineLevel="0" collapsed="false">
      <c r="A82" s="8" t="s">
        <v>1476</v>
      </c>
      <c r="B82" s="8" t="s">
        <v>1491</v>
      </c>
      <c r="C82" s="8" t="s">
        <v>1492</v>
      </c>
      <c r="D82" s="11" t="n">
        <v>80000</v>
      </c>
      <c r="E82" s="8" t="s">
        <v>1476</v>
      </c>
    </row>
    <row r="83" customFormat="false" ht="15" hidden="false" customHeight="true" outlineLevel="0" collapsed="false">
      <c r="A83" s="8" t="s">
        <v>1476</v>
      </c>
      <c r="B83" s="8" t="s">
        <v>1474</v>
      </c>
      <c r="C83" s="8" t="s">
        <v>1475</v>
      </c>
      <c r="D83" s="11" t="n">
        <v>75000</v>
      </c>
      <c r="E83" s="8" t="s">
        <v>1476</v>
      </c>
    </row>
    <row r="84" customFormat="false" ht="15" hidden="false" customHeight="true" outlineLevel="0" collapsed="false">
      <c r="A84" s="8" t="s">
        <v>1476</v>
      </c>
      <c r="B84" s="8" t="s">
        <v>1493</v>
      </c>
      <c r="C84" s="8" t="s">
        <v>1494</v>
      </c>
      <c r="D84" s="11" t="n">
        <v>75000</v>
      </c>
      <c r="E84" s="8" t="s">
        <v>1476</v>
      </c>
    </row>
    <row r="85" customFormat="false" ht="15" hidden="false" customHeight="true" outlineLevel="0" collapsed="false">
      <c r="A85" s="8" t="s">
        <v>1476</v>
      </c>
      <c r="B85" s="8" t="s">
        <v>1505</v>
      </c>
      <c r="C85" s="8" t="s">
        <v>1506</v>
      </c>
      <c r="D85" s="11" t="n">
        <v>75000</v>
      </c>
      <c r="E85" s="8" t="s">
        <v>1476</v>
      </c>
    </row>
    <row r="86" customFormat="false" ht="15" hidden="false" customHeight="true" outlineLevel="0" collapsed="false">
      <c r="A86" s="8" t="s">
        <v>1476</v>
      </c>
      <c r="B86" s="8" t="s">
        <v>1507</v>
      </c>
      <c r="C86" s="8" t="s">
        <v>1508</v>
      </c>
      <c r="D86" s="11" t="n">
        <v>75000</v>
      </c>
      <c r="E86" s="8" t="s">
        <v>1476</v>
      </c>
    </row>
    <row r="87" customFormat="false" ht="15" hidden="false" customHeight="true" outlineLevel="0" collapsed="false">
      <c r="A87" s="8" t="s">
        <v>1476</v>
      </c>
      <c r="B87" s="8" t="s">
        <v>1513</v>
      </c>
      <c r="C87" s="8" t="s">
        <v>1514</v>
      </c>
      <c r="D87" s="11" t="n">
        <v>75000</v>
      </c>
      <c r="E87" s="8" t="s">
        <v>1476</v>
      </c>
    </row>
    <row r="88" customFormat="false" ht="15" hidden="false" customHeight="true" outlineLevel="0" collapsed="false">
      <c r="A88" s="8" t="s">
        <v>1476</v>
      </c>
      <c r="B88" s="8" t="s">
        <v>1515</v>
      </c>
      <c r="C88" s="8" t="s">
        <v>1516</v>
      </c>
      <c r="D88" s="11" t="n">
        <v>75000</v>
      </c>
      <c r="E88" s="8" t="s">
        <v>1476</v>
      </c>
    </row>
    <row r="89" customFormat="false" ht="15" hidden="false" customHeight="true" outlineLevel="0" collapsed="false">
      <c r="A89" s="8" t="s">
        <v>1476</v>
      </c>
      <c r="B89" s="8" t="s">
        <v>1519</v>
      </c>
      <c r="C89" s="8" t="s">
        <v>1520</v>
      </c>
      <c r="D89" s="11" t="n">
        <v>75000</v>
      </c>
      <c r="E89" s="8" t="s">
        <v>1476</v>
      </c>
    </row>
    <row r="90" customFormat="false" ht="15" hidden="false" customHeight="true" outlineLevel="0" collapsed="false">
      <c r="A90" s="8" t="s">
        <v>1476</v>
      </c>
      <c r="B90" s="8" t="s">
        <v>1521</v>
      </c>
      <c r="C90" s="8" t="s">
        <v>1522</v>
      </c>
      <c r="D90" s="11" t="n">
        <v>75000</v>
      </c>
      <c r="E90" s="8" t="s">
        <v>1476</v>
      </c>
    </row>
    <row r="91" customFormat="false" ht="15" hidden="false" customHeight="true" outlineLevel="0" collapsed="false">
      <c r="A91" s="8" t="s">
        <v>1476</v>
      </c>
      <c r="B91" s="8" t="s">
        <v>1523</v>
      </c>
      <c r="C91" s="8" t="s">
        <v>1524</v>
      </c>
      <c r="D91" s="11" t="n">
        <v>75000</v>
      </c>
      <c r="E91" s="8" t="s">
        <v>1476</v>
      </c>
    </row>
    <row r="92" customFormat="false" ht="15" hidden="false" customHeight="true" outlineLevel="0" collapsed="false">
      <c r="A92" s="8" t="s">
        <v>1476</v>
      </c>
      <c r="B92" s="8" t="s">
        <v>1525</v>
      </c>
      <c r="C92" s="8" t="s">
        <v>1526</v>
      </c>
      <c r="D92" s="11" t="n">
        <v>75000</v>
      </c>
      <c r="E92" s="8" t="s">
        <v>1476</v>
      </c>
    </row>
    <row r="93" customFormat="false" ht="15" hidden="false" customHeight="true" outlineLevel="0" collapsed="false">
      <c r="A93" s="8" t="s">
        <v>1476</v>
      </c>
      <c r="B93" s="8" t="s">
        <v>1547</v>
      </c>
      <c r="C93" s="8" t="s">
        <v>1549</v>
      </c>
      <c r="D93" s="11" t="n">
        <v>55000</v>
      </c>
      <c r="E93" s="8" t="s">
        <v>1476</v>
      </c>
    </row>
    <row r="94" customFormat="false" ht="15" hidden="false" customHeight="true" outlineLevel="0" collapsed="false">
      <c r="C94" s="4" t="s">
        <v>11408</v>
      </c>
      <c r="D94" s="13" t="n">
        <f aca="false">SUM(D64:D93)</f>
        <v>10536000</v>
      </c>
    </row>
    <row r="96" customFormat="false" ht="15" hidden="false" customHeight="true" outlineLevel="0" collapsed="false">
      <c r="A96" s="8" t="s">
        <v>11409</v>
      </c>
      <c r="B96" s="8" t="s">
        <v>1633</v>
      </c>
      <c r="C96" s="8" t="s">
        <v>11410</v>
      </c>
      <c r="D96" s="11" t="n">
        <v>4000000</v>
      </c>
      <c r="E96" s="8" t="s">
        <v>11411</v>
      </c>
    </row>
    <row r="97" customFormat="false" ht="15" hidden="false" customHeight="true" outlineLevel="0" collapsed="false">
      <c r="A97" s="8" t="s">
        <v>11409</v>
      </c>
      <c r="B97" s="8" t="s">
        <v>1629</v>
      </c>
      <c r="C97" s="8" t="s">
        <v>1630</v>
      </c>
      <c r="D97" s="11" t="n">
        <v>3000000</v>
      </c>
      <c r="E97" s="8" t="s">
        <v>11411</v>
      </c>
    </row>
    <row r="98" customFormat="false" ht="15" hidden="false" customHeight="true" outlineLevel="0" collapsed="false">
      <c r="A98" s="8" t="s">
        <v>11409</v>
      </c>
      <c r="B98" s="8" t="s">
        <v>1550</v>
      </c>
      <c r="C98" s="8" t="s">
        <v>1551</v>
      </c>
      <c r="D98" s="11" t="n">
        <v>418000</v>
      </c>
      <c r="E98" s="8" t="s">
        <v>11411</v>
      </c>
    </row>
    <row r="99" customFormat="false" ht="15" hidden="false" customHeight="true" outlineLevel="0" collapsed="false">
      <c r="C99" s="4" t="s">
        <v>11412</v>
      </c>
      <c r="D99" s="13" t="n">
        <f aca="false">SUM(D96:D98)</f>
        <v>7418000</v>
      </c>
    </row>
    <row r="101" customFormat="false" ht="15" hidden="false" customHeight="true" outlineLevel="0" collapsed="false">
      <c r="A101" s="8" t="s">
        <v>11413</v>
      </c>
      <c r="B101" s="8" t="s">
        <v>1622</v>
      </c>
      <c r="C101" s="8" t="s">
        <v>1604</v>
      </c>
      <c r="D101" s="11" t="n">
        <v>8096000</v>
      </c>
      <c r="E101" s="8" t="s">
        <v>1578</v>
      </c>
    </row>
    <row r="102" customFormat="false" ht="15" hidden="false" customHeight="true" outlineLevel="0" collapsed="false">
      <c r="A102" s="8" t="s">
        <v>11413</v>
      </c>
      <c r="B102" s="8" t="s">
        <v>1614</v>
      </c>
      <c r="C102" s="8" t="s">
        <v>1615</v>
      </c>
      <c r="D102" s="11" t="n">
        <v>7600000</v>
      </c>
      <c r="E102" s="8" t="s">
        <v>1578</v>
      </c>
    </row>
    <row r="103" customFormat="false" ht="15" hidden="false" customHeight="true" outlineLevel="0" collapsed="false">
      <c r="A103" s="8" t="s">
        <v>11413</v>
      </c>
      <c r="B103" s="8" t="s">
        <v>1576</v>
      </c>
      <c r="C103" s="8" t="s">
        <v>1577</v>
      </c>
      <c r="D103" s="11" t="n">
        <v>4000000</v>
      </c>
      <c r="E103" s="8" t="s">
        <v>1578</v>
      </c>
    </row>
    <row r="104" customFormat="false" ht="15" hidden="false" customHeight="true" outlineLevel="0" collapsed="false">
      <c r="A104" s="8" t="s">
        <v>11413</v>
      </c>
      <c r="B104" s="8" t="s">
        <v>1581</v>
      </c>
      <c r="C104" s="8" t="s">
        <v>1583</v>
      </c>
      <c r="D104" s="11" t="n">
        <v>500000</v>
      </c>
      <c r="E104" s="8" t="s">
        <v>1578</v>
      </c>
    </row>
    <row r="105" customFormat="false" ht="15" hidden="false" customHeight="true" outlineLevel="0" collapsed="false">
      <c r="A105" s="8" t="s">
        <v>11413</v>
      </c>
      <c r="B105" s="8" t="s">
        <v>1652</v>
      </c>
      <c r="C105" s="8" t="s">
        <v>11414</v>
      </c>
      <c r="D105" s="11" t="n">
        <v>5850000</v>
      </c>
      <c r="E105" s="8" t="s">
        <v>1578</v>
      </c>
    </row>
    <row r="106" customFormat="false" ht="15" hidden="false" customHeight="true" outlineLevel="0" collapsed="false">
      <c r="C106" s="4" t="s">
        <v>11415</v>
      </c>
      <c r="D106" s="13" t="n">
        <f aca="false">SUM(D101:D105)</f>
        <v>26046000</v>
      </c>
    </row>
    <row r="108" customFormat="false" ht="15" hidden="false" customHeight="true" outlineLevel="0" collapsed="false">
      <c r="C108" s="12" t="s">
        <v>11416</v>
      </c>
      <c r="D108" s="13" t="n">
        <f aca="false">D26+D62+D94+D99+D106</f>
        <v>77350000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14"/>
  </cols>
  <sheetData>
    <row r="1" customFormat="false" ht="15" hidden="false" customHeight="true" outlineLevel="0" collapsed="false">
      <c r="A1" s="7" t="s">
        <v>11417</v>
      </c>
    </row>
    <row r="3" customFormat="false" ht="15" hidden="false" customHeight="true" outlineLevel="0" collapsed="false">
      <c r="A3" s="10" t="s">
        <v>2970</v>
      </c>
      <c r="B3" s="10" t="s">
        <v>11418</v>
      </c>
      <c r="C3" s="10" t="s">
        <v>72</v>
      </c>
    </row>
    <row r="4" customFormat="false" ht="15" hidden="false" customHeight="true" outlineLevel="0" collapsed="false">
      <c r="A4" s="8" t="s">
        <v>1529</v>
      </c>
      <c r="B4" s="8" t="s">
        <v>2625</v>
      </c>
      <c r="C4" s="11" t="n">
        <v>100000</v>
      </c>
    </row>
    <row r="5" customFormat="false" ht="15" hidden="false" customHeight="true" outlineLevel="0" collapsed="false">
      <c r="A5" s="8" t="s">
        <v>1529</v>
      </c>
      <c r="B5" s="8" t="s">
        <v>2637</v>
      </c>
      <c r="C5" s="11" t="n">
        <v>110000</v>
      </c>
    </row>
    <row r="6" customFormat="false" ht="15" hidden="false" customHeight="true" outlineLevel="0" collapsed="false">
      <c r="A6" s="8" t="s">
        <v>1529</v>
      </c>
      <c r="B6" s="8" t="s">
        <v>2646</v>
      </c>
      <c r="C6" s="11" t="n">
        <v>50000</v>
      </c>
    </row>
    <row r="7" customFormat="false" ht="15" hidden="false" customHeight="true" outlineLevel="0" collapsed="false">
      <c r="A7" s="8" t="s">
        <v>1529</v>
      </c>
      <c r="B7" s="8" t="s">
        <v>2650</v>
      </c>
      <c r="C7" s="11" t="n">
        <v>100000</v>
      </c>
    </row>
    <row r="8" customFormat="false" ht="15" hidden="false" customHeight="true" outlineLevel="0" collapsed="false">
      <c r="A8" s="8" t="s">
        <v>1529</v>
      </c>
      <c r="B8" s="8" t="s">
        <v>2652</v>
      </c>
      <c r="C8" s="11" t="n">
        <v>340000</v>
      </c>
    </row>
    <row r="9" customFormat="false" ht="15" hidden="false" customHeight="true" outlineLevel="0" collapsed="false">
      <c r="A9" s="8" t="s">
        <v>1529</v>
      </c>
      <c r="B9" s="8" t="s">
        <v>2675</v>
      </c>
      <c r="C9" s="11" t="n">
        <v>145000</v>
      </c>
    </row>
    <row r="10" customFormat="false" ht="15" hidden="false" customHeight="true" outlineLevel="0" collapsed="false">
      <c r="A10" s="8" t="s">
        <v>1529</v>
      </c>
      <c r="B10" s="8" t="s">
        <v>2682</v>
      </c>
      <c r="C10" s="11" t="n">
        <v>90000</v>
      </c>
    </row>
    <row r="11" customFormat="false" ht="15" hidden="false" customHeight="true" outlineLevel="0" collapsed="false">
      <c r="A11" s="8" t="s">
        <v>1529</v>
      </c>
      <c r="B11" s="8" t="s">
        <v>2689</v>
      </c>
      <c r="C11" s="11" t="n">
        <v>195000</v>
      </c>
    </row>
    <row r="12" customFormat="false" ht="15" hidden="false" customHeight="true" outlineLevel="0" collapsed="false">
      <c r="A12" s="8" t="s">
        <v>1529</v>
      </c>
      <c r="B12" s="8" t="s">
        <v>2697</v>
      </c>
      <c r="C12" s="11" t="n">
        <v>400000</v>
      </c>
    </row>
    <row r="13" customFormat="false" ht="15" hidden="false" customHeight="true" outlineLevel="0" collapsed="false">
      <c r="A13" s="8" t="s">
        <v>1529</v>
      </c>
      <c r="B13" s="8" t="s">
        <v>2749</v>
      </c>
      <c r="C13" s="11" t="n">
        <v>280000</v>
      </c>
    </row>
    <row r="14" customFormat="false" ht="15" hidden="false" customHeight="true" outlineLevel="0" collapsed="false">
      <c r="A14" s="8" t="s">
        <v>1529</v>
      </c>
      <c r="B14" s="8" t="s">
        <v>2753</v>
      </c>
      <c r="C14" s="11" t="n">
        <v>50000</v>
      </c>
    </row>
    <row r="15" customFormat="false" ht="15" hidden="false" customHeight="true" outlineLevel="0" collapsed="false">
      <c r="A15" s="8" t="s">
        <v>1529</v>
      </c>
      <c r="B15" s="8" t="s">
        <v>2758</v>
      </c>
      <c r="C15" s="11" t="n">
        <v>90000</v>
      </c>
    </row>
    <row r="16" customFormat="false" ht="15" hidden="false" customHeight="true" outlineLevel="0" collapsed="false">
      <c r="A16" s="8" t="s">
        <v>1529</v>
      </c>
      <c r="B16" s="8" t="s">
        <v>2766</v>
      </c>
      <c r="C16" s="11" t="n">
        <v>45000</v>
      </c>
    </row>
    <row r="17" customFormat="false" ht="15" hidden="false" customHeight="true" outlineLevel="0" collapsed="false">
      <c r="A17" s="8" t="s">
        <v>1529</v>
      </c>
      <c r="B17" s="8" t="s">
        <v>2770</v>
      </c>
      <c r="C17" s="11" t="n">
        <v>150000</v>
      </c>
    </row>
    <row r="18" customFormat="false" ht="15" hidden="false" customHeight="true" outlineLevel="0" collapsed="false">
      <c r="A18" s="8" t="s">
        <v>1529</v>
      </c>
      <c r="B18" s="8" t="s">
        <v>2774</v>
      </c>
      <c r="C18" s="11" t="n">
        <v>150000</v>
      </c>
    </row>
    <row r="19" customFormat="false" ht="15" hidden="false" customHeight="true" outlineLevel="0" collapsed="false">
      <c r="B19" s="4" t="s">
        <v>11419</v>
      </c>
      <c r="C19" s="13" t="n">
        <f aca="false">SUM(C4:C18)</f>
        <v>2295000</v>
      </c>
    </row>
    <row r="21" customFormat="false" ht="15" hidden="false" customHeight="true" outlineLevel="0" collapsed="false">
      <c r="A21" s="8" t="s">
        <v>1433</v>
      </c>
      <c r="B21" s="8" t="s">
        <v>2625</v>
      </c>
      <c r="C21" s="11" t="n">
        <v>100000</v>
      </c>
    </row>
    <row r="22" customFormat="false" ht="15" hidden="false" customHeight="true" outlineLevel="0" collapsed="false">
      <c r="A22" s="8" t="s">
        <v>1433</v>
      </c>
      <c r="B22" s="8" t="s">
        <v>2637</v>
      </c>
      <c r="C22" s="11" t="n">
        <v>110000</v>
      </c>
    </row>
    <row r="23" customFormat="false" ht="15" hidden="false" customHeight="true" outlineLevel="0" collapsed="false">
      <c r="A23" s="8" t="s">
        <v>1433</v>
      </c>
      <c r="B23" s="8" t="s">
        <v>2646</v>
      </c>
      <c r="C23" s="11" t="n">
        <v>25000</v>
      </c>
    </row>
    <row r="24" customFormat="false" ht="15" hidden="false" customHeight="true" outlineLevel="0" collapsed="false">
      <c r="A24" s="8" t="s">
        <v>1433</v>
      </c>
      <c r="B24" s="8" t="s">
        <v>2650</v>
      </c>
      <c r="C24" s="11" t="n">
        <v>100000</v>
      </c>
    </row>
    <row r="25" customFormat="false" ht="15" hidden="false" customHeight="true" outlineLevel="0" collapsed="false">
      <c r="A25" s="8" t="s">
        <v>1433</v>
      </c>
      <c r="B25" s="8" t="s">
        <v>2652</v>
      </c>
      <c r="C25" s="11" t="n">
        <v>340000</v>
      </c>
    </row>
    <row r="26" customFormat="false" ht="15" hidden="false" customHeight="true" outlineLevel="0" collapsed="false">
      <c r="A26" s="8" t="s">
        <v>1433</v>
      </c>
      <c r="B26" s="8" t="s">
        <v>2675</v>
      </c>
      <c r="C26" s="11" t="n">
        <v>145000</v>
      </c>
    </row>
    <row r="27" customFormat="false" ht="15" hidden="false" customHeight="true" outlineLevel="0" collapsed="false">
      <c r="A27" s="8" t="s">
        <v>1433</v>
      </c>
      <c r="B27" s="8" t="s">
        <v>2682</v>
      </c>
      <c r="C27" s="11" t="n">
        <v>90000</v>
      </c>
    </row>
    <row r="28" customFormat="false" ht="15" hidden="false" customHeight="true" outlineLevel="0" collapsed="false">
      <c r="A28" s="8" t="s">
        <v>1433</v>
      </c>
      <c r="B28" s="8" t="s">
        <v>2689</v>
      </c>
      <c r="C28" s="11" t="n">
        <v>195000</v>
      </c>
    </row>
    <row r="29" customFormat="false" ht="15" hidden="false" customHeight="true" outlineLevel="0" collapsed="false">
      <c r="A29" s="8" t="s">
        <v>1433</v>
      </c>
      <c r="B29" s="8" t="s">
        <v>2697</v>
      </c>
      <c r="C29" s="11" t="n">
        <v>400000</v>
      </c>
    </row>
    <row r="30" customFormat="false" ht="15" hidden="false" customHeight="true" outlineLevel="0" collapsed="false">
      <c r="A30" s="8" t="s">
        <v>1433</v>
      </c>
      <c r="B30" s="8" t="s">
        <v>2749</v>
      </c>
      <c r="C30" s="11" t="n">
        <v>280000</v>
      </c>
    </row>
    <row r="31" customFormat="false" ht="15" hidden="false" customHeight="true" outlineLevel="0" collapsed="false">
      <c r="A31" s="8" t="s">
        <v>1433</v>
      </c>
      <c r="B31" s="8" t="s">
        <v>2753</v>
      </c>
      <c r="C31" s="11" t="n">
        <v>50000</v>
      </c>
    </row>
    <row r="32" customFormat="false" ht="15" hidden="false" customHeight="true" outlineLevel="0" collapsed="false">
      <c r="A32" s="8" t="s">
        <v>1433</v>
      </c>
      <c r="B32" s="8" t="s">
        <v>2758</v>
      </c>
      <c r="C32" s="11" t="n">
        <v>90000</v>
      </c>
    </row>
    <row r="33" customFormat="false" ht="15" hidden="false" customHeight="true" outlineLevel="0" collapsed="false">
      <c r="A33" s="8" t="s">
        <v>1433</v>
      </c>
      <c r="B33" s="8" t="s">
        <v>2766</v>
      </c>
      <c r="C33" s="11" t="n">
        <v>45000</v>
      </c>
    </row>
    <row r="34" customFormat="false" ht="15" hidden="false" customHeight="true" outlineLevel="0" collapsed="false">
      <c r="A34" s="8" t="s">
        <v>1433</v>
      </c>
      <c r="B34" s="8" t="s">
        <v>2770</v>
      </c>
      <c r="C34" s="11" t="n">
        <v>150000</v>
      </c>
    </row>
    <row r="35" customFormat="false" ht="15" hidden="false" customHeight="true" outlineLevel="0" collapsed="false">
      <c r="A35" s="8" t="s">
        <v>1433</v>
      </c>
      <c r="B35" s="8" t="s">
        <v>2774</v>
      </c>
      <c r="C35" s="11" t="n">
        <v>150000</v>
      </c>
    </row>
    <row r="36" customFormat="false" ht="15" hidden="false" customHeight="true" outlineLevel="0" collapsed="false">
      <c r="B36" s="4" t="s">
        <v>11420</v>
      </c>
      <c r="C36" s="13" t="n">
        <f aca="false">SUM(C21:C35)</f>
        <v>2270000</v>
      </c>
    </row>
    <row r="38" customFormat="false" ht="15" hidden="false" customHeight="true" outlineLevel="0" collapsed="false">
      <c r="A38" s="8" t="s">
        <v>1476</v>
      </c>
      <c r="B38" s="8" t="s">
        <v>2625</v>
      </c>
      <c r="C38" s="11" t="n">
        <v>100000</v>
      </c>
    </row>
    <row r="39" customFormat="false" ht="15" hidden="false" customHeight="true" outlineLevel="0" collapsed="false">
      <c r="A39" s="8" t="s">
        <v>1476</v>
      </c>
      <c r="B39" s="8" t="s">
        <v>2637</v>
      </c>
      <c r="C39" s="11" t="n">
        <v>110000</v>
      </c>
    </row>
    <row r="40" customFormat="false" ht="15" hidden="false" customHeight="true" outlineLevel="0" collapsed="false">
      <c r="A40" s="8" t="s">
        <v>1476</v>
      </c>
      <c r="B40" s="8" t="s">
        <v>2646</v>
      </c>
      <c r="C40" s="11" t="n">
        <v>25000</v>
      </c>
    </row>
    <row r="41" customFormat="false" ht="15" hidden="false" customHeight="true" outlineLevel="0" collapsed="false">
      <c r="A41" s="8" t="s">
        <v>1476</v>
      </c>
      <c r="B41" s="8" t="s">
        <v>2650</v>
      </c>
      <c r="C41" s="11" t="n">
        <v>100000</v>
      </c>
    </row>
    <row r="42" customFormat="false" ht="15" hidden="false" customHeight="true" outlineLevel="0" collapsed="false">
      <c r="A42" s="8" t="s">
        <v>1476</v>
      </c>
      <c r="B42" s="8" t="s">
        <v>2652</v>
      </c>
      <c r="C42" s="11" t="n">
        <v>340000</v>
      </c>
    </row>
    <row r="43" customFormat="false" ht="15" hidden="false" customHeight="true" outlineLevel="0" collapsed="false">
      <c r="A43" s="8" t="s">
        <v>1476</v>
      </c>
      <c r="B43" s="8" t="s">
        <v>2675</v>
      </c>
      <c r="C43" s="11" t="n">
        <v>145000</v>
      </c>
    </row>
    <row r="44" customFormat="false" ht="15" hidden="false" customHeight="true" outlineLevel="0" collapsed="false">
      <c r="A44" s="8" t="s">
        <v>1476</v>
      </c>
      <c r="B44" s="8" t="s">
        <v>2682</v>
      </c>
      <c r="C44" s="11" t="n">
        <v>90000</v>
      </c>
    </row>
    <row r="45" customFormat="false" ht="15" hidden="false" customHeight="true" outlineLevel="0" collapsed="false">
      <c r="A45" s="8" t="s">
        <v>1476</v>
      </c>
      <c r="B45" s="8" t="s">
        <v>2689</v>
      </c>
      <c r="C45" s="11" t="n">
        <v>133000</v>
      </c>
    </row>
    <row r="46" customFormat="false" ht="15" hidden="false" customHeight="true" outlineLevel="0" collapsed="false">
      <c r="A46" s="8" t="s">
        <v>1476</v>
      </c>
      <c r="B46" s="8" t="s">
        <v>2697</v>
      </c>
      <c r="C46" s="11" t="n">
        <v>400000</v>
      </c>
    </row>
    <row r="47" customFormat="false" ht="15" hidden="false" customHeight="true" outlineLevel="0" collapsed="false">
      <c r="A47" s="8" t="s">
        <v>1476</v>
      </c>
      <c r="B47" s="8" t="s">
        <v>2749</v>
      </c>
      <c r="C47" s="11" t="n">
        <v>280000</v>
      </c>
    </row>
    <row r="48" customFormat="false" ht="15" hidden="false" customHeight="true" outlineLevel="0" collapsed="false">
      <c r="A48" s="8" t="s">
        <v>1476</v>
      </c>
      <c r="B48" s="8" t="s">
        <v>2753</v>
      </c>
      <c r="C48" s="11" t="n">
        <v>50000</v>
      </c>
    </row>
    <row r="49" customFormat="false" ht="15" hidden="false" customHeight="true" outlineLevel="0" collapsed="false">
      <c r="A49" s="8" t="s">
        <v>1476</v>
      </c>
      <c r="B49" s="8" t="s">
        <v>2758</v>
      </c>
      <c r="C49" s="11" t="n">
        <v>90000</v>
      </c>
    </row>
    <row r="50" customFormat="false" ht="15" hidden="false" customHeight="true" outlineLevel="0" collapsed="false">
      <c r="A50" s="8" t="s">
        <v>1476</v>
      </c>
      <c r="B50" s="8" t="s">
        <v>2770</v>
      </c>
      <c r="C50" s="11" t="n">
        <v>150000</v>
      </c>
    </row>
    <row r="51" customFormat="false" ht="15" hidden="false" customHeight="true" outlineLevel="0" collapsed="false">
      <c r="A51" s="8" t="s">
        <v>1476</v>
      </c>
      <c r="B51" s="8" t="s">
        <v>2774</v>
      </c>
      <c r="C51" s="11" t="n">
        <v>150000</v>
      </c>
    </row>
    <row r="52" customFormat="false" ht="15" hidden="false" customHeight="true" outlineLevel="0" collapsed="false">
      <c r="A52" s="8" t="s">
        <v>1476</v>
      </c>
      <c r="B52" s="8" t="s">
        <v>2766</v>
      </c>
      <c r="C52" s="11" t="n">
        <v>45000</v>
      </c>
    </row>
    <row r="53" customFormat="false" ht="15" hidden="false" customHeight="true" outlineLevel="0" collapsed="false">
      <c r="B53" s="4" t="s">
        <v>11421</v>
      </c>
      <c r="C53" s="13" t="n">
        <f aca="false">SUM(C38:C52)</f>
        <v>2208000</v>
      </c>
    </row>
    <row r="55" customFormat="false" ht="15" hidden="false" customHeight="true" outlineLevel="0" collapsed="false">
      <c r="B55" s="12" t="s">
        <v>11422</v>
      </c>
      <c r="C55" s="13" t="n">
        <f aca="false">C19+C36+C53</f>
        <v>6773000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70"/>
    <col collapsed="false" customWidth="true" hidden="false" outlineLevel="0" max="3" min="3" style="1" width="14"/>
  </cols>
  <sheetData>
    <row r="1" customFormat="false" ht="15" hidden="false" customHeight="true" outlineLevel="0" collapsed="false">
      <c r="A1" s="7" t="s">
        <v>11423</v>
      </c>
    </row>
    <row r="2" customFormat="false" ht="15" hidden="false" customHeight="true" outlineLevel="0" collapsed="false">
      <c r="A2" s="8" t="s">
        <v>11424</v>
      </c>
    </row>
    <row r="4" customFormat="false" ht="15" hidden="false" customHeight="true" outlineLevel="0" collapsed="false">
      <c r="A4" s="10" t="s">
        <v>131</v>
      </c>
      <c r="B4" s="10" t="s">
        <v>130</v>
      </c>
      <c r="C4" s="10" t="s">
        <v>72</v>
      </c>
    </row>
    <row r="5" customFormat="false" ht="15" hidden="false" customHeight="true" outlineLevel="0" collapsed="false">
      <c r="A5" s="8" t="s">
        <v>156</v>
      </c>
      <c r="B5" s="8" t="s">
        <v>155</v>
      </c>
      <c r="C5" s="11" t="n">
        <v>100000</v>
      </c>
    </row>
    <row r="6" customFormat="false" ht="15" hidden="false" customHeight="true" outlineLevel="0" collapsed="false">
      <c r="A6" s="8" t="s">
        <v>172</v>
      </c>
      <c r="B6" s="8" t="s">
        <v>171</v>
      </c>
      <c r="C6" s="11" t="n">
        <v>64576</v>
      </c>
    </row>
    <row r="7" customFormat="false" ht="15" hidden="false" customHeight="true" outlineLevel="0" collapsed="false">
      <c r="A7" s="8" t="s">
        <v>2563</v>
      </c>
      <c r="B7" s="8" t="s">
        <v>617</v>
      </c>
      <c r="C7" s="11" t="n">
        <v>200000</v>
      </c>
    </row>
    <row r="8" customFormat="false" ht="15" hidden="false" customHeight="true" outlineLevel="0" collapsed="false">
      <c r="A8" s="8" t="s">
        <v>153</v>
      </c>
      <c r="B8" s="8" t="s">
        <v>142</v>
      </c>
      <c r="C8" s="11" t="n">
        <v>130000</v>
      </c>
    </row>
    <row r="9" customFormat="false" ht="15" hidden="false" customHeight="true" outlineLevel="0" collapsed="false">
      <c r="A9" s="8" t="s">
        <v>153</v>
      </c>
      <c r="B9" s="8" t="s">
        <v>158</v>
      </c>
      <c r="C9" s="11" t="n">
        <v>100000</v>
      </c>
    </row>
    <row r="10" customFormat="false" ht="15" hidden="false" customHeight="true" outlineLevel="0" collapsed="false">
      <c r="A10" s="8" t="s">
        <v>184</v>
      </c>
      <c r="B10" s="8" t="s">
        <v>183</v>
      </c>
      <c r="C10" s="11" t="n">
        <v>10000</v>
      </c>
    </row>
    <row r="11" customFormat="false" ht="15" hidden="false" customHeight="true" outlineLevel="0" collapsed="false">
      <c r="A11" s="8" t="s">
        <v>184</v>
      </c>
      <c r="B11" s="8" t="s">
        <v>2470</v>
      </c>
      <c r="C11" s="11" t="n">
        <v>20000</v>
      </c>
    </row>
    <row r="12" customFormat="false" ht="15" hidden="false" customHeight="true" outlineLevel="0" collapsed="false">
      <c r="A12" s="8" t="s">
        <v>184</v>
      </c>
      <c r="B12" s="8" t="s">
        <v>1127</v>
      </c>
      <c r="C12" s="11" t="n">
        <v>10000</v>
      </c>
    </row>
    <row r="13" customFormat="false" ht="15" hidden="false" customHeight="true" outlineLevel="0" collapsed="false">
      <c r="A13" s="8" t="s">
        <v>184</v>
      </c>
      <c r="B13" s="8" t="s">
        <v>11425</v>
      </c>
      <c r="C13" s="11" t="n">
        <v>10000</v>
      </c>
    </row>
    <row r="14" customFormat="false" ht="15" hidden="false" customHeight="true" outlineLevel="0" collapsed="false">
      <c r="A14" s="8" t="s">
        <v>184</v>
      </c>
      <c r="B14" s="8" t="s">
        <v>404</v>
      </c>
      <c r="C14" s="11" t="n">
        <v>15000</v>
      </c>
    </row>
    <row r="15" customFormat="false" ht="15" hidden="false" customHeight="true" outlineLevel="0" collapsed="false">
      <c r="A15" s="8" t="s">
        <v>184</v>
      </c>
      <c r="B15" s="8" t="s">
        <v>380</v>
      </c>
      <c r="C15" s="11" t="n">
        <v>10000</v>
      </c>
    </row>
    <row r="16" customFormat="false" ht="15" hidden="false" customHeight="true" outlineLevel="0" collapsed="false">
      <c r="A16" s="8" t="s">
        <v>184</v>
      </c>
      <c r="B16" s="8" t="s">
        <v>326</v>
      </c>
      <c r="C16" s="11" t="n">
        <v>9000</v>
      </c>
    </row>
    <row r="17" customFormat="false" ht="15" hidden="false" customHeight="true" outlineLevel="0" collapsed="false">
      <c r="A17" s="8" t="s">
        <v>184</v>
      </c>
      <c r="B17" s="8" t="s">
        <v>1185</v>
      </c>
      <c r="C17" s="11" t="n">
        <v>15000</v>
      </c>
    </row>
    <row r="18" customFormat="false" ht="15" hidden="false" customHeight="true" outlineLevel="0" collapsed="false">
      <c r="A18" s="8" t="s">
        <v>184</v>
      </c>
      <c r="B18" s="8" t="s">
        <v>317</v>
      </c>
      <c r="C18" s="11" t="n">
        <v>5000</v>
      </c>
    </row>
    <row r="19" customFormat="false" ht="15" hidden="false" customHeight="true" outlineLevel="0" collapsed="false">
      <c r="A19" s="8" t="s">
        <v>184</v>
      </c>
      <c r="B19" s="8" t="s">
        <v>1188</v>
      </c>
      <c r="C19" s="11" t="n">
        <v>3000</v>
      </c>
    </row>
    <row r="20" customFormat="false" ht="15" hidden="false" customHeight="true" outlineLevel="0" collapsed="false">
      <c r="A20" s="8" t="s">
        <v>184</v>
      </c>
      <c r="B20" s="8" t="s">
        <v>718</v>
      </c>
      <c r="C20" s="11" t="n">
        <v>13000</v>
      </c>
    </row>
    <row r="21" customFormat="false" ht="15" hidden="false" customHeight="true" outlineLevel="0" collapsed="false">
      <c r="A21" s="8" t="s">
        <v>654</v>
      </c>
      <c r="B21" s="8" t="s">
        <v>11426</v>
      </c>
      <c r="C21" s="11" t="n">
        <v>50000</v>
      </c>
    </row>
    <row r="22" customFormat="false" ht="15" hidden="false" customHeight="true" outlineLevel="0" collapsed="false">
      <c r="A22" s="8" t="s">
        <v>2599</v>
      </c>
      <c r="B22" s="8" t="s">
        <v>657</v>
      </c>
      <c r="C22" s="11" t="n">
        <v>36000</v>
      </c>
    </row>
    <row r="23" customFormat="false" ht="15" hidden="false" customHeight="true" outlineLevel="0" collapsed="false">
      <c r="A23" s="8" t="s">
        <v>680</v>
      </c>
      <c r="B23" s="8" t="s">
        <v>11427</v>
      </c>
      <c r="C23" s="11" t="n">
        <v>50000</v>
      </c>
    </row>
    <row r="24" customFormat="false" ht="15" hidden="false" customHeight="true" outlineLevel="0" collapsed="false">
      <c r="A24" s="8" t="s">
        <v>680</v>
      </c>
      <c r="B24" s="8" t="s">
        <v>11428</v>
      </c>
      <c r="C24" s="11" t="n">
        <v>50000</v>
      </c>
    </row>
    <row r="25" customFormat="false" ht="15" hidden="false" customHeight="true" outlineLevel="0" collapsed="false">
      <c r="A25" s="8" t="s">
        <v>143</v>
      </c>
      <c r="B25" s="8" t="s">
        <v>142</v>
      </c>
      <c r="C25" s="11" t="n">
        <v>444375</v>
      </c>
    </row>
    <row r="26" customFormat="false" ht="15" hidden="false" customHeight="true" outlineLevel="0" collapsed="false">
      <c r="A26" s="8" t="s">
        <v>181</v>
      </c>
      <c r="B26" s="8" t="s">
        <v>657</v>
      </c>
      <c r="C26" s="11" t="n">
        <v>400628</v>
      </c>
    </row>
    <row r="27" customFormat="false" ht="15" hidden="false" customHeight="true" outlineLevel="0" collapsed="false">
      <c r="A27" s="8" t="s">
        <v>148</v>
      </c>
      <c r="B27" s="8" t="s">
        <v>142</v>
      </c>
      <c r="C27" s="11" t="n">
        <v>320000</v>
      </c>
    </row>
    <row r="28" customFormat="false" ht="15" hidden="false" customHeight="true" outlineLevel="0" collapsed="false">
      <c r="A28" s="8" t="s">
        <v>159</v>
      </c>
      <c r="B28" s="8" t="s">
        <v>149</v>
      </c>
      <c r="C28" s="11" t="n">
        <v>100000</v>
      </c>
    </row>
    <row r="29" customFormat="false" ht="15" hidden="false" customHeight="true" outlineLevel="0" collapsed="false">
      <c r="A29" s="8" t="s">
        <v>670</v>
      </c>
      <c r="B29" s="8" t="s">
        <v>300</v>
      </c>
      <c r="C29" s="11" t="n">
        <v>70000</v>
      </c>
    </row>
    <row r="30" customFormat="false" ht="15" hidden="false" customHeight="true" outlineLevel="0" collapsed="false">
      <c r="A30" s="8" t="s">
        <v>177</v>
      </c>
      <c r="B30" s="8" t="s">
        <v>158</v>
      </c>
      <c r="C30" s="11" t="n">
        <v>50000</v>
      </c>
    </row>
    <row r="31" customFormat="false" ht="15" hidden="false" customHeight="true" outlineLevel="0" collapsed="false">
      <c r="A31" s="8" t="s">
        <v>165</v>
      </c>
      <c r="B31" s="8" t="s">
        <v>151</v>
      </c>
      <c r="C31" s="11" t="n">
        <v>93834</v>
      </c>
    </row>
    <row r="32" customFormat="false" ht="15" hidden="false" customHeight="true" outlineLevel="0" collapsed="false">
      <c r="A32" s="8" t="s">
        <v>179</v>
      </c>
      <c r="B32" s="8" t="s">
        <v>149</v>
      </c>
      <c r="C32" s="11" t="n">
        <v>49375</v>
      </c>
    </row>
    <row r="33" customFormat="false" ht="15" hidden="false" customHeight="true" outlineLevel="0" collapsed="false">
      <c r="A33" s="8" t="s">
        <v>152</v>
      </c>
      <c r="B33" s="8" t="s">
        <v>151</v>
      </c>
      <c r="C33" s="11" t="n">
        <v>233523</v>
      </c>
    </row>
    <row r="34" customFormat="false" ht="15" hidden="false" customHeight="true" outlineLevel="0" collapsed="false">
      <c r="A34" s="8" t="s">
        <v>152</v>
      </c>
      <c r="B34" s="8" t="s">
        <v>149</v>
      </c>
      <c r="C34" s="11" t="n">
        <v>76319</v>
      </c>
    </row>
    <row r="35" customFormat="false" ht="15" hidden="false" customHeight="true" outlineLevel="0" collapsed="false">
      <c r="A35" s="8" t="s">
        <v>146</v>
      </c>
      <c r="B35" s="8" t="s">
        <v>145</v>
      </c>
      <c r="C35" s="11" t="n">
        <v>363752</v>
      </c>
    </row>
    <row r="36" customFormat="false" ht="15" hidden="false" customHeight="true" outlineLevel="0" collapsed="false">
      <c r="A36" s="8" t="s">
        <v>146</v>
      </c>
      <c r="B36" s="8" t="s">
        <v>657</v>
      </c>
      <c r="C36" s="11" t="n">
        <v>101338</v>
      </c>
    </row>
    <row r="37" customFormat="false" ht="15" hidden="false" customHeight="true" outlineLevel="0" collapsed="false">
      <c r="A37" s="8" t="s">
        <v>167</v>
      </c>
      <c r="B37" s="8" t="s">
        <v>151</v>
      </c>
      <c r="C37" s="11" t="n">
        <v>82000</v>
      </c>
    </row>
    <row r="38" customFormat="false" ht="15" hidden="false" customHeight="true" outlineLevel="0" collapsed="false">
      <c r="A38" s="8" t="s">
        <v>167</v>
      </c>
      <c r="B38" s="8" t="s">
        <v>657</v>
      </c>
      <c r="C38" s="11" t="n">
        <v>82000</v>
      </c>
    </row>
    <row r="39" customFormat="false" ht="15" hidden="false" customHeight="true" outlineLevel="0" collapsed="false">
      <c r="A39" s="8" t="s">
        <v>166</v>
      </c>
      <c r="B39" s="8" t="s">
        <v>145</v>
      </c>
      <c r="C39" s="11" t="n">
        <v>85801</v>
      </c>
    </row>
    <row r="40" customFormat="false" ht="15" hidden="false" customHeight="true" outlineLevel="0" collapsed="false">
      <c r="A40" s="8" t="s">
        <v>170</v>
      </c>
      <c r="B40" s="8" t="s">
        <v>158</v>
      </c>
      <c r="C40" s="11" t="n">
        <v>74000</v>
      </c>
    </row>
    <row r="41" customFormat="false" ht="15" hidden="false" customHeight="true" outlineLevel="0" collapsed="false">
      <c r="A41" s="8" t="s">
        <v>175</v>
      </c>
      <c r="B41" s="8" t="s">
        <v>176</v>
      </c>
      <c r="C41" s="11" t="n">
        <v>54257</v>
      </c>
    </row>
    <row r="42" customFormat="false" ht="15" hidden="false" customHeight="true" outlineLevel="0" collapsed="false">
      <c r="A42" s="8" t="s">
        <v>175</v>
      </c>
      <c r="B42" s="8" t="s">
        <v>174</v>
      </c>
      <c r="C42" s="11" t="n">
        <v>61000</v>
      </c>
    </row>
    <row r="43" customFormat="false" ht="15" hidden="false" customHeight="true" outlineLevel="0" collapsed="false">
      <c r="A43" s="8" t="s">
        <v>164</v>
      </c>
      <c r="B43" s="8" t="s">
        <v>163</v>
      </c>
      <c r="C43" s="11" t="n">
        <v>98250</v>
      </c>
    </row>
    <row r="44" customFormat="false" ht="15" hidden="false" customHeight="true" outlineLevel="0" collapsed="false">
      <c r="A44" s="8" t="s">
        <v>2531</v>
      </c>
      <c r="B44" s="8" t="s">
        <v>11426</v>
      </c>
      <c r="C44" s="11" t="n">
        <v>75000</v>
      </c>
    </row>
    <row r="45" customFormat="false" ht="15" hidden="false" customHeight="true" outlineLevel="0" collapsed="false">
      <c r="A45" s="8" t="s">
        <v>741</v>
      </c>
      <c r="B45" s="8" t="s">
        <v>745</v>
      </c>
      <c r="C45" s="11" t="n">
        <v>25000</v>
      </c>
    </row>
    <row r="46" customFormat="false" ht="15" hidden="false" customHeight="true" outlineLevel="0" collapsed="false">
      <c r="A46" s="8" t="s">
        <v>741</v>
      </c>
      <c r="B46" s="8" t="s">
        <v>592</v>
      </c>
      <c r="C46" s="11" t="n">
        <v>25000</v>
      </c>
    </row>
    <row r="47" customFormat="false" ht="15" hidden="false" customHeight="true" outlineLevel="0" collapsed="false">
      <c r="A47" s="8" t="s">
        <v>663</v>
      </c>
      <c r="B47" s="8" t="s">
        <v>404</v>
      </c>
      <c r="C47" s="11" t="n">
        <v>109012</v>
      </c>
    </row>
    <row r="48" customFormat="false" ht="15" hidden="false" customHeight="true" outlineLevel="0" collapsed="false">
      <c r="A48" s="8" t="s">
        <v>663</v>
      </c>
      <c r="B48" s="8" t="s">
        <v>657</v>
      </c>
      <c r="C48" s="11" t="n">
        <v>50000</v>
      </c>
    </row>
    <row r="49" customFormat="false" ht="15" hidden="false" customHeight="true" outlineLevel="0" collapsed="false">
      <c r="A49" s="8" t="s">
        <v>663</v>
      </c>
      <c r="B49" s="8" t="s">
        <v>326</v>
      </c>
      <c r="C49" s="11" t="n">
        <v>25000</v>
      </c>
    </row>
    <row r="50" customFormat="false" ht="15" hidden="false" customHeight="true" outlineLevel="0" collapsed="false">
      <c r="A50" s="8" t="s">
        <v>150</v>
      </c>
      <c r="B50" s="8" t="s">
        <v>149</v>
      </c>
      <c r="C50" s="11" t="n">
        <v>259000</v>
      </c>
    </row>
    <row r="51" customFormat="false" ht="15" hidden="false" customHeight="true" outlineLevel="0" collapsed="false">
      <c r="A51" s="8" t="s">
        <v>154</v>
      </c>
      <c r="B51" s="8" t="s">
        <v>149</v>
      </c>
      <c r="C51" s="11" t="n">
        <v>107103</v>
      </c>
    </row>
    <row r="52" customFormat="false" ht="15" hidden="false" customHeight="true" outlineLevel="0" collapsed="false">
      <c r="A52" s="8" t="s">
        <v>1061</v>
      </c>
      <c r="B52" s="8" t="s">
        <v>225</v>
      </c>
      <c r="C52" s="11" t="n">
        <v>10000</v>
      </c>
    </row>
    <row r="53" customFormat="false" ht="15" hidden="false" customHeight="true" outlineLevel="0" collapsed="false">
      <c r="A53" s="8" t="s">
        <v>1061</v>
      </c>
      <c r="B53" s="8" t="s">
        <v>225</v>
      </c>
      <c r="C53" s="11" t="n">
        <v>25000</v>
      </c>
    </row>
    <row r="54" customFormat="false" ht="15" hidden="false" customHeight="true" outlineLevel="0" collapsed="false">
      <c r="A54" s="8" t="s">
        <v>178</v>
      </c>
      <c r="B54" s="8" t="s">
        <v>151</v>
      </c>
      <c r="C54" s="11" t="n">
        <v>50000</v>
      </c>
    </row>
    <row r="55" customFormat="false" ht="15" hidden="false" customHeight="true" outlineLevel="0" collapsed="false">
      <c r="A55" s="8" t="s">
        <v>178</v>
      </c>
      <c r="B55" s="8" t="s">
        <v>657</v>
      </c>
      <c r="C55" s="11" t="n">
        <v>50000</v>
      </c>
    </row>
    <row r="56" customFormat="false" ht="15" hidden="false" customHeight="true" outlineLevel="0" collapsed="false">
      <c r="A56" s="8" t="s">
        <v>147</v>
      </c>
      <c r="B56" s="8" t="s">
        <v>145</v>
      </c>
      <c r="C56" s="11" t="n">
        <v>350000</v>
      </c>
    </row>
    <row r="57" customFormat="false" ht="15" hidden="false" customHeight="true" outlineLevel="0" collapsed="false">
      <c r="A57" s="8" t="s">
        <v>698</v>
      </c>
      <c r="B57" s="8" t="s">
        <v>657</v>
      </c>
      <c r="C57" s="11" t="n">
        <v>56100</v>
      </c>
    </row>
    <row r="58" customFormat="false" ht="15" hidden="false" customHeight="true" outlineLevel="0" collapsed="false">
      <c r="A58" s="8" t="s">
        <v>160</v>
      </c>
      <c r="B58" s="8" t="s">
        <v>142</v>
      </c>
      <c r="C58" s="11" t="n">
        <v>100000</v>
      </c>
    </row>
    <row r="59" customFormat="false" ht="15" hidden="false" customHeight="true" outlineLevel="0" collapsed="false">
      <c r="A59" s="8" t="s">
        <v>2581</v>
      </c>
      <c r="B59" s="8" t="s">
        <v>11429</v>
      </c>
      <c r="C59" s="11" t="n">
        <v>96421</v>
      </c>
    </row>
    <row r="60" customFormat="false" ht="15" hidden="false" customHeight="true" outlineLevel="0" collapsed="false">
      <c r="A60" s="8" t="s">
        <v>1055</v>
      </c>
      <c r="B60" s="8" t="s">
        <v>11430</v>
      </c>
      <c r="C60" s="11" t="n">
        <v>8333</v>
      </c>
    </row>
    <row r="61" customFormat="false" ht="15" hidden="false" customHeight="true" outlineLevel="0" collapsed="false">
      <c r="A61" s="8" t="s">
        <v>1055</v>
      </c>
      <c r="B61" s="8" t="s">
        <v>11431</v>
      </c>
      <c r="C61" s="11" t="n">
        <v>8333</v>
      </c>
    </row>
    <row r="62" customFormat="false" ht="15" hidden="false" customHeight="true" outlineLevel="0" collapsed="false">
      <c r="A62" s="8" t="s">
        <v>1055</v>
      </c>
      <c r="B62" s="8" t="s">
        <v>11432</v>
      </c>
      <c r="C62" s="11" t="n">
        <v>8333</v>
      </c>
    </row>
    <row r="63" customFormat="false" ht="15" hidden="false" customHeight="true" outlineLevel="0" collapsed="false">
      <c r="A63" s="8" t="s">
        <v>1055</v>
      </c>
      <c r="B63" s="8" t="s">
        <v>11433</v>
      </c>
      <c r="C63" s="11" t="n">
        <v>8333</v>
      </c>
    </row>
    <row r="64" customFormat="false" ht="15" hidden="false" customHeight="true" outlineLevel="0" collapsed="false">
      <c r="A64" s="8" t="s">
        <v>1055</v>
      </c>
      <c r="B64" s="8" t="s">
        <v>11434</v>
      </c>
      <c r="C64" s="11" t="n">
        <v>8333</v>
      </c>
    </row>
    <row r="65" customFormat="false" ht="15" hidden="false" customHeight="true" outlineLevel="0" collapsed="false">
      <c r="A65" s="8" t="s">
        <v>1055</v>
      </c>
      <c r="B65" s="8" t="s">
        <v>11435</v>
      </c>
      <c r="C65" s="11" t="n">
        <v>8333</v>
      </c>
    </row>
    <row r="66" customFormat="false" ht="15" hidden="false" customHeight="true" outlineLevel="0" collapsed="false">
      <c r="A66" s="8" t="s">
        <v>728</v>
      </c>
      <c r="B66" s="8" t="s">
        <v>657</v>
      </c>
      <c r="C66" s="11" t="n">
        <v>167284</v>
      </c>
    </row>
    <row r="67" customFormat="false" ht="15" hidden="false" customHeight="true" outlineLevel="0" collapsed="false">
      <c r="A67" s="8" t="s">
        <v>134</v>
      </c>
      <c r="B67" s="8" t="s">
        <v>11436</v>
      </c>
      <c r="C67" s="11" t="n">
        <v>40000</v>
      </c>
    </row>
    <row r="68" customFormat="false" ht="15" hidden="false" customHeight="true" outlineLevel="0" collapsed="false">
      <c r="A68" s="8" t="s">
        <v>134</v>
      </c>
      <c r="B68" s="8" t="s">
        <v>11437</v>
      </c>
      <c r="C68" s="11" t="n">
        <v>40000</v>
      </c>
    </row>
    <row r="69" customFormat="false" ht="15" hidden="false" customHeight="true" outlineLevel="0" collapsed="false">
      <c r="A69" s="8" t="s">
        <v>134</v>
      </c>
      <c r="B69" s="8" t="s">
        <v>168</v>
      </c>
      <c r="C69" s="11" t="n">
        <v>80000</v>
      </c>
    </row>
    <row r="70" customFormat="false" ht="15" hidden="false" customHeight="true" outlineLevel="0" collapsed="false">
      <c r="A70" s="8" t="s">
        <v>134</v>
      </c>
      <c r="B70" s="8" t="s">
        <v>133</v>
      </c>
      <c r="C70" s="11" t="n">
        <v>18000</v>
      </c>
    </row>
    <row r="71" customFormat="false" ht="15" hidden="false" customHeight="true" outlineLevel="0" collapsed="false">
      <c r="A71" s="8" t="s">
        <v>134</v>
      </c>
      <c r="B71" s="8" t="s">
        <v>136</v>
      </c>
      <c r="C71" s="11" t="n">
        <v>18000</v>
      </c>
    </row>
    <row r="72" customFormat="false" ht="15" hidden="false" customHeight="true" outlineLevel="0" collapsed="false">
      <c r="A72" s="8" t="s">
        <v>2570</v>
      </c>
      <c r="B72" s="8" t="s">
        <v>617</v>
      </c>
      <c r="C72" s="11" t="n">
        <v>130265</v>
      </c>
    </row>
    <row r="73" customFormat="false" ht="15" hidden="false" customHeight="true" outlineLevel="0" collapsed="false">
      <c r="A73" s="8" t="s">
        <v>759</v>
      </c>
      <c r="B73" s="8" t="s">
        <v>11438</v>
      </c>
      <c r="C73" s="11" t="n">
        <v>500000</v>
      </c>
    </row>
    <row r="74" customFormat="false" ht="15" hidden="false" customHeight="true" outlineLevel="0" collapsed="false">
      <c r="A74" s="8" t="s">
        <v>162</v>
      </c>
      <c r="B74" s="8" t="s">
        <v>161</v>
      </c>
      <c r="C74" s="11" t="n">
        <v>100000</v>
      </c>
    </row>
    <row r="75" customFormat="false" ht="15" hidden="false" customHeight="true" outlineLevel="0" collapsed="false">
      <c r="A75" s="8" t="s">
        <v>700</v>
      </c>
      <c r="B75" s="8" t="s">
        <v>617</v>
      </c>
      <c r="C75" s="11" t="n">
        <v>62500</v>
      </c>
    </row>
    <row r="76" customFormat="false" ht="15" hidden="false" customHeight="true" outlineLevel="0" collapsed="false">
      <c r="A76" s="8" t="s">
        <v>680</v>
      </c>
      <c r="B76" s="8" t="s">
        <v>679</v>
      </c>
      <c r="C76" s="11" t="n">
        <v>100000</v>
      </c>
    </row>
    <row r="77" customFormat="false" ht="15" hidden="false" customHeight="true" outlineLevel="0" collapsed="false">
      <c r="A77" s="8" t="s">
        <v>181</v>
      </c>
      <c r="B77" s="8" t="s">
        <v>180</v>
      </c>
      <c r="C77" s="11" t="n">
        <v>25000</v>
      </c>
    </row>
    <row r="78" customFormat="false" ht="15" hidden="false" customHeight="true" outlineLevel="0" collapsed="false">
      <c r="A78" s="8" t="s">
        <v>2537</v>
      </c>
      <c r="B78" s="8" t="s">
        <v>317</v>
      </c>
      <c r="C78" s="11" t="n">
        <v>52935</v>
      </c>
    </row>
    <row r="79" customFormat="false" ht="15" hidden="false" customHeight="true" outlineLevel="0" collapsed="false">
      <c r="A79" s="8" t="s">
        <v>670</v>
      </c>
      <c r="B79" s="8" t="s">
        <v>427</v>
      </c>
      <c r="C79" s="11" t="n">
        <v>70000</v>
      </c>
    </row>
    <row r="80" customFormat="false" ht="15" hidden="false" customHeight="true" outlineLevel="0" collapsed="false">
      <c r="A80" s="8" t="s">
        <v>1054</v>
      </c>
      <c r="B80" s="8" t="s">
        <v>427</v>
      </c>
      <c r="C80" s="11" t="n">
        <v>37500</v>
      </c>
    </row>
    <row r="81" customFormat="false" ht="15" hidden="false" customHeight="true" outlineLevel="0" collapsed="false">
      <c r="A81" s="8" t="s">
        <v>2557</v>
      </c>
      <c r="B81" s="8" t="s">
        <v>672</v>
      </c>
      <c r="C81" s="11" t="n">
        <v>335000</v>
      </c>
    </row>
    <row r="82" customFormat="false" ht="15" hidden="false" customHeight="true" outlineLevel="0" collapsed="false">
      <c r="A82" s="8" t="s">
        <v>704</v>
      </c>
      <c r="B82" s="8" t="s">
        <v>679</v>
      </c>
      <c r="C82" s="11" t="n">
        <v>50000</v>
      </c>
    </row>
    <row r="83" customFormat="false" ht="15" hidden="false" customHeight="true" outlineLevel="0" collapsed="false">
      <c r="A83" s="8" t="s">
        <v>2568</v>
      </c>
      <c r="B83" s="8" t="s">
        <v>679</v>
      </c>
      <c r="C83" s="11" t="n">
        <v>150000</v>
      </c>
    </row>
    <row r="84" customFormat="false" ht="15" hidden="false" customHeight="true" outlineLevel="0" collapsed="false">
      <c r="A84" s="8" t="s">
        <v>741</v>
      </c>
      <c r="B84" s="8" t="s">
        <v>679</v>
      </c>
      <c r="C84" s="11" t="n">
        <v>50000</v>
      </c>
    </row>
    <row r="85" customFormat="false" ht="15" hidden="false" customHeight="true" outlineLevel="0" collapsed="false">
      <c r="A85" s="8" t="s">
        <v>663</v>
      </c>
      <c r="B85" s="8" t="s">
        <v>380</v>
      </c>
      <c r="C85" s="11" t="n">
        <v>107372</v>
      </c>
    </row>
    <row r="86" customFormat="false" ht="15" hidden="false" customHeight="true" outlineLevel="0" collapsed="false">
      <c r="A86" s="8" t="s">
        <v>147</v>
      </c>
      <c r="B86" s="8" t="s">
        <v>290</v>
      </c>
      <c r="C86" s="11" t="n">
        <v>50000</v>
      </c>
    </row>
    <row r="87" customFormat="false" ht="15" hidden="false" customHeight="true" outlineLevel="0" collapsed="false">
      <c r="A87" s="8" t="s">
        <v>769</v>
      </c>
      <c r="B87" s="8" t="s">
        <v>290</v>
      </c>
      <c r="C87" s="11" t="n">
        <v>25000</v>
      </c>
    </row>
    <row r="88" customFormat="false" ht="15" hidden="false" customHeight="true" outlineLevel="0" collapsed="false">
      <c r="A88" s="8" t="s">
        <v>769</v>
      </c>
      <c r="B88" s="8" t="s">
        <v>563</v>
      </c>
      <c r="C88" s="11" t="n">
        <v>25000</v>
      </c>
    </row>
    <row r="89" customFormat="false" ht="15" hidden="false" customHeight="true" outlineLevel="0" collapsed="false">
      <c r="A89" s="8" t="s">
        <v>134</v>
      </c>
      <c r="B89" s="8" t="s">
        <v>350</v>
      </c>
      <c r="C89" s="11" t="n">
        <v>6000</v>
      </c>
    </row>
    <row r="90" customFormat="false" ht="15" hidden="false" customHeight="true" outlineLevel="0" collapsed="false">
      <c r="A90" s="8" t="s">
        <v>772</v>
      </c>
      <c r="B90" s="8" t="s">
        <v>771</v>
      </c>
      <c r="C90" s="11" t="n">
        <v>35000</v>
      </c>
    </row>
    <row r="91" customFormat="false" ht="15" hidden="false" customHeight="true" outlineLevel="0" collapsed="false">
      <c r="A91" s="8" t="s">
        <v>772</v>
      </c>
      <c r="B91" s="8" t="s">
        <v>774</v>
      </c>
      <c r="C91" s="11" t="n">
        <v>18213</v>
      </c>
    </row>
    <row r="92" customFormat="false" ht="15" hidden="false" customHeight="true" outlineLevel="0" collapsed="false">
      <c r="A92" s="8" t="s">
        <v>2525</v>
      </c>
      <c r="B92" s="8" t="s">
        <v>679</v>
      </c>
      <c r="C92" s="11" t="n">
        <v>125000</v>
      </c>
    </row>
    <row r="93" customFormat="false" ht="15" hidden="false" customHeight="true" outlineLevel="0" collapsed="false">
      <c r="A93" s="8" t="s">
        <v>162</v>
      </c>
      <c r="B93" s="8" t="s">
        <v>695</v>
      </c>
      <c r="C93" s="11" t="n">
        <v>646666</v>
      </c>
    </row>
    <row r="94" customFormat="false" ht="15" hidden="false" customHeight="true" outlineLevel="0" collapsed="false">
      <c r="A94" s="8" t="s">
        <v>719</v>
      </c>
      <c r="B94" s="8" t="s">
        <v>718</v>
      </c>
      <c r="C94" s="11" t="n">
        <v>73070</v>
      </c>
    </row>
    <row r="95" customFormat="false" ht="15" hidden="false" customHeight="true" outlineLevel="0" collapsed="false">
      <c r="B95" s="12" t="s">
        <v>11439</v>
      </c>
      <c r="C95" s="13" t="n">
        <f aca="false">SUM(C5:C94)</f>
        <v>8341467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16"/>
    <col collapsed="false" customWidth="true" hidden="false" outlineLevel="0" max="4" min="4" style="1" width="52"/>
  </cols>
  <sheetData>
    <row r="1" customFormat="false" ht="15" hidden="false" customHeight="true" outlineLevel="0" collapsed="false">
      <c r="A1" s="7" t="s">
        <v>11440</v>
      </c>
    </row>
    <row r="3" customFormat="false" ht="15" hidden="false" customHeight="true" outlineLevel="0" collapsed="false">
      <c r="A3" s="10" t="s">
        <v>73</v>
      </c>
      <c r="B3" s="10" t="s">
        <v>11441</v>
      </c>
      <c r="C3" s="10" t="s">
        <v>11442</v>
      </c>
      <c r="D3" s="10" t="s">
        <v>853</v>
      </c>
    </row>
    <row r="4" customFormat="false" ht="15" hidden="false" customHeight="true" outlineLevel="0" collapsed="false">
      <c r="A4" s="8" t="s">
        <v>11443</v>
      </c>
      <c r="B4" s="11" t="n">
        <v>77350000</v>
      </c>
      <c r="C4" s="11" t="n">
        <v>77350000</v>
      </c>
      <c r="D4" s="8" t="s">
        <v>11444</v>
      </c>
    </row>
    <row r="5" customFormat="false" ht="15" hidden="false" customHeight="true" outlineLevel="0" collapsed="false">
      <c r="A5" s="8" t="s">
        <v>11445</v>
      </c>
      <c r="B5" s="11" t="n">
        <v>6773000</v>
      </c>
      <c r="C5" s="11" t="n">
        <v>6773000</v>
      </c>
      <c r="D5" s="8" t="s">
        <v>1331</v>
      </c>
    </row>
    <row r="6" customFormat="false" ht="15" hidden="false" customHeight="true" outlineLevel="0" collapsed="false">
      <c r="A6" s="8" t="s">
        <v>11446</v>
      </c>
      <c r="B6" s="11" t="n">
        <v>2867880</v>
      </c>
      <c r="C6" s="11" t="n">
        <v>2817880</v>
      </c>
      <c r="D6" s="8" t="s">
        <v>11447</v>
      </c>
    </row>
    <row r="7" customFormat="false" ht="15" hidden="false" customHeight="true" outlineLevel="0" collapsed="false">
      <c r="A7" s="8" t="s">
        <v>11396</v>
      </c>
      <c r="B7" s="11" t="n">
        <v>8341467</v>
      </c>
      <c r="C7" s="11" t="n">
        <v>8341467</v>
      </c>
      <c r="D7" s="8" t="s">
        <v>11448</v>
      </c>
    </row>
    <row r="8" customFormat="false" ht="15" hidden="false" customHeight="true" outlineLevel="0" collapsed="false">
      <c r="A8" s="8" t="s">
        <v>11449</v>
      </c>
      <c r="B8" s="166" t="n">
        <f aca="false">SUM(B5:B7)</f>
        <v>17982347</v>
      </c>
      <c r="C8" s="166" t="n">
        <f aca="false">SUM(C5:C7)</f>
        <v>17932347</v>
      </c>
      <c r="D8" s="8" t="s">
        <v>1337</v>
      </c>
    </row>
    <row r="9" customFormat="false" ht="15" hidden="false" customHeight="true" outlineLevel="0" collapsed="false">
      <c r="A9" s="8" t="s">
        <v>11450</v>
      </c>
      <c r="B9" s="13" t="n">
        <f aca="false">B4+B8</f>
        <v>95332347</v>
      </c>
      <c r="C9" s="13" t="n">
        <f aca="false">C4+C8</f>
        <v>95282347</v>
      </c>
      <c r="D9" s="8" t="s">
        <v>11451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44"/>
    <col collapsed="false" customWidth="true" hidden="false" outlineLevel="0" max="5" min="4" style="1" width="12"/>
    <col collapsed="false" customWidth="true" hidden="false" outlineLevel="0" max="6" min="6" style="1" width="8"/>
    <col collapsed="false" customWidth="true" hidden="false" outlineLevel="0" max="7" min="7" style="1" width="30"/>
    <col collapsed="false" customWidth="true" hidden="false" outlineLevel="0" max="9" min="8" style="1" width="16"/>
    <col collapsed="false" customWidth="true" hidden="false" outlineLevel="0" max="10" min="10" style="1" width="50"/>
  </cols>
  <sheetData>
    <row r="1" customFormat="false" ht="15" hidden="false" customHeight="true" outlineLevel="0" collapsed="false">
      <c r="A1" s="7" t="s">
        <v>11452</v>
      </c>
    </row>
    <row r="2" customFormat="false" ht="15" hidden="false" customHeight="true" outlineLevel="0" collapsed="false">
      <c r="A2" s="8" t="s">
        <v>11453</v>
      </c>
    </row>
    <row r="3" customFormat="false" ht="15" hidden="false" customHeight="true" outlineLevel="0" collapsed="false">
      <c r="A3" s="10" t="s">
        <v>11454</v>
      </c>
      <c r="B3" s="10" t="s">
        <v>11455</v>
      </c>
      <c r="C3" s="10" t="s">
        <v>11456</v>
      </c>
      <c r="D3" s="10" t="s">
        <v>190</v>
      </c>
      <c r="E3" s="10" t="s">
        <v>72</v>
      </c>
      <c r="F3" s="10" t="s">
        <v>11302</v>
      </c>
      <c r="G3" s="10" t="s">
        <v>1181</v>
      </c>
      <c r="H3" s="10" t="s">
        <v>11457</v>
      </c>
      <c r="I3" s="10" t="s">
        <v>11458</v>
      </c>
      <c r="J3" s="10" t="s">
        <v>11459</v>
      </c>
    </row>
    <row r="4" customFormat="false" ht="15" hidden="false" customHeight="true" outlineLevel="0" collapsed="false">
      <c r="A4" s="8" t="s">
        <v>11460</v>
      </c>
      <c r="B4" s="8" t="s">
        <v>926</v>
      </c>
      <c r="C4" s="8" t="s">
        <v>424</v>
      </c>
      <c r="D4" s="8" t="s">
        <v>425</v>
      </c>
      <c r="E4" s="11" t="n">
        <v>10000</v>
      </c>
      <c r="F4" s="8" t="s">
        <v>11308</v>
      </c>
      <c r="G4" s="8" t="s">
        <v>2631</v>
      </c>
      <c r="H4" s="8" t="s">
        <v>11461</v>
      </c>
      <c r="I4" s="8"/>
      <c r="J4" s="8" t="s">
        <v>11462</v>
      </c>
    </row>
    <row r="5" customFormat="false" ht="15" hidden="false" customHeight="true" outlineLevel="0" collapsed="false">
      <c r="A5" s="8" t="s">
        <v>11460</v>
      </c>
      <c r="B5" s="8" t="s">
        <v>926</v>
      </c>
      <c r="C5" s="8" t="s">
        <v>273</v>
      </c>
      <c r="D5" s="8" t="s">
        <v>274</v>
      </c>
      <c r="E5" s="11" t="n">
        <v>20000</v>
      </c>
      <c r="F5" s="8" t="s">
        <v>11308</v>
      </c>
      <c r="G5" s="8" t="s">
        <v>2627</v>
      </c>
      <c r="H5" s="8" t="s">
        <v>11461</v>
      </c>
      <c r="I5" s="8"/>
      <c r="J5" s="8" t="s">
        <v>11462</v>
      </c>
    </row>
    <row r="6" customFormat="false" ht="15" hidden="false" customHeight="true" outlineLevel="0" collapsed="false">
      <c r="A6" s="8" t="s">
        <v>11460</v>
      </c>
      <c r="B6" s="8" t="s">
        <v>926</v>
      </c>
      <c r="C6" s="8" t="s">
        <v>230</v>
      </c>
      <c r="D6" s="8" t="s">
        <v>231</v>
      </c>
      <c r="E6" s="11" t="n">
        <v>25000</v>
      </c>
      <c r="F6" s="8" t="s">
        <v>11322</v>
      </c>
      <c r="G6" s="8" t="s">
        <v>11463</v>
      </c>
      <c r="H6" s="8" t="s">
        <v>11461</v>
      </c>
      <c r="I6" s="8"/>
      <c r="J6" s="8" t="s">
        <v>11462</v>
      </c>
    </row>
    <row r="7" customFormat="false" ht="15" hidden="false" customHeight="true" outlineLevel="0" collapsed="false">
      <c r="A7" s="8" t="s">
        <v>11460</v>
      </c>
      <c r="B7" s="8" t="s">
        <v>926</v>
      </c>
      <c r="C7" s="8" t="s">
        <v>657</v>
      </c>
      <c r="D7" s="8" t="s">
        <v>246</v>
      </c>
      <c r="E7" s="11" t="n">
        <v>10000</v>
      </c>
      <c r="F7" s="8" t="s">
        <v>11308</v>
      </c>
      <c r="G7" s="8" t="s">
        <v>2635</v>
      </c>
      <c r="H7" s="8" t="s">
        <v>11461</v>
      </c>
      <c r="I7" s="8"/>
      <c r="J7" s="8" t="s">
        <v>11462</v>
      </c>
    </row>
    <row r="8" customFormat="false" ht="15" hidden="false" customHeight="true" outlineLevel="0" collapsed="false">
      <c r="A8" s="8" t="s">
        <v>11460</v>
      </c>
      <c r="B8" s="8" t="s">
        <v>926</v>
      </c>
      <c r="C8" s="8" t="s">
        <v>395</v>
      </c>
      <c r="D8" s="8" t="s">
        <v>396</v>
      </c>
      <c r="E8" s="11" t="n">
        <v>10000</v>
      </c>
      <c r="F8" s="8" t="s">
        <v>11308</v>
      </c>
      <c r="G8" s="8" t="s">
        <v>2636</v>
      </c>
      <c r="H8" s="8" t="s">
        <v>11461</v>
      </c>
      <c r="I8" s="8"/>
      <c r="J8" s="8" t="s">
        <v>11462</v>
      </c>
    </row>
    <row r="9" customFormat="false" ht="15" hidden="false" customHeight="true" outlineLevel="0" collapsed="false">
      <c r="A9" s="8" t="s">
        <v>11460</v>
      </c>
      <c r="B9" s="8" t="s">
        <v>926</v>
      </c>
      <c r="C9" s="8" t="s">
        <v>2632</v>
      </c>
      <c r="D9" s="8" t="s">
        <v>251</v>
      </c>
      <c r="E9" s="11" t="n">
        <v>10000</v>
      </c>
      <c r="F9" s="8" t="s">
        <v>11319</v>
      </c>
      <c r="G9" s="8" t="s">
        <v>2634</v>
      </c>
      <c r="H9" s="8" t="s">
        <v>11461</v>
      </c>
      <c r="I9" s="8"/>
      <c r="J9" s="8" t="s">
        <v>11462</v>
      </c>
    </row>
    <row r="10" customFormat="false" ht="15" hidden="false" customHeight="true" outlineLevel="0" collapsed="false">
      <c r="A10" s="8" t="s">
        <v>11460</v>
      </c>
      <c r="B10" s="8" t="s">
        <v>926</v>
      </c>
      <c r="C10" s="8" t="s">
        <v>400</v>
      </c>
      <c r="D10" s="8" t="s">
        <v>401</v>
      </c>
      <c r="E10" s="11" t="n">
        <v>15000</v>
      </c>
      <c r="F10" s="8" t="s">
        <v>11308</v>
      </c>
      <c r="G10" s="8" t="s">
        <v>2629</v>
      </c>
      <c r="H10" s="8" t="s">
        <v>11461</v>
      </c>
      <c r="I10" s="8"/>
      <c r="J10" s="8" t="s">
        <v>11462</v>
      </c>
    </row>
    <row r="11" customFormat="false" ht="15" hidden="false" customHeight="true" outlineLevel="0" collapsed="false">
      <c r="A11" s="8" t="s">
        <v>11460</v>
      </c>
      <c r="B11" s="8" t="s">
        <v>957</v>
      </c>
      <c r="C11" s="8" t="s">
        <v>235</v>
      </c>
      <c r="D11" s="8" t="s">
        <v>236</v>
      </c>
      <c r="E11" s="11" t="n">
        <v>15000</v>
      </c>
      <c r="F11" s="8" t="s">
        <v>11313</v>
      </c>
      <c r="G11" s="8" t="s">
        <v>11464</v>
      </c>
      <c r="H11" s="8" t="s">
        <v>11461</v>
      </c>
      <c r="I11" s="8"/>
      <c r="J11" s="8" t="s">
        <v>11465</v>
      </c>
    </row>
    <row r="12" customFormat="false" ht="15" hidden="false" customHeight="true" outlineLevel="0" collapsed="false">
      <c r="A12" s="8" t="s">
        <v>11460</v>
      </c>
      <c r="B12" s="8" t="s">
        <v>957</v>
      </c>
      <c r="C12" s="8" t="s">
        <v>235</v>
      </c>
      <c r="D12" s="8" t="s">
        <v>236</v>
      </c>
      <c r="E12" s="11" t="n">
        <v>15000</v>
      </c>
      <c r="F12" s="8" t="s">
        <v>11313</v>
      </c>
      <c r="G12" s="8" t="s">
        <v>11466</v>
      </c>
      <c r="H12" s="8" t="s">
        <v>11461</v>
      </c>
      <c r="I12" s="8"/>
      <c r="J12" s="8" t="s">
        <v>11467</v>
      </c>
    </row>
    <row r="13" customFormat="false" ht="15" hidden="false" customHeight="true" outlineLevel="0" collapsed="false">
      <c r="A13" s="8" t="s">
        <v>11460</v>
      </c>
      <c r="B13" s="8" t="s">
        <v>957</v>
      </c>
      <c r="C13" s="8" t="s">
        <v>321</v>
      </c>
      <c r="D13" s="8" t="s">
        <v>322</v>
      </c>
      <c r="E13" s="11" t="n">
        <v>10000</v>
      </c>
      <c r="F13" s="8" t="s">
        <v>11313</v>
      </c>
      <c r="G13" s="8" t="s">
        <v>2644</v>
      </c>
      <c r="H13" s="8" t="s">
        <v>11461</v>
      </c>
      <c r="I13" s="8"/>
      <c r="J13" s="8" t="s">
        <v>11468</v>
      </c>
    </row>
    <row r="14" customFormat="false" ht="15" hidden="false" customHeight="true" outlineLevel="0" collapsed="false">
      <c r="A14" s="8" t="s">
        <v>11460</v>
      </c>
      <c r="B14" s="8" t="s">
        <v>957</v>
      </c>
      <c r="C14" s="8" t="s">
        <v>215</v>
      </c>
      <c r="D14" s="8" t="s">
        <v>216</v>
      </c>
      <c r="E14" s="11" t="n">
        <v>15000</v>
      </c>
      <c r="F14" s="8" t="s">
        <v>11313</v>
      </c>
      <c r="G14" s="8" t="s">
        <v>2638</v>
      </c>
      <c r="H14" s="8" t="s">
        <v>11461</v>
      </c>
      <c r="I14" s="8"/>
      <c r="J14" s="8" t="s">
        <v>11469</v>
      </c>
    </row>
    <row r="15" customFormat="false" ht="15" hidden="false" customHeight="true" outlineLevel="0" collapsed="false">
      <c r="A15" s="8" t="s">
        <v>11460</v>
      </c>
      <c r="B15" s="8" t="s">
        <v>957</v>
      </c>
      <c r="C15" s="8" t="s">
        <v>215</v>
      </c>
      <c r="D15" s="8" t="s">
        <v>216</v>
      </c>
      <c r="E15" s="11" t="n">
        <v>15000</v>
      </c>
      <c r="F15" s="8" t="s">
        <v>11313</v>
      </c>
      <c r="G15" s="8" t="s">
        <v>2639</v>
      </c>
      <c r="H15" s="8" t="s">
        <v>11461</v>
      </c>
      <c r="I15" s="8"/>
      <c r="J15" s="8" t="s">
        <v>11470</v>
      </c>
    </row>
    <row r="16" customFormat="false" ht="15" hidden="false" customHeight="true" outlineLevel="0" collapsed="false">
      <c r="A16" s="8" t="s">
        <v>11460</v>
      </c>
      <c r="B16" s="8" t="s">
        <v>957</v>
      </c>
      <c r="C16" s="8" t="s">
        <v>657</v>
      </c>
      <c r="D16" s="8" t="s">
        <v>246</v>
      </c>
      <c r="E16" s="11" t="n">
        <v>15000</v>
      </c>
      <c r="F16" s="8" t="s">
        <v>11313</v>
      </c>
      <c r="G16" s="8" t="s">
        <v>2640</v>
      </c>
      <c r="H16" s="8" t="s">
        <v>11461</v>
      </c>
      <c r="I16" s="8"/>
      <c r="J16" s="8" t="s">
        <v>11471</v>
      </c>
    </row>
    <row r="17" customFormat="false" ht="15" hidden="false" customHeight="true" outlineLevel="0" collapsed="false">
      <c r="A17" s="8" t="s">
        <v>11460</v>
      </c>
      <c r="B17" s="8" t="s">
        <v>957</v>
      </c>
      <c r="C17" s="8" t="s">
        <v>309</v>
      </c>
      <c r="D17" s="8" t="s">
        <v>310</v>
      </c>
      <c r="E17" s="11" t="n">
        <v>10000</v>
      </c>
      <c r="F17" s="8" t="s">
        <v>11313</v>
      </c>
      <c r="G17" s="8" t="s">
        <v>2645</v>
      </c>
      <c r="H17" s="8" t="s">
        <v>11461</v>
      </c>
      <c r="I17" s="8"/>
      <c r="J17" s="8" t="s">
        <v>11472</v>
      </c>
    </row>
    <row r="18" customFormat="false" ht="15" hidden="false" customHeight="true" outlineLevel="0" collapsed="false">
      <c r="A18" s="8" t="s">
        <v>11460</v>
      </c>
      <c r="B18" s="8" t="s">
        <v>957</v>
      </c>
      <c r="C18" s="8" t="s">
        <v>1095</v>
      </c>
      <c r="D18" s="8" t="s">
        <v>278</v>
      </c>
      <c r="E18" s="11" t="n">
        <v>15000</v>
      </c>
      <c r="F18" s="8" t="s">
        <v>11313</v>
      </c>
      <c r="G18" s="8" t="s">
        <v>2641</v>
      </c>
      <c r="H18" s="8" t="s">
        <v>11461</v>
      </c>
      <c r="I18" s="8"/>
      <c r="J18" s="8" t="s">
        <v>11473</v>
      </c>
    </row>
    <row r="19" customFormat="false" ht="15" hidden="false" customHeight="true" outlineLevel="0" collapsed="false">
      <c r="A19" s="8" t="s">
        <v>11460</v>
      </c>
      <c r="B19" s="8" t="s">
        <v>945</v>
      </c>
      <c r="C19" s="8" t="s">
        <v>273</v>
      </c>
      <c r="D19" s="8" t="s">
        <v>274</v>
      </c>
      <c r="E19" s="11" t="n">
        <v>10000</v>
      </c>
      <c r="F19" s="8" t="s">
        <v>11318</v>
      </c>
      <c r="G19" s="8"/>
      <c r="H19" s="8" t="s">
        <v>11461</v>
      </c>
      <c r="I19" s="8"/>
      <c r="J19" s="8" t="s">
        <v>11474</v>
      </c>
    </row>
    <row r="20" customFormat="false" ht="15" hidden="false" customHeight="true" outlineLevel="0" collapsed="false">
      <c r="A20" s="8" t="s">
        <v>11460</v>
      </c>
      <c r="B20" s="8" t="s">
        <v>945</v>
      </c>
      <c r="C20" s="8" t="s">
        <v>225</v>
      </c>
      <c r="D20" s="8" t="s">
        <v>226</v>
      </c>
      <c r="E20" s="11" t="n">
        <v>30000</v>
      </c>
      <c r="F20" s="8" t="s">
        <v>11308</v>
      </c>
      <c r="G20" s="8" t="s">
        <v>2647</v>
      </c>
      <c r="H20" s="8" t="s">
        <v>11461</v>
      </c>
      <c r="I20" s="8"/>
      <c r="J20" s="8" t="s">
        <v>11475</v>
      </c>
    </row>
    <row r="21" customFormat="false" ht="15" hidden="false" customHeight="true" outlineLevel="0" collapsed="false">
      <c r="A21" s="8" t="s">
        <v>11460</v>
      </c>
      <c r="B21" s="8" t="s">
        <v>945</v>
      </c>
      <c r="C21" s="8" t="s">
        <v>489</v>
      </c>
      <c r="D21" s="8" t="s">
        <v>490</v>
      </c>
      <c r="E21" s="11" t="n">
        <v>5000</v>
      </c>
      <c r="F21" s="8" t="s">
        <v>11308</v>
      </c>
      <c r="G21" s="8" t="s">
        <v>2627</v>
      </c>
      <c r="H21" s="8" t="s">
        <v>11461</v>
      </c>
      <c r="I21" s="8"/>
      <c r="J21" s="8" t="s">
        <v>11476</v>
      </c>
    </row>
    <row r="22" customFormat="false" ht="15" hidden="false" customHeight="true" outlineLevel="0" collapsed="false">
      <c r="A22" s="8" t="s">
        <v>11460</v>
      </c>
      <c r="B22" s="8" t="s">
        <v>945</v>
      </c>
      <c r="C22" s="8" t="s">
        <v>1228</v>
      </c>
      <c r="D22" s="8" t="s">
        <v>495</v>
      </c>
      <c r="E22" s="11" t="n">
        <v>5000</v>
      </c>
      <c r="F22" s="8" t="s">
        <v>11308</v>
      </c>
      <c r="G22" s="8" t="s">
        <v>2649</v>
      </c>
      <c r="H22" s="8" t="s">
        <v>11461</v>
      </c>
      <c r="I22" s="8"/>
      <c r="J22" s="8" t="s">
        <v>11477</v>
      </c>
    </row>
    <row r="23" customFormat="false" ht="15" hidden="false" customHeight="true" outlineLevel="0" collapsed="false">
      <c r="A23" s="8" t="s">
        <v>11460</v>
      </c>
      <c r="B23" s="8" t="s">
        <v>3111</v>
      </c>
      <c r="C23" s="8" t="s">
        <v>168</v>
      </c>
      <c r="D23" s="8" t="s">
        <v>222</v>
      </c>
      <c r="E23" s="11" t="n">
        <v>80000</v>
      </c>
      <c r="F23" s="8" t="s">
        <v>11308</v>
      </c>
      <c r="G23" s="8" t="s">
        <v>2627</v>
      </c>
      <c r="H23" s="8" t="s">
        <v>11461</v>
      </c>
      <c r="I23" s="8"/>
      <c r="J23" s="8" t="s">
        <v>11478</v>
      </c>
    </row>
    <row r="24" customFormat="false" ht="15" hidden="false" customHeight="true" outlineLevel="0" collapsed="false">
      <c r="A24" s="8" t="s">
        <v>11460</v>
      </c>
      <c r="B24" s="8" t="s">
        <v>3111</v>
      </c>
      <c r="C24" s="8" t="s">
        <v>326</v>
      </c>
      <c r="D24" s="8" t="s">
        <v>327</v>
      </c>
      <c r="E24" s="11" t="n">
        <v>20000</v>
      </c>
      <c r="F24" s="8" t="s">
        <v>11305</v>
      </c>
      <c r="G24" s="8" t="s">
        <v>2703</v>
      </c>
      <c r="H24" s="8" t="s">
        <v>11461</v>
      </c>
      <c r="I24" s="8"/>
      <c r="J24" s="8" t="s">
        <v>11479</v>
      </c>
    </row>
    <row r="25" customFormat="false" ht="15" hidden="false" customHeight="true" outlineLevel="0" collapsed="false">
      <c r="A25" s="8" t="s">
        <v>11460</v>
      </c>
      <c r="B25" s="8" t="s">
        <v>1938</v>
      </c>
      <c r="C25" s="8" t="s">
        <v>260</v>
      </c>
      <c r="D25" s="8" t="s">
        <v>261</v>
      </c>
      <c r="E25" s="11" t="n">
        <v>20000</v>
      </c>
      <c r="F25" s="8" t="s">
        <v>11319</v>
      </c>
      <c r="G25" s="8"/>
      <c r="H25" s="8" t="s">
        <v>11461</v>
      </c>
      <c r="I25" s="8"/>
      <c r="J25" s="8" t="s">
        <v>11480</v>
      </c>
    </row>
    <row r="26" customFormat="false" ht="15" hidden="false" customHeight="true" outlineLevel="0" collapsed="false">
      <c r="A26" s="8" t="s">
        <v>11460</v>
      </c>
      <c r="B26" s="8" t="s">
        <v>1938</v>
      </c>
      <c r="C26" s="8" t="s">
        <v>281</v>
      </c>
      <c r="D26" s="8" t="s">
        <v>282</v>
      </c>
      <c r="E26" s="11" t="n">
        <v>20000</v>
      </c>
      <c r="F26" s="8" t="s">
        <v>11308</v>
      </c>
      <c r="G26" s="8" t="s">
        <v>2662</v>
      </c>
      <c r="H26" s="8" t="s">
        <v>11461</v>
      </c>
      <c r="I26" s="8"/>
      <c r="J26" s="8" t="s">
        <v>11480</v>
      </c>
    </row>
    <row r="27" customFormat="false" ht="15" hidden="false" customHeight="true" outlineLevel="0" collapsed="false">
      <c r="A27" s="8" t="s">
        <v>11460</v>
      </c>
      <c r="B27" s="8" t="s">
        <v>1938</v>
      </c>
      <c r="C27" s="8" t="s">
        <v>328</v>
      </c>
      <c r="D27" s="8" t="s">
        <v>329</v>
      </c>
      <c r="E27" s="11" t="n">
        <v>20000</v>
      </c>
      <c r="F27" s="8" t="s">
        <v>11308</v>
      </c>
      <c r="G27" s="8" t="s">
        <v>11481</v>
      </c>
      <c r="H27" s="8" t="s">
        <v>11461</v>
      </c>
      <c r="I27" s="8"/>
      <c r="J27" s="8" t="s">
        <v>11480</v>
      </c>
    </row>
    <row r="28" customFormat="false" ht="15" hidden="false" customHeight="true" outlineLevel="0" collapsed="false">
      <c r="A28" s="8" t="s">
        <v>11460</v>
      </c>
      <c r="B28" s="8" t="s">
        <v>1938</v>
      </c>
      <c r="C28" s="8" t="s">
        <v>285</v>
      </c>
      <c r="D28" s="8" t="s">
        <v>286</v>
      </c>
      <c r="E28" s="11" t="n">
        <v>20000</v>
      </c>
      <c r="F28" s="8" t="s">
        <v>11308</v>
      </c>
      <c r="G28" s="8" t="s">
        <v>2655</v>
      </c>
      <c r="H28" s="8" t="s">
        <v>11461</v>
      </c>
      <c r="I28" s="8"/>
      <c r="J28" s="8" t="s">
        <v>11480</v>
      </c>
    </row>
    <row r="29" customFormat="false" ht="15" hidden="false" customHeight="true" outlineLevel="0" collapsed="false">
      <c r="A29" s="8" t="s">
        <v>11460</v>
      </c>
      <c r="B29" s="8" t="s">
        <v>1938</v>
      </c>
      <c r="C29" s="8" t="s">
        <v>290</v>
      </c>
      <c r="D29" s="8" t="s">
        <v>291</v>
      </c>
      <c r="E29" s="11" t="n">
        <v>20000</v>
      </c>
      <c r="F29" s="8" t="s">
        <v>11319</v>
      </c>
      <c r="G29" s="8" t="s">
        <v>2657</v>
      </c>
      <c r="H29" s="8" t="s">
        <v>11461</v>
      </c>
      <c r="I29" s="8"/>
      <c r="J29" s="8" t="s">
        <v>11480</v>
      </c>
    </row>
    <row r="30" customFormat="false" ht="15" hidden="false" customHeight="true" outlineLevel="0" collapsed="false">
      <c r="A30" s="8" t="s">
        <v>11460</v>
      </c>
      <c r="B30" s="8" t="s">
        <v>1938</v>
      </c>
      <c r="C30" s="8" t="s">
        <v>332</v>
      </c>
      <c r="D30" s="8" t="s">
        <v>333</v>
      </c>
      <c r="E30" s="11" t="n">
        <v>20000</v>
      </c>
      <c r="F30" s="8" t="s">
        <v>11319</v>
      </c>
      <c r="G30" s="8" t="s">
        <v>2674</v>
      </c>
      <c r="H30" s="8" t="s">
        <v>11461</v>
      </c>
      <c r="I30" s="8"/>
      <c r="J30" s="8" t="s">
        <v>11480</v>
      </c>
    </row>
    <row r="31" customFormat="false" ht="15" hidden="false" customHeight="true" outlineLevel="0" collapsed="false">
      <c r="A31" s="8" t="s">
        <v>11460</v>
      </c>
      <c r="B31" s="8" t="s">
        <v>1938</v>
      </c>
      <c r="C31" s="8" t="s">
        <v>293</v>
      </c>
      <c r="D31" s="8" t="s">
        <v>294</v>
      </c>
      <c r="E31" s="11" t="n">
        <v>20000</v>
      </c>
      <c r="F31" s="8" t="s">
        <v>11319</v>
      </c>
      <c r="G31" s="8" t="s">
        <v>2656</v>
      </c>
      <c r="H31" s="8" t="s">
        <v>11461</v>
      </c>
      <c r="I31" s="8"/>
      <c r="J31" s="8" t="s">
        <v>11480</v>
      </c>
    </row>
    <row r="32" customFormat="false" ht="15" hidden="false" customHeight="true" outlineLevel="0" collapsed="false">
      <c r="A32" s="8" t="s">
        <v>11460</v>
      </c>
      <c r="B32" s="8" t="s">
        <v>1938</v>
      </c>
      <c r="C32" s="8" t="s">
        <v>336</v>
      </c>
      <c r="D32" s="8" t="s">
        <v>337</v>
      </c>
      <c r="E32" s="11" t="n">
        <v>20000</v>
      </c>
      <c r="F32" s="8" t="s">
        <v>11319</v>
      </c>
      <c r="G32" s="8" t="s">
        <v>2672</v>
      </c>
      <c r="H32" s="8" t="s">
        <v>11461</v>
      </c>
      <c r="I32" s="8"/>
      <c r="J32" s="8" t="s">
        <v>11480</v>
      </c>
    </row>
    <row r="33" customFormat="false" ht="15" hidden="false" customHeight="true" outlineLevel="0" collapsed="false">
      <c r="A33" s="8" t="s">
        <v>11460</v>
      </c>
      <c r="B33" s="8" t="s">
        <v>1938</v>
      </c>
      <c r="C33" s="8" t="s">
        <v>340</v>
      </c>
      <c r="D33" s="8" t="s">
        <v>341</v>
      </c>
      <c r="E33" s="11" t="n">
        <v>20000</v>
      </c>
      <c r="F33" s="8" t="s">
        <v>11319</v>
      </c>
      <c r="G33" s="8" t="s">
        <v>2659</v>
      </c>
      <c r="H33" s="8" t="s">
        <v>11461</v>
      </c>
      <c r="I33" s="8"/>
      <c r="J33" s="8" t="s">
        <v>11480</v>
      </c>
    </row>
    <row r="34" customFormat="false" ht="15" hidden="false" customHeight="true" outlineLevel="0" collapsed="false">
      <c r="A34" s="8" t="s">
        <v>11460</v>
      </c>
      <c r="B34" s="8" t="s">
        <v>1938</v>
      </c>
      <c r="C34" s="8" t="s">
        <v>296</v>
      </c>
      <c r="D34" s="8" t="s">
        <v>297</v>
      </c>
      <c r="E34" s="11" t="n">
        <v>20000</v>
      </c>
      <c r="F34" s="8" t="s">
        <v>11319</v>
      </c>
      <c r="G34" s="8" t="s">
        <v>2653</v>
      </c>
      <c r="H34" s="8" t="s">
        <v>11461</v>
      </c>
      <c r="I34" s="8"/>
      <c r="J34" s="8" t="s">
        <v>11480</v>
      </c>
    </row>
    <row r="35" customFormat="false" ht="15" hidden="false" customHeight="true" outlineLevel="0" collapsed="false">
      <c r="A35" s="8" t="s">
        <v>11460</v>
      </c>
      <c r="B35" s="8" t="s">
        <v>1938</v>
      </c>
      <c r="C35" s="8" t="s">
        <v>2632</v>
      </c>
      <c r="D35" s="8" t="s">
        <v>251</v>
      </c>
      <c r="E35" s="11" t="n">
        <v>20000</v>
      </c>
      <c r="F35" s="8" t="s">
        <v>11319</v>
      </c>
      <c r="G35" s="8" t="s">
        <v>2663</v>
      </c>
      <c r="H35" s="8" t="s">
        <v>11461</v>
      </c>
      <c r="I35" s="8"/>
      <c r="J35" s="8" t="s">
        <v>11480</v>
      </c>
    </row>
    <row r="36" customFormat="false" ht="15" hidden="false" customHeight="true" outlineLevel="0" collapsed="false">
      <c r="A36" s="8" t="s">
        <v>11460</v>
      </c>
      <c r="B36" s="8" t="s">
        <v>1938</v>
      </c>
      <c r="C36" s="8" t="s">
        <v>343</v>
      </c>
      <c r="D36" s="8" t="s">
        <v>344</v>
      </c>
      <c r="E36" s="11" t="n">
        <v>20000</v>
      </c>
      <c r="F36" s="8" t="s">
        <v>11319</v>
      </c>
      <c r="G36" s="8" t="s">
        <v>2665</v>
      </c>
      <c r="H36" s="8" t="s">
        <v>11461</v>
      </c>
      <c r="I36" s="8"/>
      <c r="J36" s="8" t="s">
        <v>11480</v>
      </c>
    </row>
    <row r="37" customFormat="false" ht="15" hidden="false" customHeight="true" outlineLevel="0" collapsed="false">
      <c r="A37" s="8" t="s">
        <v>11460</v>
      </c>
      <c r="B37" s="8" t="s">
        <v>1938</v>
      </c>
      <c r="C37" s="8" t="s">
        <v>902</v>
      </c>
      <c r="D37" s="8" t="s">
        <v>266</v>
      </c>
      <c r="E37" s="11" t="n">
        <v>20000</v>
      </c>
      <c r="F37" s="8" t="s">
        <v>11319</v>
      </c>
      <c r="G37" s="8" t="s">
        <v>2654</v>
      </c>
      <c r="H37" s="8" t="s">
        <v>11461</v>
      </c>
      <c r="I37" s="8"/>
      <c r="J37" s="8" t="s">
        <v>11480</v>
      </c>
    </row>
    <row r="38" customFormat="false" ht="15" hidden="false" customHeight="true" outlineLevel="0" collapsed="false">
      <c r="A38" s="8" t="s">
        <v>11460</v>
      </c>
      <c r="B38" s="8" t="s">
        <v>1938</v>
      </c>
      <c r="C38" s="8" t="s">
        <v>902</v>
      </c>
      <c r="D38" s="8" t="s">
        <v>266</v>
      </c>
      <c r="E38" s="11" t="n">
        <v>20000</v>
      </c>
      <c r="F38" s="8" t="s">
        <v>11319</v>
      </c>
      <c r="G38" s="8" t="s">
        <v>2666</v>
      </c>
      <c r="H38" s="8" t="s">
        <v>11461</v>
      </c>
      <c r="I38" s="8"/>
      <c r="J38" s="8" t="s">
        <v>11480</v>
      </c>
    </row>
    <row r="39" customFormat="false" ht="15" hidden="false" customHeight="true" outlineLevel="0" collapsed="false">
      <c r="A39" s="8" t="s">
        <v>11460</v>
      </c>
      <c r="B39" s="8" t="s">
        <v>1938</v>
      </c>
      <c r="C39" s="8" t="s">
        <v>346</v>
      </c>
      <c r="D39" s="8" t="s">
        <v>347</v>
      </c>
      <c r="E39" s="11" t="n">
        <v>20000</v>
      </c>
      <c r="F39" s="8" t="s">
        <v>11319</v>
      </c>
      <c r="G39" s="8" t="s">
        <v>2653</v>
      </c>
      <c r="H39" s="8" t="s">
        <v>11461</v>
      </c>
      <c r="I39" s="8"/>
      <c r="J39" s="8" t="s">
        <v>11480</v>
      </c>
    </row>
    <row r="40" customFormat="false" ht="15" hidden="false" customHeight="true" outlineLevel="0" collapsed="false">
      <c r="A40" s="8" t="s">
        <v>11460</v>
      </c>
      <c r="B40" s="8" t="s">
        <v>1938</v>
      </c>
      <c r="C40" s="8" t="s">
        <v>350</v>
      </c>
      <c r="D40" s="8" t="s">
        <v>351</v>
      </c>
      <c r="E40" s="11" t="n">
        <v>20000</v>
      </c>
      <c r="F40" s="8" t="s">
        <v>11319</v>
      </c>
      <c r="G40" s="8" t="s">
        <v>2664</v>
      </c>
      <c r="H40" s="8" t="s">
        <v>11461</v>
      </c>
      <c r="I40" s="8"/>
      <c r="J40" s="8" t="s">
        <v>11480</v>
      </c>
    </row>
    <row r="41" customFormat="false" ht="15" hidden="false" customHeight="true" outlineLevel="0" collapsed="false">
      <c r="A41" s="8" t="s">
        <v>11460</v>
      </c>
      <c r="B41" s="8" t="s">
        <v>1938</v>
      </c>
      <c r="C41" s="8" t="s">
        <v>353</v>
      </c>
      <c r="D41" s="8" t="s">
        <v>354</v>
      </c>
      <c r="E41" s="11" t="n">
        <v>20000</v>
      </c>
      <c r="F41" s="8" t="s">
        <v>11319</v>
      </c>
      <c r="G41" s="8" t="s">
        <v>11482</v>
      </c>
      <c r="H41" s="8" t="s">
        <v>11461</v>
      </c>
      <c r="I41" s="8"/>
      <c r="J41" s="8" t="s">
        <v>11480</v>
      </c>
    </row>
    <row r="42" customFormat="false" ht="15" hidden="false" customHeight="true" outlineLevel="0" collapsed="false">
      <c r="A42" s="8" t="s">
        <v>11460</v>
      </c>
      <c r="B42" s="8" t="s">
        <v>691</v>
      </c>
      <c r="C42" s="8" t="s">
        <v>260</v>
      </c>
      <c r="D42" s="8" t="s">
        <v>261</v>
      </c>
      <c r="E42" s="11" t="n">
        <v>10000</v>
      </c>
      <c r="F42" s="8" t="s">
        <v>11319</v>
      </c>
      <c r="G42" s="8" t="s">
        <v>11483</v>
      </c>
      <c r="H42" s="8" t="s">
        <v>11461</v>
      </c>
      <c r="I42" s="8"/>
      <c r="J42" s="8" t="s">
        <v>11484</v>
      </c>
    </row>
    <row r="43" customFormat="false" ht="15" hidden="false" customHeight="true" outlineLevel="0" collapsed="false">
      <c r="A43" s="8" t="s">
        <v>11460</v>
      </c>
      <c r="B43" s="8" t="s">
        <v>691</v>
      </c>
      <c r="C43" s="8" t="s">
        <v>281</v>
      </c>
      <c r="D43" s="8" t="s">
        <v>282</v>
      </c>
      <c r="E43" s="11" t="n">
        <v>10000</v>
      </c>
      <c r="F43" s="8" t="s">
        <v>11308</v>
      </c>
      <c r="G43" s="8" t="s">
        <v>2627</v>
      </c>
      <c r="H43" s="8" t="s">
        <v>11461</v>
      </c>
      <c r="I43" s="8"/>
      <c r="J43" s="8" t="s">
        <v>11484</v>
      </c>
    </row>
    <row r="44" customFormat="false" ht="15" hidden="false" customHeight="true" outlineLevel="0" collapsed="false">
      <c r="A44" s="8" t="s">
        <v>11460</v>
      </c>
      <c r="B44" s="8" t="s">
        <v>691</v>
      </c>
      <c r="C44" s="8" t="s">
        <v>1127</v>
      </c>
      <c r="D44" s="8" t="s">
        <v>357</v>
      </c>
      <c r="E44" s="11" t="n">
        <v>15000</v>
      </c>
      <c r="F44" s="8" t="s">
        <v>11319</v>
      </c>
      <c r="G44" s="8"/>
      <c r="H44" s="8" t="s">
        <v>11461</v>
      </c>
      <c r="I44" s="8"/>
      <c r="J44" s="8" t="s">
        <v>11484</v>
      </c>
    </row>
    <row r="45" customFormat="false" ht="15" hidden="false" customHeight="true" outlineLevel="0" collapsed="false">
      <c r="A45" s="8" t="s">
        <v>11460</v>
      </c>
      <c r="B45" s="8" t="s">
        <v>691</v>
      </c>
      <c r="C45" s="8" t="s">
        <v>427</v>
      </c>
      <c r="D45" s="8" t="s">
        <v>428</v>
      </c>
      <c r="E45" s="11" t="n">
        <v>10000</v>
      </c>
      <c r="F45" s="8" t="s">
        <v>11319</v>
      </c>
      <c r="G45" s="8" t="s">
        <v>2680</v>
      </c>
      <c r="H45" s="8" t="s">
        <v>11461</v>
      </c>
      <c r="I45" s="8"/>
      <c r="J45" s="8" t="s">
        <v>11484</v>
      </c>
    </row>
    <row r="46" customFormat="false" ht="15" hidden="false" customHeight="true" outlineLevel="0" collapsed="false">
      <c r="A46" s="8" t="s">
        <v>11460</v>
      </c>
      <c r="B46" s="8" t="s">
        <v>691</v>
      </c>
      <c r="C46" s="8" t="s">
        <v>290</v>
      </c>
      <c r="D46" s="8" t="s">
        <v>291</v>
      </c>
      <c r="E46" s="11" t="n">
        <v>10000</v>
      </c>
      <c r="F46" s="8" t="s">
        <v>11319</v>
      </c>
      <c r="G46" s="8"/>
      <c r="H46" s="8" t="s">
        <v>11461</v>
      </c>
      <c r="I46" s="8"/>
      <c r="J46" s="8" t="s">
        <v>11484</v>
      </c>
    </row>
    <row r="47" customFormat="false" ht="15" hidden="false" customHeight="true" outlineLevel="0" collapsed="false">
      <c r="A47" s="8" t="s">
        <v>11460</v>
      </c>
      <c r="B47" s="8" t="s">
        <v>691</v>
      </c>
      <c r="C47" s="8" t="s">
        <v>657</v>
      </c>
      <c r="D47" s="8" t="s">
        <v>246</v>
      </c>
      <c r="E47" s="11" t="n">
        <v>10000</v>
      </c>
      <c r="F47" s="8" t="s">
        <v>11308</v>
      </c>
      <c r="G47" s="8"/>
      <c r="H47" s="8" t="s">
        <v>11461</v>
      </c>
      <c r="I47" s="8"/>
      <c r="J47" s="8" t="s">
        <v>11484</v>
      </c>
    </row>
    <row r="48" customFormat="false" ht="15" hidden="false" customHeight="true" outlineLevel="0" collapsed="false">
      <c r="A48" s="8" t="s">
        <v>11460</v>
      </c>
      <c r="B48" s="8" t="s">
        <v>691</v>
      </c>
      <c r="C48" s="8" t="s">
        <v>431</v>
      </c>
      <c r="D48" s="8" t="s">
        <v>432</v>
      </c>
      <c r="E48" s="11" t="n">
        <v>10000</v>
      </c>
      <c r="F48" s="8" t="s">
        <v>11319</v>
      </c>
      <c r="G48" s="8" t="s">
        <v>2679</v>
      </c>
      <c r="H48" s="8" t="s">
        <v>11461</v>
      </c>
      <c r="I48" s="8"/>
      <c r="J48" s="8" t="s">
        <v>11484</v>
      </c>
    </row>
    <row r="49" customFormat="false" ht="15" hidden="false" customHeight="true" outlineLevel="0" collapsed="false">
      <c r="A49" s="8" t="s">
        <v>11460</v>
      </c>
      <c r="B49" s="8" t="s">
        <v>691</v>
      </c>
      <c r="C49" s="8" t="s">
        <v>293</v>
      </c>
      <c r="D49" s="8" t="s">
        <v>294</v>
      </c>
      <c r="E49" s="11" t="n">
        <v>10000</v>
      </c>
      <c r="F49" s="8" t="s">
        <v>11319</v>
      </c>
      <c r="G49" s="8"/>
      <c r="H49" s="8" t="s">
        <v>11461</v>
      </c>
      <c r="I49" s="8"/>
      <c r="J49" s="8" t="s">
        <v>11484</v>
      </c>
    </row>
    <row r="50" customFormat="false" ht="15" hidden="false" customHeight="true" outlineLevel="0" collapsed="false">
      <c r="A50" s="8" t="s">
        <v>11460</v>
      </c>
      <c r="B50" s="8" t="s">
        <v>691</v>
      </c>
      <c r="C50" s="8" t="s">
        <v>435</v>
      </c>
      <c r="D50" s="8" t="s">
        <v>436</v>
      </c>
      <c r="E50" s="11" t="n">
        <v>10000</v>
      </c>
      <c r="F50" s="8" t="s">
        <v>11319</v>
      </c>
      <c r="G50" s="8" t="s">
        <v>11485</v>
      </c>
      <c r="H50" s="8" t="s">
        <v>11461</v>
      </c>
      <c r="I50" s="8"/>
      <c r="J50" s="8" t="s">
        <v>11484</v>
      </c>
    </row>
    <row r="51" customFormat="false" ht="15" hidden="false" customHeight="true" outlineLevel="0" collapsed="false">
      <c r="A51" s="8" t="s">
        <v>11460</v>
      </c>
      <c r="B51" s="8" t="s">
        <v>691</v>
      </c>
      <c r="C51" s="8" t="s">
        <v>2632</v>
      </c>
      <c r="D51" s="8" t="s">
        <v>251</v>
      </c>
      <c r="E51" s="11" t="n">
        <v>20000</v>
      </c>
      <c r="F51" s="8" t="s">
        <v>11319</v>
      </c>
      <c r="G51" s="8" t="s">
        <v>11486</v>
      </c>
      <c r="H51" s="8" t="s">
        <v>11461</v>
      </c>
      <c r="I51" s="8"/>
      <c r="J51" s="8" t="s">
        <v>11484</v>
      </c>
    </row>
    <row r="52" customFormat="false" ht="15" hidden="false" customHeight="true" outlineLevel="0" collapsed="false">
      <c r="A52" s="8" t="s">
        <v>11460</v>
      </c>
      <c r="B52" s="8" t="s">
        <v>691</v>
      </c>
      <c r="C52" s="8" t="s">
        <v>300</v>
      </c>
      <c r="D52" s="8" t="s">
        <v>301</v>
      </c>
      <c r="E52" s="11" t="n">
        <v>30000</v>
      </c>
      <c r="F52" s="8" t="s">
        <v>11319</v>
      </c>
      <c r="G52" s="8" t="s">
        <v>2627</v>
      </c>
      <c r="H52" s="8" t="s">
        <v>11461</v>
      </c>
      <c r="I52" s="8"/>
      <c r="J52" s="8" t="s">
        <v>11484</v>
      </c>
    </row>
    <row r="53" customFormat="false" ht="15" hidden="false" customHeight="true" outlineLevel="0" collapsed="false">
      <c r="A53" s="8" t="s">
        <v>11460</v>
      </c>
      <c r="B53" s="8" t="s">
        <v>11487</v>
      </c>
      <c r="C53" s="8" t="s">
        <v>360</v>
      </c>
      <c r="D53" s="8" t="s">
        <v>361</v>
      </c>
      <c r="E53" s="11" t="n">
        <v>20000</v>
      </c>
      <c r="F53" s="8" t="s">
        <v>11308</v>
      </c>
      <c r="G53" s="8" t="s">
        <v>11488</v>
      </c>
      <c r="H53" s="8" t="s">
        <v>11461</v>
      </c>
      <c r="I53" s="8"/>
      <c r="J53" s="8" t="s">
        <v>11489</v>
      </c>
    </row>
    <row r="54" customFormat="false" ht="15" hidden="false" customHeight="true" outlineLevel="0" collapsed="false">
      <c r="A54" s="8" t="s">
        <v>11460</v>
      </c>
      <c r="B54" s="8" t="s">
        <v>11487</v>
      </c>
      <c r="C54" s="8" t="s">
        <v>364</v>
      </c>
      <c r="D54" s="8" t="s">
        <v>365</v>
      </c>
      <c r="E54" s="11" t="n">
        <v>20000</v>
      </c>
      <c r="F54" s="8" t="s">
        <v>11308</v>
      </c>
      <c r="G54" s="8" t="s">
        <v>2663</v>
      </c>
      <c r="H54" s="8" t="s">
        <v>11461</v>
      </c>
      <c r="I54" s="8"/>
      <c r="J54" s="8" t="s">
        <v>11489</v>
      </c>
    </row>
    <row r="55" customFormat="false" ht="15" hidden="false" customHeight="true" outlineLevel="0" collapsed="false">
      <c r="A55" s="8" t="s">
        <v>11460</v>
      </c>
      <c r="B55" s="8" t="s">
        <v>11487</v>
      </c>
      <c r="C55" s="8" t="s">
        <v>2029</v>
      </c>
      <c r="D55" s="8" t="s">
        <v>305</v>
      </c>
      <c r="E55" s="11" t="n">
        <v>30000</v>
      </c>
      <c r="F55" s="8" t="s">
        <v>11308</v>
      </c>
      <c r="G55" s="8" t="s">
        <v>11490</v>
      </c>
      <c r="H55" s="8" t="s">
        <v>11461</v>
      </c>
      <c r="I55" s="8"/>
      <c r="J55" s="8" t="s">
        <v>11489</v>
      </c>
    </row>
    <row r="56" customFormat="false" ht="15" hidden="false" customHeight="true" outlineLevel="0" collapsed="false">
      <c r="A56" s="8" t="s">
        <v>11460</v>
      </c>
      <c r="B56" s="8" t="s">
        <v>11487</v>
      </c>
      <c r="C56" s="8" t="s">
        <v>718</v>
      </c>
      <c r="D56" s="8" t="s">
        <v>269</v>
      </c>
      <c r="E56" s="11" t="n">
        <v>20000</v>
      </c>
      <c r="F56" s="8" t="s">
        <v>11308</v>
      </c>
      <c r="G56" s="8" t="s">
        <v>2688</v>
      </c>
      <c r="H56" s="8" t="s">
        <v>11461</v>
      </c>
      <c r="I56" s="8"/>
      <c r="J56" s="8" t="s">
        <v>11489</v>
      </c>
    </row>
    <row r="57" customFormat="false" ht="15" hidden="false" customHeight="true" outlineLevel="0" collapsed="false">
      <c r="A57" s="8" t="s">
        <v>11460</v>
      </c>
      <c r="B57" s="8" t="s">
        <v>7649</v>
      </c>
      <c r="C57" s="8" t="s">
        <v>2695</v>
      </c>
      <c r="D57" s="8" t="s">
        <v>500</v>
      </c>
      <c r="E57" s="11" t="n">
        <v>5000</v>
      </c>
      <c r="F57" s="8" t="s">
        <v>11491</v>
      </c>
      <c r="G57" s="8" t="s">
        <v>11492</v>
      </c>
      <c r="H57" s="8" t="s">
        <v>11461</v>
      </c>
      <c r="I57" s="8"/>
      <c r="J57" s="8" t="s">
        <v>11493</v>
      </c>
    </row>
    <row r="58" customFormat="false" ht="15" hidden="false" customHeight="true" outlineLevel="0" collapsed="false">
      <c r="A58" s="8" t="s">
        <v>11460</v>
      </c>
      <c r="B58" s="8" t="s">
        <v>7649</v>
      </c>
      <c r="C58" s="8" t="s">
        <v>215</v>
      </c>
      <c r="D58" s="8" t="s">
        <v>216</v>
      </c>
      <c r="E58" s="11" t="n">
        <v>10000</v>
      </c>
      <c r="F58" s="8" t="s">
        <v>11491</v>
      </c>
      <c r="G58" s="8" t="s">
        <v>2627</v>
      </c>
      <c r="H58" s="8" t="s">
        <v>11461</v>
      </c>
      <c r="I58" s="8"/>
      <c r="J58" s="8" t="s">
        <v>11493</v>
      </c>
    </row>
    <row r="59" customFormat="false" ht="15" hidden="false" customHeight="true" outlineLevel="0" collapsed="false">
      <c r="A59" s="8" t="s">
        <v>11460</v>
      </c>
      <c r="B59" s="8" t="s">
        <v>7649</v>
      </c>
      <c r="C59" s="8" t="s">
        <v>145</v>
      </c>
      <c r="D59" s="8" t="s">
        <v>369</v>
      </c>
      <c r="E59" s="11" t="n">
        <v>20000</v>
      </c>
      <c r="F59" s="8" t="s">
        <v>11491</v>
      </c>
      <c r="G59" s="8" t="s">
        <v>2627</v>
      </c>
      <c r="H59" s="8" t="s">
        <v>11461</v>
      </c>
      <c r="I59" s="8"/>
      <c r="J59" s="8" t="s">
        <v>11493</v>
      </c>
    </row>
    <row r="60" customFormat="false" ht="15" hidden="false" customHeight="true" outlineLevel="0" collapsed="false">
      <c r="A60" s="8" t="s">
        <v>11460</v>
      </c>
      <c r="B60" s="8" t="s">
        <v>7649</v>
      </c>
      <c r="C60" s="8" t="s">
        <v>1202</v>
      </c>
      <c r="D60" s="8" t="s">
        <v>439</v>
      </c>
      <c r="E60" s="11" t="n">
        <v>10000</v>
      </c>
      <c r="F60" s="8" t="s">
        <v>11491</v>
      </c>
      <c r="G60" s="8" t="s">
        <v>2694</v>
      </c>
      <c r="H60" s="8" t="s">
        <v>11461</v>
      </c>
      <c r="I60" s="8"/>
      <c r="J60" s="8" t="s">
        <v>11493</v>
      </c>
    </row>
    <row r="61" customFormat="false" ht="15" hidden="false" customHeight="true" outlineLevel="0" collapsed="false">
      <c r="A61" s="8" t="s">
        <v>11460</v>
      </c>
      <c r="B61" s="8" t="s">
        <v>7649</v>
      </c>
      <c r="C61" s="8" t="s">
        <v>240</v>
      </c>
      <c r="D61" s="8" t="s">
        <v>241</v>
      </c>
      <c r="E61" s="11" t="n">
        <v>50000</v>
      </c>
      <c r="F61" s="8" t="s">
        <v>11491</v>
      </c>
      <c r="G61" s="8" t="s">
        <v>2627</v>
      </c>
      <c r="H61" s="8" t="s">
        <v>11461</v>
      </c>
      <c r="I61" s="8"/>
      <c r="J61" s="8" t="s">
        <v>11493</v>
      </c>
    </row>
    <row r="62" customFormat="false" ht="15" hidden="false" customHeight="true" outlineLevel="0" collapsed="false">
      <c r="A62" s="8" t="s">
        <v>11460</v>
      </c>
      <c r="B62" s="8" t="s">
        <v>7649</v>
      </c>
      <c r="C62" s="8" t="s">
        <v>372</v>
      </c>
      <c r="D62" s="8" t="s">
        <v>373</v>
      </c>
      <c r="E62" s="11" t="n">
        <v>20000</v>
      </c>
      <c r="F62" s="8" t="s">
        <v>11491</v>
      </c>
      <c r="G62" s="8" t="s">
        <v>2627</v>
      </c>
      <c r="H62" s="8" t="s">
        <v>11461</v>
      </c>
      <c r="I62" s="8"/>
      <c r="J62" s="8" t="s">
        <v>11493</v>
      </c>
    </row>
    <row r="63" customFormat="false" ht="15" hidden="false" customHeight="true" outlineLevel="0" collapsed="false">
      <c r="A63" s="8" t="s">
        <v>11460</v>
      </c>
      <c r="B63" s="8" t="s">
        <v>7649</v>
      </c>
      <c r="C63" s="8" t="s">
        <v>313</v>
      </c>
      <c r="D63" s="8" t="s">
        <v>314</v>
      </c>
      <c r="E63" s="11" t="n">
        <v>25000</v>
      </c>
      <c r="F63" s="8" t="s">
        <v>11491</v>
      </c>
      <c r="G63" s="8" t="s">
        <v>2627</v>
      </c>
      <c r="H63" s="8" t="s">
        <v>11461</v>
      </c>
      <c r="I63" s="8"/>
      <c r="J63" s="8" t="s">
        <v>11493</v>
      </c>
    </row>
    <row r="64" customFormat="false" ht="15" hidden="false" customHeight="true" outlineLevel="0" collapsed="false">
      <c r="A64" s="8" t="s">
        <v>11460</v>
      </c>
      <c r="B64" s="8" t="s">
        <v>7649</v>
      </c>
      <c r="C64" s="8" t="s">
        <v>1860</v>
      </c>
      <c r="D64" s="8" t="s">
        <v>377</v>
      </c>
      <c r="E64" s="11" t="n">
        <v>20000</v>
      </c>
      <c r="F64" s="8" t="s">
        <v>11491</v>
      </c>
      <c r="G64" s="8" t="s">
        <v>2627</v>
      </c>
      <c r="H64" s="8" t="s">
        <v>11461</v>
      </c>
      <c r="I64" s="8"/>
      <c r="J64" s="8" t="s">
        <v>11493</v>
      </c>
    </row>
    <row r="65" customFormat="false" ht="15" hidden="false" customHeight="true" outlineLevel="0" collapsed="false">
      <c r="A65" s="8" t="s">
        <v>11460</v>
      </c>
      <c r="B65" s="8" t="s">
        <v>7649</v>
      </c>
      <c r="C65" s="8" t="s">
        <v>142</v>
      </c>
      <c r="D65" s="8" t="s">
        <v>441</v>
      </c>
      <c r="E65" s="11" t="n">
        <v>10000</v>
      </c>
      <c r="F65" s="8" t="s">
        <v>11491</v>
      </c>
      <c r="G65" s="8" t="s">
        <v>2627</v>
      </c>
      <c r="H65" s="8" t="s">
        <v>11461</v>
      </c>
      <c r="I65" s="8"/>
      <c r="J65" s="8" t="s">
        <v>11493</v>
      </c>
    </row>
    <row r="66" customFormat="false" ht="15" hidden="false" customHeight="true" outlineLevel="0" collapsed="false">
      <c r="A66" s="8" t="s">
        <v>11460</v>
      </c>
      <c r="B66" s="8" t="s">
        <v>7649</v>
      </c>
      <c r="C66" s="8" t="s">
        <v>317</v>
      </c>
      <c r="D66" s="8" t="s">
        <v>318</v>
      </c>
      <c r="E66" s="11" t="n">
        <v>10000</v>
      </c>
      <c r="F66" s="8" t="s">
        <v>11491</v>
      </c>
      <c r="G66" s="8" t="s">
        <v>2627</v>
      </c>
      <c r="H66" s="8" t="s">
        <v>11461</v>
      </c>
      <c r="I66" s="8"/>
      <c r="J66" s="8" t="s">
        <v>11493</v>
      </c>
    </row>
    <row r="67" customFormat="false" ht="15" hidden="false" customHeight="true" outlineLevel="0" collapsed="false">
      <c r="A67" s="8" t="s">
        <v>11460</v>
      </c>
      <c r="B67" s="8" t="s">
        <v>7649</v>
      </c>
      <c r="C67" s="8" t="s">
        <v>317</v>
      </c>
      <c r="D67" s="8" t="s">
        <v>318</v>
      </c>
      <c r="E67" s="11" t="n">
        <v>15000</v>
      </c>
      <c r="F67" s="8" t="s">
        <v>11491</v>
      </c>
      <c r="G67" s="8" t="s">
        <v>2627</v>
      </c>
      <c r="H67" s="8" t="s">
        <v>11461</v>
      </c>
      <c r="I67" s="8"/>
      <c r="J67" s="8" t="s">
        <v>11493</v>
      </c>
    </row>
    <row r="68" customFormat="false" ht="15" hidden="false" customHeight="true" outlineLevel="0" collapsed="false">
      <c r="A68" s="8" t="s">
        <v>11460</v>
      </c>
      <c r="B68" s="8" t="s">
        <v>894</v>
      </c>
      <c r="C68" s="8" t="s">
        <v>444</v>
      </c>
      <c r="D68" s="8" t="s">
        <v>445</v>
      </c>
      <c r="E68" s="11" t="n">
        <v>10000</v>
      </c>
      <c r="F68" s="8" t="s">
        <v>11308</v>
      </c>
      <c r="G68" s="8" t="s">
        <v>2627</v>
      </c>
      <c r="H68" s="8" t="s">
        <v>11461</v>
      </c>
      <c r="I68" s="8"/>
      <c r="J68" s="8" t="s">
        <v>11494</v>
      </c>
    </row>
    <row r="69" customFormat="false" ht="15" hidden="false" customHeight="true" outlineLevel="0" collapsed="false">
      <c r="A69" s="8" t="s">
        <v>11460</v>
      </c>
      <c r="B69" s="8" t="s">
        <v>894</v>
      </c>
      <c r="C69" s="8" t="s">
        <v>503</v>
      </c>
      <c r="D69" s="8" t="s">
        <v>504</v>
      </c>
      <c r="E69" s="11" t="n">
        <v>5000</v>
      </c>
      <c r="F69" s="8" t="s">
        <v>11319</v>
      </c>
      <c r="G69" s="8" t="s">
        <v>2707</v>
      </c>
      <c r="H69" s="8" t="s">
        <v>11461</v>
      </c>
      <c r="I69" s="8"/>
      <c r="J69" s="8" t="s">
        <v>11495</v>
      </c>
    </row>
    <row r="70" customFormat="false" ht="15" hidden="false" customHeight="true" outlineLevel="0" collapsed="false">
      <c r="A70" s="8" t="s">
        <v>11460</v>
      </c>
      <c r="B70" s="8" t="s">
        <v>894</v>
      </c>
      <c r="C70" s="8" t="s">
        <v>260</v>
      </c>
      <c r="D70" s="8" t="s">
        <v>261</v>
      </c>
      <c r="E70" s="11" t="n">
        <v>10000</v>
      </c>
      <c r="F70" s="8" t="s">
        <v>11319</v>
      </c>
      <c r="G70" s="8" t="s">
        <v>2680</v>
      </c>
      <c r="H70" s="8" t="s">
        <v>11461</v>
      </c>
      <c r="I70" s="8"/>
      <c r="J70" s="8" t="s">
        <v>11496</v>
      </c>
    </row>
    <row r="71" customFormat="false" ht="15" hidden="false" customHeight="true" outlineLevel="0" collapsed="false">
      <c r="A71" s="8" t="s">
        <v>11460</v>
      </c>
      <c r="B71" s="8" t="s">
        <v>894</v>
      </c>
      <c r="C71" s="8" t="s">
        <v>448</v>
      </c>
      <c r="D71" s="8" t="s">
        <v>449</v>
      </c>
      <c r="E71" s="11" t="n">
        <v>10000</v>
      </c>
      <c r="F71" s="8" t="s">
        <v>11308</v>
      </c>
      <c r="G71" s="8" t="s">
        <v>2702</v>
      </c>
      <c r="H71" s="8" t="s">
        <v>11461</v>
      </c>
      <c r="I71" s="8"/>
      <c r="J71" s="8" t="s">
        <v>11497</v>
      </c>
    </row>
    <row r="72" customFormat="false" ht="15" hidden="false" customHeight="true" outlineLevel="0" collapsed="false">
      <c r="A72" s="8" t="s">
        <v>11460</v>
      </c>
      <c r="B72" s="8" t="s">
        <v>894</v>
      </c>
      <c r="C72" s="8" t="s">
        <v>1127</v>
      </c>
      <c r="D72" s="8" t="s">
        <v>357</v>
      </c>
      <c r="E72" s="11" t="n">
        <v>5000</v>
      </c>
      <c r="F72" s="8" t="s">
        <v>11319</v>
      </c>
      <c r="G72" s="8" t="s">
        <v>2708</v>
      </c>
      <c r="H72" s="8" t="s">
        <v>11461</v>
      </c>
      <c r="I72" s="8"/>
      <c r="J72" s="8" t="s">
        <v>11498</v>
      </c>
    </row>
    <row r="73" customFormat="false" ht="15" hidden="false" customHeight="true" outlineLevel="0" collapsed="false">
      <c r="A73" s="8" t="s">
        <v>11460</v>
      </c>
      <c r="B73" s="8" t="s">
        <v>894</v>
      </c>
      <c r="C73" s="8" t="s">
        <v>230</v>
      </c>
      <c r="D73" s="8" t="s">
        <v>231</v>
      </c>
      <c r="E73" s="11" t="n">
        <v>16000</v>
      </c>
      <c r="F73" s="8" t="s">
        <v>11322</v>
      </c>
      <c r="G73" s="8" t="s">
        <v>11499</v>
      </c>
      <c r="H73" s="8" t="s">
        <v>11461</v>
      </c>
      <c r="I73" s="8"/>
      <c r="J73" s="8" t="s">
        <v>11500</v>
      </c>
    </row>
    <row r="74" customFormat="false" ht="15" hidden="false" customHeight="true" outlineLevel="0" collapsed="false">
      <c r="A74" s="8" t="s">
        <v>11460</v>
      </c>
      <c r="B74" s="8" t="s">
        <v>894</v>
      </c>
      <c r="C74" s="8" t="s">
        <v>452</v>
      </c>
      <c r="D74" s="8" t="s">
        <v>453</v>
      </c>
      <c r="E74" s="11" t="n">
        <v>10000</v>
      </c>
      <c r="F74" s="8" t="s">
        <v>11311</v>
      </c>
      <c r="G74" s="8" t="s">
        <v>2705</v>
      </c>
      <c r="H74" s="8" t="s">
        <v>11461</v>
      </c>
      <c r="I74" s="8"/>
      <c r="J74" s="8" t="s">
        <v>11501</v>
      </c>
    </row>
    <row r="75" customFormat="false" ht="15" hidden="false" customHeight="true" outlineLevel="0" collapsed="false">
      <c r="A75" s="8" t="s">
        <v>11460</v>
      </c>
      <c r="B75" s="8" t="s">
        <v>894</v>
      </c>
      <c r="C75" s="8" t="s">
        <v>893</v>
      </c>
      <c r="D75" s="8" t="s">
        <v>198</v>
      </c>
      <c r="E75" s="11" t="n">
        <v>1000</v>
      </c>
      <c r="F75" s="8" t="s">
        <v>11502</v>
      </c>
      <c r="G75" s="8" t="s">
        <v>2723</v>
      </c>
      <c r="H75" s="8" t="s">
        <v>11461</v>
      </c>
      <c r="I75" s="8"/>
      <c r="J75" s="8" t="s">
        <v>11503</v>
      </c>
    </row>
    <row r="76" customFormat="false" ht="15" hidden="false" customHeight="true" outlineLevel="0" collapsed="false">
      <c r="A76" s="8" t="s">
        <v>11460</v>
      </c>
      <c r="B76" s="8" t="s">
        <v>894</v>
      </c>
      <c r="C76" s="8" t="s">
        <v>893</v>
      </c>
      <c r="D76" s="8" t="s">
        <v>198</v>
      </c>
      <c r="E76" s="11" t="n">
        <v>1000</v>
      </c>
      <c r="F76" s="8" t="s">
        <v>11502</v>
      </c>
      <c r="G76" s="8" t="s">
        <v>2655</v>
      </c>
      <c r="H76" s="8" t="s">
        <v>11461</v>
      </c>
      <c r="I76" s="8"/>
      <c r="J76" s="8" t="s">
        <v>11504</v>
      </c>
    </row>
    <row r="77" customFormat="false" ht="15" hidden="false" customHeight="true" outlineLevel="0" collapsed="false">
      <c r="A77" s="8" t="s">
        <v>11460</v>
      </c>
      <c r="B77" s="8" t="s">
        <v>894</v>
      </c>
      <c r="C77" s="8" t="s">
        <v>893</v>
      </c>
      <c r="D77" s="8" t="s">
        <v>198</v>
      </c>
      <c r="E77" s="11" t="n">
        <v>5000</v>
      </c>
      <c r="F77" s="8" t="s">
        <v>11502</v>
      </c>
      <c r="G77" s="8" t="s">
        <v>2709</v>
      </c>
      <c r="H77" s="8" t="s">
        <v>11461</v>
      </c>
      <c r="I77" s="8"/>
      <c r="J77" s="8" t="s">
        <v>11505</v>
      </c>
    </row>
    <row r="78" customFormat="false" ht="15" hidden="false" customHeight="true" outlineLevel="0" collapsed="false">
      <c r="A78" s="8" t="s">
        <v>11460</v>
      </c>
      <c r="B78" s="8" t="s">
        <v>894</v>
      </c>
      <c r="C78" s="8" t="s">
        <v>893</v>
      </c>
      <c r="D78" s="8" t="s">
        <v>198</v>
      </c>
      <c r="E78" s="11" t="n">
        <v>1000</v>
      </c>
      <c r="F78" s="8" t="s">
        <v>11502</v>
      </c>
      <c r="G78" s="8" t="s">
        <v>2724</v>
      </c>
      <c r="H78" s="8" t="s">
        <v>11461</v>
      </c>
      <c r="I78" s="8"/>
      <c r="J78" s="8" t="s">
        <v>11506</v>
      </c>
    </row>
    <row r="79" customFormat="false" ht="15" hidden="false" customHeight="true" outlineLevel="0" collapsed="false">
      <c r="A79" s="8" t="s">
        <v>11460</v>
      </c>
      <c r="B79" s="8" t="s">
        <v>894</v>
      </c>
      <c r="C79" s="8" t="s">
        <v>893</v>
      </c>
      <c r="D79" s="8" t="s">
        <v>198</v>
      </c>
      <c r="E79" s="11" t="n">
        <v>1000</v>
      </c>
      <c r="F79" s="8" t="s">
        <v>11502</v>
      </c>
      <c r="G79" s="8" t="s">
        <v>2725</v>
      </c>
      <c r="H79" s="8" t="s">
        <v>11461</v>
      </c>
      <c r="I79" s="8"/>
      <c r="J79" s="8" t="s">
        <v>11507</v>
      </c>
    </row>
    <row r="80" customFormat="false" ht="15" hidden="false" customHeight="true" outlineLevel="0" collapsed="false">
      <c r="A80" s="8" t="s">
        <v>11460</v>
      </c>
      <c r="B80" s="8" t="s">
        <v>894</v>
      </c>
      <c r="C80" s="8" t="s">
        <v>893</v>
      </c>
      <c r="D80" s="8" t="s">
        <v>198</v>
      </c>
      <c r="E80" s="11" t="n">
        <v>1000</v>
      </c>
      <c r="F80" s="8" t="s">
        <v>11502</v>
      </c>
      <c r="G80" s="8" t="s">
        <v>2726</v>
      </c>
      <c r="H80" s="8" t="s">
        <v>11461</v>
      </c>
      <c r="I80" s="8"/>
      <c r="J80" s="8" t="s">
        <v>11508</v>
      </c>
    </row>
    <row r="81" customFormat="false" ht="15" hidden="false" customHeight="true" outlineLevel="0" collapsed="false">
      <c r="A81" s="8" t="s">
        <v>11460</v>
      </c>
      <c r="B81" s="8" t="s">
        <v>894</v>
      </c>
      <c r="C81" s="8" t="s">
        <v>893</v>
      </c>
      <c r="D81" s="8" t="s">
        <v>198</v>
      </c>
      <c r="E81" s="11" t="n">
        <v>1000</v>
      </c>
      <c r="F81" s="8" t="s">
        <v>11502</v>
      </c>
      <c r="G81" s="8" t="s">
        <v>2727</v>
      </c>
      <c r="H81" s="8" t="s">
        <v>11461</v>
      </c>
      <c r="I81" s="8"/>
      <c r="J81" s="8" t="s">
        <v>11509</v>
      </c>
    </row>
    <row r="82" customFormat="false" ht="15" hidden="false" customHeight="true" outlineLevel="0" collapsed="false">
      <c r="A82" s="8" t="s">
        <v>11460</v>
      </c>
      <c r="B82" s="8" t="s">
        <v>894</v>
      </c>
      <c r="C82" s="8" t="s">
        <v>893</v>
      </c>
      <c r="D82" s="8" t="s">
        <v>198</v>
      </c>
      <c r="E82" s="11" t="n">
        <v>1000</v>
      </c>
      <c r="F82" s="8" t="s">
        <v>11502</v>
      </c>
      <c r="G82" s="8" t="s">
        <v>2728</v>
      </c>
      <c r="H82" s="8" t="s">
        <v>11461</v>
      </c>
      <c r="I82" s="8"/>
      <c r="J82" s="8" t="s">
        <v>11510</v>
      </c>
    </row>
    <row r="83" customFormat="false" ht="15" hidden="false" customHeight="true" outlineLevel="0" collapsed="false">
      <c r="A83" s="8" t="s">
        <v>11460</v>
      </c>
      <c r="B83" s="8" t="s">
        <v>894</v>
      </c>
      <c r="C83" s="8" t="s">
        <v>893</v>
      </c>
      <c r="D83" s="8" t="s">
        <v>198</v>
      </c>
      <c r="E83" s="11" t="n">
        <v>1000</v>
      </c>
      <c r="F83" s="8" t="s">
        <v>11502</v>
      </c>
      <c r="G83" s="8" t="s">
        <v>2653</v>
      </c>
      <c r="H83" s="8" t="s">
        <v>11461</v>
      </c>
      <c r="I83" s="8"/>
      <c r="J83" s="8" t="s">
        <v>11511</v>
      </c>
    </row>
    <row r="84" customFormat="false" ht="15" hidden="false" customHeight="true" outlineLevel="0" collapsed="false">
      <c r="A84" s="8" t="s">
        <v>11460</v>
      </c>
      <c r="B84" s="8" t="s">
        <v>894</v>
      </c>
      <c r="C84" s="8" t="s">
        <v>893</v>
      </c>
      <c r="D84" s="8" t="s">
        <v>198</v>
      </c>
      <c r="E84" s="11" t="n">
        <v>5000</v>
      </c>
      <c r="F84" s="8" t="s">
        <v>11502</v>
      </c>
      <c r="G84" s="8" t="s">
        <v>2653</v>
      </c>
      <c r="H84" s="8" t="s">
        <v>11461</v>
      </c>
      <c r="I84" s="8"/>
      <c r="J84" s="8" t="s">
        <v>11512</v>
      </c>
    </row>
    <row r="85" customFormat="false" ht="15" hidden="false" customHeight="true" outlineLevel="0" collapsed="false">
      <c r="A85" s="8" t="s">
        <v>11460</v>
      </c>
      <c r="B85" s="8" t="s">
        <v>894</v>
      </c>
      <c r="C85" s="8" t="s">
        <v>893</v>
      </c>
      <c r="D85" s="8" t="s">
        <v>198</v>
      </c>
      <c r="E85" s="11" t="n">
        <v>5000</v>
      </c>
      <c r="F85" s="8" t="s">
        <v>11502</v>
      </c>
      <c r="G85" s="8" t="s">
        <v>2710</v>
      </c>
      <c r="H85" s="8" t="s">
        <v>11461</v>
      </c>
      <c r="I85" s="8"/>
      <c r="J85" s="8" t="s">
        <v>11513</v>
      </c>
    </row>
    <row r="86" customFormat="false" ht="15" hidden="false" customHeight="true" outlineLevel="0" collapsed="false">
      <c r="A86" s="8" t="s">
        <v>11460</v>
      </c>
      <c r="B86" s="8" t="s">
        <v>894</v>
      </c>
      <c r="C86" s="8" t="s">
        <v>893</v>
      </c>
      <c r="D86" s="8" t="s">
        <v>198</v>
      </c>
      <c r="E86" s="11" t="n">
        <v>5000</v>
      </c>
      <c r="F86" s="8" t="s">
        <v>11502</v>
      </c>
      <c r="G86" s="8" t="s">
        <v>2711</v>
      </c>
      <c r="H86" s="8" t="s">
        <v>11461</v>
      </c>
      <c r="I86" s="8"/>
      <c r="J86" s="8" t="s">
        <v>11514</v>
      </c>
    </row>
    <row r="87" customFormat="false" ht="15" hidden="false" customHeight="true" outlineLevel="0" collapsed="false">
      <c r="A87" s="8" t="s">
        <v>11460</v>
      </c>
      <c r="B87" s="8" t="s">
        <v>894</v>
      </c>
      <c r="C87" s="8" t="s">
        <v>893</v>
      </c>
      <c r="D87" s="8" t="s">
        <v>198</v>
      </c>
      <c r="E87" s="11" t="n">
        <v>1000</v>
      </c>
      <c r="F87" s="8" t="s">
        <v>11502</v>
      </c>
      <c r="G87" s="8" t="s">
        <v>2729</v>
      </c>
      <c r="H87" s="8" t="s">
        <v>11461</v>
      </c>
      <c r="I87" s="8"/>
      <c r="J87" s="8" t="s">
        <v>11515</v>
      </c>
    </row>
    <row r="88" customFormat="false" ht="15" hidden="false" customHeight="true" outlineLevel="0" collapsed="false">
      <c r="A88" s="8" t="s">
        <v>11460</v>
      </c>
      <c r="B88" s="8" t="s">
        <v>894</v>
      </c>
      <c r="C88" s="8" t="s">
        <v>893</v>
      </c>
      <c r="D88" s="8" t="s">
        <v>198</v>
      </c>
      <c r="E88" s="11" t="n">
        <v>1000</v>
      </c>
      <c r="F88" s="8" t="s">
        <v>11502</v>
      </c>
      <c r="G88" s="8" t="s">
        <v>2730</v>
      </c>
      <c r="H88" s="8" t="s">
        <v>11461</v>
      </c>
      <c r="I88" s="8"/>
      <c r="J88" s="8" t="s">
        <v>11516</v>
      </c>
    </row>
    <row r="89" customFormat="false" ht="15" hidden="false" customHeight="true" outlineLevel="0" collapsed="false">
      <c r="A89" s="8" t="s">
        <v>11460</v>
      </c>
      <c r="B89" s="8" t="s">
        <v>894</v>
      </c>
      <c r="C89" s="8" t="s">
        <v>893</v>
      </c>
      <c r="D89" s="8" t="s">
        <v>198</v>
      </c>
      <c r="E89" s="11" t="n">
        <v>1000</v>
      </c>
      <c r="F89" s="8" t="s">
        <v>11502</v>
      </c>
      <c r="G89" s="8" t="s">
        <v>2731</v>
      </c>
      <c r="H89" s="8" t="s">
        <v>11461</v>
      </c>
      <c r="I89" s="8"/>
      <c r="J89" s="8" t="s">
        <v>11517</v>
      </c>
    </row>
    <row r="90" customFormat="false" ht="15" hidden="false" customHeight="true" outlineLevel="0" collapsed="false">
      <c r="A90" s="8" t="s">
        <v>11460</v>
      </c>
      <c r="B90" s="8" t="s">
        <v>894</v>
      </c>
      <c r="C90" s="8" t="s">
        <v>893</v>
      </c>
      <c r="D90" s="8" t="s">
        <v>198</v>
      </c>
      <c r="E90" s="11" t="n">
        <v>1000</v>
      </c>
      <c r="F90" s="8" t="s">
        <v>11502</v>
      </c>
      <c r="G90" s="8" t="s">
        <v>2732</v>
      </c>
      <c r="H90" s="8" t="s">
        <v>11461</v>
      </c>
      <c r="I90" s="8"/>
      <c r="J90" s="8" t="s">
        <v>11518</v>
      </c>
    </row>
    <row r="91" customFormat="false" ht="15" hidden="false" customHeight="true" outlineLevel="0" collapsed="false">
      <c r="A91" s="8" t="s">
        <v>11460</v>
      </c>
      <c r="B91" s="8" t="s">
        <v>894</v>
      </c>
      <c r="C91" s="8" t="s">
        <v>893</v>
      </c>
      <c r="D91" s="8" t="s">
        <v>198</v>
      </c>
      <c r="E91" s="11" t="n">
        <v>1000</v>
      </c>
      <c r="F91" s="8" t="s">
        <v>11502</v>
      </c>
      <c r="G91" s="8" t="s">
        <v>2733</v>
      </c>
      <c r="H91" s="8" t="s">
        <v>11461</v>
      </c>
      <c r="I91" s="8"/>
      <c r="J91" s="8" t="s">
        <v>11519</v>
      </c>
    </row>
    <row r="92" customFormat="false" ht="15" hidden="false" customHeight="true" outlineLevel="0" collapsed="false">
      <c r="A92" s="8" t="s">
        <v>11460</v>
      </c>
      <c r="B92" s="8" t="s">
        <v>894</v>
      </c>
      <c r="C92" s="8" t="s">
        <v>893</v>
      </c>
      <c r="D92" s="8" t="s">
        <v>198</v>
      </c>
      <c r="E92" s="11" t="n">
        <v>1000</v>
      </c>
      <c r="F92" s="8" t="s">
        <v>11502</v>
      </c>
      <c r="G92" s="8" t="s">
        <v>2734</v>
      </c>
      <c r="H92" s="8" t="s">
        <v>11461</v>
      </c>
      <c r="I92" s="8"/>
      <c r="J92" s="8" t="s">
        <v>11520</v>
      </c>
    </row>
    <row r="93" customFormat="false" ht="15" hidden="false" customHeight="true" outlineLevel="0" collapsed="false">
      <c r="A93" s="8" t="s">
        <v>11460</v>
      </c>
      <c r="B93" s="8" t="s">
        <v>894</v>
      </c>
      <c r="C93" s="8" t="s">
        <v>893</v>
      </c>
      <c r="D93" s="8" t="s">
        <v>198</v>
      </c>
      <c r="E93" s="11" t="n">
        <v>1000</v>
      </c>
      <c r="F93" s="8" t="s">
        <v>11502</v>
      </c>
      <c r="G93" s="8" t="s">
        <v>2735</v>
      </c>
      <c r="H93" s="8" t="s">
        <v>11461</v>
      </c>
      <c r="I93" s="8"/>
      <c r="J93" s="8" t="s">
        <v>11521</v>
      </c>
    </row>
    <row r="94" customFormat="false" ht="15" hidden="false" customHeight="true" outlineLevel="0" collapsed="false">
      <c r="A94" s="8" t="s">
        <v>11460</v>
      </c>
      <c r="B94" s="8" t="s">
        <v>894</v>
      </c>
      <c r="C94" s="8" t="s">
        <v>893</v>
      </c>
      <c r="D94" s="8" t="s">
        <v>198</v>
      </c>
      <c r="E94" s="11" t="n">
        <v>1000</v>
      </c>
      <c r="F94" s="8" t="s">
        <v>11502</v>
      </c>
      <c r="G94" s="8" t="s">
        <v>2736</v>
      </c>
      <c r="H94" s="8" t="s">
        <v>11461</v>
      </c>
      <c r="I94" s="8"/>
      <c r="J94" s="8" t="s">
        <v>11522</v>
      </c>
    </row>
    <row r="95" customFormat="false" ht="15" hidden="false" customHeight="true" outlineLevel="0" collapsed="false">
      <c r="A95" s="8" t="s">
        <v>11460</v>
      </c>
      <c r="B95" s="8" t="s">
        <v>894</v>
      </c>
      <c r="C95" s="8" t="s">
        <v>893</v>
      </c>
      <c r="D95" s="8" t="s">
        <v>198</v>
      </c>
      <c r="E95" s="11" t="n">
        <v>1000</v>
      </c>
      <c r="F95" s="8" t="s">
        <v>11502</v>
      </c>
      <c r="G95" s="8" t="s">
        <v>2737</v>
      </c>
      <c r="H95" s="8" t="s">
        <v>11461</v>
      </c>
      <c r="I95" s="8"/>
      <c r="J95" s="8" t="s">
        <v>11523</v>
      </c>
    </row>
    <row r="96" customFormat="false" ht="15" hidden="false" customHeight="true" outlineLevel="0" collapsed="false">
      <c r="A96" s="8" t="s">
        <v>11460</v>
      </c>
      <c r="B96" s="8" t="s">
        <v>894</v>
      </c>
      <c r="C96" s="8" t="s">
        <v>893</v>
      </c>
      <c r="D96" s="8" t="s">
        <v>198</v>
      </c>
      <c r="E96" s="11" t="n">
        <v>1000</v>
      </c>
      <c r="F96" s="8" t="s">
        <v>11502</v>
      </c>
      <c r="G96" s="8" t="s">
        <v>2738</v>
      </c>
      <c r="H96" s="8" t="s">
        <v>11461</v>
      </c>
      <c r="I96" s="8"/>
      <c r="J96" s="8" t="s">
        <v>11524</v>
      </c>
    </row>
    <row r="97" customFormat="false" ht="15" hidden="false" customHeight="true" outlineLevel="0" collapsed="false">
      <c r="A97" s="8" t="s">
        <v>11460</v>
      </c>
      <c r="B97" s="8" t="s">
        <v>894</v>
      </c>
      <c r="C97" s="8" t="s">
        <v>893</v>
      </c>
      <c r="D97" s="8" t="s">
        <v>198</v>
      </c>
      <c r="E97" s="11" t="n">
        <v>1000</v>
      </c>
      <c r="F97" s="8" t="s">
        <v>11502</v>
      </c>
      <c r="G97" s="8" t="s">
        <v>2739</v>
      </c>
      <c r="H97" s="8" t="s">
        <v>11461</v>
      </c>
      <c r="I97" s="8"/>
      <c r="J97" s="8" t="s">
        <v>11525</v>
      </c>
    </row>
    <row r="98" customFormat="false" ht="15" hidden="false" customHeight="true" outlineLevel="0" collapsed="false">
      <c r="A98" s="8" t="s">
        <v>11460</v>
      </c>
      <c r="B98" s="8" t="s">
        <v>894</v>
      </c>
      <c r="C98" s="8" t="s">
        <v>893</v>
      </c>
      <c r="D98" s="8" t="s">
        <v>198</v>
      </c>
      <c r="E98" s="11" t="n">
        <v>1000</v>
      </c>
      <c r="F98" s="8" t="s">
        <v>11502</v>
      </c>
      <c r="G98" s="8" t="s">
        <v>2740</v>
      </c>
      <c r="H98" s="8" t="s">
        <v>11461</v>
      </c>
      <c r="I98" s="8"/>
      <c r="J98" s="8" t="s">
        <v>11526</v>
      </c>
    </row>
    <row r="99" customFormat="false" ht="15" hidden="false" customHeight="true" outlineLevel="0" collapsed="false">
      <c r="A99" s="8" t="s">
        <v>11460</v>
      </c>
      <c r="B99" s="8" t="s">
        <v>894</v>
      </c>
      <c r="C99" s="8" t="s">
        <v>893</v>
      </c>
      <c r="D99" s="8" t="s">
        <v>198</v>
      </c>
      <c r="E99" s="11" t="n">
        <v>1000</v>
      </c>
      <c r="F99" s="8" t="s">
        <v>11502</v>
      </c>
      <c r="G99" s="8" t="s">
        <v>2741</v>
      </c>
      <c r="H99" s="8" t="s">
        <v>11461</v>
      </c>
      <c r="I99" s="8"/>
      <c r="J99" s="8" t="s">
        <v>11527</v>
      </c>
    </row>
    <row r="100" customFormat="false" ht="15" hidden="false" customHeight="true" outlineLevel="0" collapsed="false">
      <c r="A100" s="8" t="s">
        <v>11460</v>
      </c>
      <c r="B100" s="8" t="s">
        <v>894</v>
      </c>
      <c r="C100" s="8" t="s">
        <v>893</v>
      </c>
      <c r="D100" s="8" t="s">
        <v>198</v>
      </c>
      <c r="E100" s="11" t="n">
        <v>1000</v>
      </c>
      <c r="F100" s="8" t="s">
        <v>11502</v>
      </c>
      <c r="G100" s="8" t="s">
        <v>2742</v>
      </c>
      <c r="H100" s="8" t="s">
        <v>11461</v>
      </c>
      <c r="I100" s="8"/>
      <c r="J100" s="8" t="s">
        <v>11528</v>
      </c>
    </row>
    <row r="101" customFormat="false" ht="15" hidden="false" customHeight="true" outlineLevel="0" collapsed="false">
      <c r="A101" s="8" t="s">
        <v>11460</v>
      </c>
      <c r="B101" s="8" t="s">
        <v>894</v>
      </c>
      <c r="C101" s="8" t="s">
        <v>893</v>
      </c>
      <c r="D101" s="8" t="s">
        <v>198</v>
      </c>
      <c r="E101" s="11" t="n">
        <v>1000</v>
      </c>
      <c r="F101" s="8" t="s">
        <v>11502</v>
      </c>
      <c r="G101" s="8" t="s">
        <v>2743</v>
      </c>
      <c r="H101" s="8" t="s">
        <v>11461</v>
      </c>
      <c r="I101" s="8"/>
      <c r="J101" s="8" t="s">
        <v>11529</v>
      </c>
    </row>
    <row r="102" customFormat="false" ht="15" hidden="false" customHeight="true" outlineLevel="0" collapsed="false">
      <c r="A102" s="8" t="s">
        <v>11460</v>
      </c>
      <c r="B102" s="8" t="s">
        <v>894</v>
      </c>
      <c r="C102" s="8" t="s">
        <v>893</v>
      </c>
      <c r="D102" s="8" t="s">
        <v>198</v>
      </c>
      <c r="E102" s="11" t="n">
        <v>1000</v>
      </c>
      <c r="F102" s="8" t="s">
        <v>11502</v>
      </c>
      <c r="G102" s="8" t="s">
        <v>2744</v>
      </c>
      <c r="H102" s="8" t="s">
        <v>11461</v>
      </c>
      <c r="I102" s="8"/>
      <c r="J102" s="8" t="s">
        <v>11530</v>
      </c>
    </row>
    <row r="103" customFormat="false" ht="15" hidden="false" customHeight="true" outlineLevel="0" collapsed="false">
      <c r="A103" s="8" t="s">
        <v>11460</v>
      </c>
      <c r="B103" s="8" t="s">
        <v>894</v>
      </c>
      <c r="C103" s="8" t="s">
        <v>893</v>
      </c>
      <c r="D103" s="8" t="s">
        <v>198</v>
      </c>
      <c r="E103" s="11" t="n">
        <v>1000</v>
      </c>
      <c r="F103" s="8" t="s">
        <v>11502</v>
      </c>
      <c r="G103" s="8" t="s">
        <v>2745</v>
      </c>
      <c r="H103" s="8" t="s">
        <v>11461</v>
      </c>
      <c r="I103" s="8"/>
      <c r="J103" s="8" t="s">
        <v>11531</v>
      </c>
    </row>
    <row r="104" customFormat="false" ht="15" hidden="false" customHeight="true" outlineLevel="0" collapsed="false">
      <c r="A104" s="8" t="s">
        <v>11460</v>
      </c>
      <c r="B104" s="8" t="s">
        <v>894</v>
      </c>
      <c r="C104" s="8" t="s">
        <v>893</v>
      </c>
      <c r="D104" s="8" t="s">
        <v>198</v>
      </c>
      <c r="E104" s="11" t="n">
        <v>1000</v>
      </c>
      <c r="F104" s="8" t="s">
        <v>11502</v>
      </c>
      <c r="G104" s="8" t="s">
        <v>2746</v>
      </c>
      <c r="H104" s="8" t="s">
        <v>11461</v>
      </c>
      <c r="I104" s="8"/>
      <c r="J104" s="8" t="s">
        <v>11532</v>
      </c>
    </row>
    <row r="105" customFormat="false" ht="15" hidden="false" customHeight="true" outlineLevel="0" collapsed="false">
      <c r="A105" s="8" t="s">
        <v>11460</v>
      </c>
      <c r="B105" s="8" t="s">
        <v>894</v>
      </c>
      <c r="C105" s="8" t="s">
        <v>893</v>
      </c>
      <c r="D105" s="8" t="s">
        <v>198</v>
      </c>
      <c r="E105" s="11" t="n">
        <v>1000</v>
      </c>
      <c r="F105" s="8" t="s">
        <v>11502</v>
      </c>
      <c r="G105" s="8" t="s">
        <v>2747</v>
      </c>
      <c r="H105" s="8" t="s">
        <v>11461</v>
      </c>
      <c r="I105" s="8"/>
      <c r="J105" s="8" t="s">
        <v>11533</v>
      </c>
    </row>
    <row r="106" customFormat="false" ht="15" hidden="false" customHeight="true" outlineLevel="0" collapsed="false">
      <c r="A106" s="8" t="s">
        <v>11460</v>
      </c>
      <c r="B106" s="8" t="s">
        <v>894</v>
      </c>
      <c r="C106" s="8" t="s">
        <v>893</v>
      </c>
      <c r="D106" s="8" t="s">
        <v>198</v>
      </c>
      <c r="E106" s="11" t="n">
        <v>1000</v>
      </c>
      <c r="F106" s="8" t="s">
        <v>11502</v>
      </c>
      <c r="G106" s="8" t="s">
        <v>2748</v>
      </c>
      <c r="H106" s="8" t="s">
        <v>11461</v>
      </c>
      <c r="I106" s="8"/>
      <c r="J106" s="8" t="s">
        <v>11534</v>
      </c>
    </row>
    <row r="107" customFormat="false" ht="15" hidden="false" customHeight="true" outlineLevel="0" collapsed="false">
      <c r="A107" s="8" t="s">
        <v>11460</v>
      </c>
      <c r="B107" s="8" t="s">
        <v>894</v>
      </c>
      <c r="C107" s="8" t="s">
        <v>893</v>
      </c>
      <c r="D107" s="8" t="s">
        <v>198</v>
      </c>
      <c r="E107" s="11" t="n">
        <v>1000</v>
      </c>
      <c r="F107" s="8" t="s">
        <v>11502</v>
      </c>
      <c r="G107" s="8" t="s">
        <v>2656</v>
      </c>
      <c r="H107" s="8" t="s">
        <v>11461</v>
      </c>
      <c r="I107" s="8"/>
      <c r="J107" s="8" t="s">
        <v>11528</v>
      </c>
    </row>
    <row r="108" customFormat="false" ht="15" hidden="false" customHeight="true" outlineLevel="0" collapsed="false">
      <c r="A108" s="8" t="s">
        <v>11460</v>
      </c>
      <c r="B108" s="8" t="s">
        <v>894</v>
      </c>
      <c r="C108" s="8" t="s">
        <v>974</v>
      </c>
      <c r="D108" s="8" t="s">
        <v>198</v>
      </c>
      <c r="E108" s="11" t="n">
        <v>14000</v>
      </c>
      <c r="F108" s="8" t="s">
        <v>11535</v>
      </c>
      <c r="G108" s="8" t="s">
        <v>2627</v>
      </c>
      <c r="H108" s="8" t="s">
        <v>11461</v>
      </c>
      <c r="I108" s="8"/>
      <c r="J108" s="8" t="s">
        <v>11536</v>
      </c>
    </row>
    <row r="109" customFormat="false" ht="15" hidden="false" customHeight="true" outlineLevel="0" collapsed="false">
      <c r="A109" s="8" t="s">
        <v>11460</v>
      </c>
      <c r="B109" s="8" t="s">
        <v>894</v>
      </c>
      <c r="C109" s="8" t="s">
        <v>2167</v>
      </c>
      <c r="D109" s="8" t="s">
        <v>198</v>
      </c>
      <c r="E109" s="11" t="n">
        <v>5000</v>
      </c>
      <c r="F109" s="8" t="s">
        <v>11308</v>
      </c>
      <c r="G109" s="8"/>
      <c r="H109" s="8" t="s">
        <v>11461</v>
      </c>
      <c r="I109" s="8"/>
      <c r="J109" s="8" t="s">
        <v>11537</v>
      </c>
    </row>
    <row r="110" customFormat="false" ht="15" hidden="false" customHeight="true" outlineLevel="0" collapsed="false">
      <c r="A110" s="8" t="s">
        <v>11460</v>
      </c>
      <c r="B110" s="8" t="s">
        <v>894</v>
      </c>
      <c r="C110" s="8" t="s">
        <v>225</v>
      </c>
      <c r="D110" s="8" t="s">
        <v>226</v>
      </c>
      <c r="E110" s="11" t="n">
        <v>7500</v>
      </c>
      <c r="F110" s="8" t="s">
        <v>11308</v>
      </c>
      <c r="G110" s="8" t="s">
        <v>11538</v>
      </c>
      <c r="H110" s="8" t="s">
        <v>11461</v>
      </c>
      <c r="I110" s="8"/>
      <c r="J110" s="8" t="s">
        <v>11539</v>
      </c>
    </row>
    <row r="111" customFormat="false" ht="15" hidden="false" customHeight="true" outlineLevel="0" collapsed="false">
      <c r="A111" s="8" t="s">
        <v>11460</v>
      </c>
      <c r="B111" s="8" t="s">
        <v>894</v>
      </c>
      <c r="C111" s="8" t="s">
        <v>225</v>
      </c>
      <c r="D111" s="8" t="s">
        <v>226</v>
      </c>
      <c r="E111" s="11" t="n">
        <v>7500</v>
      </c>
      <c r="F111" s="8" t="s">
        <v>11308</v>
      </c>
      <c r="G111" s="8" t="s">
        <v>11540</v>
      </c>
      <c r="H111" s="8" t="s">
        <v>11461</v>
      </c>
      <c r="I111" s="8"/>
      <c r="J111" s="8" t="s">
        <v>11541</v>
      </c>
    </row>
    <row r="112" customFormat="false" ht="15" hidden="false" customHeight="true" outlineLevel="0" collapsed="false">
      <c r="A112" s="8" t="s">
        <v>11460</v>
      </c>
      <c r="B112" s="8" t="s">
        <v>894</v>
      </c>
      <c r="C112" s="8" t="s">
        <v>225</v>
      </c>
      <c r="D112" s="8" t="s">
        <v>226</v>
      </c>
      <c r="E112" s="11" t="n">
        <v>5000</v>
      </c>
      <c r="F112" s="8" t="s">
        <v>11308</v>
      </c>
      <c r="G112" s="8" t="s">
        <v>2627</v>
      </c>
      <c r="H112" s="8" t="s">
        <v>11461</v>
      </c>
      <c r="I112" s="8"/>
      <c r="J112" s="8" t="s">
        <v>11542</v>
      </c>
    </row>
    <row r="113" customFormat="false" ht="15" hidden="false" customHeight="true" outlineLevel="0" collapsed="false">
      <c r="A113" s="8" t="s">
        <v>11460</v>
      </c>
      <c r="B113" s="8" t="s">
        <v>894</v>
      </c>
      <c r="C113" s="8" t="s">
        <v>404</v>
      </c>
      <c r="D113" s="8" t="s">
        <v>405</v>
      </c>
      <c r="E113" s="11" t="n">
        <v>10000</v>
      </c>
      <c r="F113" s="8" t="s">
        <v>11308</v>
      </c>
      <c r="G113" s="8" t="s">
        <v>2782</v>
      </c>
      <c r="H113" s="8" t="s">
        <v>11461</v>
      </c>
      <c r="I113" s="8"/>
      <c r="J113" s="8" t="s">
        <v>11543</v>
      </c>
    </row>
    <row r="114" customFormat="false" ht="15" hidden="false" customHeight="true" outlineLevel="0" collapsed="false">
      <c r="A114" s="8" t="s">
        <v>11460</v>
      </c>
      <c r="B114" s="8" t="s">
        <v>894</v>
      </c>
      <c r="C114" s="8" t="s">
        <v>933</v>
      </c>
      <c r="D114" s="8" t="s">
        <v>508</v>
      </c>
      <c r="E114" s="11" t="n">
        <v>5000</v>
      </c>
      <c r="F114" s="8" t="s">
        <v>11305</v>
      </c>
      <c r="G114" s="8" t="s">
        <v>2651</v>
      </c>
      <c r="H114" s="8" t="s">
        <v>11461</v>
      </c>
      <c r="I114" s="8"/>
      <c r="J114" s="8" t="s">
        <v>11544</v>
      </c>
    </row>
    <row r="115" customFormat="false" ht="15" hidden="false" customHeight="true" outlineLevel="0" collapsed="false">
      <c r="A115" s="8" t="s">
        <v>11460</v>
      </c>
      <c r="B115" s="8" t="s">
        <v>894</v>
      </c>
      <c r="C115" s="8" t="s">
        <v>771</v>
      </c>
      <c r="D115" s="8" t="s">
        <v>512</v>
      </c>
      <c r="E115" s="11" t="n">
        <v>5000</v>
      </c>
      <c r="F115" s="8" t="s">
        <v>11318</v>
      </c>
      <c r="G115" s="8" t="s">
        <v>2627</v>
      </c>
      <c r="H115" s="8" t="s">
        <v>11461</v>
      </c>
      <c r="I115" s="8"/>
      <c r="J115" s="8" t="s">
        <v>11545</v>
      </c>
    </row>
    <row r="116" customFormat="false" ht="15" hidden="false" customHeight="true" outlineLevel="0" collapsed="false">
      <c r="A116" s="8" t="s">
        <v>11460</v>
      </c>
      <c r="B116" s="8" t="s">
        <v>894</v>
      </c>
      <c r="C116" s="8" t="s">
        <v>515</v>
      </c>
      <c r="D116" s="8" t="s">
        <v>516</v>
      </c>
      <c r="E116" s="11" t="n">
        <v>5000</v>
      </c>
      <c r="F116" s="8" t="s">
        <v>11308</v>
      </c>
      <c r="G116" s="8"/>
      <c r="H116" s="8" t="s">
        <v>11461</v>
      </c>
      <c r="I116" s="8"/>
      <c r="J116" s="8" t="s">
        <v>11546</v>
      </c>
    </row>
    <row r="117" customFormat="false" ht="15" hidden="false" customHeight="true" outlineLevel="0" collapsed="false">
      <c r="A117" s="8" t="s">
        <v>11460</v>
      </c>
      <c r="B117" s="8" t="s">
        <v>894</v>
      </c>
      <c r="C117" s="8" t="s">
        <v>380</v>
      </c>
      <c r="D117" s="8" t="s">
        <v>381</v>
      </c>
      <c r="E117" s="11" t="n">
        <v>10000</v>
      </c>
      <c r="F117" s="8" t="s">
        <v>11305</v>
      </c>
      <c r="G117" s="8" t="s">
        <v>2627</v>
      </c>
      <c r="H117" s="8" t="s">
        <v>11461</v>
      </c>
      <c r="I117" s="8"/>
      <c r="J117" s="8" t="s">
        <v>11547</v>
      </c>
    </row>
    <row r="118" customFormat="false" ht="15" hidden="false" customHeight="true" outlineLevel="0" collapsed="false">
      <c r="A118" s="8" t="s">
        <v>11460</v>
      </c>
      <c r="B118" s="8" t="s">
        <v>894</v>
      </c>
      <c r="C118" s="8" t="s">
        <v>380</v>
      </c>
      <c r="D118" s="8" t="s">
        <v>381</v>
      </c>
      <c r="E118" s="11" t="n">
        <v>10000</v>
      </c>
      <c r="F118" s="8" t="s">
        <v>11305</v>
      </c>
      <c r="G118" s="8" t="s">
        <v>2627</v>
      </c>
      <c r="H118" s="8" t="s">
        <v>11461</v>
      </c>
      <c r="I118" s="8"/>
      <c r="J118" s="8" t="s">
        <v>11547</v>
      </c>
    </row>
    <row r="119" customFormat="false" ht="15" hidden="false" customHeight="true" outlineLevel="0" collapsed="false">
      <c r="A119" s="8" t="s">
        <v>11460</v>
      </c>
      <c r="B119" s="8" t="s">
        <v>894</v>
      </c>
      <c r="C119" s="8" t="s">
        <v>456</v>
      </c>
      <c r="D119" s="8" t="s">
        <v>457</v>
      </c>
      <c r="E119" s="11" t="n">
        <v>10000</v>
      </c>
      <c r="F119" s="8" t="s">
        <v>11308</v>
      </c>
      <c r="G119" s="8"/>
      <c r="H119" s="8" t="s">
        <v>11461</v>
      </c>
      <c r="I119" s="8"/>
      <c r="J119" s="8" t="s">
        <v>11548</v>
      </c>
    </row>
    <row r="120" customFormat="false" ht="15" hidden="false" customHeight="true" outlineLevel="0" collapsed="false">
      <c r="A120" s="8" t="s">
        <v>11460</v>
      </c>
      <c r="B120" s="8" t="s">
        <v>894</v>
      </c>
      <c r="C120" s="8" t="s">
        <v>309</v>
      </c>
      <c r="D120" s="8" t="s">
        <v>310</v>
      </c>
      <c r="E120" s="11" t="n">
        <v>5000</v>
      </c>
      <c r="F120" s="8" t="s">
        <v>11313</v>
      </c>
      <c r="G120" s="8" t="s">
        <v>11549</v>
      </c>
      <c r="H120" s="8" t="s">
        <v>11461</v>
      </c>
      <c r="I120" s="8"/>
      <c r="J120" s="8" t="s">
        <v>11550</v>
      </c>
    </row>
    <row r="121" customFormat="false" ht="15" hidden="false" customHeight="true" outlineLevel="0" collapsed="false">
      <c r="A121" s="8" t="s">
        <v>11460</v>
      </c>
      <c r="B121" s="8" t="s">
        <v>894</v>
      </c>
      <c r="C121" s="8" t="s">
        <v>408</v>
      </c>
      <c r="D121" s="8" t="s">
        <v>409</v>
      </c>
      <c r="E121" s="11" t="n">
        <v>15000</v>
      </c>
      <c r="F121" s="8" t="s">
        <v>11308</v>
      </c>
      <c r="G121" s="8" t="s">
        <v>2627</v>
      </c>
      <c r="H121" s="8" t="s">
        <v>11461</v>
      </c>
      <c r="I121" s="8"/>
      <c r="J121" s="8" t="s">
        <v>11551</v>
      </c>
    </row>
    <row r="122" customFormat="false" ht="15" hidden="false" customHeight="true" outlineLevel="0" collapsed="false">
      <c r="A122" s="8" t="s">
        <v>11460</v>
      </c>
      <c r="B122" s="8" t="s">
        <v>894</v>
      </c>
      <c r="C122" s="8" t="s">
        <v>462</v>
      </c>
      <c r="D122" s="8" t="s">
        <v>463</v>
      </c>
      <c r="E122" s="11" t="n">
        <v>10000</v>
      </c>
      <c r="F122" s="8" t="s">
        <v>11308</v>
      </c>
      <c r="G122" s="8" t="s">
        <v>2627</v>
      </c>
      <c r="H122" s="8" t="s">
        <v>11461</v>
      </c>
      <c r="I122" s="8"/>
      <c r="J122" s="8" t="s">
        <v>11552</v>
      </c>
    </row>
    <row r="123" customFormat="false" ht="15" hidden="false" customHeight="true" outlineLevel="0" collapsed="false">
      <c r="A123" s="8" t="s">
        <v>11460</v>
      </c>
      <c r="B123" s="8" t="s">
        <v>894</v>
      </c>
      <c r="C123" s="8" t="s">
        <v>395</v>
      </c>
      <c r="D123" s="8" t="s">
        <v>396</v>
      </c>
      <c r="E123" s="11" t="n">
        <v>5000</v>
      </c>
      <c r="F123" s="8" t="s">
        <v>11308</v>
      </c>
      <c r="G123" s="8" t="s">
        <v>2636</v>
      </c>
      <c r="H123" s="8" t="s">
        <v>11461</v>
      </c>
      <c r="I123" s="8"/>
      <c r="J123" s="8" t="s">
        <v>11553</v>
      </c>
    </row>
    <row r="124" customFormat="false" ht="15" hidden="false" customHeight="true" outlineLevel="0" collapsed="false">
      <c r="A124" s="8" t="s">
        <v>11460</v>
      </c>
      <c r="B124" s="8" t="s">
        <v>894</v>
      </c>
      <c r="C124" s="8" t="s">
        <v>925</v>
      </c>
      <c r="D124" s="8" t="s">
        <v>198</v>
      </c>
      <c r="E124" s="11" t="n">
        <v>2000</v>
      </c>
      <c r="F124" s="8" t="s">
        <v>11554</v>
      </c>
      <c r="G124" s="8" t="s">
        <v>2715</v>
      </c>
      <c r="H124" s="8" t="s">
        <v>11461</v>
      </c>
      <c r="I124" s="8"/>
      <c r="J124" s="8" t="s">
        <v>11555</v>
      </c>
    </row>
    <row r="125" customFormat="false" ht="15" hidden="false" customHeight="true" outlineLevel="0" collapsed="false">
      <c r="A125" s="8" t="s">
        <v>11460</v>
      </c>
      <c r="B125" s="8" t="s">
        <v>894</v>
      </c>
      <c r="C125" s="8" t="s">
        <v>925</v>
      </c>
      <c r="D125" s="8" t="s">
        <v>198</v>
      </c>
      <c r="E125" s="11" t="n">
        <v>2000</v>
      </c>
      <c r="F125" s="8" t="s">
        <v>11554</v>
      </c>
      <c r="G125" s="8" t="s">
        <v>2716</v>
      </c>
      <c r="H125" s="8" t="s">
        <v>11461</v>
      </c>
      <c r="I125" s="8"/>
      <c r="J125" s="8" t="s">
        <v>11556</v>
      </c>
    </row>
    <row r="126" customFormat="false" ht="15" hidden="false" customHeight="true" outlineLevel="0" collapsed="false">
      <c r="A126" s="8" t="s">
        <v>11460</v>
      </c>
      <c r="B126" s="8" t="s">
        <v>894</v>
      </c>
      <c r="C126" s="8" t="s">
        <v>925</v>
      </c>
      <c r="D126" s="8" t="s">
        <v>198</v>
      </c>
      <c r="E126" s="11" t="n">
        <v>2000</v>
      </c>
      <c r="F126" s="8" t="s">
        <v>11554</v>
      </c>
      <c r="G126" s="8" t="s">
        <v>2717</v>
      </c>
      <c r="H126" s="8" t="s">
        <v>11461</v>
      </c>
      <c r="I126" s="8"/>
      <c r="J126" s="8" t="s">
        <v>11557</v>
      </c>
    </row>
    <row r="127" customFormat="false" ht="15" hidden="false" customHeight="true" outlineLevel="0" collapsed="false">
      <c r="A127" s="8" t="s">
        <v>11460</v>
      </c>
      <c r="B127" s="8" t="s">
        <v>894</v>
      </c>
      <c r="C127" s="8" t="s">
        <v>925</v>
      </c>
      <c r="D127" s="8" t="s">
        <v>198</v>
      </c>
      <c r="E127" s="11" t="n">
        <v>2000</v>
      </c>
      <c r="F127" s="8" t="s">
        <v>11554</v>
      </c>
      <c r="G127" s="8" t="s">
        <v>2718</v>
      </c>
      <c r="H127" s="8" t="s">
        <v>11461</v>
      </c>
      <c r="I127" s="8"/>
      <c r="J127" s="8" t="s">
        <v>11558</v>
      </c>
    </row>
    <row r="128" customFormat="false" ht="15" hidden="false" customHeight="true" outlineLevel="0" collapsed="false">
      <c r="A128" s="8" t="s">
        <v>11460</v>
      </c>
      <c r="B128" s="8" t="s">
        <v>894</v>
      </c>
      <c r="C128" s="8" t="s">
        <v>925</v>
      </c>
      <c r="D128" s="8" t="s">
        <v>198</v>
      </c>
      <c r="E128" s="11" t="n">
        <v>2000</v>
      </c>
      <c r="F128" s="8" t="s">
        <v>11554</v>
      </c>
      <c r="G128" s="8" t="s">
        <v>2719</v>
      </c>
      <c r="H128" s="8" t="s">
        <v>11461</v>
      </c>
      <c r="I128" s="8"/>
      <c r="J128" s="8" t="s">
        <v>11559</v>
      </c>
    </row>
    <row r="129" customFormat="false" ht="15" hidden="false" customHeight="true" outlineLevel="0" collapsed="false">
      <c r="A129" s="8" t="s">
        <v>11460</v>
      </c>
      <c r="B129" s="8" t="s">
        <v>894</v>
      </c>
      <c r="C129" s="8" t="s">
        <v>925</v>
      </c>
      <c r="D129" s="8" t="s">
        <v>198</v>
      </c>
      <c r="E129" s="11" t="n">
        <v>2000</v>
      </c>
      <c r="F129" s="8" t="s">
        <v>11554</v>
      </c>
      <c r="G129" s="8" t="s">
        <v>2720</v>
      </c>
      <c r="H129" s="8" t="s">
        <v>11461</v>
      </c>
      <c r="I129" s="8"/>
      <c r="J129" s="8" t="s">
        <v>11560</v>
      </c>
    </row>
    <row r="130" customFormat="false" ht="15" hidden="false" customHeight="true" outlineLevel="0" collapsed="false">
      <c r="A130" s="8" t="s">
        <v>11460</v>
      </c>
      <c r="B130" s="8" t="s">
        <v>894</v>
      </c>
      <c r="C130" s="8" t="s">
        <v>925</v>
      </c>
      <c r="D130" s="8" t="s">
        <v>198</v>
      </c>
      <c r="E130" s="11" t="n">
        <v>2000</v>
      </c>
      <c r="F130" s="8" t="s">
        <v>11554</v>
      </c>
      <c r="G130" s="8" t="s">
        <v>2721</v>
      </c>
      <c r="H130" s="8" t="s">
        <v>11461</v>
      </c>
      <c r="I130" s="8"/>
      <c r="J130" s="8" t="s">
        <v>11561</v>
      </c>
    </row>
    <row r="131" customFormat="false" ht="15" hidden="false" customHeight="true" outlineLevel="0" collapsed="false">
      <c r="A131" s="8" t="s">
        <v>11460</v>
      </c>
      <c r="B131" s="8" t="s">
        <v>894</v>
      </c>
      <c r="C131" s="8" t="s">
        <v>925</v>
      </c>
      <c r="D131" s="8" t="s">
        <v>198</v>
      </c>
      <c r="E131" s="11" t="n">
        <v>2000</v>
      </c>
      <c r="F131" s="8" t="s">
        <v>11554</v>
      </c>
      <c r="G131" s="8" t="s">
        <v>2722</v>
      </c>
      <c r="H131" s="8" t="s">
        <v>11461</v>
      </c>
      <c r="I131" s="8"/>
      <c r="J131" s="8" t="s">
        <v>11562</v>
      </c>
    </row>
    <row r="132" customFormat="false" ht="15" hidden="false" customHeight="true" outlineLevel="0" collapsed="false">
      <c r="A132" s="8" t="s">
        <v>11460</v>
      </c>
      <c r="B132" s="8" t="s">
        <v>894</v>
      </c>
      <c r="C132" s="8" t="s">
        <v>518</v>
      </c>
      <c r="D132" s="8" t="s">
        <v>519</v>
      </c>
      <c r="E132" s="11" t="n">
        <v>5000</v>
      </c>
      <c r="F132" s="8" t="s">
        <v>11308</v>
      </c>
      <c r="G132" s="8" t="s">
        <v>2714</v>
      </c>
      <c r="H132" s="8" t="s">
        <v>11461</v>
      </c>
      <c r="I132" s="8"/>
      <c r="J132" s="8" t="s">
        <v>11563</v>
      </c>
    </row>
    <row r="133" customFormat="false" ht="15" hidden="false" customHeight="true" outlineLevel="0" collapsed="false">
      <c r="A133" s="8" t="s">
        <v>11460</v>
      </c>
      <c r="B133" s="8" t="s">
        <v>894</v>
      </c>
      <c r="C133" s="8" t="s">
        <v>523</v>
      </c>
      <c r="D133" s="8" t="s">
        <v>524</v>
      </c>
      <c r="E133" s="11" t="n">
        <v>5000</v>
      </c>
      <c r="F133" s="8" t="s">
        <v>11308</v>
      </c>
      <c r="G133" s="8" t="s">
        <v>2627</v>
      </c>
      <c r="H133" s="8" t="s">
        <v>11461</v>
      </c>
      <c r="I133" s="8"/>
      <c r="J133" s="8" t="s">
        <v>11564</v>
      </c>
    </row>
    <row r="134" customFormat="false" ht="15" hidden="false" customHeight="true" outlineLevel="0" collapsed="false">
      <c r="A134" s="8" t="s">
        <v>11460</v>
      </c>
      <c r="B134" s="8" t="s">
        <v>894</v>
      </c>
      <c r="C134" s="8" t="s">
        <v>384</v>
      </c>
      <c r="D134" s="8" t="s">
        <v>385</v>
      </c>
      <c r="E134" s="11" t="n">
        <v>20000</v>
      </c>
      <c r="F134" s="8" t="s">
        <v>11319</v>
      </c>
      <c r="G134" s="8" t="s">
        <v>2655</v>
      </c>
      <c r="H134" s="8" t="s">
        <v>11461</v>
      </c>
      <c r="I134" s="8"/>
      <c r="J134" s="8" t="s">
        <v>11565</v>
      </c>
    </row>
    <row r="135" customFormat="false" ht="15" hidden="false" customHeight="true" outlineLevel="0" collapsed="false">
      <c r="A135" s="8" t="s">
        <v>11460</v>
      </c>
      <c r="B135" s="8" t="s">
        <v>894</v>
      </c>
      <c r="C135" s="8" t="s">
        <v>296</v>
      </c>
      <c r="D135" s="8" t="s">
        <v>297</v>
      </c>
      <c r="E135" s="11" t="n">
        <v>10000</v>
      </c>
      <c r="F135" s="8" t="s">
        <v>11319</v>
      </c>
      <c r="G135" s="8" t="s">
        <v>2704</v>
      </c>
      <c r="H135" s="8" t="s">
        <v>11461</v>
      </c>
      <c r="I135" s="8"/>
      <c r="J135" s="8" t="s">
        <v>11566</v>
      </c>
    </row>
    <row r="136" customFormat="false" ht="15" hidden="false" customHeight="true" outlineLevel="0" collapsed="false">
      <c r="A136" s="8" t="s">
        <v>11460</v>
      </c>
      <c r="B136" s="8" t="s">
        <v>894</v>
      </c>
      <c r="C136" s="8" t="s">
        <v>617</v>
      </c>
      <c r="D136" s="8" t="s">
        <v>205</v>
      </c>
      <c r="E136" s="11" t="n">
        <v>30000</v>
      </c>
      <c r="F136" s="8" t="s">
        <v>11318</v>
      </c>
      <c r="G136" s="8" t="s">
        <v>11567</v>
      </c>
      <c r="H136" s="8" t="s">
        <v>11461</v>
      </c>
      <c r="I136" s="8"/>
      <c r="J136" s="8" t="s">
        <v>11568</v>
      </c>
    </row>
    <row r="137" customFormat="false" ht="15" hidden="false" customHeight="true" outlineLevel="0" collapsed="false">
      <c r="A137" s="8" t="s">
        <v>11460</v>
      </c>
      <c r="B137" s="8" t="s">
        <v>894</v>
      </c>
      <c r="C137" s="8" t="s">
        <v>1084</v>
      </c>
      <c r="D137" s="8" t="s">
        <v>212</v>
      </c>
      <c r="E137" s="11" t="n">
        <v>5000</v>
      </c>
      <c r="F137" s="8" t="s">
        <v>11318</v>
      </c>
      <c r="G137" s="8" t="s">
        <v>2627</v>
      </c>
      <c r="H137" s="8" t="s">
        <v>11461</v>
      </c>
      <c r="I137" s="8"/>
      <c r="J137" s="8" t="s">
        <v>11569</v>
      </c>
    </row>
    <row r="138" customFormat="false" ht="15" hidden="false" customHeight="true" outlineLevel="0" collapsed="false">
      <c r="A138" s="8" t="s">
        <v>11460</v>
      </c>
      <c r="B138" s="8" t="s">
        <v>894</v>
      </c>
      <c r="C138" s="8" t="s">
        <v>1084</v>
      </c>
      <c r="D138" s="8" t="s">
        <v>212</v>
      </c>
      <c r="E138" s="11" t="n">
        <v>25000</v>
      </c>
      <c r="F138" s="8" t="s">
        <v>11318</v>
      </c>
      <c r="G138" s="8" t="s">
        <v>11570</v>
      </c>
      <c r="H138" s="8" t="s">
        <v>11461</v>
      </c>
      <c r="I138" s="8"/>
      <c r="J138" s="8" t="s">
        <v>11571</v>
      </c>
    </row>
    <row r="139" customFormat="false" ht="15" hidden="false" customHeight="true" outlineLevel="0" collapsed="false">
      <c r="A139" s="8" t="s">
        <v>11460</v>
      </c>
      <c r="B139" s="8" t="s">
        <v>894</v>
      </c>
      <c r="C139" s="8" t="s">
        <v>528</v>
      </c>
      <c r="D139" s="8" t="s">
        <v>529</v>
      </c>
      <c r="E139" s="11" t="n">
        <v>5000</v>
      </c>
      <c r="F139" s="8" t="s">
        <v>11308</v>
      </c>
      <c r="G139" s="8"/>
      <c r="H139" s="8" t="s">
        <v>11461</v>
      </c>
      <c r="I139" s="8"/>
      <c r="J139" s="8" t="s">
        <v>11572</v>
      </c>
    </row>
    <row r="140" customFormat="false" ht="15" hidden="false" customHeight="true" outlineLevel="0" collapsed="false">
      <c r="A140" s="8" t="s">
        <v>11460</v>
      </c>
      <c r="B140" s="8" t="s">
        <v>894</v>
      </c>
      <c r="C140" s="8" t="s">
        <v>388</v>
      </c>
      <c r="D140" s="8" t="s">
        <v>389</v>
      </c>
      <c r="E140" s="11" t="n">
        <v>20000</v>
      </c>
      <c r="F140" s="8" t="s">
        <v>11319</v>
      </c>
      <c r="G140" s="8" t="s">
        <v>2699</v>
      </c>
      <c r="H140" s="8" t="s">
        <v>11461</v>
      </c>
      <c r="I140" s="8"/>
      <c r="J140" s="8" t="s">
        <v>11573</v>
      </c>
    </row>
    <row r="141" customFormat="false" ht="15" hidden="false" customHeight="true" outlineLevel="0" collapsed="false">
      <c r="A141" s="8" t="s">
        <v>11460</v>
      </c>
      <c r="B141" s="8" t="s">
        <v>894</v>
      </c>
      <c r="C141" s="8" t="s">
        <v>531</v>
      </c>
      <c r="D141" s="8" t="s">
        <v>532</v>
      </c>
      <c r="E141" s="11" t="n">
        <v>5000</v>
      </c>
      <c r="F141" s="8" t="s">
        <v>11308</v>
      </c>
      <c r="G141" s="8" t="s">
        <v>11574</v>
      </c>
      <c r="H141" s="8" t="s">
        <v>11461</v>
      </c>
      <c r="I141" s="8"/>
      <c r="J141" s="8" t="s">
        <v>11575</v>
      </c>
    </row>
    <row r="142" customFormat="false" ht="15" hidden="false" customHeight="true" outlineLevel="0" collapsed="false">
      <c r="A142" s="8" t="s">
        <v>11460</v>
      </c>
      <c r="B142" s="8" t="s">
        <v>894</v>
      </c>
      <c r="C142" s="8" t="s">
        <v>718</v>
      </c>
      <c r="D142" s="8" t="s">
        <v>269</v>
      </c>
      <c r="E142" s="11" t="n">
        <v>5000</v>
      </c>
      <c r="F142" s="8" t="s">
        <v>11318</v>
      </c>
      <c r="G142" s="8" t="s">
        <v>2713</v>
      </c>
      <c r="H142" s="8" t="s">
        <v>11461</v>
      </c>
      <c r="I142" s="8"/>
      <c r="J142" s="8" t="s">
        <v>11576</v>
      </c>
    </row>
    <row r="143" customFormat="false" ht="15" hidden="false" customHeight="true" outlineLevel="0" collapsed="false">
      <c r="A143" s="8" t="s">
        <v>11460</v>
      </c>
      <c r="B143" s="8" t="s">
        <v>894</v>
      </c>
      <c r="C143" s="8" t="s">
        <v>535</v>
      </c>
      <c r="D143" s="8" t="s">
        <v>536</v>
      </c>
      <c r="E143" s="11" t="n">
        <v>5000</v>
      </c>
      <c r="F143" s="8" t="s">
        <v>11308</v>
      </c>
      <c r="G143" s="8" t="s">
        <v>11577</v>
      </c>
      <c r="H143" s="8" t="s">
        <v>11461</v>
      </c>
      <c r="I143" s="8"/>
      <c r="J143" s="8" t="s">
        <v>11578</v>
      </c>
    </row>
    <row r="144" customFormat="false" ht="15" hidden="false" customHeight="true" outlineLevel="0" collapsed="false">
      <c r="A144" s="8" t="s">
        <v>11460</v>
      </c>
      <c r="B144" s="8" t="s">
        <v>11579</v>
      </c>
      <c r="C144" s="8" t="s">
        <v>617</v>
      </c>
      <c r="D144" s="8" t="s">
        <v>205</v>
      </c>
      <c r="E144" s="11" t="n">
        <v>10000</v>
      </c>
      <c r="F144" s="8" t="s">
        <v>11318</v>
      </c>
      <c r="G144" s="8" t="s">
        <v>2757</v>
      </c>
      <c r="H144" s="8" t="s">
        <v>11461</v>
      </c>
      <c r="I144" s="8"/>
      <c r="J144" s="8" t="s">
        <v>11580</v>
      </c>
    </row>
    <row r="145" customFormat="false" ht="15" hidden="false" customHeight="true" outlineLevel="0" collapsed="false">
      <c r="A145" s="8" t="s">
        <v>11460</v>
      </c>
      <c r="B145" s="8" t="s">
        <v>11579</v>
      </c>
      <c r="C145" s="8" t="s">
        <v>1084</v>
      </c>
      <c r="D145" s="8" t="s">
        <v>212</v>
      </c>
      <c r="E145" s="11" t="n">
        <v>15000</v>
      </c>
      <c r="F145" s="8" t="s">
        <v>11318</v>
      </c>
      <c r="G145" s="8" t="s">
        <v>2755</v>
      </c>
      <c r="H145" s="8" t="s">
        <v>11461</v>
      </c>
      <c r="I145" s="8"/>
      <c r="J145" s="8" t="s">
        <v>11580</v>
      </c>
    </row>
    <row r="146" customFormat="false" ht="15" hidden="false" customHeight="true" outlineLevel="0" collapsed="false">
      <c r="A146" s="8" t="s">
        <v>11460</v>
      </c>
      <c r="B146" s="8" t="s">
        <v>11579</v>
      </c>
      <c r="C146" s="8" t="s">
        <v>1084</v>
      </c>
      <c r="D146" s="8" t="s">
        <v>212</v>
      </c>
      <c r="E146" s="11" t="n">
        <v>15000</v>
      </c>
      <c r="F146" s="8" t="s">
        <v>11318</v>
      </c>
      <c r="G146" s="8" t="s">
        <v>2754</v>
      </c>
      <c r="H146" s="8" t="s">
        <v>11461</v>
      </c>
      <c r="I146" s="8"/>
      <c r="J146" s="8" t="s">
        <v>11580</v>
      </c>
    </row>
    <row r="147" customFormat="false" ht="15" hidden="false" customHeight="true" outlineLevel="0" collapsed="false">
      <c r="A147" s="8" t="s">
        <v>11460</v>
      </c>
      <c r="B147" s="8" t="s">
        <v>11579</v>
      </c>
      <c r="C147" s="8" t="s">
        <v>718</v>
      </c>
      <c r="D147" s="8" t="s">
        <v>269</v>
      </c>
      <c r="E147" s="11" t="n">
        <v>10000</v>
      </c>
      <c r="F147" s="8" t="s">
        <v>11318</v>
      </c>
      <c r="G147" s="8" t="s">
        <v>2756</v>
      </c>
      <c r="H147" s="8" t="s">
        <v>11461</v>
      </c>
      <c r="I147" s="8"/>
      <c r="J147" s="8" t="s">
        <v>11580</v>
      </c>
    </row>
    <row r="148" customFormat="false" ht="15" hidden="false" customHeight="true" outlineLevel="0" collapsed="false">
      <c r="A148" s="8" t="s">
        <v>11460</v>
      </c>
      <c r="B148" s="8" t="s">
        <v>882</v>
      </c>
      <c r="C148" s="8" t="s">
        <v>640</v>
      </c>
      <c r="D148" s="8" t="s">
        <v>198</v>
      </c>
      <c r="E148" s="11" t="n">
        <v>180000</v>
      </c>
      <c r="F148" s="8" t="s">
        <v>11324</v>
      </c>
      <c r="G148" s="8" t="s">
        <v>2750</v>
      </c>
      <c r="H148" s="8" t="s">
        <v>11461</v>
      </c>
      <c r="I148" s="8"/>
      <c r="J148" s="8" t="s">
        <v>11581</v>
      </c>
    </row>
    <row r="149" customFormat="false" ht="15" hidden="false" customHeight="true" outlineLevel="0" collapsed="false">
      <c r="A149" s="8" t="s">
        <v>11460</v>
      </c>
      <c r="B149" s="8" t="s">
        <v>882</v>
      </c>
      <c r="C149" s="8" t="s">
        <v>466</v>
      </c>
      <c r="D149" s="8" t="s">
        <v>467</v>
      </c>
      <c r="E149" s="11" t="n">
        <v>10000</v>
      </c>
      <c r="F149" s="8" t="s">
        <v>11308</v>
      </c>
      <c r="G149" s="8" t="s">
        <v>2627</v>
      </c>
      <c r="H149" s="8" t="s">
        <v>11461</v>
      </c>
      <c r="I149" s="8"/>
      <c r="J149" s="8" t="s">
        <v>11582</v>
      </c>
    </row>
    <row r="150" customFormat="false" ht="15" hidden="false" customHeight="true" outlineLevel="0" collapsed="false">
      <c r="A150" s="8" t="s">
        <v>11460</v>
      </c>
      <c r="B150" s="8" t="s">
        <v>882</v>
      </c>
      <c r="C150" s="8" t="s">
        <v>470</v>
      </c>
      <c r="D150" s="8" t="s">
        <v>471</v>
      </c>
      <c r="E150" s="11" t="n">
        <v>10000</v>
      </c>
      <c r="F150" s="8" t="s">
        <v>11308</v>
      </c>
      <c r="G150" s="8"/>
      <c r="H150" s="8" t="s">
        <v>11461</v>
      </c>
      <c r="I150" s="8"/>
      <c r="J150" s="8" t="s">
        <v>11582</v>
      </c>
    </row>
    <row r="151" customFormat="false" ht="15" hidden="false" customHeight="true" outlineLevel="0" collapsed="false">
      <c r="A151" s="8" t="s">
        <v>11460</v>
      </c>
      <c r="B151" s="8" t="s">
        <v>882</v>
      </c>
      <c r="C151" s="8" t="s">
        <v>617</v>
      </c>
      <c r="D151" s="8" t="s">
        <v>205</v>
      </c>
      <c r="E151" s="11" t="n">
        <v>25000</v>
      </c>
      <c r="F151" s="8" t="s">
        <v>11308</v>
      </c>
      <c r="G151" s="8" t="s">
        <v>2627</v>
      </c>
      <c r="H151" s="8" t="s">
        <v>11461</v>
      </c>
      <c r="I151" s="8"/>
      <c r="J151" s="8" t="s">
        <v>11583</v>
      </c>
    </row>
    <row r="152" customFormat="false" ht="15" hidden="false" customHeight="true" outlineLevel="0" collapsed="false">
      <c r="A152" s="8" t="s">
        <v>11460</v>
      </c>
      <c r="B152" s="8" t="s">
        <v>882</v>
      </c>
      <c r="C152" s="8" t="s">
        <v>617</v>
      </c>
      <c r="D152" s="8" t="s">
        <v>205</v>
      </c>
      <c r="E152" s="11" t="n">
        <v>30000</v>
      </c>
      <c r="F152" s="8" t="s">
        <v>11318</v>
      </c>
      <c r="G152" s="8" t="s">
        <v>2627</v>
      </c>
      <c r="H152" s="8" t="s">
        <v>11461</v>
      </c>
      <c r="I152" s="8"/>
      <c r="J152" s="8" t="s">
        <v>11584</v>
      </c>
    </row>
    <row r="153" customFormat="false" ht="15" hidden="false" customHeight="true" outlineLevel="0" collapsed="false">
      <c r="A153" s="8" t="s">
        <v>11460</v>
      </c>
      <c r="B153" s="8" t="s">
        <v>882</v>
      </c>
      <c r="C153" s="8" t="s">
        <v>1084</v>
      </c>
      <c r="D153" s="8" t="s">
        <v>212</v>
      </c>
      <c r="E153" s="11" t="n">
        <v>25000</v>
      </c>
      <c r="F153" s="8" t="s">
        <v>11318</v>
      </c>
      <c r="G153" s="8" t="s">
        <v>2627</v>
      </c>
      <c r="H153" s="8" t="s">
        <v>11461</v>
      </c>
      <c r="I153" s="8"/>
      <c r="J153" s="8" t="s">
        <v>11585</v>
      </c>
    </row>
    <row r="154" customFormat="false" ht="15" hidden="false" customHeight="true" outlineLevel="0" collapsed="false">
      <c r="A154" s="8" t="s">
        <v>11460</v>
      </c>
      <c r="B154" s="8" t="s">
        <v>2342</v>
      </c>
      <c r="C154" s="8" t="s">
        <v>2759</v>
      </c>
      <c r="D154" s="8" t="s">
        <v>256</v>
      </c>
      <c r="E154" s="11" t="n">
        <v>30000</v>
      </c>
      <c r="F154" s="8" t="s">
        <v>11308</v>
      </c>
      <c r="G154" s="8" t="s">
        <v>2761</v>
      </c>
      <c r="H154" s="8" t="s">
        <v>11461</v>
      </c>
      <c r="I154" s="8"/>
      <c r="J154" s="8" t="s">
        <v>11586</v>
      </c>
    </row>
    <row r="155" customFormat="false" ht="15" hidden="false" customHeight="true" outlineLevel="0" collapsed="false">
      <c r="A155" s="8" t="s">
        <v>11460</v>
      </c>
      <c r="B155" s="8" t="s">
        <v>2342</v>
      </c>
      <c r="C155" s="8" t="s">
        <v>2759</v>
      </c>
      <c r="D155" s="8" t="s">
        <v>256</v>
      </c>
      <c r="E155" s="11" t="n">
        <v>20000</v>
      </c>
      <c r="F155" s="8" t="s">
        <v>11308</v>
      </c>
      <c r="G155" s="8" t="s">
        <v>2763</v>
      </c>
      <c r="H155" s="8" t="s">
        <v>11461</v>
      </c>
      <c r="I155" s="8"/>
      <c r="J155" s="8" t="s">
        <v>11586</v>
      </c>
    </row>
    <row r="156" customFormat="false" ht="15" hidden="false" customHeight="true" outlineLevel="0" collapsed="false">
      <c r="A156" s="8" t="s">
        <v>11460</v>
      </c>
      <c r="B156" s="8" t="s">
        <v>2342</v>
      </c>
      <c r="C156" s="8" t="s">
        <v>230</v>
      </c>
      <c r="D156" s="8" t="s">
        <v>231</v>
      </c>
      <c r="E156" s="11" t="n">
        <v>20000</v>
      </c>
      <c r="F156" s="8" t="s">
        <v>11322</v>
      </c>
      <c r="G156" s="8" t="s">
        <v>2762</v>
      </c>
      <c r="H156" s="8" t="s">
        <v>11461</v>
      </c>
      <c r="I156" s="8"/>
      <c r="J156" s="8" t="s">
        <v>11586</v>
      </c>
    </row>
    <row r="157" customFormat="false" ht="15" hidden="false" customHeight="true" outlineLevel="0" collapsed="false">
      <c r="A157" s="8" t="s">
        <v>11460</v>
      </c>
      <c r="B157" s="8" t="s">
        <v>2342</v>
      </c>
      <c r="C157" s="8" t="s">
        <v>197</v>
      </c>
      <c r="D157" s="8" t="s">
        <v>198</v>
      </c>
      <c r="E157" s="11" t="n">
        <v>10000</v>
      </c>
      <c r="F157" s="8" t="s">
        <v>11322</v>
      </c>
      <c r="G157" s="8" t="s">
        <v>2627</v>
      </c>
      <c r="H157" s="8" t="s">
        <v>11461</v>
      </c>
      <c r="I157" s="8"/>
      <c r="J157" s="8" t="s">
        <v>11586</v>
      </c>
    </row>
    <row r="158" customFormat="false" ht="15" hidden="false" customHeight="true" outlineLevel="0" collapsed="false">
      <c r="A158" s="8" t="s">
        <v>11460</v>
      </c>
      <c r="B158" s="8" t="s">
        <v>2342</v>
      </c>
      <c r="C158" s="8" t="s">
        <v>473</v>
      </c>
      <c r="D158" s="8" t="s">
        <v>474</v>
      </c>
      <c r="E158" s="11" t="n">
        <v>10000</v>
      </c>
      <c r="F158" s="8" t="s">
        <v>11308</v>
      </c>
      <c r="G158" s="8" t="s">
        <v>2765</v>
      </c>
      <c r="H158" s="8" t="s">
        <v>11461</v>
      </c>
      <c r="I158" s="8"/>
      <c r="J158" s="8" t="s">
        <v>11586</v>
      </c>
    </row>
    <row r="159" customFormat="false" ht="15" hidden="false" customHeight="true" outlineLevel="0" collapsed="false">
      <c r="A159" s="8" t="s">
        <v>11460</v>
      </c>
      <c r="B159" s="8" t="s">
        <v>1743</v>
      </c>
      <c r="C159" s="8" t="s">
        <v>235</v>
      </c>
      <c r="D159" s="8" t="s">
        <v>236</v>
      </c>
      <c r="E159" s="11" t="n">
        <v>15000</v>
      </c>
      <c r="F159" s="8" t="s">
        <v>11313</v>
      </c>
      <c r="G159" s="8" t="s">
        <v>11587</v>
      </c>
      <c r="H159" s="8" t="s">
        <v>11461</v>
      </c>
      <c r="I159" s="8"/>
      <c r="J159" s="8" t="s">
        <v>11588</v>
      </c>
    </row>
    <row r="160" customFormat="false" ht="15" hidden="false" customHeight="true" outlineLevel="0" collapsed="false">
      <c r="A160" s="8" t="s">
        <v>11460</v>
      </c>
      <c r="B160" s="8" t="s">
        <v>1743</v>
      </c>
      <c r="C160" s="8" t="s">
        <v>235</v>
      </c>
      <c r="D160" s="8" t="s">
        <v>236</v>
      </c>
      <c r="E160" s="11" t="n">
        <v>15000</v>
      </c>
      <c r="F160" s="8" t="s">
        <v>11313</v>
      </c>
      <c r="G160" s="8" t="s">
        <v>11589</v>
      </c>
      <c r="H160" s="8" t="s">
        <v>11461</v>
      </c>
      <c r="I160" s="8"/>
      <c r="J160" s="8" t="s">
        <v>11588</v>
      </c>
    </row>
    <row r="161" customFormat="false" ht="15" hidden="false" customHeight="true" outlineLevel="0" collapsed="false">
      <c r="A161" s="8" t="s">
        <v>11460</v>
      </c>
      <c r="B161" s="8" t="s">
        <v>1743</v>
      </c>
      <c r="C161" s="8" t="s">
        <v>321</v>
      </c>
      <c r="D161" s="8" t="s">
        <v>322</v>
      </c>
      <c r="E161" s="11" t="n">
        <v>10000</v>
      </c>
      <c r="F161" s="8" t="s">
        <v>11313</v>
      </c>
      <c r="G161" s="8" t="s">
        <v>2644</v>
      </c>
      <c r="H161" s="8" t="s">
        <v>11461</v>
      </c>
      <c r="I161" s="8"/>
      <c r="J161" s="8" t="s">
        <v>11588</v>
      </c>
    </row>
    <row r="162" customFormat="false" ht="15" hidden="false" customHeight="true" outlineLevel="0" collapsed="false">
      <c r="A162" s="8" t="s">
        <v>11460</v>
      </c>
      <c r="B162" s="8" t="s">
        <v>1743</v>
      </c>
      <c r="C162" s="8" t="s">
        <v>215</v>
      </c>
      <c r="D162" s="8" t="s">
        <v>216</v>
      </c>
      <c r="E162" s="11" t="n">
        <v>15000</v>
      </c>
      <c r="F162" s="8" t="s">
        <v>11313</v>
      </c>
      <c r="G162" s="8" t="s">
        <v>2638</v>
      </c>
      <c r="H162" s="8" t="s">
        <v>11461</v>
      </c>
      <c r="I162" s="8"/>
      <c r="J162" s="8" t="s">
        <v>11588</v>
      </c>
    </row>
    <row r="163" customFormat="false" ht="15" hidden="false" customHeight="true" outlineLevel="0" collapsed="false">
      <c r="A163" s="8" t="s">
        <v>11460</v>
      </c>
      <c r="B163" s="8" t="s">
        <v>1743</v>
      </c>
      <c r="C163" s="8" t="s">
        <v>215</v>
      </c>
      <c r="D163" s="8" t="s">
        <v>216</v>
      </c>
      <c r="E163" s="11" t="n">
        <v>25000</v>
      </c>
      <c r="F163" s="8" t="s">
        <v>11313</v>
      </c>
      <c r="G163" s="8" t="s">
        <v>2639</v>
      </c>
      <c r="H163" s="8" t="s">
        <v>11461</v>
      </c>
      <c r="I163" s="8"/>
      <c r="J163" s="8" t="s">
        <v>11588</v>
      </c>
    </row>
    <row r="164" customFormat="false" ht="15" hidden="false" customHeight="true" outlineLevel="0" collapsed="false">
      <c r="A164" s="8" t="s">
        <v>11460</v>
      </c>
      <c r="B164" s="8" t="s">
        <v>1743</v>
      </c>
      <c r="C164" s="8" t="s">
        <v>151</v>
      </c>
      <c r="D164" s="8" t="s">
        <v>391</v>
      </c>
      <c r="E164" s="11" t="n">
        <v>20000</v>
      </c>
      <c r="F164" s="8" t="s">
        <v>11313</v>
      </c>
      <c r="G164" s="8" t="s">
        <v>2627</v>
      </c>
      <c r="H164" s="8" t="s">
        <v>11461</v>
      </c>
      <c r="I164" s="8"/>
      <c r="J164" s="8" t="s">
        <v>11588</v>
      </c>
    </row>
    <row r="165" customFormat="false" ht="15" hidden="false" customHeight="true" outlineLevel="0" collapsed="false">
      <c r="A165" s="8" t="s">
        <v>11460</v>
      </c>
      <c r="B165" s="8" t="s">
        <v>1743</v>
      </c>
      <c r="C165" s="8" t="s">
        <v>657</v>
      </c>
      <c r="D165" s="8" t="s">
        <v>246</v>
      </c>
      <c r="E165" s="11" t="n">
        <v>15000</v>
      </c>
      <c r="F165" s="8" t="s">
        <v>11313</v>
      </c>
      <c r="G165" s="8" t="s">
        <v>2640</v>
      </c>
      <c r="H165" s="8" t="s">
        <v>11461</v>
      </c>
      <c r="I165" s="8"/>
      <c r="J165" s="8" t="s">
        <v>11588</v>
      </c>
    </row>
    <row r="166" customFormat="false" ht="15" hidden="false" customHeight="true" outlineLevel="0" collapsed="false">
      <c r="A166" s="8" t="s">
        <v>11460</v>
      </c>
      <c r="B166" s="8" t="s">
        <v>1743</v>
      </c>
      <c r="C166" s="8" t="s">
        <v>309</v>
      </c>
      <c r="D166" s="8" t="s">
        <v>310</v>
      </c>
      <c r="E166" s="11" t="n">
        <v>10000</v>
      </c>
      <c r="F166" s="8" t="s">
        <v>11313</v>
      </c>
      <c r="G166" s="8" t="s">
        <v>2773</v>
      </c>
      <c r="H166" s="8" t="s">
        <v>11461</v>
      </c>
      <c r="I166" s="8"/>
      <c r="J166" s="8" t="s">
        <v>11588</v>
      </c>
    </row>
    <row r="167" customFormat="false" ht="15" hidden="false" customHeight="true" outlineLevel="0" collapsed="false">
      <c r="A167" s="8" t="s">
        <v>11460</v>
      </c>
      <c r="B167" s="8" t="s">
        <v>1743</v>
      </c>
      <c r="C167" s="8" t="s">
        <v>477</v>
      </c>
      <c r="D167" s="8" t="s">
        <v>478</v>
      </c>
      <c r="E167" s="11" t="n">
        <v>10000</v>
      </c>
      <c r="F167" s="8" t="s">
        <v>11313</v>
      </c>
      <c r="G167" s="8" t="s">
        <v>2627</v>
      </c>
      <c r="H167" s="8" t="s">
        <v>11461</v>
      </c>
      <c r="I167" s="8"/>
      <c r="J167" s="8" t="s">
        <v>11588</v>
      </c>
    </row>
    <row r="168" customFormat="false" ht="15" hidden="false" customHeight="true" outlineLevel="0" collapsed="false">
      <c r="A168" s="8" t="s">
        <v>11460</v>
      </c>
      <c r="B168" s="8" t="s">
        <v>1743</v>
      </c>
      <c r="C168" s="8" t="s">
        <v>1095</v>
      </c>
      <c r="D168" s="8" t="s">
        <v>278</v>
      </c>
      <c r="E168" s="11" t="n">
        <v>15000</v>
      </c>
      <c r="F168" s="8" t="s">
        <v>11313</v>
      </c>
      <c r="G168" s="8" t="s">
        <v>2641</v>
      </c>
      <c r="H168" s="8" t="s">
        <v>11461</v>
      </c>
      <c r="I168" s="8"/>
      <c r="J168" s="8" t="s">
        <v>11588</v>
      </c>
    </row>
    <row r="169" customFormat="false" ht="15" hidden="false" customHeight="true" outlineLevel="0" collapsed="false">
      <c r="A169" s="8" t="s">
        <v>11460</v>
      </c>
      <c r="B169" s="8" t="s">
        <v>928</v>
      </c>
      <c r="C169" s="8" t="s">
        <v>2780</v>
      </c>
      <c r="D169" s="8" t="s">
        <v>541</v>
      </c>
      <c r="E169" s="11" t="n">
        <v>5000</v>
      </c>
      <c r="F169" s="8" t="s">
        <v>11308</v>
      </c>
      <c r="G169" s="8" t="s">
        <v>2781</v>
      </c>
      <c r="H169" s="8" t="s">
        <v>11461</v>
      </c>
      <c r="I169" s="8"/>
      <c r="J169" s="8" t="s">
        <v>11590</v>
      </c>
    </row>
    <row r="170" customFormat="false" ht="15" hidden="false" customHeight="true" outlineLevel="0" collapsed="false">
      <c r="A170" s="8" t="s">
        <v>11460</v>
      </c>
      <c r="B170" s="8" t="s">
        <v>928</v>
      </c>
      <c r="C170" s="8" t="s">
        <v>285</v>
      </c>
      <c r="D170" s="8" t="s">
        <v>286</v>
      </c>
      <c r="E170" s="11" t="n">
        <v>10000</v>
      </c>
      <c r="F170" s="8" t="s">
        <v>11308</v>
      </c>
      <c r="G170" s="8" t="s">
        <v>2776</v>
      </c>
      <c r="H170" s="8" t="s">
        <v>11461</v>
      </c>
      <c r="I170" s="8"/>
      <c r="J170" s="8" t="s">
        <v>11591</v>
      </c>
    </row>
    <row r="171" customFormat="false" ht="15" hidden="false" customHeight="true" outlineLevel="0" collapsed="false">
      <c r="A171" s="8" t="s">
        <v>11460</v>
      </c>
      <c r="B171" s="8" t="s">
        <v>928</v>
      </c>
      <c r="C171" s="8" t="s">
        <v>225</v>
      </c>
      <c r="D171" s="8" t="s">
        <v>226</v>
      </c>
      <c r="E171" s="11" t="n">
        <v>20000</v>
      </c>
      <c r="F171" s="8" t="s">
        <v>11308</v>
      </c>
      <c r="G171" s="8" t="s">
        <v>11592</v>
      </c>
      <c r="H171" s="8" t="s">
        <v>11461</v>
      </c>
      <c r="I171" s="8"/>
      <c r="J171" s="8" t="s">
        <v>11593</v>
      </c>
    </row>
    <row r="172" customFormat="false" ht="15" hidden="false" customHeight="true" outlineLevel="0" collapsed="false">
      <c r="A172" s="8" t="s">
        <v>11460</v>
      </c>
      <c r="B172" s="8" t="s">
        <v>928</v>
      </c>
      <c r="C172" s="8" t="s">
        <v>481</v>
      </c>
      <c r="D172" s="8" t="s">
        <v>482</v>
      </c>
      <c r="E172" s="11" t="n">
        <v>10000</v>
      </c>
      <c r="F172" s="8" t="s">
        <v>11308</v>
      </c>
      <c r="G172" s="8" t="s">
        <v>2777</v>
      </c>
      <c r="H172" s="8" t="s">
        <v>11461</v>
      </c>
      <c r="I172" s="8"/>
      <c r="J172" s="8" t="s">
        <v>11594</v>
      </c>
    </row>
    <row r="173" customFormat="false" ht="15" hidden="false" customHeight="true" outlineLevel="0" collapsed="false">
      <c r="A173" s="8" t="s">
        <v>11460</v>
      </c>
      <c r="B173" s="8" t="s">
        <v>928</v>
      </c>
      <c r="C173" s="8" t="s">
        <v>404</v>
      </c>
      <c r="D173" s="8" t="s">
        <v>405</v>
      </c>
      <c r="E173" s="11" t="n">
        <v>5000</v>
      </c>
      <c r="F173" s="8" t="s">
        <v>11308</v>
      </c>
      <c r="G173" s="8" t="s">
        <v>2782</v>
      </c>
      <c r="H173" s="8" t="s">
        <v>11461</v>
      </c>
      <c r="I173" s="8"/>
      <c r="J173" s="8" t="s">
        <v>11543</v>
      </c>
    </row>
    <row r="174" customFormat="false" ht="15" hidden="false" customHeight="true" outlineLevel="0" collapsed="false">
      <c r="A174" s="8" t="s">
        <v>11460</v>
      </c>
      <c r="B174" s="8" t="s">
        <v>928</v>
      </c>
      <c r="C174" s="8" t="s">
        <v>545</v>
      </c>
      <c r="D174" s="8" t="s">
        <v>546</v>
      </c>
      <c r="E174" s="11" t="n">
        <v>5000</v>
      </c>
      <c r="F174" s="8" t="s">
        <v>11308</v>
      </c>
      <c r="G174" s="8" t="s">
        <v>2714</v>
      </c>
      <c r="H174" s="8" t="s">
        <v>11461</v>
      </c>
      <c r="I174" s="8"/>
      <c r="J174" s="8" t="s">
        <v>11595</v>
      </c>
    </row>
    <row r="175" customFormat="false" ht="15" hidden="false" customHeight="true" outlineLevel="0" collapsed="false">
      <c r="A175" s="8" t="s">
        <v>11460</v>
      </c>
      <c r="B175" s="8" t="s">
        <v>928</v>
      </c>
      <c r="C175" s="8" t="s">
        <v>485</v>
      </c>
      <c r="D175" s="8" t="s">
        <v>486</v>
      </c>
      <c r="E175" s="11" t="n">
        <v>10000</v>
      </c>
      <c r="F175" s="8" t="s">
        <v>11308</v>
      </c>
      <c r="G175" s="8" t="s">
        <v>2714</v>
      </c>
      <c r="H175" s="8" t="s">
        <v>11461</v>
      </c>
      <c r="I175" s="8"/>
      <c r="J175" s="8" t="s">
        <v>11596</v>
      </c>
    </row>
    <row r="176" customFormat="false" ht="15" hidden="false" customHeight="true" outlineLevel="0" collapsed="false">
      <c r="A176" s="8" t="s">
        <v>11460</v>
      </c>
      <c r="B176" s="8" t="s">
        <v>928</v>
      </c>
      <c r="C176" s="8" t="s">
        <v>240</v>
      </c>
      <c r="D176" s="8" t="s">
        <v>241</v>
      </c>
      <c r="E176" s="11" t="n">
        <v>10000</v>
      </c>
      <c r="F176" s="8" t="s">
        <v>11308</v>
      </c>
      <c r="G176" s="8" t="s">
        <v>2778</v>
      </c>
      <c r="H176" s="8" t="s">
        <v>11461</v>
      </c>
      <c r="I176" s="8"/>
      <c r="J176" s="8" t="s">
        <v>11597</v>
      </c>
    </row>
    <row r="177" customFormat="false" ht="15" hidden="false" customHeight="true" outlineLevel="0" collapsed="false">
      <c r="A177" s="8" t="s">
        <v>11460</v>
      </c>
      <c r="B177" s="8" t="s">
        <v>928</v>
      </c>
      <c r="C177" s="8" t="s">
        <v>1151</v>
      </c>
      <c r="D177" s="8" t="s">
        <v>413</v>
      </c>
      <c r="E177" s="11" t="n">
        <v>15000</v>
      </c>
      <c r="F177" s="8" t="s">
        <v>11308</v>
      </c>
      <c r="G177" s="8"/>
      <c r="H177" s="8" t="s">
        <v>11461</v>
      </c>
      <c r="I177" s="8"/>
      <c r="J177" s="8" t="s">
        <v>11598</v>
      </c>
    </row>
    <row r="178" customFormat="false" ht="15" hidden="false" customHeight="true" outlineLevel="0" collapsed="false">
      <c r="A178" s="8" t="s">
        <v>11460</v>
      </c>
      <c r="B178" s="8" t="s">
        <v>928</v>
      </c>
      <c r="C178" s="8" t="s">
        <v>549</v>
      </c>
      <c r="D178" s="8" t="s">
        <v>550</v>
      </c>
      <c r="E178" s="11" t="n">
        <v>5000</v>
      </c>
      <c r="F178" s="8" t="s">
        <v>11308</v>
      </c>
      <c r="G178" s="8" t="s">
        <v>2783</v>
      </c>
      <c r="H178" s="8" t="s">
        <v>11461</v>
      </c>
      <c r="I178" s="8"/>
      <c r="J178" s="8" t="s">
        <v>11599</v>
      </c>
    </row>
    <row r="179" customFormat="false" ht="15" hidden="false" customHeight="true" outlineLevel="0" collapsed="false">
      <c r="A179" s="8" t="s">
        <v>11460</v>
      </c>
      <c r="B179" s="8" t="s">
        <v>928</v>
      </c>
      <c r="C179" s="8" t="s">
        <v>415</v>
      </c>
      <c r="D179" s="8" t="s">
        <v>416</v>
      </c>
      <c r="E179" s="11" t="n">
        <v>10000</v>
      </c>
      <c r="F179" s="8" t="s">
        <v>11308</v>
      </c>
      <c r="G179" s="8" t="s">
        <v>2706</v>
      </c>
      <c r="H179" s="8" t="s">
        <v>11461</v>
      </c>
      <c r="I179" s="8"/>
      <c r="J179" s="8" t="s">
        <v>11600</v>
      </c>
    </row>
    <row r="180" customFormat="false" ht="15" hidden="false" customHeight="true" outlineLevel="0" collapsed="false">
      <c r="A180" s="8" t="s">
        <v>11460</v>
      </c>
      <c r="B180" s="8" t="s">
        <v>928</v>
      </c>
      <c r="C180" s="8" t="s">
        <v>415</v>
      </c>
      <c r="D180" s="8" t="s">
        <v>416</v>
      </c>
      <c r="E180" s="11" t="n">
        <v>5000</v>
      </c>
      <c r="F180" s="8" t="s">
        <v>11308</v>
      </c>
      <c r="G180" s="8" t="s">
        <v>2784</v>
      </c>
      <c r="H180" s="8" t="s">
        <v>11461</v>
      </c>
      <c r="I180" s="8"/>
      <c r="J180" s="8" t="s">
        <v>11601</v>
      </c>
    </row>
    <row r="181" customFormat="false" ht="15" hidden="false" customHeight="true" outlineLevel="0" collapsed="false">
      <c r="A181" s="8" t="s">
        <v>11460</v>
      </c>
      <c r="B181" s="8" t="s">
        <v>928</v>
      </c>
      <c r="C181" s="8" t="s">
        <v>552</v>
      </c>
      <c r="D181" s="8" t="s">
        <v>553</v>
      </c>
      <c r="E181" s="11" t="n">
        <v>5000</v>
      </c>
      <c r="F181" s="8" t="s">
        <v>11308</v>
      </c>
      <c r="G181" s="8" t="s">
        <v>2785</v>
      </c>
      <c r="H181" s="8" t="s">
        <v>11461</v>
      </c>
      <c r="I181" s="8"/>
      <c r="J181" s="8" t="s">
        <v>11602</v>
      </c>
    </row>
    <row r="182" customFormat="false" ht="15" hidden="false" customHeight="true" outlineLevel="0" collapsed="false">
      <c r="A182" s="8" t="s">
        <v>11460</v>
      </c>
      <c r="B182" s="8" t="s">
        <v>928</v>
      </c>
      <c r="C182" s="8" t="s">
        <v>1273</v>
      </c>
      <c r="D182" s="8" t="s">
        <v>557</v>
      </c>
      <c r="E182" s="11" t="n">
        <v>5000</v>
      </c>
      <c r="F182" s="8" t="s">
        <v>11308</v>
      </c>
      <c r="G182" s="8" t="s">
        <v>2789</v>
      </c>
      <c r="H182" s="8" t="s">
        <v>11461</v>
      </c>
      <c r="I182" s="8"/>
      <c r="J182" s="8" t="s">
        <v>11603</v>
      </c>
    </row>
    <row r="183" customFormat="false" ht="15" hidden="false" customHeight="true" outlineLevel="0" collapsed="false">
      <c r="A183" s="8" t="s">
        <v>11460</v>
      </c>
      <c r="B183" s="8" t="s">
        <v>928</v>
      </c>
      <c r="C183" s="8" t="s">
        <v>927</v>
      </c>
      <c r="D183" s="8" t="s">
        <v>421</v>
      </c>
      <c r="E183" s="11" t="n">
        <v>15000</v>
      </c>
      <c r="F183" s="8" t="s">
        <v>11308</v>
      </c>
      <c r="G183" s="8" t="s">
        <v>2627</v>
      </c>
      <c r="H183" s="8" t="s">
        <v>11461</v>
      </c>
      <c r="I183" s="8"/>
      <c r="J183" s="8" t="s">
        <v>11604</v>
      </c>
    </row>
    <row r="184" customFormat="false" ht="15" hidden="false" customHeight="true" outlineLevel="0" collapsed="false">
      <c r="A184" s="8" t="s">
        <v>11460</v>
      </c>
      <c r="B184" s="8" t="s">
        <v>928</v>
      </c>
      <c r="C184" s="8" t="s">
        <v>560</v>
      </c>
      <c r="D184" s="8" t="s">
        <v>561</v>
      </c>
      <c r="E184" s="11" t="n">
        <v>5000</v>
      </c>
      <c r="F184" s="8" t="s">
        <v>11308</v>
      </c>
      <c r="G184" s="8" t="s">
        <v>2786</v>
      </c>
      <c r="H184" s="8" t="s">
        <v>11461</v>
      </c>
      <c r="I184" s="8"/>
      <c r="J184" s="8" t="s">
        <v>11605</v>
      </c>
    </row>
    <row r="185" customFormat="false" ht="15" hidden="false" customHeight="true" outlineLevel="0" collapsed="false">
      <c r="A185" s="8" t="s">
        <v>11460</v>
      </c>
      <c r="B185" s="8" t="s">
        <v>928</v>
      </c>
      <c r="C185" s="8" t="s">
        <v>563</v>
      </c>
      <c r="D185" s="8" t="s">
        <v>564</v>
      </c>
      <c r="E185" s="11" t="n">
        <v>5000</v>
      </c>
      <c r="F185" s="8" t="s">
        <v>11308</v>
      </c>
      <c r="G185" s="8" t="s">
        <v>2787</v>
      </c>
      <c r="H185" s="8" t="s">
        <v>11461</v>
      </c>
      <c r="I185" s="8"/>
      <c r="J185" s="8" t="s">
        <v>11606</v>
      </c>
    </row>
    <row r="186" customFormat="false" ht="15" hidden="false" customHeight="true" outlineLevel="0" collapsed="false">
      <c r="A186" s="8" t="s">
        <v>11460</v>
      </c>
      <c r="B186" s="8" t="s">
        <v>928</v>
      </c>
      <c r="C186" s="8" t="s">
        <v>1159</v>
      </c>
      <c r="D186" s="8" t="s">
        <v>567</v>
      </c>
      <c r="E186" s="11" t="n">
        <v>5000</v>
      </c>
      <c r="F186" s="8" t="s">
        <v>11308</v>
      </c>
      <c r="G186" s="8" t="s">
        <v>2788</v>
      </c>
      <c r="H186" s="8" t="s">
        <v>11461</v>
      </c>
      <c r="I186" s="8"/>
      <c r="J186" s="8" t="s">
        <v>11607</v>
      </c>
    </row>
    <row r="187" customFormat="false" ht="15" hidden="false" customHeight="true" outlineLevel="0" collapsed="false">
      <c r="C187" s="12" t="s">
        <v>11608</v>
      </c>
      <c r="E187" s="13" t="n">
        <f aca="false">SUM(E4:E186)</f>
        <v>2250000</v>
      </c>
    </row>
    <row r="188" customFormat="false" ht="15" hidden="false" customHeight="true" outlineLevel="0" collapsed="false">
      <c r="A188" s="8" t="s">
        <v>11609</v>
      </c>
      <c r="B188" s="8" t="s">
        <v>926</v>
      </c>
      <c r="C188" s="8" t="s">
        <v>424</v>
      </c>
      <c r="D188" s="8" t="s">
        <v>425</v>
      </c>
      <c r="E188" s="11" t="n">
        <v>10000</v>
      </c>
      <c r="F188" s="8" t="s">
        <v>11308</v>
      </c>
      <c r="G188" s="8" t="s">
        <v>2631</v>
      </c>
      <c r="H188" s="8" t="s">
        <v>11610</v>
      </c>
      <c r="I188" s="8"/>
      <c r="J188" s="8" t="s">
        <v>11462</v>
      </c>
    </row>
    <row r="189" customFormat="false" ht="15" hidden="false" customHeight="true" outlineLevel="0" collapsed="false">
      <c r="A189" s="8" t="s">
        <v>11609</v>
      </c>
      <c r="B189" s="8" t="s">
        <v>926</v>
      </c>
      <c r="C189" s="8" t="s">
        <v>273</v>
      </c>
      <c r="D189" s="8" t="s">
        <v>274</v>
      </c>
      <c r="E189" s="11" t="n">
        <v>20000</v>
      </c>
      <c r="F189" s="8" t="s">
        <v>11308</v>
      </c>
      <c r="G189" s="8" t="s">
        <v>2627</v>
      </c>
      <c r="H189" s="8" t="s">
        <v>11610</v>
      </c>
      <c r="I189" s="8"/>
      <c r="J189" s="8" t="s">
        <v>11462</v>
      </c>
    </row>
    <row r="190" customFormat="false" ht="15" hidden="false" customHeight="true" outlineLevel="0" collapsed="false">
      <c r="A190" s="8" t="s">
        <v>11609</v>
      </c>
      <c r="B190" s="8" t="s">
        <v>926</v>
      </c>
      <c r="C190" s="8" t="s">
        <v>230</v>
      </c>
      <c r="D190" s="8" t="s">
        <v>231</v>
      </c>
      <c r="E190" s="11" t="n">
        <v>25000</v>
      </c>
      <c r="F190" s="8" t="s">
        <v>11322</v>
      </c>
      <c r="G190" s="8" t="s">
        <v>11463</v>
      </c>
      <c r="H190" s="8" t="s">
        <v>11610</v>
      </c>
      <c r="I190" s="8"/>
      <c r="J190" s="8" t="s">
        <v>11462</v>
      </c>
    </row>
    <row r="191" customFormat="false" ht="15" hidden="false" customHeight="true" outlineLevel="0" collapsed="false">
      <c r="A191" s="8" t="s">
        <v>11609</v>
      </c>
      <c r="B191" s="8" t="s">
        <v>926</v>
      </c>
      <c r="C191" s="8" t="s">
        <v>657</v>
      </c>
      <c r="D191" s="8" t="s">
        <v>246</v>
      </c>
      <c r="E191" s="11" t="n">
        <v>10000</v>
      </c>
      <c r="F191" s="8" t="s">
        <v>11308</v>
      </c>
      <c r="G191" s="8" t="s">
        <v>2635</v>
      </c>
      <c r="H191" s="8" t="s">
        <v>11610</v>
      </c>
      <c r="I191" s="8"/>
      <c r="J191" s="8" t="s">
        <v>11462</v>
      </c>
    </row>
    <row r="192" customFormat="false" ht="15" hidden="false" customHeight="true" outlineLevel="0" collapsed="false">
      <c r="A192" s="8" t="s">
        <v>11609</v>
      </c>
      <c r="B192" s="8" t="s">
        <v>926</v>
      </c>
      <c r="C192" s="8" t="s">
        <v>395</v>
      </c>
      <c r="D192" s="8" t="s">
        <v>396</v>
      </c>
      <c r="E192" s="11" t="n">
        <v>10000</v>
      </c>
      <c r="F192" s="8" t="s">
        <v>11308</v>
      </c>
      <c r="G192" s="8" t="s">
        <v>2636</v>
      </c>
      <c r="H192" s="8" t="s">
        <v>11610</v>
      </c>
      <c r="I192" s="8"/>
      <c r="J192" s="8" t="s">
        <v>11462</v>
      </c>
    </row>
    <row r="193" customFormat="false" ht="15" hidden="false" customHeight="true" outlineLevel="0" collapsed="false">
      <c r="A193" s="8" t="s">
        <v>11609</v>
      </c>
      <c r="B193" s="8" t="s">
        <v>926</v>
      </c>
      <c r="C193" s="8" t="s">
        <v>672</v>
      </c>
      <c r="D193" s="8" t="s">
        <v>251</v>
      </c>
      <c r="E193" s="11" t="n">
        <v>10000</v>
      </c>
      <c r="F193" s="8" t="s">
        <v>11319</v>
      </c>
      <c r="G193" s="8" t="s">
        <v>2634</v>
      </c>
      <c r="H193" s="8" t="s">
        <v>11610</v>
      </c>
      <c r="I193" s="8"/>
      <c r="J193" s="8" t="s">
        <v>11462</v>
      </c>
    </row>
    <row r="194" customFormat="false" ht="15" hidden="false" customHeight="true" outlineLevel="0" collapsed="false">
      <c r="A194" s="8" t="s">
        <v>11609</v>
      </c>
      <c r="B194" s="8" t="s">
        <v>926</v>
      </c>
      <c r="C194" s="8" t="s">
        <v>400</v>
      </c>
      <c r="D194" s="8" t="s">
        <v>401</v>
      </c>
      <c r="E194" s="11" t="n">
        <v>15000</v>
      </c>
      <c r="F194" s="8" t="s">
        <v>11308</v>
      </c>
      <c r="G194" s="8" t="s">
        <v>2629</v>
      </c>
      <c r="H194" s="8" t="s">
        <v>11610</v>
      </c>
      <c r="I194" s="8"/>
      <c r="J194" s="8" t="s">
        <v>11462</v>
      </c>
    </row>
    <row r="195" customFormat="false" ht="15" hidden="false" customHeight="true" outlineLevel="0" collapsed="false">
      <c r="A195" s="8" t="s">
        <v>11609</v>
      </c>
      <c r="B195" s="8" t="s">
        <v>957</v>
      </c>
      <c r="C195" s="8" t="s">
        <v>321</v>
      </c>
      <c r="D195" s="8" t="s">
        <v>322</v>
      </c>
      <c r="E195" s="11" t="n">
        <v>10000</v>
      </c>
      <c r="F195" s="8" t="s">
        <v>11313</v>
      </c>
      <c r="G195" s="8" t="s">
        <v>2644</v>
      </c>
      <c r="H195" s="8" t="s">
        <v>11610</v>
      </c>
      <c r="I195" s="8"/>
      <c r="J195" s="8" t="s">
        <v>11468</v>
      </c>
    </row>
    <row r="196" customFormat="false" ht="15" hidden="false" customHeight="true" outlineLevel="0" collapsed="false">
      <c r="A196" s="8" t="s">
        <v>11609</v>
      </c>
      <c r="B196" s="8" t="s">
        <v>957</v>
      </c>
      <c r="C196" s="8" t="s">
        <v>215</v>
      </c>
      <c r="D196" s="8" t="s">
        <v>216</v>
      </c>
      <c r="E196" s="11" t="n">
        <v>15000</v>
      </c>
      <c r="F196" s="8" t="s">
        <v>11313</v>
      </c>
      <c r="G196" s="8" t="s">
        <v>2638</v>
      </c>
      <c r="H196" s="8" t="s">
        <v>11610</v>
      </c>
      <c r="I196" s="8"/>
      <c r="J196" s="8" t="s">
        <v>11469</v>
      </c>
    </row>
    <row r="197" customFormat="false" ht="15" hidden="false" customHeight="true" outlineLevel="0" collapsed="false">
      <c r="A197" s="8" t="s">
        <v>11609</v>
      </c>
      <c r="B197" s="8" t="s">
        <v>957</v>
      </c>
      <c r="C197" s="8" t="s">
        <v>215</v>
      </c>
      <c r="D197" s="8" t="s">
        <v>216</v>
      </c>
      <c r="E197" s="11" t="n">
        <v>15000</v>
      </c>
      <c r="F197" s="8" t="s">
        <v>11313</v>
      </c>
      <c r="G197" s="8" t="s">
        <v>2639</v>
      </c>
      <c r="H197" s="8" t="s">
        <v>11610</v>
      </c>
      <c r="I197" s="8"/>
      <c r="J197" s="8" t="s">
        <v>11470</v>
      </c>
    </row>
    <row r="198" customFormat="false" ht="15" hidden="false" customHeight="true" outlineLevel="0" collapsed="false">
      <c r="A198" s="8" t="s">
        <v>11609</v>
      </c>
      <c r="B198" s="8" t="s">
        <v>957</v>
      </c>
      <c r="C198" s="8" t="s">
        <v>225</v>
      </c>
      <c r="D198" s="8" t="s">
        <v>226</v>
      </c>
      <c r="E198" s="11" t="n">
        <v>20000</v>
      </c>
      <c r="F198" s="8" t="s">
        <v>11313</v>
      </c>
      <c r="G198" s="8" t="s">
        <v>11611</v>
      </c>
      <c r="H198" s="8" t="s">
        <v>11610</v>
      </c>
      <c r="I198" s="8"/>
      <c r="J198" s="8" t="s">
        <v>11612</v>
      </c>
    </row>
    <row r="199" customFormat="false" ht="15" hidden="false" customHeight="true" outlineLevel="0" collapsed="false">
      <c r="A199" s="8" t="s">
        <v>11609</v>
      </c>
      <c r="B199" s="8" t="s">
        <v>957</v>
      </c>
      <c r="C199" s="8" t="s">
        <v>657</v>
      </c>
      <c r="D199" s="8" t="s">
        <v>246</v>
      </c>
      <c r="E199" s="11" t="n">
        <v>15000</v>
      </c>
      <c r="F199" s="8" t="s">
        <v>11313</v>
      </c>
      <c r="G199" s="8" t="s">
        <v>2640</v>
      </c>
      <c r="H199" s="8" t="s">
        <v>11610</v>
      </c>
      <c r="I199" s="8"/>
      <c r="J199" s="8" t="s">
        <v>11471</v>
      </c>
    </row>
    <row r="200" customFormat="false" ht="15" hidden="false" customHeight="true" outlineLevel="0" collapsed="false">
      <c r="A200" s="8" t="s">
        <v>11609</v>
      </c>
      <c r="B200" s="8" t="s">
        <v>957</v>
      </c>
      <c r="C200" s="8" t="s">
        <v>309</v>
      </c>
      <c r="D200" s="8" t="s">
        <v>310</v>
      </c>
      <c r="E200" s="11" t="n">
        <v>10000</v>
      </c>
      <c r="F200" s="8" t="s">
        <v>11313</v>
      </c>
      <c r="G200" s="8" t="s">
        <v>2645</v>
      </c>
      <c r="H200" s="8" t="s">
        <v>11610</v>
      </c>
      <c r="I200" s="8"/>
      <c r="J200" s="8" t="s">
        <v>11472</v>
      </c>
    </row>
    <row r="201" customFormat="false" ht="15" hidden="false" customHeight="true" outlineLevel="0" collapsed="false">
      <c r="A201" s="8" t="s">
        <v>11609</v>
      </c>
      <c r="B201" s="8" t="s">
        <v>957</v>
      </c>
      <c r="C201" s="8" t="s">
        <v>11613</v>
      </c>
      <c r="D201" s="8" t="s">
        <v>956</v>
      </c>
      <c r="E201" s="11" t="n">
        <v>0</v>
      </c>
      <c r="F201" s="8" t="s">
        <v>11313</v>
      </c>
      <c r="G201" s="8" t="s">
        <v>11614</v>
      </c>
      <c r="H201" s="8" t="s">
        <v>11615</v>
      </c>
      <c r="I201" s="8"/>
      <c r="J201" s="8" t="s">
        <v>11616</v>
      </c>
    </row>
    <row r="202" customFormat="false" ht="15" hidden="false" customHeight="true" outlineLevel="0" collapsed="false">
      <c r="A202" s="8" t="s">
        <v>11609</v>
      </c>
      <c r="B202" s="8" t="s">
        <v>957</v>
      </c>
      <c r="C202" s="8" t="s">
        <v>1095</v>
      </c>
      <c r="D202" s="8" t="s">
        <v>278</v>
      </c>
      <c r="E202" s="11" t="n">
        <v>15000</v>
      </c>
      <c r="F202" s="8" t="s">
        <v>11313</v>
      </c>
      <c r="G202" s="8" t="s">
        <v>2641</v>
      </c>
      <c r="H202" s="8" t="s">
        <v>11610</v>
      </c>
      <c r="I202" s="8"/>
      <c r="J202" s="8" t="s">
        <v>11473</v>
      </c>
    </row>
    <row r="203" customFormat="false" ht="15" hidden="false" customHeight="true" outlineLevel="0" collapsed="false">
      <c r="A203" s="8" t="s">
        <v>11609</v>
      </c>
      <c r="B203" s="8" t="s">
        <v>957</v>
      </c>
      <c r="C203" s="8" t="s">
        <v>1264</v>
      </c>
      <c r="D203" s="8" t="s">
        <v>959</v>
      </c>
      <c r="E203" s="11" t="n">
        <v>10000</v>
      </c>
      <c r="F203" s="8" t="s">
        <v>11313</v>
      </c>
      <c r="G203" s="8" t="s">
        <v>11617</v>
      </c>
      <c r="H203" s="8" t="s">
        <v>11610</v>
      </c>
      <c r="I203" s="8"/>
      <c r="J203" s="8" t="s">
        <v>11618</v>
      </c>
    </row>
    <row r="204" customFormat="false" ht="15" hidden="false" customHeight="true" outlineLevel="0" collapsed="false">
      <c r="A204" s="8" t="s">
        <v>11609</v>
      </c>
      <c r="B204" s="8" t="s">
        <v>945</v>
      </c>
      <c r="C204" s="8" t="s">
        <v>225</v>
      </c>
      <c r="D204" s="8" t="s">
        <v>226</v>
      </c>
      <c r="E204" s="11" t="n">
        <v>30000</v>
      </c>
      <c r="F204" s="8" t="s">
        <v>11308</v>
      </c>
      <c r="G204" s="8" t="s">
        <v>2647</v>
      </c>
      <c r="H204" s="8" t="s">
        <v>11610</v>
      </c>
      <c r="I204" s="8"/>
      <c r="J204" s="8" t="s">
        <v>11475</v>
      </c>
    </row>
    <row r="205" customFormat="false" ht="15" hidden="false" customHeight="true" outlineLevel="0" collapsed="false">
      <c r="A205" s="8" t="s">
        <v>11609</v>
      </c>
      <c r="B205" s="8" t="s">
        <v>945</v>
      </c>
      <c r="C205" s="8" t="s">
        <v>943</v>
      </c>
      <c r="D205" s="8" t="s">
        <v>944</v>
      </c>
      <c r="E205" s="11" t="n">
        <v>15000</v>
      </c>
      <c r="F205" s="8" t="s">
        <v>11308</v>
      </c>
      <c r="G205" s="8" t="s">
        <v>11619</v>
      </c>
      <c r="H205" s="8" t="s">
        <v>11461</v>
      </c>
      <c r="I205" s="8"/>
      <c r="J205" s="8" t="s">
        <v>11620</v>
      </c>
    </row>
    <row r="206" customFormat="false" ht="15" hidden="false" customHeight="true" outlineLevel="0" collapsed="false">
      <c r="A206" s="8" t="s">
        <v>11609</v>
      </c>
      <c r="B206" s="8" t="s">
        <v>945</v>
      </c>
      <c r="C206" s="8" t="s">
        <v>1228</v>
      </c>
      <c r="D206" s="8" t="s">
        <v>495</v>
      </c>
      <c r="E206" s="11" t="n">
        <v>5000</v>
      </c>
      <c r="F206" s="8" t="s">
        <v>11308</v>
      </c>
      <c r="G206" s="8" t="s">
        <v>2649</v>
      </c>
      <c r="H206" s="8" t="s">
        <v>11610</v>
      </c>
      <c r="I206" s="8"/>
      <c r="J206" s="8" t="s">
        <v>11477</v>
      </c>
    </row>
    <row r="207" customFormat="false" ht="15" hidden="false" customHeight="true" outlineLevel="0" collapsed="false">
      <c r="A207" s="8" t="s">
        <v>11609</v>
      </c>
      <c r="B207" s="8" t="s">
        <v>3111</v>
      </c>
      <c r="C207" s="8" t="s">
        <v>933</v>
      </c>
      <c r="D207" s="8" t="s">
        <v>508</v>
      </c>
      <c r="E207" s="11" t="n">
        <v>20000</v>
      </c>
      <c r="F207" s="8" t="s">
        <v>11305</v>
      </c>
      <c r="G207" s="8" t="s">
        <v>2651</v>
      </c>
      <c r="H207" s="8" t="s">
        <v>11610</v>
      </c>
      <c r="I207" s="8"/>
      <c r="J207" s="8" t="s">
        <v>11621</v>
      </c>
    </row>
    <row r="208" customFormat="false" ht="15" hidden="false" customHeight="true" outlineLevel="0" collapsed="false">
      <c r="A208" s="8" t="s">
        <v>11609</v>
      </c>
      <c r="B208" s="8" t="s">
        <v>3111</v>
      </c>
      <c r="C208" s="8" t="s">
        <v>168</v>
      </c>
      <c r="D208" s="8" t="s">
        <v>222</v>
      </c>
      <c r="E208" s="11" t="n">
        <v>80000</v>
      </c>
      <c r="F208" s="8" t="s">
        <v>11308</v>
      </c>
      <c r="G208" s="8" t="s">
        <v>2627</v>
      </c>
      <c r="H208" s="8" t="s">
        <v>11610</v>
      </c>
      <c r="I208" s="8"/>
      <c r="J208" s="8" t="s">
        <v>11478</v>
      </c>
    </row>
    <row r="209" customFormat="false" ht="15" hidden="false" customHeight="true" outlineLevel="0" collapsed="false">
      <c r="A209" s="8" t="s">
        <v>11609</v>
      </c>
      <c r="B209" s="8" t="s">
        <v>1938</v>
      </c>
      <c r="C209" s="8" t="s">
        <v>260</v>
      </c>
      <c r="D209" s="8" t="s">
        <v>261</v>
      </c>
      <c r="E209" s="11" t="n">
        <v>20000</v>
      </c>
      <c r="F209" s="8" t="s">
        <v>11319</v>
      </c>
      <c r="G209" s="8" t="s">
        <v>11622</v>
      </c>
      <c r="H209" s="8" t="s">
        <v>11610</v>
      </c>
      <c r="I209" s="8"/>
      <c r="J209" s="8" t="s">
        <v>11480</v>
      </c>
    </row>
    <row r="210" customFormat="false" ht="15" hidden="false" customHeight="true" outlineLevel="0" collapsed="false">
      <c r="A210" s="8" t="s">
        <v>11609</v>
      </c>
      <c r="B210" s="8" t="s">
        <v>1938</v>
      </c>
      <c r="C210" s="8" t="s">
        <v>281</v>
      </c>
      <c r="D210" s="8" t="s">
        <v>282</v>
      </c>
      <c r="E210" s="11" t="n">
        <v>20000</v>
      </c>
      <c r="F210" s="8" t="s">
        <v>11308</v>
      </c>
      <c r="G210" s="8" t="s">
        <v>2662</v>
      </c>
      <c r="H210" s="8" t="s">
        <v>11610</v>
      </c>
      <c r="I210" s="8"/>
      <c r="J210" s="8" t="s">
        <v>11480</v>
      </c>
    </row>
    <row r="211" customFormat="false" ht="15" hidden="false" customHeight="true" outlineLevel="0" collapsed="false">
      <c r="A211" s="8" t="s">
        <v>11609</v>
      </c>
      <c r="B211" s="8" t="s">
        <v>1938</v>
      </c>
      <c r="C211" s="8" t="s">
        <v>328</v>
      </c>
      <c r="D211" s="8" t="s">
        <v>329</v>
      </c>
      <c r="E211" s="11" t="n">
        <v>20000</v>
      </c>
      <c r="F211" s="8" t="s">
        <v>11308</v>
      </c>
      <c r="G211" s="8" t="s">
        <v>11623</v>
      </c>
      <c r="H211" s="8" t="s">
        <v>11610</v>
      </c>
      <c r="I211" s="8"/>
      <c r="J211" s="8" t="s">
        <v>11480</v>
      </c>
    </row>
    <row r="212" customFormat="false" ht="15" hidden="false" customHeight="true" outlineLevel="0" collapsed="false">
      <c r="A212" s="8" t="s">
        <v>11609</v>
      </c>
      <c r="B212" s="8" t="s">
        <v>1938</v>
      </c>
      <c r="C212" s="8" t="s">
        <v>285</v>
      </c>
      <c r="D212" s="8" t="s">
        <v>286</v>
      </c>
      <c r="E212" s="11" t="n">
        <v>20000</v>
      </c>
      <c r="F212" s="8" t="s">
        <v>11308</v>
      </c>
      <c r="G212" s="8" t="s">
        <v>2655</v>
      </c>
      <c r="H212" s="8" t="s">
        <v>11610</v>
      </c>
      <c r="I212" s="8"/>
      <c r="J212" s="8" t="s">
        <v>11480</v>
      </c>
    </row>
    <row r="213" customFormat="false" ht="15" hidden="false" customHeight="true" outlineLevel="0" collapsed="false">
      <c r="A213" s="8" t="s">
        <v>11609</v>
      </c>
      <c r="B213" s="8" t="s">
        <v>1938</v>
      </c>
      <c r="C213" s="8" t="s">
        <v>290</v>
      </c>
      <c r="D213" s="8" t="s">
        <v>291</v>
      </c>
      <c r="E213" s="11" t="n">
        <v>20000</v>
      </c>
      <c r="F213" s="8" t="s">
        <v>11319</v>
      </c>
      <c r="G213" s="8" t="s">
        <v>2657</v>
      </c>
      <c r="H213" s="8" t="s">
        <v>11610</v>
      </c>
      <c r="I213" s="8"/>
      <c r="J213" s="8" t="s">
        <v>11480</v>
      </c>
    </row>
    <row r="214" customFormat="false" ht="15" hidden="false" customHeight="true" outlineLevel="0" collapsed="false">
      <c r="A214" s="8" t="s">
        <v>11609</v>
      </c>
      <c r="B214" s="8" t="s">
        <v>1938</v>
      </c>
      <c r="C214" s="8" t="s">
        <v>332</v>
      </c>
      <c r="D214" s="8" t="s">
        <v>333</v>
      </c>
      <c r="E214" s="11" t="n">
        <v>20000</v>
      </c>
      <c r="F214" s="8" t="s">
        <v>11319</v>
      </c>
      <c r="G214" s="8" t="s">
        <v>2674</v>
      </c>
      <c r="H214" s="8" t="s">
        <v>11610</v>
      </c>
      <c r="I214" s="8"/>
      <c r="J214" s="8" t="s">
        <v>11480</v>
      </c>
    </row>
    <row r="215" customFormat="false" ht="15" hidden="false" customHeight="true" outlineLevel="0" collapsed="false">
      <c r="A215" s="8" t="s">
        <v>11609</v>
      </c>
      <c r="B215" s="8" t="s">
        <v>1938</v>
      </c>
      <c r="C215" s="8" t="s">
        <v>293</v>
      </c>
      <c r="D215" s="8" t="s">
        <v>294</v>
      </c>
      <c r="E215" s="11" t="n">
        <v>20000</v>
      </c>
      <c r="F215" s="8" t="s">
        <v>11319</v>
      </c>
      <c r="G215" s="8" t="s">
        <v>2656</v>
      </c>
      <c r="H215" s="8" t="s">
        <v>11610</v>
      </c>
      <c r="I215" s="8"/>
      <c r="J215" s="8" t="s">
        <v>11480</v>
      </c>
    </row>
    <row r="216" customFormat="false" ht="15" hidden="false" customHeight="true" outlineLevel="0" collapsed="false">
      <c r="A216" s="8" t="s">
        <v>11609</v>
      </c>
      <c r="B216" s="8" t="s">
        <v>1938</v>
      </c>
      <c r="C216" s="8" t="s">
        <v>336</v>
      </c>
      <c r="D216" s="8" t="s">
        <v>337</v>
      </c>
      <c r="E216" s="11" t="n">
        <v>20000</v>
      </c>
      <c r="F216" s="8" t="s">
        <v>11319</v>
      </c>
      <c r="G216" s="8" t="s">
        <v>2672</v>
      </c>
      <c r="H216" s="8" t="s">
        <v>11610</v>
      </c>
      <c r="I216" s="8"/>
      <c r="J216" s="8" t="s">
        <v>11480</v>
      </c>
    </row>
    <row r="217" customFormat="false" ht="15" hidden="false" customHeight="true" outlineLevel="0" collapsed="false">
      <c r="A217" s="8" t="s">
        <v>11609</v>
      </c>
      <c r="B217" s="8" t="s">
        <v>1938</v>
      </c>
      <c r="C217" s="8" t="s">
        <v>340</v>
      </c>
      <c r="D217" s="8" t="s">
        <v>341</v>
      </c>
      <c r="E217" s="11" t="n">
        <v>20000</v>
      </c>
      <c r="F217" s="8" t="s">
        <v>11319</v>
      </c>
      <c r="G217" s="8" t="s">
        <v>2659</v>
      </c>
      <c r="H217" s="8" t="s">
        <v>11610</v>
      </c>
      <c r="I217" s="8"/>
      <c r="J217" s="8" t="s">
        <v>11480</v>
      </c>
    </row>
    <row r="218" customFormat="false" ht="15" hidden="false" customHeight="true" outlineLevel="0" collapsed="false">
      <c r="A218" s="8" t="s">
        <v>11609</v>
      </c>
      <c r="B218" s="8" t="s">
        <v>1938</v>
      </c>
      <c r="C218" s="8" t="s">
        <v>296</v>
      </c>
      <c r="D218" s="8" t="s">
        <v>297</v>
      </c>
      <c r="E218" s="11" t="n">
        <v>20000</v>
      </c>
      <c r="F218" s="8" t="s">
        <v>11319</v>
      </c>
      <c r="G218" s="8" t="s">
        <v>2653</v>
      </c>
      <c r="H218" s="8" t="s">
        <v>11610</v>
      </c>
      <c r="I218" s="8"/>
      <c r="J218" s="8" t="s">
        <v>11480</v>
      </c>
    </row>
    <row r="219" customFormat="false" ht="15" hidden="false" customHeight="true" outlineLevel="0" collapsed="false">
      <c r="A219" s="8" t="s">
        <v>11609</v>
      </c>
      <c r="B219" s="8" t="s">
        <v>1938</v>
      </c>
      <c r="C219" s="8" t="s">
        <v>672</v>
      </c>
      <c r="D219" s="8" t="s">
        <v>251</v>
      </c>
      <c r="E219" s="11" t="n">
        <v>20000</v>
      </c>
      <c r="F219" s="8" t="s">
        <v>11319</v>
      </c>
      <c r="G219" s="8" t="s">
        <v>2663</v>
      </c>
      <c r="H219" s="8" t="s">
        <v>11610</v>
      </c>
      <c r="I219" s="8"/>
      <c r="J219" s="8" t="s">
        <v>11480</v>
      </c>
    </row>
    <row r="220" customFormat="false" ht="15" hidden="false" customHeight="true" outlineLevel="0" collapsed="false">
      <c r="A220" s="8" t="s">
        <v>11609</v>
      </c>
      <c r="B220" s="8" t="s">
        <v>1938</v>
      </c>
      <c r="C220" s="8" t="s">
        <v>343</v>
      </c>
      <c r="D220" s="8" t="s">
        <v>344</v>
      </c>
      <c r="E220" s="11" t="n">
        <v>20000</v>
      </c>
      <c r="F220" s="8" t="s">
        <v>11319</v>
      </c>
      <c r="G220" s="8" t="s">
        <v>2665</v>
      </c>
      <c r="H220" s="8" t="s">
        <v>11610</v>
      </c>
      <c r="I220" s="8"/>
      <c r="J220" s="8" t="s">
        <v>11480</v>
      </c>
    </row>
    <row r="221" customFormat="false" ht="15" hidden="false" customHeight="true" outlineLevel="0" collapsed="false">
      <c r="A221" s="8" t="s">
        <v>11609</v>
      </c>
      <c r="B221" s="8" t="s">
        <v>1938</v>
      </c>
      <c r="C221" s="8" t="s">
        <v>902</v>
      </c>
      <c r="D221" s="8" t="s">
        <v>266</v>
      </c>
      <c r="E221" s="11" t="n">
        <v>20000</v>
      </c>
      <c r="F221" s="8" t="s">
        <v>11319</v>
      </c>
      <c r="G221" s="8" t="s">
        <v>2654</v>
      </c>
      <c r="H221" s="8" t="s">
        <v>11610</v>
      </c>
      <c r="I221" s="8"/>
      <c r="J221" s="8" t="s">
        <v>11480</v>
      </c>
    </row>
    <row r="222" customFormat="false" ht="15" hidden="false" customHeight="true" outlineLevel="0" collapsed="false">
      <c r="A222" s="8" t="s">
        <v>11609</v>
      </c>
      <c r="B222" s="8" t="s">
        <v>1938</v>
      </c>
      <c r="C222" s="8" t="s">
        <v>902</v>
      </c>
      <c r="D222" s="8" t="s">
        <v>266</v>
      </c>
      <c r="E222" s="11" t="n">
        <v>20000</v>
      </c>
      <c r="F222" s="8" t="s">
        <v>11319</v>
      </c>
      <c r="G222" s="8" t="s">
        <v>2666</v>
      </c>
      <c r="H222" s="8" t="s">
        <v>11610</v>
      </c>
      <c r="I222" s="8"/>
      <c r="J222" s="8" t="s">
        <v>11480</v>
      </c>
    </row>
    <row r="223" customFormat="false" ht="15" hidden="false" customHeight="true" outlineLevel="0" collapsed="false">
      <c r="A223" s="8" t="s">
        <v>11609</v>
      </c>
      <c r="B223" s="8" t="s">
        <v>1938</v>
      </c>
      <c r="C223" s="8" t="s">
        <v>346</v>
      </c>
      <c r="D223" s="8" t="s">
        <v>347</v>
      </c>
      <c r="E223" s="11" t="n">
        <v>20000</v>
      </c>
      <c r="F223" s="8" t="s">
        <v>11319</v>
      </c>
      <c r="G223" s="8" t="s">
        <v>2653</v>
      </c>
      <c r="H223" s="8" t="s">
        <v>11610</v>
      </c>
      <c r="I223" s="8"/>
      <c r="J223" s="8" t="s">
        <v>11480</v>
      </c>
    </row>
    <row r="224" customFormat="false" ht="15" hidden="false" customHeight="true" outlineLevel="0" collapsed="false">
      <c r="A224" s="8" t="s">
        <v>11609</v>
      </c>
      <c r="B224" s="8" t="s">
        <v>1938</v>
      </c>
      <c r="C224" s="8" t="s">
        <v>350</v>
      </c>
      <c r="D224" s="8" t="s">
        <v>351</v>
      </c>
      <c r="E224" s="11" t="n">
        <v>20000</v>
      </c>
      <c r="F224" s="8" t="s">
        <v>11319</v>
      </c>
      <c r="G224" s="8" t="s">
        <v>2664</v>
      </c>
      <c r="H224" s="8" t="s">
        <v>11610</v>
      </c>
      <c r="I224" s="8"/>
      <c r="J224" s="8" t="s">
        <v>11480</v>
      </c>
    </row>
    <row r="225" customFormat="false" ht="15" hidden="false" customHeight="true" outlineLevel="0" collapsed="false">
      <c r="A225" s="8" t="s">
        <v>11609</v>
      </c>
      <c r="B225" s="8" t="s">
        <v>1938</v>
      </c>
      <c r="C225" s="8" t="s">
        <v>353</v>
      </c>
      <c r="D225" s="8" t="s">
        <v>354</v>
      </c>
      <c r="E225" s="11" t="n">
        <v>20000</v>
      </c>
      <c r="F225" s="8" t="s">
        <v>11319</v>
      </c>
      <c r="G225" s="8" t="s">
        <v>2668</v>
      </c>
      <c r="H225" s="8" t="s">
        <v>11610</v>
      </c>
      <c r="I225" s="8"/>
      <c r="J225" s="8" t="s">
        <v>11480</v>
      </c>
    </row>
    <row r="226" customFormat="false" ht="15" hidden="false" customHeight="true" outlineLevel="0" collapsed="false">
      <c r="A226" s="8" t="s">
        <v>11609</v>
      </c>
      <c r="B226" s="8" t="s">
        <v>691</v>
      </c>
      <c r="C226" s="8" t="s">
        <v>260</v>
      </c>
      <c r="D226" s="8" t="s">
        <v>261</v>
      </c>
      <c r="E226" s="11" t="n">
        <v>10000</v>
      </c>
      <c r="F226" s="8" t="s">
        <v>11319</v>
      </c>
      <c r="G226" s="8" t="s">
        <v>11624</v>
      </c>
      <c r="H226" s="8" t="s">
        <v>11610</v>
      </c>
      <c r="I226" s="8"/>
      <c r="J226" s="8" t="s">
        <v>11484</v>
      </c>
    </row>
    <row r="227" customFormat="false" ht="15" hidden="false" customHeight="true" outlineLevel="0" collapsed="false">
      <c r="A227" s="8" t="s">
        <v>11609</v>
      </c>
      <c r="B227" s="8" t="s">
        <v>691</v>
      </c>
      <c r="C227" s="8" t="s">
        <v>281</v>
      </c>
      <c r="D227" s="8" t="s">
        <v>282</v>
      </c>
      <c r="E227" s="11" t="n">
        <v>10000</v>
      </c>
      <c r="F227" s="8" t="s">
        <v>11308</v>
      </c>
      <c r="G227" s="8" t="s">
        <v>2627</v>
      </c>
      <c r="H227" s="8" t="s">
        <v>11610</v>
      </c>
      <c r="I227" s="8"/>
      <c r="J227" s="8" t="s">
        <v>11484</v>
      </c>
    </row>
    <row r="228" customFormat="false" ht="15" hidden="false" customHeight="true" outlineLevel="0" collapsed="false">
      <c r="A228" s="8" t="s">
        <v>11609</v>
      </c>
      <c r="B228" s="8" t="s">
        <v>691</v>
      </c>
      <c r="C228" s="8" t="s">
        <v>1127</v>
      </c>
      <c r="D228" s="8" t="s">
        <v>357</v>
      </c>
      <c r="E228" s="11" t="n">
        <v>15000</v>
      </c>
      <c r="F228" s="8" t="s">
        <v>11319</v>
      </c>
      <c r="G228" s="8"/>
      <c r="H228" s="8" t="s">
        <v>11610</v>
      </c>
      <c r="I228" s="8"/>
      <c r="J228" s="8" t="s">
        <v>11484</v>
      </c>
    </row>
    <row r="229" customFormat="false" ht="15" hidden="false" customHeight="true" outlineLevel="0" collapsed="false">
      <c r="A229" s="8" t="s">
        <v>11609</v>
      </c>
      <c r="B229" s="8" t="s">
        <v>691</v>
      </c>
      <c r="C229" s="8" t="s">
        <v>935</v>
      </c>
      <c r="D229" s="8" t="s">
        <v>936</v>
      </c>
      <c r="E229" s="11" t="n">
        <v>20000</v>
      </c>
      <c r="F229" s="8" t="s">
        <v>11319</v>
      </c>
      <c r="G229" s="8" t="s">
        <v>11625</v>
      </c>
      <c r="H229" s="8" t="s">
        <v>11610</v>
      </c>
      <c r="I229" s="8"/>
      <c r="J229" s="8" t="s">
        <v>11484</v>
      </c>
    </row>
    <row r="230" customFormat="false" ht="15" hidden="false" customHeight="true" outlineLevel="0" collapsed="false">
      <c r="A230" s="8" t="s">
        <v>11609</v>
      </c>
      <c r="B230" s="8" t="s">
        <v>691</v>
      </c>
      <c r="C230" s="8" t="s">
        <v>427</v>
      </c>
      <c r="D230" s="8" t="s">
        <v>428</v>
      </c>
      <c r="E230" s="11" t="n">
        <v>10000</v>
      </c>
      <c r="F230" s="8" t="s">
        <v>11319</v>
      </c>
      <c r="G230" s="8" t="s">
        <v>2680</v>
      </c>
      <c r="H230" s="8" t="s">
        <v>11610</v>
      </c>
      <c r="I230" s="8"/>
      <c r="J230" s="8" t="s">
        <v>11484</v>
      </c>
    </row>
    <row r="231" customFormat="false" ht="15" hidden="false" customHeight="true" outlineLevel="0" collapsed="false">
      <c r="A231" s="8" t="s">
        <v>11609</v>
      </c>
      <c r="B231" s="8" t="s">
        <v>691</v>
      </c>
      <c r="C231" s="8" t="s">
        <v>657</v>
      </c>
      <c r="D231" s="8" t="s">
        <v>246</v>
      </c>
      <c r="E231" s="11" t="n">
        <v>10000</v>
      </c>
      <c r="F231" s="8" t="s">
        <v>11308</v>
      </c>
      <c r="G231" s="8"/>
      <c r="H231" s="8" t="s">
        <v>11610</v>
      </c>
      <c r="I231" s="8"/>
      <c r="J231" s="8" t="s">
        <v>11484</v>
      </c>
    </row>
    <row r="232" customFormat="false" ht="15" hidden="false" customHeight="true" outlineLevel="0" collapsed="false">
      <c r="A232" s="8" t="s">
        <v>11609</v>
      </c>
      <c r="B232" s="8" t="s">
        <v>691</v>
      </c>
      <c r="C232" s="8" t="s">
        <v>431</v>
      </c>
      <c r="D232" s="8" t="s">
        <v>432</v>
      </c>
      <c r="E232" s="11" t="n">
        <v>10000</v>
      </c>
      <c r="F232" s="8" t="s">
        <v>11319</v>
      </c>
      <c r="G232" s="8" t="s">
        <v>2679</v>
      </c>
      <c r="H232" s="8" t="s">
        <v>11610</v>
      </c>
      <c r="I232" s="8"/>
      <c r="J232" s="8" t="s">
        <v>11484</v>
      </c>
    </row>
    <row r="233" customFormat="false" ht="15" hidden="false" customHeight="true" outlineLevel="0" collapsed="false">
      <c r="A233" s="8" t="s">
        <v>11609</v>
      </c>
      <c r="B233" s="8" t="s">
        <v>691</v>
      </c>
      <c r="C233" s="8" t="s">
        <v>293</v>
      </c>
      <c r="D233" s="8" t="s">
        <v>294</v>
      </c>
      <c r="E233" s="11" t="n">
        <v>10000</v>
      </c>
      <c r="F233" s="8" t="s">
        <v>11319</v>
      </c>
      <c r="G233" s="8"/>
      <c r="H233" s="8" t="s">
        <v>11610</v>
      </c>
      <c r="I233" s="8"/>
      <c r="J233" s="8" t="s">
        <v>11484</v>
      </c>
    </row>
    <row r="234" customFormat="false" ht="15" hidden="false" customHeight="true" outlineLevel="0" collapsed="false">
      <c r="A234" s="8" t="s">
        <v>11609</v>
      </c>
      <c r="B234" s="8" t="s">
        <v>691</v>
      </c>
      <c r="C234" s="8" t="s">
        <v>672</v>
      </c>
      <c r="D234" s="8" t="s">
        <v>251</v>
      </c>
      <c r="E234" s="11" t="n">
        <v>20000</v>
      </c>
      <c r="F234" s="8" t="s">
        <v>11319</v>
      </c>
      <c r="G234" s="8" t="s">
        <v>2676</v>
      </c>
      <c r="H234" s="8" t="s">
        <v>11610</v>
      </c>
      <c r="I234" s="8"/>
      <c r="J234" s="8" t="s">
        <v>11484</v>
      </c>
    </row>
    <row r="235" customFormat="false" ht="15" hidden="false" customHeight="true" outlineLevel="0" collapsed="false">
      <c r="A235" s="8" t="s">
        <v>11609</v>
      </c>
      <c r="B235" s="8" t="s">
        <v>691</v>
      </c>
      <c r="C235" s="8" t="s">
        <v>300</v>
      </c>
      <c r="D235" s="8" t="s">
        <v>301</v>
      </c>
      <c r="E235" s="11" t="n">
        <v>30000</v>
      </c>
      <c r="F235" s="8" t="s">
        <v>11319</v>
      </c>
      <c r="G235" s="8" t="s">
        <v>2627</v>
      </c>
      <c r="H235" s="8" t="s">
        <v>11610</v>
      </c>
      <c r="I235" s="8"/>
      <c r="J235" s="8" t="s">
        <v>11484</v>
      </c>
    </row>
    <row r="236" customFormat="false" ht="15" hidden="false" customHeight="true" outlineLevel="0" collapsed="false">
      <c r="A236" s="8" t="s">
        <v>11609</v>
      </c>
      <c r="B236" s="8" t="s">
        <v>11487</v>
      </c>
      <c r="C236" s="8" t="s">
        <v>360</v>
      </c>
      <c r="D236" s="8" t="s">
        <v>361</v>
      </c>
      <c r="E236" s="11" t="n">
        <v>20000</v>
      </c>
      <c r="F236" s="8" t="s">
        <v>11308</v>
      </c>
      <c r="G236" s="8" t="s">
        <v>11626</v>
      </c>
      <c r="H236" s="8" t="s">
        <v>11610</v>
      </c>
      <c r="I236" s="8"/>
      <c r="J236" s="8" t="s">
        <v>11489</v>
      </c>
    </row>
    <row r="237" customFormat="false" ht="15" hidden="false" customHeight="true" outlineLevel="0" collapsed="false">
      <c r="A237" s="8" t="s">
        <v>11609</v>
      </c>
      <c r="B237" s="8" t="s">
        <v>11487</v>
      </c>
      <c r="C237" s="8" t="s">
        <v>364</v>
      </c>
      <c r="D237" s="8" t="s">
        <v>365</v>
      </c>
      <c r="E237" s="11" t="n">
        <v>20000</v>
      </c>
      <c r="F237" s="8" t="s">
        <v>11308</v>
      </c>
      <c r="G237" s="8" t="s">
        <v>2663</v>
      </c>
      <c r="H237" s="8" t="s">
        <v>11610</v>
      </c>
      <c r="I237" s="8"/>
      <c r="J237" s="8" t="s">
        <v>11489</v>
      </c>
    </row>
    <row r="238" customFormat="false" ht="15" hidden="false" customHeight="true" outlineLevel="0" collapsed="false">
      <c r="A238" s="8" t="s">
        <v>11609</v>
      </c>
      <c r="B238" s="8" t="s">
        <v>11487</v>
      </c>
      <c r="C238" s="8" t="s">
        <v>11627</v>
      </c>
      <c r="D238" s="8" t="s">
        <v>930</v>
      </c>
      <c r="E238" s="11" t="n">
        <v>30000</v>
      </c>
      <c r="F238" s="8" t="s">
        <v>11308</v>
      </c>
      <c r="G238" s="8" t="s">
        <v>11628</v>
      </c>
      <c r="H238" s="8" t="s">
        <v>11610</v>
      </c>
      <c r="I238" s="8"/>
      <c r="J238" s="8" t="s">
        <v>11489</v>
      </c>
    </row>
    <row r="239" customFormat="false" ht="15" hidden="false" customHeight="true" outlineLevel="0" collapsed="false">
      <c r="A239" s="8" t="s">
        <v>11609</v>
      </c>
      <c r="B239" s="8" t="s">
        <v>11487</v>
      </c>
      <c r="C239" s="8" t="s">
        <v>718</v>
      </c>
      <c r="D239" s="8" t="s">
        <v>269</v>
      </c>
      <c r="E239" s="11" t="n">
        <v>20000</v>
      </c>
      <c r="F239" s="8" t="s">
        <v>11308</v>
      </c>
      <c r="G239" s="8" t="s">
        <v>2688</v>
      </c>
      <c r="H239" s="8" t="s">
        <v>11610</v>
      </c>
      <c r="I239" s="8"/>
      <c r="J239" s="8" t="s">
        <v>11489</v>
      </c>
    </row>
    <row r="240" customFormat="false" ht="15" hidden="false" customHeight="true" outlineLevel="0" collapsed="false">
      <c r="A240" s="8" t="s">
        <v>11609</v>
      </c>
      <c r="B240" s="8" t="s">
        <v>7649</v>
      </c>
      <c r="C240" s="8" t="s">
        <v>2695</v>
      </c>
      <c r="D240" s="8" t="s">
        <v>500</v>
      </c>
      <c r="E240" s="11" t="n">
        <v>5000</v>
      </c>
      <c r="F240" s="8" t="s">
        <v>11491</v>
      </c>
      <c r="G240" s="8" t="s">
        <v>2627</v>
      </c>
      <c r="H240" s="8" t="s">
        <v>11610</v>
      </c>
      <c r="I240" s="8"/>
      <c r="J240" s="8" t="s">
        <v>11629</v>
      </c>
    </row>
    <row r="241" customFormat="false" ht="15" hidden="false" customHeight="true" outlineLevel="0" collapsed="false">
      <c r="A241" s="8" t="s">
        <v>11609</v>
      </c>
      <c r="B241" s="8" t="s">
        <v>7649</v>
      </c>
      <c r="C241" s="8" t="s">
        <v>215</v>
      </c>
      <c r="D241" s="8" t="s">
        <v>216</v>
      </c>
      <c r="E241" s="11" t="n">
        <v>10000</v>
      </c>
      <c r="F241" s="8" t="s">
        <v>11491</v>
      </c>
      <c r="G241" s="8" t="s">
        <v>2627</v>
      </c>
      <c r="H241" s="8" t="s">
        <v>11610</v>
      </c>
      <c r="I241" s="8"/>
      <c r="J241" s="8" t="s">
        <v>11629</v>
      </c>
    </row>
    <row r="242" customFormat="false" ht="15" hidden="false" customHeight="true" outlineLevel="0" collapsed="false">
      <c r="A242" s="8" t="s">
        <v>11609</v>
      </c>
      <c r="B242" s="8" t="s">
        <v>7649</v>
      </c>
      <c r="C242" s="8" t="s">
        <v>145</v>
      </c>
      <c r="D242" s="8" t="s">
        <v>369</v>
      </c>
      <c r="E242" s="11" t="n">
        <v>20000</v>
      </c>
      <c r="F242" s="8" t="s">
        <v>11491</v>
      </c>
      <c r="G242" s="8" t="s">
        <v>2627</v>
      </c>
      <c r="H242" s="8" t="s">
        <v>11610</v>
      </c>
      <c r="I242" s="8"/>
      <c r="J242" s="8" t="s">
        <v>11629</v>
      </c>
    </row>
    <row r="243" customFormat="false" ht="15" hidden="false" customHeight="true" outlineLevel="0" collapsed="false">
      <c r="A243" s="8" t="s">
        <v>11609</v>
      </c>
      <c r="B243" s="8" t="s">
        <v>7649</v>
      </c>
      <c r="C243" s="8" t="s">
        <v>1202</v>
      </c>
      <c r="D243" s="8" t="s">
        <v>439</v>
      </c>
      <c r="E243" s="11" t="n">
        <v>10000</v>
      </c>
      <c r="F243" s="8" t="s">
        <v>11491</v>
      </c>
      <c r="G243" s="8" t="s">
        <v>2694</v>
      </c>
      <c r="H243" s="8" t="s">
        <v>11610</v>
      </c>
      <c r="I243" s="8"/>
      <c r="J243" s="8" t="s">
        <v>11629</v>
      </c>
    </row>
    <row r="244" customFormat="false" ht="15" hidden="false" customHeight="true" outlineLevel="0" collapsed="false">
      <c r="A244" s="8" t="s">
        <v>11609</v>
      </c>
      <c r="B244" s="8" t="s">
        <v>7649</v>
      </c>
      <c r="C244" s="8" t="s">
        <v>240</v>
      </c>
      <c r="D244" s="8" t="s">
        <v>241</v>
      </c>
      <c r="E244" s="11" t="n">
        <v>50000</v>
      </c>
      <c r="F244" s="8" t="s">
        <v>11491</v>
      </c>
      <c r="G244" s="8" t="s">
        <v>2627</v>
      </c>
      <c r="H244" s="8" t="s">
        <v>11610</v>
      </c>
      <c r="I244" s="8"/>
      <c r="J244" s="8" t="s">
        <v>11629</v>
      </c>
    </row>
    <row r="245" customFormat="false" ht="15" hidden="false" customHeight="true" outlineLevel="0" collapsed="false">
      <c r="A245" s="8" t="s">
        <v>11609</v>
      </c>
      <c r="B245" s="8" t="s">
        <v>7649</v>
      </c>
      <c r="C245" s="8" t="s">
        <v>372</v>
      </c>
      <c r="D245" s="8" t="s">
        <v>373</v>
      </c>
      <c r="E245" s="11" t="n">
        <v>20000</v>
      </c>
      <c r="F245" s="8" t="s">
        <v>11491</v>
      </c>
      <c r="G245" s="8" t="s">
        <v>2627</v>
      </c>
      <c r="H245" s="8" t="s">
        <v>11610</v>
      </c>
      <c r="I245" s="8"/>
      <c r="J245" s="8" t="s">
        <v>11629</v>
      </c>
    </row>
    <row r="246" customFormat="false" ht="15" hidden="false" customHeight="true" outlineLevel="0" collapsed="false">
      <c r="A246" s="8" t="s">
        <v>11609</v>
      </c>
      <c r="B246" s="8" t="s">
        <v>7649</v>
      </c>
      <c r="C246" s="8" t="s">
        <v>313</v>
      </c>
      <c r="D246" s="8" t="s">
        <v>314</v>
      </c>
      <c r="E246" s="11" t="n">
        <v>25000</v>
      </c>
      <c r="F246" s="8" t="s">
        <v>11491</v>
      </c>
      <c r="G246" s="8" t="s">
        <v>2627</v>
      </c>
      <c r="H246" s="8" t="s">
        <v>11610</v>
      </c>
      <c r="I246" s="8"/>
      <c r="J246" s="8" t="s">
        <v>11629</v>
      </c>
    </row>
    <row r="247" customFormat="false" ht="15" hidden="false" customHeight="true" outlineLevel="0" collapsed="false">
      <c r="A247" s="8" t="s">
        <v>11609</v>
      </c>
      <c r="B247" s="8" t="s">
        <v>7649</v>
      </c>
      <c r="C247" s="8" t="s">
        <v>1860</v>
      </c>
      <c r="D247" s="8" t="s">
        <v>377</v>
      </c>
      <c r="E247" s="11" t="n">
        <v>20000</v>
      </c>
      <c r="F247" s="8" t="s">
        <v>11491</v>
      </c>
      <c r="G247" s="8" t="s">
        <v>2627</v>
      </c>
      <c r="H247" s="8" t="s">
        <v>11610</v>
      </c>
      <c r="I247" s="8"/>
      <c r="J247" s="8" t="s">
        <v>11629</v>
      </c>
    </row>
    <row r="248" customFormat="false" ht="15" hidden="false" customHeight="true" outlineLevel="0" collapsed="false">
      <c r="A248" s="8" t="s">
        <v>11609</v>
      </c>
      <c r="B248" s="8" t="s">
        <v>7649</v>
      </c>
      <c r="C248" s="8" t="s">
        <v>142</v>
      </c>
      <c r="D248" s="8" t="s">
        <v>441</v>
      </c>
      <c r="E248" s="11" t="n">
        <v>10000</v>
      </c>
      <c r="F248" s="8" t="s">
        <v>11491</v>
      </c>
      <c r="G248" s="8" t="s">
        <v>2627</v>
      </c>
      <c r="H248" s="8" t="s">
        <v>11610</v>
      </c>
      <c r="I248" s="8"/>
      <c r="J248" s="8" t="s">
        <v>11629</v>
      </c>
    </row>
    <row r="249" customFormat="false" ht="15" hidden="false" customHeight="true" outlineLevel="0" collapsed="false">
      <c r="A249" s="8" t="s">
        <v>11609</v>
      </c>
      <c r="B249" s="8" t="s">
        <v>7649</v>
      </c>
      <c r="C249" s="8" t="s">
        <v>1017</v>
      </c>
      <c r="D249" s="8" t="s">
        <v>1018</v>
      </c>
      <c r="E249" s="11" t="n">
        <v>0</v>
      </c>
      <c r="F249" s="8" t="s">
        <v>11491</v>
      </c>
      <c r="G249" s="8" t="s">
        <v>11630</v>
      </c>
      <c r="H249" s="8" t="s">
        <v>11615</v>
      </c>
      <c r="I249" s="8"/>
      <c r="J249" s="8" t="s">
        <v>11629</v>
      </c>
    </row>
    <row r="250" customFormat="false" ht="15" hidden="false" customHeight="true" outlineLevel="0" collapsed="false">
      <c r="A250" s="8" t="s">
        <v>11609</v>
      </c>
      <c r="B250" s="8" t="s">
        <v>7649</v>
      </c>
      <c r="C250" s="8" t="s">
        <v>317</v>
      </c>
      <c r="D250" s="8" t="s">
        <v>318</v>
      </c>
      <c r="E250" s="11" t="n">
        <v>15000</v>
      </c>
      <c r="F250" s="8" t="s">
        <v>11491</v>
      </c>
      <c r="G250" s="8"/>
      <c r="H250" s="8" t="s">
        <v>11610</v>
      </c>
      <c r="I250" s="8"/>
      <c r="J250" s="8" t="s">
        <v>11629</v>
      </c>
    </row>
    <row r="251" customFormat="false" ht="15" hidden="false" customHeight="true" outlineLevel="0" collapsed="false">
      <c r="A251" s="8" t="s">
        <v>11609</v>
      </c>
      <c r="B251" s="8" t="s">
        <v>7649</v>
      </c>
      <c r="C251" s="8" t="s">
        <v>317</v>
      </c>
      <c r="D251" s="8" t="s">
        <v>318</v>
      </c>
      <c r="E251" s="11" t="n">
        <v>10000</v>
      </c>
      <c r="F251" s="8" t="s">
        <v>11491</v>
      </c>
      <c r="G251" s="8" t="s">
        <v>2627</v>
      </c>
      <c r="H251" s="8" t="s">
        <v>11610</v>
      </c>
      <c r="I251" s="8"/>
      <c r="J251" s="8" t="s">
        <v>11629</v>
      </c>
    </row>
    <row r="252" customFormat="false" ht="15" hidden="false" customHeight="true" outlineLevel="0" collapsed="false">
      <c r="A252" s="8" t="s">
        <v>11609</v>
      </c>
      <c r="B252" s="8" t="s">
        <v>894</v>
      </c>
      <c r="C252" s="8" t="s">
        <v>999</v>
      </c>
      <c r="D252" s="8" t="s">
        <v>1000</v>
      </c>
      <c r="E252" s="11" t="n">
        <v>0</v>
      </c>
      <c r="F252" s="8" t="s">
        <v>11308</v>
      </c>
      <c r="G252" s="8" t="s">
        <v>2627</v>
      </c>
      <c r="H252" s="8" t="s">
        <v>11615</v>
      </c>
      <c r="I252" s="8"/>
      <c r="J252" s="8" t="s">
        <v>11631</v>
      </c>
    </row>
    <row r="253" customFormat="false" ht="15" hidden="false" customHeight="true" outlineLevel="0" collapsed="false">
      <c r="A253" s="8" t="s">
        <v>11609</v>
      </c>
      <c r="B253" s="8" t="s">
        <v>894</v>
      </c>
      <c r="C253" s="8" t="s">
        <v>444</v>
      </c>
      <c r="D253" s="8" t="s">
        <v>445</v>
      </c>
      <c r="E253" s="11" t="n">
        <v>10000</v>
      </c>
      <c r="F253" s="8" t="s">
        <v>11308</v>
      </c>
      <c r="G253" s="8" t="s">
        <v>2627</v>
      </c>
      <c r="H253" s="8" t="s">
        <v>11610</v>
      </c>
      <c r="I253" s="8"/>
      <c r="J253" s="8" t="s">
        <v>11494</v>
      </c>
    </row>
    <row r="254" customFormat="false" ht="15" hidden="false" customHeight="true" outlineLevel="0" collapsed="false">
      <c r="A254" s="8" t="s">
        <v>11609</v>
      </c>
      <c r="B254" s="8" t="s">
        <v>894</v>
      </c>
      <c r="C254" s="8" t="s">
        <v>11632</v>
      </c>
      <c r="D254" s="8" t="s">
        <v>972</v>
      </c>
      <c r="E254" s="11" t="n">
        <v>15000</v>
      </c>
      <c r="F254" s="8" t="s">
        <v>11308</v>
      </c>
      <c r="G254" s="8"/>
      <c r="H254" s="8" t="s">
        <v>11610</v>
      </c>
      <c r="I254" s="8"/>
      <c r="J254" s="8" t="s">
        <v>11633</v>
      </c>
    </row>
    <row r="255" customFormat="false" ht="15" hidden="false" customHeight="true" outlineLevel="0" collapsed="false">
      <c r="A255" s="8" t="s">
        <v>11609</v>
      </c>
      <c r="B255" s="8" t="s">
        <v>894</v>
      </c>
      <c r="C255" s="8" t="s">
        <v>503</v>
      </c>
      <c r="D255" s="8" t="s">
        <v>504</v>
      </c>
      <c r="E255" s="11" t="n">
        <v>5000</v>
      </c>
      <c r="F255" s="8" t="s">
        <v>11319</v>
      </c>
      <c r="G255" s="8" t="s">
        <v>2707</v>
      </c>
      <c r="H255" s="8" t="s">
        <v>11610</v>
      </c>
      <c r="I255" s="8"/>
      <c r="J255" s="8" t="s">
        <v>11495</v>
      </c>
    </row>
    <row r="256" customFormat="false" ht="15" hidden="false" customHeight="true" outlineLevel="0" collapsed="false">
      <c r="A256" s="8" t="s">
        <v>11609</v>
      </c>
      <c r="B256" s="8" t="s">
        <v>894</v>
      </c>
      <c r="C256" s="8" t="s">
        <v>260</v>
      </c>
      <c r="D256" s="8" t="s">
        <v>261</v>
      </c>
      <c r="E256" s="11" t="n">
        <v>10000</v>
      </c>
      <c r="F256" s="8" t="s">
        <v>11319</v>
      </c>
      <c r="G256" s="8" t="s">
        <v>11634</v>
      </c>
      <c r="H256" s="8" t="s">
        <v>11610</v>
      </c>
      <c r="I256" s="8"/>
      <c r="J256" s="8" t="s">
        <v>11635</v>
      </c>
    </row>
    <row r="257" customFormat="false" ht="15" hidden="false" customHeight="true" outlineLevel="0" collapsed="false">
      <c r="A257" s="8" t="s">
        <v>11609</v>
      </c>
      <c r="B257" s="8" t="s">
        <v>894</v>
      </c>
      <c r="C257" s="8" t="s">
        <v>448</v>
      </c>
      <c r="D257" s="8" t="s">
        <v>449</v>
      </c>
      <c r="E257" s="11" t="n">
        <v>10500</v>
      </c>
      <c r="F257" s="8" t="s">
        <v>11308</v>
      </c>
      <c r="G257" s="8" t="s">
        <v>11636</v>
      </c>
      <c r="H257" s="8" t="s">
        <v>11610</v>
      </c>
      <c r="I257" s="8"/>
      <c r="J257" s="8" t="s">
        <v>11637</v>
      </c>
    </row>
    <row r="258" customFormat="false" ht="15" hidden="false" customHeight="true" outlineLevel="0" collapsed="false">
      <c r="A258" s="8" t="s">
        <v>11609</v>
      </c>
      <c r="B258" s="8" t="s">
        <v>894</v>
      </c>
      <c r="C258" s="8" t="s">
        <v>1127</v>
      </c>
      <c r="D258" s="8" t="s">
        <v>357</v>
      </c>
      <c r="E258" s="11" t="n">
        <v>5000</v>
      </c>
      <c r="F258" s="8" t="s">
        <v>11319</v>
      </c>
      <c r="G258" s="8" t="s">
        <v>2708</v>
      </c>
      <c r="H258" s="8" t="s">
        <v>11610</v>
      </c>
      <c r="I258" s="8"/>
      <c r="J258" s="8" t="s">
        <v>11498</v>
      </c>
    </row>
    <row r="259" customFormat="false" ht="15" hidden="false" customHeight="true" outlineLevel="0" collapsed="false">
      <c r="A259" s="8" t="s">
        <v>11609</v>
      </c>
      <c r="B259" s="8" t="s">
        <v>894</v>
      </c>
      <c r="C259" s="8" t="s">
        <v>321</v>
      </c>
      <c r="D259" s="8" t="s">
        <v>322</v>
      </c>
      <c r="E259" s="11" t="n">
        <v>10000</v>
      </c>
      <c r="F259" s="8" t="s">
        <v>11313</v>
      </c>
      <c r="G259" s="8" t="s">
        <v>2644</v>
      </c>
      <c r="H259" s="8" t="s">
        <v>11610</v>
      </c>
      <c r="I259" s="8"/>
      <c r="J259" s="8" t="s">
        <v>11468</v>
      </c>
    </row>
    <row r="260" customFormat="false" ht="15" hidden="false" customHeight="true" outlineLevel="0" collapsed="false">
      <c r="A260" s="8" t="s">
        <v>11609</v>
      </c>
      <c r="B260" s="8" t="s">
        <v>894</v>
      </c>
      <c r="C260" s="8" t="s">
        <v>452</v>
      </c>
      <c r="D260" s="8" t="s">
        <v>453</v>
      </c>
      <c r="E260" s="11" t="n">
        <v>10000</v>
      </c>
      <c r="F260" s="8" t="s">
        <v>11311</v>
      </c>
      <c r="G260" s="8" t="s">
        <v>2705</v>
      </c>
      <c r="H260" s="8" t="s">
        <v>11610</v>
      </c>
      <c r="I260" s="8"/>
      <c r="J260" s="8" t="s">
        <v>11501</v>
      </c>
    </row>
    <row r="261" customFormat="false" ht="15" hidden="false" customHeight="true" outlineLevel="0" collapsed="false">
      <c r="A261" s="8" t="s">
        <v>11609</v>
      </c>
      <c r="B261" s="8" t="s">
        <v>894</v>
      </c>
      <c r="C261" s="8" t="s">
        <v>1019</v>
      </c>
      <c r="D261" s="8" t="s">
        <v>1020</v>
      </c>
      <c r="E261" s="11" t="n">
        <v>0</v>
      </c>
      <c r="F261" s="8" t="s">
        <v>11308</v>
      </c>
      <c r="G261" s="8" t="s">
        <v>2627</v>
      </c>
      <c r="H261" s="8" t="s">
        <v>11615</v>
      </c>
      <c r="I261" s="8"/>
      <c r="J261" s="8" t="s">
        <v>11638</v>
      </c>
    </row>
    <row r="262" customFormat="false" ht="15" hidden="false" customHeight="true" outlineLevel="0" collapsed="false">
      <c r="A262" s="8" t="s">
        <v>11609</v>
      </c>
      <c r="B262" s="8" t="s">
        <v>894</v>
      </c>
      <c r="C262" s="8" t="s">
        <v>11639</v>
      </c>
      <c r="D262" s="8" t="s">
        <v>1004</v>
      </c>
      <c r="E262" s="11" t="n">
        <v>0</v>
      </c>
      <c r="F262" s="8" t="s">
        <v>11308</v>
      </c>
      <c r="G262" s="8" t="s">
        <v>2627</v>
      </c>
      <c r="H262" s="8" t="s">
        <v>11640</v>
      </c>
      <c r="I262" s="8"/>
      <c r="J262" s="8" t="s">
        <v>11641</v>
      </c>
    </row>
    <row r="263" customFormat="false" ht="15" hidden="false" customHeight="true" outlineLevel="0" collapsed="false">
      <c r="A263" s="8" t="s">
        <v>11609</v>
      </c>
      <c r="B263" s="8" t="s">
        <v>894</v>
      </c>
      <c r="C263" s="8" t="s">
        <v>893</v>
      </c>
      <c r="D263" s="8" t="s">
        <v>198</v>
      </c>
      <c r="E263" s="11" t="n">
        <v>1000</v>
      </c>
      <c r="F263" s="8" t="s">
        <v>11502</v>
      </c>
      <c r="G263" s="8" t="s">
        <v>2723</v>
      </c>
      <c r="H263" s="8" t="s">
        <v>11610</v>
      </c>
      <c r="I263" s="8"/>
      <c r="J263" s="8" t="s">
        <v>11503</v>
      </c>
    </row>
    <row r="264" customFormat="false" ht="15" hidden="false" customHeight="true" outlineLevel="0" collapsed="false">
      <c r="A264" s="8" t="s">
        <v>11609</v>
      </c>
      <c r="B264" s="8" t="s">
        <v>894</v>
      </c>
      <c r="C264" s="8" t="s">
        <v>893</v>
      </c>
      <c r="D264" s="8" t="s">
        <v>198</v>
      </c>
      <c r="E264" s="11" t="n">
        <v>1000</v>
      </c>
      <c r="F264" s="8" t="s">
        <v>11502</v>
      </c>
      <c r="G264" s="8" t="s">
        <v>2655</v>
      </c>
      <c r="H264" s="8" t="s">
        <v>11610</v>
      </c>
      <c r="I264" s="8"/>
      <c r="J264" s="8" t="s">
        <v>11504</v>
      </c>
    </row>
    <row r="265" customFormat="false" ht="15" hidden="false" customHeight="true" outlineLevel="0" collapsed="false">
      <c r="A265" s="8" t="s">
        <v>11609</v>
      </c>
      <c r="B265" s="8" t="s">
        <v>894</v>
      </c>
      <c r="C265" s="8" t="s">
        <v>893</v>
      </c>
      <c r="D265" s="8" t="s">
        <v>198</v>
      </c>
      <c r="E265" s="11" t="n">
        <v>5000</v>
      </c>
      <c r="F265" s="8" t="s">
        <v>11502</v>
      </c>
      <c r="G265" s="8" t="s">
        <v>2709</v>
      </c>
      <c r="H265" s="8" t="s">
        <v>11610</v>
      </c>
      <c r="I265" s="8"/>
      <c r="J265" s="8" t="s">
        <v>11505</v>
      </c>
    </row>
    <row r="266" customFormat="false" ht="15" hidden="false" customHeight="true" outlineLevel="0" collapsed="false">
      <c r="A266" s="8" t="s">
        <v>11609</v>
      </c>
      <c r="B266" s="8" t="s">
        <v>894</v>
      </c>
      <c r="C266" s="8" t="s">
        <v>893</v>
      </c>
      <c r="D266" s="8" t="s">
        <v>198</v>
      </c>
      <c r="E266" s="11" t="n">
        <v>1000</v>
      </c>
      <c r="F266" s="8" t="s">
        <v>11502</v>
      </c>
      <c r="G266" s="8" t="s">
        <v>2724</v>
      </c>
      <c r="H266" s="8" t="s">
        <v>11610</v>
      </c>
      <c r="I266" s="8"/>
      <c r="J266" s="8" t="s">
        <v>11506</v>
      </c>
    </row>
    <row r="267" customFormat="false" ht="15" hidden="false" customHeight="true" outlineLevel="0" collapsed="false">
      <c r="A267" s="8" t="s">
        <v>11609</v>
      </c>
      <c r="B267" s="8" t="s">
        <v>894</v>
      </c>
      <c r="C267" s="8" t="s">
        <v>893</v>
      </c>
      <c r="D267" s="8" t="s">
        <v>198</v>
      </c>
      <c r="E267" s="11" t="n">
        <v>1000</v>
      </c>
      <c r="F267" s="8" t="s">
        <v>11502</v>
      </c>
      <c r="G267" s="8" t="s">
        <v>2725</v>
      </c>
      <c r="H267" s="8" t="s">
        <v>11610</v>
      </c>
      <c r="I267" s="8"/>
      <c r="J267" s="8" t="s">
        <v>11507</v>
      </c>
    </row>
    <row r="268" customFormat="false" ht="15" hidden="false" customHeight="true" outlineLevel="0" collapsed="false">
      <c r="A268" s="8" t="s">
        <v>11609</v>
      </c>
      <c r="B268" s="8" t="s">
        <v>894</v>
      </c>
      <c r="C268" s="8" t="s">
        <v>893</v>
      </c>
      <c r="D268" s="8" t="s">
        <v>198</v>
      </c>
      <c r="E268" s="11" t="n">
        <v>1000</v>
      </c>
      <c r="F268" s="8" t="s">
        <v>11502</v>
      </c>
      <c r="G268" s="8" t="s">
        <v>2726</v>
      </c>
      <c r="H268" s="8" t="s">
        <v>11610</v>
      </c>
      <c r="I268" s="8"/>
      <c r="J268" s="8" t="s">
        <v>11508</v>
      </c>
    </row>
    <row r="269" customFormat="false" ht="15" hidden="false" customHeight="true" outlineLevel="0" collapsed="false">
      <c r="A269" s="8" t="s">
        <v>11609</v>
      </c>
      <c r="B269" s="8" t="s">
        <v>894</v>
      </c>
      <c r="C269" s="8" t="s">
        <v>893</v>
      </c>
      <c r="D269" s="8" t="s">
        <v>198</v>
      </c>
      <c r="E269" s="11" t="n">
        <v>1000</v>
      </c>
      <c r="F269" s="8" t="s">
        <v>11502</v>
      </c>
      <c r="G269" s="8" t="s">
        <v>2727</v>
      </c>
      <c r="H269" s="8" t="s">
        <v>11610</v>
      </c>
      <c r="I269" s="8"/>
      <c r="J269" s="8" t="s">
        <v>11509</v>
      </c>
    </row>
    <row r="270" customFormat="false" ht="15" hidden="false" customHeight="true" outlineLevel="0" collapsed="false">
      <c r="A270" s="8" t="s">
        <v>11609</v>
      </c>
      <c r="B270" s="8" t="s">
        <v>894</v>
      </c>
      <c r="C270" s="8" t="s">
        <v>893</v>
      </c>
      <c r="D270" s="8" t="s">
        <v>198</v>
      </c>
      <c r="E270" s="11" t="n">
        <v>1000</v>
      </c>
      <c r="F270" s="8" t="s">
        <v>11502</v>
      </c>
      <c r="G270" s="8" t="s">
        <v>2728</v>
      </c>
      <c r="H270" s="8" t="s">
        <v>11610</v>
      </c>
      <c r="I270" s="8"/>
      <c r="J270" s="8" t="s">
        <v>11510</v>
      </c>
    </row>
    <row r="271" customFormat="false" ht="15" hidden="false" customHeight="true" outlineLevel="0" collapsed="false">
      <c r="A271" s="8" t="s">
        <v>11609</v>
      </c>
      <c r="B271" s="8" t="s">
        <v>894</v>
      </c>
      <c r="C271" s="8" t="s">
        <v>893</v>
      </c>
      <c r="D271" s="8" t="s">
        <v>198</v>
      </c>
      <c r="E271" s="11" t="n">
        <v>1000</v>
      </c>
      <c r="F271" s="8" t="s">
        <v>11502</v>
      </c>
      <c r="G271" s="8" t="s">
        <v>2653</v>
      </c>
      <c r="H271" s="8" t="s">
        <v>11610</v>
      </c>
      <c r="I271" s="8"/>
      <c r="J271" s="8" t="s">
        <v>11511</v>
      </c>
    </row>
    <row r="272" customFormat="false" ht="15" hidden="false" customHeight="true" outlineLevel="0" collapsed="false">
      <c r="A272" s="8" t="s">
        <v>11609</v>
      </c>
      <c r="B272" s="8" t="s">
        <v>894</v>
      </c>
      <c r="C272" s="8" t="s">
        <v>893</v>
      </c>
      <c r="D272" s="8" t="s">
        <v>198</v>
      </c>
      <c r="E272" s="11" t="n">
        <v>5000</v>
      </c>
      <c r="F272" s="8" t="s">
        <v>11502</v>
      </c>
      <c r="G272" s="8" t="s">
        <v>2653</v>
      </c>
      <c r="H272" s="8" t="s">
        <v>11610</v>
      </c>
      <c r="I272" s="8"/>
      <c r="J272" s="8" t="s">
        <v>11512</v>
      </c>
    </row>
    <row r="273" customFormat="false" ht="15" hidden="false" customHeight="true" outlineLevel="0" collapsed="false">
      <c r="A273" s="8" t="s">
        <v>11609</v>
      </c>
      <c r="B273" s="8" t="s">
        <v>894</v>
      </c>
      <c r="C273" s="8" t="s">
        <v>893</v>
      </c>
      <c r="D273" s="8" t="s">
        <v>198</v>
      </c>
      <c r="E273" s="11" t="n">
        <v>5000</v>
      </c>
      <c r="F273" s="8" t="s">
        <v>11502</v>
      </c>
      <c r="G273" s="8" t="s">
        <v>2710</v>
      </c>
      <c r="H273" s="8" t="s">
        <v>11610</v>
      </c>
      <c r="I273" s="8"/>
      <c r="J273" s="8" t="s">
        <v>11513</v>
      </c>
    </row>
    <row r="274" customFormat="false" ht="15" hidden="false" customHeight="true" outlineLevel="0" collapsed="false">
      <c r="A274" s="8" t="s">
        <v>11609</v>
      </c>
      <c r="B274" s="8" t="s">
        <v>894</v>
      </c>
      <c r="C274" s="8" t="s">
        <v>893</v>
      </c>
      <c r="D274" s="8" t="s">
        <v>198</v>
      </c>
      <c r="E274" s="11" t="n">
        <v>5000</v>
      </c>
      <c r="F274" s="8" t="s">
        <v>11502</v>
      </c>
      <c r="G274" s="8" t="s">
        <v>2711</v>
      </c>
      <c r="H274" s="8" t="s">
        <v>11610</v>
      </c>
      <c r="I274" s="8"/>
      <c r="J274" s="8" t="s">
        <v>11514</v>
      </c>
    </row>
    <row r="275" customFormat="false" ht="15" hidden="false" customHeight="true" outlineLevel="0" collapsed="false">
      <c r="A275" s="8" t="s">
        <v>11609</v>
      </c>
      <c r="B275" s="8" t="s">
        <v>894</v>
      </c>
      <c r="C275" s="8" t="s">
        <v>893</v>
      </c>
      <c r="D275" s="8" t="s">
        <v>198</v>
      </c>
      <c r="E275" s="11" t="n">
        <v>1000</v>
      </c>
      <c r="F275" s="8" t="s">
        <v>11502</v>
      </c>
      <c r="G275" s="8" t="s">
        <v>2729</v>
      </c>
      <c r="H275" s="8" t="s">
        <v>11610</v>
      </c>
      <c r="I275" s="8"/>
      <c r="J275" s="8" t="s">
        <v>11515</v>
      </c>
    </row>
    <row r="276" customFormat="false" ht="15" hidden="false" customHeight="true" outlineLevel="0" collapsed="false">
      <c r="A276" s="8" t="s">
        <v>11609</v>
      </c>
      <c r="B276" s="8" t="s">
        <v>894</v>
      </c>
      <c r="C276" s="8" t="s">
        <v>893</v>
      </c>
      <c r="D276" s="8" t="s">
        <v>198</v>
      </c>
      <c r="E276" s="11" t="n">
        <v>1000</v>
      </c>
      <c r="F276" s="8" t="s">
        <v>11502</v>
      </c>
      <c r="G276" s="8" t="s">
        <v>2730</v>
      </c>
      <c r="H276" s="8" t="s">
        <v>11610</v>
      </c>
      <c r="I276" s="8"/>
      <c r="J276" s="8" t="s">
        <v>11516</v>
      </c>
    </row>
    <row r="277" customFormat="false" ht="15" hidden="false" customHeight="true" outlineLevel="0" collapsed="false">
      <c r="A277" s="8" t="s">
        <v>11609</v>
      </c>
      <c r="B277" s="8" t="s">
        <v>894</v>
      </c>
      <c r="C277" s="8" t="s">
        <v>893</v>
      </c>
      <c r="D277" s="8" t="s">
        <v>198</v>
      </c>
      <c r="E277" s="11" t="n">
        <v>1000</v>
      </c>
      <c r="F277" s="8" t="s">
        <v>11502</v>
      </c>
      <c r="G277" s="8" t="s">
        <v>2731</v>
      </c>
      <c r="H277" s="8" t="s">
        <v>11610</v>
      </c>
      <c r="I277" s="8"/>
      <c r="J277" s="8" t="s">
        <v>11517</v>
      </c>
    </row>
    <row r="278" customFormat="false" ht="15" hidden="false" customHeight="true" outlineLevel="0" collapsed="false">
      <c r="A278" s="8" t="s">
        <v>11609</v>
      </c>
      <c r="B278" s="8" t="s">
        <v>894</v>
      </c>
      <c r="C278" s="8" t="s">
        <v>893</v>
      </c>
      <c r="D278" s="8" t="s">
        <v>198</v>
      </c>
      <c r="E278" s="11" t="n">
        <v>1000</v>
      </c>
      <c r="F278" s="8" t="s">
        <v>11502</v>
      </c>
      <c r="G278" s="8" t="s">
        <v>2732</v>
      </c>
      <c r="H278" s="8" t="s">
        <v>11610</v>
      </c>
      <c r="I278" s="8"/>
      <c r="J278" s="8" t="s">
        <v>11518</v>
      </c>
    </row>
    <row r="279" customFormat="false" ht="15" hidden="false" customHeight="true" outlineLevel="0" collapsed="false">
      <c r="A279" s="8" t="s">
        <v>11609</v>
      </c>
      <c r="B279" s="8" t="s">
        <v>894</v>
      </c>
      <c r="C279" s="8" t="s">
        <v>893</v>
      </c>
      <c r="D279" s="8" t="s">
        <v>198</v>
      </c>
      <c r="E279" s="11" t="n">
        <v>1000</v>
      </c>
      <c r="F279" s="8" t="s">
        <v>11502</v>
      </c>
      <c r="G279" s="8" t="s">
        <v>2733</v>
      </c>
      <c r="H279" s="8" t="s">
        <v>11610</v>
      </c>
      <c r="I279" s="8"/>
      <c r="J279" s="8" t="s">
        <v>11519</v>
      </c>
    </row>
    <row r="280" customFormat="false" ht="15" hidden="false" customHeight="true" outlineLevel="0" collapsed="false">
      <c r="A280" s="8" t="s">
        <v>11609</v>
      </c>
      <c r="B280" s="8" t="s">
        <v>894</v>
      </c>
      <c r="C280" s="8" t="s">
        <v>893</v>
      </c>
      <c r="D280" s="8" t="s">
        <v>198</v>
      </c>
      <c r="E280" s="11" t="n">
        <v>1000</v>
      </c>
      <c r="F280" s="8" t="s">
        <v>11502</v>
      </c>
      <c r="G280" s="8" t="s">
        <v>2734</v>
      </c>
      <c r="H280" s="8" t="s">
        <v>11610</v>
      </c>
      <c r="I280" s="8"/>
      <c r="J280" s="8" t="s">
        <v>11520</v>
      </c>
    </row>
    <row r="281" customFormat="false" ht="15" hidden="false" customHeight="true" outlineLevel="0" collapsed="false">
      <c r="A281" s="8" t="s">
        <v>11609</v>
      </c>
      <c r="B281" s="8" t="s">
        <v>894</v>
      </c>
      <c r="C281" s="8" t="s">
        <v>893</v>
      </c>
      <c r="D281" s="8" t="s">
        <v>198</v>
      </c>
      <c r="E281" s="11" t="n">
        <v>1000</v>
      </c>
      <c r="F281" s="8" t="s">
        <v>11502</v>
      </c>
      <c r="G281" s="8" t="s">
        <v>2735</v>
      </c>
      <c r="H281" s="8" t="s">
        <v>11610</v>
      </c>
      <c r="I281" s="8"/>
      <c r="J281" s="8" t="s">
        <v>11521</v>
      </c>
    </row>
    <row r="282" customFormat="false" ht="15" hidden="false" customHeight="true" outlineLevel="0" collapsed="false">
      <c r="A282" s="8" t="s">
        <v>11609</v>
      </c>
      <c r="B282" s="8" t="s">
        <v>894</v>
      </c>
      <c r="C282" s="8" t="s">
        <v>893</v>
      </c>
      <c r="D282" s="8" t="s">
        <v>198</v>
      </c>
      <c r="E282" s="11" t="n">
        <v>1000</v>
      </c>
      <c r="F282" s="8" t="s">
        <v>11502</v>
      </c>
      <c r="G282" s="8" t="s">
        <v>2736</v>
      </c>
      <c r="H282" s="8" t="s">
        <v>11610</v>
      </c>
      <c r="I282" s="8"/>
      <c r="J282" s="8" t="s">
        <v>11522</v>
      </c>
    </row>
    <row r="283" customFormat="false" ht="15" hidden="false" customHeight="true" outlineLevel="0" collapsed="false">
      <c r="A283" s="8" t="s">
        <v>11609</v>
      </c>
      <c r="B283" s="8" t="s">
        <v>894</v>
      </c>
      <c r="C283" s="8" t="s">
        <v>893</v>
      </c>
      <c r="D283" s="8" t="s">
        <v>198</v>
      </c>
      <c r="E283" s="11" t="n">
        <v>1000</v>
      </c>
      <c r="F283" s="8" t="s">
        <v>11502</v>
      </c>
      <c r="G283" s="8" t="s">
        <v>2737</v>
      </c>
      <c r="H283" s="8" t="s">
        <v>11610</v>
      </c>
      <c r="I283" s="8"/>
      <c r="J283" s="8" t="s">
        <v>11523</v>
      </c>
    </row>
    <row r="284" customFormat="false" ht="15" hidden="false" customHeight="true" outlineLevel="0" collapsed="false">
      <c r="A284" s="8" t="s">
        <v>11609</v>
      </c>
      <c r="B284" s="8" t="s">
        <v>894</v>
      </c>
      <c r="C284" s="8" t="s">
        <v>893</v>
      </c>
      <c r="D284" s="8" t="s">
        <v>198</v>
      </c>
      <c r="E284" s="11" t="n">
        <v>1000</v>
      </c>
      <c r="F284" s="8" t="s">
        <v>11502</v>
      </c>
      <c r="G284" s="8" t="s">
        <v>2738</v>
      </c>
      <c r="H284" s="8" t="s">
        <v>11610</v>
      </c>
      <c r="I284" s="8"/>
      <c r="J284" s="8" t="s">
        <v>11524</v>
      </c>
    </row>
    <row r="285" customFormat="false" ht="15" hidden="false" customHeight="true" outlineLevel="0" collapsed="false">
      <c r="A285" s="8" t="s">
        <v>11609</v>
      </c>
      <c r="B285" s="8" t="s">
        <v>894</v>
      </c>
      <c r="C285" s="8" t="s">
        <v>893</v>
      </c>
      <c r="D285" s="8" t="s">
        <v>198</v>
      </c>
      <c r="E285" s="11" t="n">
        <v>1000</v>
      </c>
      <c r="F285" s="8" t="s">
        <v>11502</v>
      </c>
      <c r="G285" s="8" t="s">
        <v>2739</v>
      </c>
      <c r="H285" s="8" t="s">
        <v>11610</v>
      </c>
      <c r="I285" s="8"/>
      <c r="J285" s="8" t="s">
        <v>11525</v>
      </c>
    </row>
    <row r="286" customFormat="false" ht="15" hidden="false" customHeight="true" outlineLevel="0" collapsed="false">
      <c r="A286" s="8" t="s">
        <v>11609</v>
      </c>
      <c r="B286" s="8" t="s">
        <v>894</v>
      </c>
      <c r="C286" s="8" t="s">
        <v>893</v>
      </c>
      <c r="D286" s="8" t="s">
        <v>198</v>
      </c>
      <c r="E286" s="11" t="n">
        <v>1000</v>
      </c>
      <c r="F286" s="8" t="s">
        <v>11502</v>
      </c>
      <c r="G286" s="8" t="s">
        <v>2740</v>
      </c>
      <c r="H286" s="8" t="s">
        <v>11610</v>
      </c>
      <c r="I286" s="8"/>
      <c r="J286" s="8" t="s">
        <v>11526</v>
      </c>
    </row>
    <row r="287" customFormat="false" ht="15" hidden="false" customHeight="true" outlineLevel="0" collapsed="false">
      <c r="A287" s="8" t="s">
        <v>11609</v>
      </c>
      <c r="B287" s="8" t="s">
        <v>894</v>
      </c>
      <c r="C287" s="8" t="s">
        <v>893</v>
      </c>
      <c r="D287" s="8" t="s">
        <v>198</v>
      </c>
      <c r="E287" s="11" t="n">
        <v>1000</v>
      </c>
      <c r="F287" s="8" t="s">
        <v>11502</v>
      </c>
      <c r="G287" s="8" t="s">
        <v>2741</v>
      </c>
      <c r="H287" s="8" t="s">
        <v>11610</v>
      </c>
      <c r="I287" s="8"/>
      <c r="J287" s="8" t="s">
        <v>11527</v>
      </c>
    </row>
    <row r="288" customFormat="false" ht="15" hidden="false" customHeight="true" outlineLevel="0" collapsed="false">
      <c r="A288" s="8" t="s">
        <v>11609</v>
      </c>
      <c r="B288" s="8" t="s">
        <v>894</v>
      </c>
      <c r="C288" s="8" t="s">
        <v>893</v>
      </c>
      <c r="D288" s="8" t="s">
        <v>198</v>
      </c>
      <c r="E288" s="11" t="n">
        <v>1000</v>
      </c>
      <c r="F288" s="8" t="s">
        <v>11502</v>
      </c>
      <c r="G288" s="8" t="s">
        <v>2742</v>
      </c>
      <c r="H288" s="8" t="s">
        <v>11610</v>
      </c>
      <c r="I288" s="8"/>
      <c r="J288" s="8" t="s">
        <v>11528</v>
      </c>
    </row>
    <row r="289" customFormat="false" ht="15" hidden="false" customHeight="true" outlineLevel="0" collapsed="false">
      <c r="A289" s="8" t="s">
        <v>11609</v>
      </c>
      <c r="B289" s="8" t="s">
        <v>894</v>
      </c>
      <c r="C289" s="8" t="s">
        <v>893</v>
      </c>
      <c r="D289" s="8" t="s">
        <v>198</v>
      </c>
      <c r="E289" s="11" t="n">
        <v>1000</v>
      </c>
      <c r="F289" s="8" t="s">
        <v>11502</v>
      </c>
      <c r="G289" s="8" t="s">
        <v>2743</v>
      </c>
      <c r="H289" s="8" t="s">
        <v>11610</v>
      </c>
      <c r="I289" s="8"/>
      <c r="J289" s="8" t="s">
        <v>11529</v>
      </c>
    </row>
    <row r="290" customFormat="false" ht="15" hidden="false" customHeight="true" outlineLevel="0" collapsed="false">
      <c r="A290" s="8" t="s">
        <v>11609</v>
      </c>
      <c r="B290" s="8" t="s">
        <v>894</v>
      </c>
      <c r="C290" s="8" t="s">
        <v>893</v>
      </c>
      <c r="D290" s="8" t="s">
        <v>198</v>
      </c>
      <c r="E290" s="11" t="n">
        <v>1000</v>
      </c>
      <c r="F290" s="8" t="s">
        <v>11502</v>
      </c>
      <c r="G290" s="8" t="s">
        <v>2744</v>
      </c>
      <c r="H290" s="8" t="s">
        <v>11610</v>
      </c>
      <c r="I290" s="8"/>
      <c r="J290" s="8" t="s">
        <v>11530</v>
      </c>
    </row>
    <row r="291" customFormat="false" ht="15" hidden="false" customHeight="true" outlineLevel="0" collapsed="false">
      <c r="A291" s="8" t="s">
        <v>11609</v>
      </c>
      <c r="B291" s="8" t="s">
        <v>894</v>
      </c>
      <c r="C291" s="8" t="s">
        <v>893</v>
      </c>
      <c r="D291" s="8" t="s">
        <v>198</v>
      </c>
      <c r="E291" s="11" t="n">
        <v>1000</v>
      </c>
      <c r="F291" s="8" t="s">
        <v>11502</v>
      </c>
      <c r="G291" s="8" t="s">
        <v>2745</v>
      </c>
      <c r="H291" s="8" t="s">
        <v>11610</v>
      </c>
      <c r="I291" s="8"/>
      <c r="J291" s="8" t="s">
        <v>11531</v>
      </c>
    </row>
    <row r="292" customFormat="false" ht="15" hidden="false" customHeight="true" outlineLevel="0" collapsed="false">
      <c r="A292" s="8" t="s">
        <v>11609</v>
      </c>
      <c r="B292" s="8" t="s">
        <v>894</v>
      </c>
      <c r="C292" s="8" t="s">
        <v>893</v>
      </c>
      <c r="D292" s="8" t="s">
        <v>198</v>
      </c>
      <c r="E292" s="11" t="n">
        <v>1000</v>
      </c>
      <c r="F292" s="8" t="s">
        <v>11502</v>
      </c>
      <c r="G292" s="8" t="s">
        <v>2746</v>
      </c>
      <c r="H292" s="8" t="s">
        <v>11610</v>
      </c>
      <c r="I292" s="8"/>
      <c r="J292" s="8" t="s">
        <v>11532</v>
      </c>
    </row>
    <row r="293" customFormat="false" ht="15" hidden="false" customHeight="true" outlineLevel="0" collapsed="false">
      <c r="A293" s="8" t="s">
        <v>11609</v>
      </c>
      <c r="B293" s="8" t="s">
        <v>894</v>
      </c>
      <c r="C293" s="8" t="s">
        <v>893</v>
      </c>
      <c r="D293" s="8" t="s">
        <v>198</v>
      </c>
      <c r="E293" s="11" t="n">
        <v>1000</v>
      </c>
      <c r="F293" s="8" t="s">
        <v>11502</v>
      </c>
      <c r="G293" s="8" t="s">
        <v>2747</v>
      </c>
      <c r="H293" s="8" t="s">
        <v>11610</v>
      </c>
      <c r="I293" s="8"/>
      <c r="J293" s="8" t="s">
        <v>11533</v>
      </c>
    </row>
    <row r="294" customFormat="false" ht="15" hidden="false" customHeight="true" outlineLevel="0" collapsed="false">
      <c r="A294" s="8" t="s">
        <v>11609</v>
      </c>
      <c r="B294" s="8" t="s">
        <v>894</v>
      </c>
      <c r="C294" s="8" t="s">
        <v>893</v>
      </c>
      <c r="D294" s="8" t="s">
        <v>198</v>
      </c>
      <c r="E294" s="11" t="n">
        <v>1000</v>
      </c>
      <c r="F294" s="8" t="s">
        <v>11502</v>
      </c>
      <c r="G294" s="8" t="s">
        <v>2748</v>
      </c>
      <c r="H294" s="8" t="s">
        <v>11610</v>
      </c>
      <c r="I294" s="8"/>
      <c r="J294" s="8" t="s">
        <v>11534</v>
      </c>
    </row>
    <row r="295" customFormat="false" ht="15" hidden="false" customHeight="true" outlineLevel="0" collapsed="false">
      <c r="A295" s="8" t="s">
        <v>11609</v>
      </c>
      <c r="B295" s="8" t="s">
        <v>894</v>
      </c>
      <c r="C295" s="8" t="s">
        <v>893</v>
      </c>
      <c r="D295" s="8" t="s">
        <v>198</v>
      </c>
      <c r="E295" s="11" t="n">
        <v>1000</v>
      </c>
      <c r="F295" s="8" t="s">
        <v>11502</v>
      </c>
      <c r="G295" s="8" t="s">
        <v>2656</v>
      </c>
      <c r="H295" s="8" t="s">
        <v>11610</v>
      </c>
      <c r="I295" s="8"/>
      <c r="J295" s="8" t="s">
        <v>11528</v>
      </c>
    </row>
    <row r="296" customFormat="false" ht="15" hidden="false" customHeight="true" outlineLevel="0" collapsed="false">
      <c r="A296" s="8" t="s">
        <v>11609</v>
      </c>
      <c r="B296" s="8" t="s">
        <v>894</v>
      </c>
      <c r="C296" s="8" t="s">
        <v>1021</v>
      </c>
      <c r="D296" s="8" t="s">
        <v>198</v>
      </c>
      <c r="E296" s="11" t="n">
        <v>0</v>
      </c>
      <c r="F296" s="8" t="s">
        <v>11305</v>
      </c>
      <c r="G296" s="8"/>
      <c r="H296" s="8" t="s">
        <v>11640</v>
      </c>
      <c r="I296" s="8"/>
      <c r="J296" s="8" t="s">
        <v>11642</v>
      </c>
    </row>
    <row r="297" customFormat="false" ht="15" hidden="false" customHeight="true" outlineLevel="0" collapsed="false">
      <c r="A297" s="8" t="s">
        <v>11609</v>
      </c>
      <c r="B297" s="8" t="s">
        <v>894</v>
      </c>
      <c r="C297" s="8" t="s">
        <v>1022</v>
      </c>
      <c r="D297" s="8" t="s">
        <v>198</v>
      </c>
      <c r="E297" s="11" t="n">
        <v>0</v>
      </c>
      <c r="F297" s="8" t="s">
        <v>11318</v>
      </c>
      <c r="G297" s="8"/>
      <c r="H297" s="8" t="s">
        <v>11640</v>
      </c>
      <c r="I297" s="8"/>
      <c r="J297" s="8" t="s">
        <v>11642</v>
      </c>
    </row>
    <row r="298" customFormat="false" ht="15" hidden="false" customHeight="true" outlineLevel="0" collapsed="false">
      <c r="A298" s="8" t="s">
        <v>11609</v>
      </c>
      <c r="B298" s="8" t="s">
        <v>894</v>
      </c>
      <c r="C298" s="8" t="s">
        <v>2167</v>
      </c>
      <c r="D298" s="8" t="s">
        <v>198</v>
      </c>
      <c r="E298" s="11" t="n">
        <v>0</v>
      </c>
      <c r="F298" s="8" t="s">
        <v>11308</v>
      </c>
      <c r="G298" s="8"/>
      <c r="H298" s="8" t="s">
        <v>11640</v>
      </c>
      <c r="I298" s="8"/>
      <c r="J298" s="8" t="s">
        <v>11642</v>
      </c>
    </row>
    <row r="299" customFormat="false" ht="15" hidden="false" customHeight="true" outlineLevel="0" collapsed="false">
      <c r="A299" s="8" t="s">
        <v>11609</v>
      </c>
      <c r="B299" s="8" t="s">
        <v>894</v>
      </c>
      <c r="C299" s="8" t="s">
        <v>2167</v>
      </c>
      <c r="D299" s="8" t="s">
        <v>198</v>
      </c>
      <c r="E299" s="11" t="n">
        <v>0</v>
      </c>
      <c r="F299" s="8" t="s">
        <v>11308</v>
      </c>
      <c r="G299" s="8"/>
      <c r="H299" s="8" t="s">
        <v>11640</v>
      </c>
      <c r="I299" s="8"/>
      <c r="J299" s="8" t="s">
        <v>11643</v>
      </c>
    </row>
    <row r="300" customFormat="false" ht="15" hidden="false" customHeight="true" outlineLevel="0" collapsed="false">
      <c r="A300" s="8" t="s">
        <v>11609</v>
      </c>
      <c r="B300" s="8" t="s">
        <v>894</v>
      </c>
      <c r="C300" s="8" t="s">
        <v>225</v>
      </c>
      <c r="D300" s="8" t="s">
        <v>226</v>
      </c>
      <c r="E300" s="11" t="n">
        <v>7000</v>
      </c>
      <c r="F300" s="8" t="s">
        <v>11308</v>
      </c>
      <c r="G300" s="8" t="s">
        <v>11644</v>
      </c>
      <c r="H300" s="8" t="s">
        <v>11610</v>
      </c>
      <c r="I300" s="8"/>
      <c r="J300" s="8" t="s">
        <v>11645</v>
      </c>
    </row>
    <row r="301" customFormat="false" ht="15" hidden="false" customHeight="true" outlineLevel="0" collapsed="false">
      <c r="A301" s="8" t="s">
        <v>11609</v>
      </c>
      <c r="B301" s="8" t="s">
        <v>894</v>
      </c>
      <c r="C301" s="8" t="s">
        <v>225</v>
      </c>
      <c r="D301" s="8" t="s">
        <v>226</v>
      </c>
      <c r="E301" s="11" t="n">
        <v>7000</v>
      </c>
      <c r="F301" s="8" t="s">
        <v>11308</v>
      </c>
      <c r="G301" s="8" t="s">
        <v>11646</v>
      </c>
      <c r="H301" s="8" t="s">
        <v>11610</v>
      </c>
      <c r="I301" s="8"/>
      <c r="J301" s="8" t="s">
        <v>11647</v>
      </c>
    </row>
    <row r="302" customFormat="false" ht="15" hidden="false" customHeight="true" outlineLevel="0" collapsed="false">
      <c r="A302" s="8" t="s">
        <v>11609</v>
      </c>
      <c r="B302" s="8" t="s">
        <v>894</v>
      </c>
      <c r="C302" s="8" t="s">
        <v>225</v>
      </c>
      <c r="D302" s="8" t="s">
        <v>226</v>
      </c>
      <c r="E302" s="11" t="n">
        <v>15500</v>
      </c>
      <c r="F302" s="8" t="s">
        <v>11308</v>
      </c>
      <c r="G302" s="8" t="s">
        <v>2627</v>
      </c>
      <c r="H302" s="8" t="s">
        <v>11610</v>
      </c>
      <c r="I302" s="8"/>
      <c r="J302" s="8" t="s">
        <v>11542</v>
      </c>
    </row>
    <row r="303" customFormat="false" ht="15" hidden="false" customHeight="true" outlineLevel="0" collapsed="false">
      <c r="A303" s="8" t="s">
        <v>11609</v>
      </c>
      <c r="B303" s="8" t="s">
        <v>894</v>
      </c>
      <c r="C303" s="8" t="s">
        <v>225</v>
      </c>
      <c r="D303" s="8" t="s">
        <v>226</v>
      </c>
      <c r="E303" s="11" t="n">
        <v>10000</v>
      </c>
      <c r="F303" s="8" t="s">
        <v>11308</v>
      </c>
      <c r="G303" s="8" t="s">
        <v>2627</v>
      </c>
      <c r="H303" s="8" t="s">
        <v>11610</v>
      </c>
      <c r="I303" s="8"/>
      <c r="J303" s="8" t="s">
        <v>11648</v>
      </c>
    </row>
    <row r="304" customFormat="false" ht="15" hidden="false" customHeight="true" outlineLevel="0" collapsed="false">
      <c r="A304" s="8" t="s">
        <v>11609</v>
      </c>
      <c r="B304" s="8" t="s">
        <v>894</v>
      </c>
      <c r="C304" s="8" t="s">
        <v>225</v>
      </c>
      <c r="D304" s="8" t="s">
        <v>226</v>
      </c>
      <c r="E304" s="11" t="n">
        <v>10000</v>
      </c>
      <c r="F304" s="8" t="s">
        <v>11308</v>
      </c>
      <c r="G304" s="8" t="s">
        <v>2627</v>
      </c>
      <c r="H304" s="8" t="s">
        <v>11461</v>
      </c>
      <c r="I304" s="8"/>
      <c r="J304" s="8" t="s">
        <v>11648</v>
      </c>
    </row>
    <row r="305" customFormat="false" ht="15" hidden="false" customHeight="true" outlineLevel="0" collapsed="false">
      <c r="A305" s="8" t="s">
        <v>11609</v>
      </c>
      <c r="B305" s="8" t="s">
        <v>894</v>
      </c>
      <c r="C305" s="8" t="s">
        <v>1005</v>
      </c>
      <c r="D305" s="8" t="s">
        <v>1006</v>
      </c>
      <c r="E305" s="11" t="n">
        <v>0</v>
      </c>
      <c r="F305" s="8" t="s">
        <v>11308</v>
      </c>
      <c r="G305" s="8" t="s">
        <v>11649</v>
      </c>
      <c r="H305" s="8" t="s">
        <v>11615</v>
      </c>
      <c r="I305" s="8"/>
      <c r="J305" s="8" t="s">
        <v>11650</v>
      </c>
    </row>
    <row r="306" customFormat="false" ht="15" hidden="false" customHeight="true" outlineLevel="0" collapsed="false">
      <c r="A306" s="8" t="s">
        <v>11609</v>
      </c>
      <c r="B306" s="8" t="s">
        <v>894</v>
      </c>
      <c r="C306" s="8" t="s">
        <v>11651</v>
      </c>
      <c r="D306" s="8" t="s">
        <v>1008</v>
      </c>
      <c r="E306" s="11" t="n">
        <v>5000</v>
      </c>
      <c r="F306" s="8" t="s">
        <v>11305</v>
      </c>
      <c r="G306" s="8" t="s">
        <v>2627</v>
      </c>
      <c r="H306" s="8" t="s">
        <v>11610</v>
      </c>
      <c r="I306" s="8"/>
      <c r="J306" s="8" t="s">
        <v>11652</v>
      </c>
    </row>
    <row r="307" customFormat="false" ht="15" hidden="false" customHeight="true" outlineLevel="0" collapsed="false">
      <c r="A307" s="8" t="s">
        <v>11609</v>
      </c>
      <c r="B307" s="8" t="s">
        <v>894</v>
      </c>
      <c r="C307" s="8" t="s">
        <v>771</v>
      </c>
      <c r="D307" s="8" t="s">
        <v>512</v>
      </c>
      <c r="E307" s="11" t="n">
        <v>5000</v>
      </c>
      <c r="F307" s="8" t="s">
        <v>11318</v>
      </c>
      <c r="G307" s="8" t="s">
        <v>2627</v>
      </c>
      <c r="H307" s="8" t="s">
        <v>11610</v>
      </c>
      <c r="I307" s="8"/>
      <c r="J307" s="8" t="s">
        <v>11545</v>
      </c>
    </row>
    <row r="308" customFormat="false" ht="15" hidden="false" customHeight="true" outlineLevel="0" collapsed="false">
      <c r="A308" s="8" t="s">
        <v>11609</v>
      </c>
      <c r="B308" s="8" t="s">
        <v>894</v>
      </c>
      <c r="C308" s="8" t="s">
        <v>515</v>
      </c>
      <c r="D308" s="8" t="s">
        <v>516</v>
      </c>
      <c r="E308" s="11" t="n">
        <v>5000</v>
      </c>
      <c r="F308" s="8" t="s">
        <v>11308</v>
      </c>
      <c r="G308" s="8"/>
      <c r="H308" s="8" t="s">
        <v>11461</v>
      </c>
      <c r="I308" s="8"/>
      <c r="J308" s="8" t="s">
        <v>11546</v>
      </c>
    </row>
    <row r="309" customFormat="false" ht="15" hidden="false" customHeight="true" outlineLevel="0" collapsed="false">
      <c r="A309" s="8" t="s">
        <v>11609</v>
      </c>
      <c r="B309" s="8" t="s">
        <v>894</v>
      </c>
      <c r="C309" s="8" t="s">
        <v>380</v>
      </c>
      <c r="D309" s="8" t="s">
        <v>381</v>
      </c>
      <c r="E309" s="11" t="n">
        <v>5000</v>
      </c>
      <c r="F309" s="8" t="s">
        <v>11305</v>
      </c>
      <c r="G309" s="8" t="s">
        <v>2627</v>
      </c>
      <c r="H309" s="8" t="s">
        <v>11610</v>
      </c>
      <c r="I309" s="8"/>
      <c r="J309" s="8" t="s">
        <v>11547</v>
      </c>
    </row>
    <row r="310" customFormat="false" ht="15" hidden="false" customHeight="true" outlineLevel="0" collapsed="false">
      <c r="A310" s="8" t="s">
        <v>11609</v>
      </c>
      <c r="B310" s="8" t="s">
        <v>894</v>
      </c>
      <c r="C310" s="8" t="s">
        <v>1023</v>
      </c>
      <c r="D310" s="8" t="s">
        <v>198</v>
      </c>
      <c r="E310" s="11" t="n">
        <v>0</v>
      </c>
      <c r="F310" s="8" t="s">
        <v>11554</v>
      </c>
      <c r="G310" s="8"/>
      <c r="H310" s="8" t="s">
        <v>11640</v>
      </c>
      <c r="I310" s="8"/>
      <c r="J310" s="8" t="s">
        <v>11643</v>
      </c>
    </row>
    <row r="311" customFormat="false" ht="15" hidden="false" customHeight="true" outlineLevel="0" collapsed="false">
      <c r="A311" s="8" t="s">
        <v>11609</v>
      </c>
      <c r="B311" s="8" t="s">
        <v>894</v>
      </c>
      <c r="C311" s="8" t="s">
        <v>290</v>
      </c>
      <c r="D311" s="8" t="s">
        <v>291</v>
      </c>
      <c r="E311" s="11" t="n">
        <v>5000</v>
      </c>
      <c r="F311" s="8" t="s">
        <v>11319</v>
      </c>
      <c r="G311" s="8"/>
      <c r="H311" s="8" t="s">
        <v>11610</v>
      </c>
      <c r="I311" s="8"/>
      <c r="J311" s="8" t="s">
        <v>11653</v>
      </c>
    </row>
    <row r="312" customFormat="false" ht="15" hidden="false" customHeight="true" outlineLevel="0" collapsed="false">
      <c r="A312" s="8" t="s">
        <v>11609</v>
      </c>
      <c r="B312" s="8" t="s">
        <v>894</v>
      </c>
      <c r="C312" s="8" t="s">
        <v>290</v>
      </c>
      <c r="D312" s="8" t="s">
        <v>291</v>
      </c>
      <c r="E312" s="11" t="n">
        <v>15000</v>
      </c>
      <c r="F312" s="8" t="s">
        <v>11319</v>
      </c>
      <c r="G312" s="8" t="s">
        <v>2681</v>
      </c>
      <c r="H312" s="8" t="s">
        <v>11610</v>
      </c>
      <c r="I312" s="8"/>
      <c r="J312" s="8" t="s">
        <v>11654</v>
      </c>
    </row>
    <row r="313" customFormat="false" ht="15" hidden="false" customHeight="true" outlineLevel="0" collapsed="false">
      <c r="A313" s="8" t="s">
        <v>11609</v>
      </c>
      <c r="B313" s="8" t="s">
        <v>894</v>
      </c>
      <c r="C313" s="8" t="s">
        <v>456</v>
      </c>
      <c r="D313" s="8" t="s">
        <v>457</v>
      </c>
      <c r="E313" s="11" t="n">
        <v>10000</v>
      </c>
      <c r="F313" s="8" t="s">
        <v>11308</v>
      </c>
      <c r="G313" s="8"/>
      <c r="H313" s="8" t="s">
        <v>11610</v>
      </c>
      <c r="I313" s="8"/>
      <c r="J313" s="8" t="s">
        <v>11548</v>
      </c>
    </row>
    <row r="314" customFormat="false" ht="15" hidden="false" customHeight="true" outlineLevel="0" collapsed="false">
      <c r="A314" s="8" t="s">
        <v>11609</v>
      </c>
      <c r="B314" s="8" t="s">
        <v>894</v>
      </c>
      <c r="C314" s="8" t="s">
        <v>1202</v>
      </c>
      <c r="D314" s="8" t="s">
        <v>439</v>
      </c>
      <c r="E314" s="11" t="n">
        <v>0</v>
      </c>
      <c r="F314" s="8" t="s">
        <v>11305</v>
      </c>
      <c r="G314" s="8" t="s">
        <v>11655</v>
      </c>
      <c r="H314" s="8" t="s">
        <v>11615</v>
      </c>
      <c r="I314" s="8"/>
      <c r="J314" s="8" t="s">
        <v>11656</v>
      </c>
    </row>
    <row r="315" customFormat="false" ht="15" hidden="false" customHeight="true" outlineLevel="0" collapsed="false">
      <c r="A315" s="8" t="s">
        <v>11609</v>
      </c>
      <c r="B315" s="8" t="s">
        <v>894</v>
      </c>
      <c r="C315" s="8" t="s">
        <v>408</v>
      </c>
      <c r="D315" s="8" t="s">
        <v>409</v>
      </c>
      <c r="E315" s="11" t="n">
        <v>15000</v>
      </c>
      <c r="F315" s="8" t="s">
        <v>11308</v>
      </c>
      <c r="G315" s="8" t="s">
        <v>2627</v>
      </c>
      <c r="H315" s="8" t="s">
        <v>11610</v>
      </c>
      <c r="I315" s="8"/>
      <c r="J315" s="8" t="s">
        <v>11551</v>
      </c>
    </row>
    <row r="316" customFormat="false" ht="15" hidden="false" customHeight="true" outlineLevel="0" collapsed="false">
      <c r="A316" s="8" t="s">
        <v>11609</v>
      </c>
      <c r="B316" s="8" t="s">
        <v>894</v>
      </c>
      <c r="C316" s="8" t="s">
        <v>462</v>
      </c>
      <c r="D316" s="8" t="s">
        <v>463</v>
      </c>
      <c r="E316" s="11" t="n">
        <v>15000</v>
      </c>
      <c r="F316" s="8" t="s">
        <v>11308</v>
      </c>
      <c r="G316" s="8" t="s">
        <v>2627</v>
      </c>
      <c r="H316" s="8" t="s">
        <v>11610</v>
      </c>
      <c r="I316" s="8"/>
      <c r="J316" s="8" t="s">
        <v>11552</v>
      </c>
    </row>
    <row r="317" customFormat="false" ht="15" hidden="false" customHeight="true" outlineLevel="0" collapsed="false">
      <c r="A317" s="8" t="s">
        <v>11609</v>
      </c>
      <c r="B317" s="8" t="s">
        <v>894</v>
      </c>
      <c r="C317" s="8" t="s">
        <v>11657</v>
      </c>
      <c r="D317" s="8" t="s">
        <v>1025</v>
      </c>
      <c r="E317" s="11" t="n">
        <v>0</v>
      </c>
      <c r="F317" s="8" t="s">
        <v>11554</v>
      </c>
      <c r="G317" s="8" t="s">
        <v>2627</v>
      </c>
      <c r="H317" s="8" t="s">
        <v>11615</v>
      </c>
      <c r="I317" s="8"/>
      <c r="J317" s="8" t="s">
        <v>11658</v>
      </c>
    </row>
    <row r="318" customFormat="false" ht="15" hidden="false" customHeight="true" outlineLevel="0" collapsed="false">
      <c r="A318" s="8" t="s">
        <v>11609</v>
      </c>
      <c r="B318" s="8" t="s">
        <v>894</v>
      </c>
      <c r="C318" s="8" t="s">
        <v>925</v>
      </c>
      <c r="D318" s="8" t="s">
        <v>198</v>
      </c>
      <c r="E318" s="11" t="n">
        <v>2000</v>
      </c>
      <c r="F318" s="8" t="s">
        <v>11554</v>
      </c>
      <c r="G318" s="8" t="s">
        <v>2715</v>
      </c>
      <c r="H318" s="8" t="s">
        <v>11610</v>
      </c>
      <c r="I318" s="8"/>
      <c r="J318" s="8" t="s">
        <v>11555</v>
      </c>
    </row>
    <row r="319" customFormat="false" ht="15" hidden="false" customHeight="true" outlineLevel="0" collapsed="false">
      <c r="A319" s="8" t="s">
        <v>11609</v>
      </c>
      <c r="B319" s="8" t="s">
        <v>894</v>
      </c>
      <c r="C319" s="8" t="s">
        <v>925</v>
      </c>
      <c r="D319" s="8" t="s">
        <v>198</v>
      </c>
      <c r="E319" s="11" t="n">
        <v>2000</v>
      </c>
      <c r="F319" s="8" t="s">
        <v>11554</v>
      </c>
      <c r="G319" s="8" t="s">
        <v>2716</v>
      </c>
      <c r="H319" s="8" t="s">
        <v>11610</v>
      </c>
      <c r="I319" s="8"/>
      <c r="J319" s="8" t="s">
        <v>11556</v>
      </c>
    </row>
    <row r="320" customFormat="false" ht="15" hidden="false" customHeight="true" outlineLevel="0" collapsed="false">
      <c r="A320" s="8" t="s">
        <v>11609</v>
      </c>
      <c r="B320" s="8" t="s">
        <v>894</v>
      </c>
      <c r="C320" s="8" t="s">
        <v>925</v>
      </c>
      <c r="D320" s="8" t="s">
        <v>198</v>
      </c>
      <c r="E320" s="11" t="n">
        <v>2000</v>
      </c>
      <c r="F320" s="8" t="s">
        <v>11554</v>
      </c>
      <c r="G320" s="8" t="s">
        <v>2717</v>
      </c>
      <c r="H320" s="8" t="s">
        <v>11610</v>
      </c>
      <c r="I320" s="8"/>
      <c r="J320" s="8" t="s">
        <v>11557</v>
      </c>
    </row>
    <row r="321" customFormat="false" ht="15" hidden="false" customHeight="true" outlineLevel="0" collapsed="false">
      <c r="A321" s="8" t="s">
        <v>11609</v>
      </c>
      <c r="B321" s="8" t="s">
        <v>894</v>
      </c>
      <c r="C321" s="8" t="s">
        <v>925</v>
      </c>
      <c r="D321" s="8" t="s">
        <v>198</v>
      </c>
      <c r="E321" s="11" t="n">
        <v>2000</v>
      </c>
      <c r="F321" s="8" t="s">
        <v>11554</v>
      </c>
      <c r="G321" s="8" t="s">
        <v>2718</v>
      </c>
      <c r="H321" s="8" t="s">
        <v>11610</v>
      </c>
      <c r="I321" s="8"/>
      <c r="J321" s="8" t="s">
        <v>11558</v>
      </c>
    </row>
    <row r="322" customFormat="false" ht="15" hidden="false" customHeight="true" outlineLevel="0" collapsed="false">
      <c r="A322" s="8" t="s">
        <v>11609</v>
      </c>
      <c r="B322" s="8" t="s">
        <v>894</v>
      </c>
      <c r="C322" s="8" t="s">
        <v>925</v>
      </c>
      <c r="D322" s="8" t="s">
        <v>198</v>
      </c>
      <c r="E322" s="11" t="n">
        <v>2000</v>
      </c>
      <c r="F322" s="8" t="s">
        <v>11554</v>
      </c>
      <c r="G322" s="8" t="s">
        <v>2719</v>
      </c>
      <c r="H322" s="8" t="s">
        <v>11610</v>
      </c>
      <c r="I322" s="8"/>
      <c r="J322" s="8" t="s">
        <v>11559</v>
      </c>
    </row>
    <row r="323" customFormat="false" ht="15" hidden="false" customHeight="true" outlineLevel="0" collapsed="false">
      <c r="A323" s="8" t="s">
        <v>11609</v>
      </c>
      <c r="B323" s="8" t="s">
        <v>894</v>
      </c>
      <c r="C323" s="8" t="s">
        <v>925</v>
      </c>
      <c r="D323" s="8" t="s">
        <v>198</v>
      </c>
      <c r="E323" s="11" t="n">
        <v>2000</v>
      </c>
      <c r="F323" s="8" t="s">
        <v>11554</v>
      </c>
      <c r="G323" s="8" t="s">
        <v>2720</v>
      </c>
      <c r="H323" s="8" t="s">
        <v>11610</v>
      </c>
      <c r="I323" s="8"/>
      <c r="J323" s="8" t="s">
        <v>11560</v>
      </c>
    </row>
    <row r="324" customFormat="false" ht="15" hidden="false" customHeight="true" outlineLevel="0" collapsed="false">
      <c r="A324" s="8" t="s">
        <v>11609</v>
      </c>
      <c r="B324" s="8" t="s">
        <v>894</v>
      </c>
      <c r="C324" s="8" t="s">
        <v>925</v>
      </c>
      <c r="D324" s="8" t="s">
        <v>198</v>
      </c>
      <c r="E324" s="11" t="n">
        <v>2000</v>
      </c>
      <c r="F324" s="8" t="s">
        <v>11554</v>
      </c>
      <c r="G324" s="8" t="s">
        <v>2721</v>
      </c>
      <c r="H324" s="8" t="s">
        <v>11610</v>
      </c>
      <c r="I324" s="8"/>
      <c r="J324" s="8" t="s">
        <v>11561</v>
      </c>
    </row>
    <row r="325" customFormat="false" ht="15" hidden="false" customHeight="true" outlineLevel="0" collapsed="false">
      <c r="A325" s="8" t="s">
        <v>11609</v>
      </c>
      <c r="B325" s="8" t="s">
        <v>894</v>
      </c>
      <c r="C325" s="8" t="s">
        <v>925</v>
      </c>
      <c r="D325" s="8" t="s">
        <v>198</v>
      </c>
      <c r="E325" s="11" t="n">
        <v>2000</v>
      </c>
      <c r="F325" s="8" t="s">
        <v>11554</v>
      </c>
      <c r="G325" s="8" t="s">
        <v>2722</v>
      </c>
      <c r="H325" s="8" t="s">
        <v>11610</v>
      </c>
      <c r="I325" s="8"/>
      <c r="J325" s="8" t="s">
        <v>11562</v>
      </c>
    </row>
    <row r="326" customFormat="false" ht="15" hidden="false" customHeight="true" outlineLevel="0" collapsed="false">
      <c r="A326" s="8" t="s">
        <v>11609</v>
      </c>
      <c r="B326" s="8" t="s">
        <v>894</v>
      </c>
      <c r="C326" s="8" t="s">
        <v>326</v>
      </c>
      <c r="D326" s="8" t="s">
        <v>327</v>
      </c>
      <c r="E326" s="11" t="n">
        <v>5000</v>
      </c>
      <c r="F326" s="8" t="s">
        <v>11305</v>
      </c>
      <c r="G326" s="8" t="s">
        <v>2703</v>
      </c>
      <c r="H326" s="8" t="s">
        <v>11610</v>
      </c>
      <c r="I326" s="8"/>
      <c r="J326" s="8" t="s">
        <v>11479</v>
      </c>
    </row>
    <row r="327" customFormat="false" ht="15" hidden="false" customHeight="true" outlineLevel="0" collapsed="false">
      <c r="A327" s="8" t="s">
        <v>11609</v>
      </c>
      <c r="B327" s="8" t="s">
        <v>894</v>
      </c>
      <c r="C327" s="8" t="s">
        <v>523</v>
      </c>
      <c r="D327" s="8" t="s">
        <v>524</v>
      </c>
      <c r="E327" s="11" t="n">
        <v>5000</v>
      </c>
      <c r="F327" s="8" t="s">
        <v>11308</v>
      </c>
      <c r="G327" s="8" t="s">
        <v>2627</v>
      </c>
      <c r="H327" s="8" t="s">
        <v>11610</v>
      </c>
      <c r="I327" s="8"/>
      <c r="J327" s="8" t="s">
        <v>11564</v>
      </c>
    </row>
    <row r="328" customFormat="false" ht="15" hidden="false" customHeight="true" outlineLevel="0" collapsed="false">
      <c r="A328" s="8" t="s">
        <v>11609</v>
      </c>
      <c r="B328" s="8" t="s">
        <v>894</v>
      </c>
      <c r="C328" s="8" t="s">
        <v>973</v>
      </c>
      <c r="D328" s="8" t="s">
        <v>198</v>
      </c>
      <c r="E328" s="11" t="n">
        <v>5000</v>
      </c>
      <c r="F328" s="8" t="s">
        <v>11659</v>
      </c>
      <c r="G328" s="8" t="s">
        <v>11660</v>
      </c>
      <c r="H328" s="8" t="s">
        <v>11610</v>
      </c>
      <c r="I328" s="8"/>
      <c r="J328" s="8" t="s">
        <v>11661</v>
      </c>
    </row>
    <row r="329" customFormat="false" ht="15" hidden="false" customHeight="true" outlineLevel="0" collapsed="false">
      <c r="A329" s="8" t="s">
        <v>11609</v>
      </c>
      <c r="B329" s="8" t="s">
        <v>894</v>
      </c>
      <c r="C329" s="8" t="s">
        <v>384</v>
      </c>
      <c r="D329" s="8" t="s">
        <v>385</v>
      </c>
      <c r="E329" s="11" t="n">
        <v>20000</v>
      </c>
      <c r="F329" s="8" t="s">
        <v>11319</v>
      </c>
      <c r="G329" s="8" t="s">
        <v>2655</v>
      </c>
      <c r="H329" s="8" t="s">
        <v>11610</v>
      </c>
      <c r="I329" s="8"/>
      <c r="J329" s="8" t="s">
        <v>11565</v>
      </c>
    </row>
    <row r="330" customFormat="false" ht="15" hidden="false" customHeight="true" outlineLevel="0" collapsed="false">
      <c r="A330" s="8" t="s">
        <v>11609</v>
      </c>
      <c r="B330" s="8" t="s">
        <v>894</v>
      </c>
      <c r="C330" s="8" t="s">
        <v>296</v>
      </c>
      <c r="D330" s="8" t="s">
        <v>297</v>
      </c>
      <c r="E330" s="11" t="n">
        <v>10000</v>
      </c>
      <c r="F330" s="8" t="s">
        <v>11319</v>
      </c>
      <c r="G330" s="8" t="s">
        <v>2704</v>
      </c>
      <c r="H330" s="8" t="s">
        <v>11610</v>
      </c>
      <c r="I330" s="8"/>
      <c r="J330" s="8" t="s">
        <v>11566</v>
      </c>
    </row>
    <row r="331" customFormat="false" ht="15" hidden="false" customHeight="true" outlineLevel="0" collapsed="false">
      <c r="A331" s="8" t="s">
        <v>11609</v>
      </c>
      <c r="B331" s="8" t="s">
        <v>894</v>
      </c>
      <c r="C331" s="8" t="s">
        <v>975</v>
      </c>
      <c r="D331" s="8" t="s">
        <v>976</v>
      </c>
      <c r="E331" s="11" t="n">
        <v>5000</v>
      </c>
      <c r="F331" s="8" t="s">
        <v>11305</v>
      </c>
      <c r="G331" s="8" t="s">
        <v>11662</v>
      </c>
      <c r="H331" s="8" t="s">
        <v>11610</v>
      </c>
      <c r="I331" s="8"/>
      <c r="J331" s="8" t="s">
        <v>11663</v>
      </c>
    </row>
    <row r="332" customFormat="false" ht="15" hidden="false" customHeight="true" outlineLevel="0" collapsed="false">
      <c r="A332" s="8" t="s">
        <v>11609</v>
      </c>
      <c r="B332" s="8" t="s">
        <v>894</v>
      </c>
      <c r="C332" s="8" t="s">
        <v>977</v>
      </c>
      <c r="D332" s="8" t="s">
        <v>978</v>
      </c>
      <c r="E332" s="11" t="n">
        <v>5000</v>
      </c>
      <c r="F332" s="8" t="s">
        <v>11318</v>
      </c>
      <c r="G332" s="8" t="s">
        <v>2627</v>
      </c>
      <c r="H332" s="8" t="s">
        <v>11610</v>
      </c>
      <c r="I332" s="8"/>
      <c r="J332" s="8" t="s">
        <v>11664</v>
      </c>
    </row>
    <row r="333" customFormat="false" ht="15" hidden="false" customHeight="true" outlineLevel="0" collapsed="false">
      <c r="A333" s="8" t="s">
        <v>11609</v>
      </c>
      <c r="B333" s="8" t="s">
        <v>894</v>
      </c>
      <c r="C333" s="8" t="s">
        <v>617</v>
      </c>
      <c r="D333" s="8" t="s">
        <v>205</v>
      </c>
      <c r="E333" s="11" t="n">
        <v>15000</v>
      </c>
      <c r="F333" s="8" t="s">
        <v>11318</v>
      </c>
      <c r="G333" s="8"/>
      <c r="H333" s="8" t="s">
        <v>11610</v>
      </c>
      <c r="I333" s="8"/>
      <c r="J333" s="8" t="s">
        <v>11665</v>
      </c>
    </row>
    <row r="334" customFormat="false" ht="15" hidden="false" customHeight="true" outlineLevel="0" collapsed="false">
      <c r="A334" s="8" t="s">
        <v>11609</v>
      </c>
      <c r="B334" s="8" t="s">
        <v>894</v>
      </c>
      <c r="C334" s="8" t="s">
        <v>1084</v>
      </c>
      <c r="D334" s="8" t="s">
        <v>212</v>
      </c>
      <c r="E334" s="11" t="n">
        <v>10000</v>
      </c>
      <c r="F334" s="8" t="s">
        <v>11318</v>
      </c>
      <c r="G334" s="8"/>
      <c r="H334" s="8" t="s">
        <v>11461</v>
      </c>
      <c r="I334" s="8"/>
      <c r="J334" s="8" t="s">
        <v>11666</v>
      </c>
    </row>
    <row r="335" customFormat="false" ht="15" hidden="false" customHeight="true" outlineLevel="0" collapsed="false">
      <c r="A335" s="8" t="s">
        <v>11609</v>
      </c>
      <c r="B335" s="8" t="s">
        <v>894</v>
      </c>
      <c r="C335" s="8" t="s">
        <v>1084</v>
      </c>
      <c r="D335" s="8" t="s">
        <v>212</v>
      </c>
      <c r="E335" s="11" t="n">
        <v>10000</v>
      </c>
      <c r="F335" s="8" t="s">
        <v>11318</v>
      </c>
      <c r="G335" s="8" t="s">
        <v>11667</v>
      </c>
      <c r="H335" s="8" t="s">
        <v>11610</v>
      </c>
      <c r="I335" s="8"/>
      <c r="J335" s="8" t="s">
        <v>11668</v>
      </c>
    </row>
    <row r="336" customFormat="false" ht="15" hidden="false" customHeight="true" outlineLevel="0" collapsed="false">
      <c r="A336" s="8" t="s">
        <v>11609</v>
      </c>
      <c r="B336" s="8" t="s">
        <v>894</v>
      </c>
      <c r="C336" s="8" t="s">
        <v>528</v>
      </c>
      <c r="D336" s="8" t="s">
        <v>529</v>
      </c>
      <c r="E336" s="11" t="n">
        <v>5000</v>
      </c>
      <c r="F336" s="8" t="s">
        <v>11308</v>
      </c>
      <c r="G336" s="8"/>
      <c r="H336" s="8" t="s">
        <v>11610</v>
      </c>
      <c r="I336" s="8"/>
      <c r="J336" s="8" t="s">
        <v>11572</v>
      </c>
    </row>
    <row r="337" customFormat="false" ht="15" hidden="false" customHeight="true" outlineLevel="0" collapsed="false">
      <c r="A337" s="8" t="s">
        <v>11609</v>
      </c>
      <c r="B337" s="8" t="s">
        <v>894</v>
      </c>
      <c r="C337" s="8" t="s">
        <v>388</v>
      </c>
      <c r="D337" s="8" t="s">
        <v>389</v>
      </c>
      <c r="E337" s="11" t="n">
        <v>20000</v>
      </c>
      <c r="F337" s="8" t="s">
        <v>11319</v>
      </c>
      <c r="G337" s="8" t="s">
        <v>2699</v>
      </c>
      <c r="H337" s="8" t="s">
        <v>11610</v>
      </c>
      <c r="I337" s="8"/>
      <c r="J337" s="8" t="s">
        <v>11669</v>
      </c>
    </row>
    <row r="338" customFormat="false" ht="15" hidden="false" customHeight="true" outlineLevel="0" collapsed="false">
      <c r="A338" s="8" t="s">
        <v>11609</v>
      </c>
      <c r="B338" s="8" t="s">
        <v>894</v>
      </c>
      <c r="C338" s="8" t="s">
        <v>979</v>
      </c>
      <c r="D338" s="8" t="s">
        <v>980</v>
      </c>
      <c r="E338" s="11" t="n">
        <v>5000</v>
      </c>
      <c r="F338" s="8" t="s">
        <v>11308</v>
      </c>
      <c r="G338" s="8" t="s">
        <v>11670</v>
      </c>
      <c r="H338" s="8" t="s">
        <v>11610</v>
      </c>
      <c r="I338" s="8"/>
      <c r="J338" s="8" t="s">
        <v>11671</v>
      </c>
    </row>
    <row r="339" customFormat="false" ht="15" hidden="false" customHeight="true" outlineLevel="0" collapsed="false">
      <c r="A339" s="8" t="s">
        <v>11609</v>
      </c>
      <c r="B339" s="8" t="s">
        <v>894</v>
      </c>
      <c r="C339" s="8" t="s">
        <v>531</v>
      </c>
      <c r="D339" s="8" t="s">
        <v>532</v>
      </c>
      <c r="E339" s="11" t="n">
        <v>5000</v>
      </c>
      <c r="F339" s="8" t="s">
        <v>11308</v>
      </c>
      <c r="G339" s="8" t="s">
        <v>11574</v>
      </c>
      <c r="H339" s="8" t="s">
        <v>11461</v>
      </c>
      <c r="I339" s="8"/>
      <c r="J339" s="8" t="s">
        <v>11575</v>
      </c>
    </row>
    <row r="340" customFormat="false" ht="15" hidden="false" customHeight="true" outlineLevel="0" collapsed="false">
      <c r="A340" s="8" t="s">
        <v>11609</v>
      </c>
      <c r="B340" s="8" t="s">
        <v>894</v>
      </c>
      <c r="C340" s="8" t="s">
        <v>718</v>
      </c>
      <c r="D340" s="8" t="s">
        <v>269</v>
      </c>
      <c r="E340" s="11" t="n">
        <v>5000</v>
      </c>
      <c r="F340" s="8" t="s">
        <v>11318</v>
      </c>
      <c r="G340" s="8" t="s">
        <v>2713</v>
      </c>
      <c r="H340" s="8" t="s">
        <v>11610</v>
      </c>
      <c r="I340" s="8"/>
      <c r="J340" s="8" t="s">
        <v>11576</v>
      </c>
    </row>
    <row r="341" customFormat="false" ht="15" hidden="false" customHeight="true" outlineLevel="0" collapsed="false">
      <c r="A341" s="8" t="s">
        <v>11609</v>
      </c>
      <c r="B341" s="8" t="s">
        <v>11579</v>
      </c>
      <c r="C341" s="8" t="s">
        <v>163</v>
      </c>
      <c r="D341" s="8" t="s">
        <v>947</v>
      </c>
      <c r="E341" s="11" t="n">
        <v>15000</v>
      </c>
      <c r="F341" s="8" t="s">
        <v>11318</v>
      </c>
      <c r="G341" s="8" t="s">
        <v>11672</v>
      </c>
      <c r="H341" s="8" t="s">
        <v>11610</v>
      </c>
      <c r="I341" s="8"/>
      <c r="J341" s="8" t="s">
        <v>11580</v>
      </c>
    </row>
    <row r="342" customFormat="false" ht="15" hidden="false" customHeight="true" outlineLevel="0" collapsed="false">
      <c r="A342" s="8" t="s">
        <v>11609</v>
      </c>
      <c r="B342" s="8" t="s">
        <v>11579</v>
      </c>
      <c r="C342" s="8" t="s">
        <v>617</v>
      </c>
      <c r="D342" s="8" t="s">
        <v>205</v>
      </c>
      <c r="E342" s="11" t="n">
        <v>10000</v>
      </c>
      <c r="F342" s="8" t="s">
        <v>11318</v>
      </c>
      <c r="G342" s="8" t="s">
        <v>2757</v>
      </c>
      <c r="H342" s="8" t="s">
        <v>11610</v>
      </c>
      <c r="I342" s="8"/>
      <c r="J342" s="8" t="s">
        <v>11580</v>
      </c>
    </row>
    <row r="343" customFormat="false" ht="15" hidden="false" customHeight="true" outlineLevel="0" collapsed="false">
      <c r="A343" s="8" t="s">
        <v>11609</v>
      </c>
      <c r="B343" s="8" t="s">
        <v>11579</v>
      </c>
      <c r="C343" s="8" t="s">
        <v>1084</v>
      </c>
      <c r="D343" s="8" t="s">
        <v>212</v>
      </c>
      <c r="E343" s="11" t="n">
        <v>15000</v>
      </c>
      <c r="F343" s="8" t="s">
        <v>11318</v>
      </c>
      <c r="G343" s="8" t="s">
        <v>2754</v>
      </c>
      <c r="H343" s="8" t="s">
        <v>11610</v>
      </c>
      <c r="I343" s="8"/>
      <c r="J343" s="8" t="s">
        <v>11580</v>
      </c>
    </row>
    <row r="344" customFormat="false" ht="15" hidden="false" customHeight="true" outlineLevel="0" collapsed="false">
      <c r="A344" s="8" t="s">
        <v>11609</v>
      </c>
      <c r="B344" s="8" t="s">
        <v>11579</v>
      </c>
      <c r="C344" s="8" t="s">
        <v>718</v>
      </c>
      <c r="D344" s="8" t="s">
        <v>269</v>
      </c>
      <c r="E344" s="11" t="n">
        <v>10000</v>
      </c>
      <c r="F344" s="8" t="s">
        <v>11318</v>
      </c>
      <c r="G344" s="8" t="s">
        <v>2756</v>
      </c>
      <c r="H344" s="8" t="s">
        <v>11610</v>
      </c>
      <c r="I344" s="8"/>
      <c r="J344" s="8" t="s">
        <v>11580</v>
      </c>
    </row>
    <row r="345" customFormat="false" ht="15" hidden="false" customHeight="true" outlineLevel="0" collapsed="false">
      <c r="A345" s="8" t="s">
        <v>11609</v>
      </c>
      <c r="B345" s="8" t="s">
        <v>882</v>
      </c>
      <c r="C345" s="8" t="s">
        <v>2759</v>
      </c>
      <c r="D345" s="8" t="s">
        <v>256</v>
      </c>
      <c r="E345" s="11" t="n">
        <v>60000</v>
      </c>
      <c r="F345" s="8" t="s">
        <v>11308</v>
      </c>
      <c r="G345" s="8" t="s">
        <v>11673</v>
      </c>
      <c r="H345" s="8" t="s">
        <v>11610</v>
      </c>
      <c r="I345" s="8"/>
      <c r="J345" s="8" t="s">
        <v>11674</v>
      </c>
    </row>
    <row r="346" customFormat="false" ht="15" hidden="false" customHeight="true" outlineLevel="0" collapsed="false">
      <c r="A346" s="8" t="s">
        <v>11609</v>
      </c>
      <c r="B346" s="8" t="s">
        <v>882</v>
      </c>
      <c r="C346" s="8" t="s">
        <v>640</v>
      </c>
      <c r="D346" s="8" t="s">
        <v>198</v>
      </c>
      <c r="E346" s="11" t="n">
        <v>150000</v>
      </c>
      <c r="F346" s="8" t="s">
        <v>11324</v>
      </c>
      <c r="G346" s="8" t="s">
        <v>2750</v>
      </c>
      <c r="H346" s="8" t="s">
        <v>11610</v>
      </c>
      <c r="I346" s="8"/>
      <c r="J346" s="8" t="s">
        <v>11581</v>
      </c>
    </row>
    <row r="347" customFormat="false" ht="15" hidden="false" customHeight="true" outlineLevel="0" collapsed="false">
      <c r="A347" s="8" t="s">
        <v>11609</v>
      </c>
      <c r="B347" s="8" t="s">
        <v>882</v>
      </c>
      <c r="C347" s="8" t="s">
        <v>466</v>
      </c>
      <c r="D347" s="8" t="s">
        <v>467</v>
      </c>
      <c r="E347" s="11" t="n">
        <v>10000</v>
      </c>
      <c r="F347" s="8" t="s">
        <v>11308</v>
      </c>
      <c r="G347" s="8" t="s">
        <v>2627</v>
      </c>
      <c r="H347" s="8" t="s">
        <v>11610</v>
      </c>
      <c r="I347" s="8"/>
      <c r="J347" s="8" t="s">
        <v>11582</v>
      </c>
    </row>
    <row r="348" customFormat="false" ht="15" hidden="false" customHeight="true" outlineLevel="0" collapsed="false">
      <c r="A348" s="8" t="s">
        <v>11609</v>
      </c>
      <c r="B348" s="8" t="s">
        <v>882</v>
      </c>
      <c r="C348" s="8" t="s">
        <v>470</v>
      </c>
      <c r="D348" s="8" t="s">
        <v>471</v>
      </c>
      <c r="E348" s="11" t="n">
        <v>10000</v>
      </c>
      <c r="F348" s="8" t="s">
        <v>11308</v>
      </c>
      <c r="G348" s="8"/>
      <c r="H348" s="8" t="s">
        <v>11610</v>
      </c>
      <c r="I348" s="8"/>
      <c r="J348" s="8" t="s">
        <v>11582</v>
      </c>
    </row>
    <row r="349" customFormat="false" ht="15" hidden="false" customHeight="true" outlineLevel="0" collapsed="false">
      <c r="A349" s="8" t="s">
        <v>11609</v>
      </c>
      <c r="B349" s="8" t="s">
        <v>882</v>
      </c>
      <c r="C349" s="8" t="s">
        <v>11675</v>
      </c>
      <c r="D349" s="8" t="s">
        <v>1027</v>
      </c>
      <c r="E349" s="11" t="n">
        <v>0</v>
      </c>
      <c r="F349" s="8" t="s">
        <v>11308</v>
      </c>
      <c r="G349" s="8"/>
      <c r="H349" s="8" t="s">
        <v>11615</v>
      </c>
      <c r="I349" s="8"/>
      <c r="J349" s="8" t="s">
        <v>11582</v>
      </c>
    </row>
    <row r="350" customFormat="false" ht="15" hidden="false" customHeight="true" outlineLevel="0" collapsed="false">
      <c r="A350" s="8" t="s">
        <v>11609</v>
      </c>
      <c r="B350" s="8" t="s">
        <v>882</v>
      </c>
      <c r="C350" s="8" t="s">
        <v>617</v>
      </c>
      <c r="D350" s="8" t="s">
        <v>205</v>
      </c>
      <c r="E350" s="11" t="n">
        <v>50000</v>
      </c>
      <c r="F350" s="8" t="s">
        <v>11318</v>
      </c>
      <c r="G350" s="8" t="s">
        <v>2627</v>
      </c>
      <c r="H350" s="8" t="s">
        <v>11610</v>
      </c>
      <c r="I350" s="8"/>
      <c r="J350" s="8" t="s">
        <v>11676</v>
      </c>
    </row>
    <row r="351" customFormat="false" ht="15" hidden="false" customHeight="true" outlineLevel="0" collapsed="false">
      <c r="A351" s="8" t="s">
        <v>11609</v>
      </c>
      <c r="B351" s="8" t="s">
        <v>2342</v>
      </c>
      <c r="C351" s="8" t="s">
        <v>2759</v>
      </c>
      <c r="D351" s="8" t="s">
        <v>256</v>
      </c>
      <c r="E351" s="11" t="n">
        <v>30000</v>
      </c>
      <c r="F351" s="8" t="s">
        <v>11308</v>
      </c>
      <c r="G351" s="8" t="s">
        <v>2761</v>
      </c>
      <c r="H351" s="8" t="s">
        <v>11610</v>
      </c>
      <c r="I351" s="8"/>
      <c r="J351" s="8" t="s">
        <v>11586</v>
      </c>
    </row>
    <row r="352" customFormat="false" ht="15" hidden="false" customHeight="true" outlineLevel="0" collapsed="false">
      <c r="A352" s="8" t="s">
        <v>11609</v>
      </c>
      <c r="B352" s="8" t="s">
        <v>2342</v>
      </c>
      <c r="C352" s="8" t="s">
        <v>230</v>
      </c>
      <c r="D352" s="8" t="s">
        <v>231</v>
      </c>
      <c r="E352" s="11" t="n">
        <v>20000</v>
      </c>
      <c r="F352" s="8" t="s">
        <v>11322</v>
      </c>
      <c r="G352" s="8" t="s">
        <v>2762</v>
      </c>
      <c r="H352" s="8" t="s">
        <v>11610</v>
      </c>
      <c r="I352" s="8"/>
      <c r="J352" s="8" t="s">
        <v>11586</v>
      </c>
    </row>
    <row r="353" customFormat="false" ht="15" hidden="false" customHeight="true" outlineLevel="0" collapsed="false">
      <c r="A353" s="8" t="s">
        <v>11609</v>
      </c>
      <c r="B353" s="8" t="s">
        <v>2342</v>
      </c>
      <c r="C353" s="8" t="s">
        <v>197</v>
      </c>
      <c r="D353" s="8" t="s">
        <v>198</v>
      </c>
      <c r="E353" s="11" t="n">
        <v>10000</v>
      </c>
      <c r="F353" s="8" t="s">
        <v>11322</v>
      </c>
      <c r="G353" s="8" t="s">
        <v>2627</v>
      </c>
      <c r="H353" s="8" t="s">
        <v>11610</v>
      </c>
      <c r="I353" s="8"/>
      <c r="J353" s="8" t="s">
        <v>11586</v>
      </c>
    </row>
    <row r="354" customFormat="false" ht="15" hidden="false" customHeight="true" outlineLevel="0" collapsed="false">
      <c r="A354" s="8" t="s">
        <v>11609</v>
      </c>
      <c r="B354" s="8" t="s">
        <v>2342</v>
      </c>
      <c r="C354" s="8" t="s">
        <v>981</v>
      </c>
      <c r="D354" s="8" t="s">
        <v>982</v>
      </c>
      <c r="E354" s="11" t="n">
        <v>0</v>
      </c>
      <c r="F354" s="8" t="s">
        <v>11308</v>
      </c>
      <c r="G354" s="8" t="s">
        <v>2627</v>
      </c>
      <c r="H354" s="8" t="s">
        <v>11615</v>
      </c>
      <c r="I354" s="8"/>
      <c r="J354" s="8" t="s">
        <v>11586</v>
      </c>
    </row>
    <row r="355" customFormat="false" ht="15" hidden="false" customHeight="true" outlineLevel="0" collapsed="false">
      <c r="A355" s="8" t="s">
        <v>11609</v>
      </c>
      <c r="B355" s="8" t="s">
        <v>2342</v>
      </c>
      <c r="C355" s="8" t="s">
        <v>473</v>
      </c>
      <c r="D355" s="8" t="s">
        <v>474</v>
      </c>
      <c r="E355" s="11" t="n">
        <v>10000</v>
      </c>
      <c r="F355" s="8" t="s">
        <v>11308</v>
      </c>
      <c r="G355" s="8" t="s">
        <v>2849</v>
      </c>
      <c r="H355" s="8" t="s">
        <v>11610</v>
      </c>
      <c r="I355" s="8"/>
      <c r="J355" s="8" t="s">
        <v>11586</v>
      </c>
    </row>
    <row r="356" customFormat="false" ht="15" hidden="false" customHeight="true" outlineLevel="0" collapsed="false">
      <c r="A356" s="8" t="s">
        <v>11609</v>
      </c>
      <c r="B356" s="8" t="s">
        <v>2342</v>
      </c>
      <c r="C356" s="8" t="s">
        <v>473</v>
      </c>
      <c r="D356" s="8" t="s">
        <v>474</v>
      </c>
      <c r="E356" s="11" t="n">
        <v>20000</v>
      </c>
      <c r="F356" s="8" t="s">
        <v>11308</v>
      </c>
      <c r="G356" s="8" t="s">
        <v>2765</v>
      </c>
      <c r="H356" s="8" t="s">
        <v>11610</v>
      </c>
      <c r="I356" s="8"/>
      <c r="J356" s="8" t="s">
        <v>11586</v>
      </c>
    </row>
    <row r="357" customFormat="false" ht="15" hidden="false" customHeight="true" outlineLevel="0" collapsed="false">
      <c r="A357" s="8" t="s">
        <v>11609</v>
      </c>
      <c r="B357" s="8" t="s">
        <v>2766</v>
      </c>
      <c r="C357" s="8" t="s">
        <v>290</v>
      </c>
      <c r="D357" s="8" t="s">
        <v>291</v>
      </c>
      <c r="E357" s="11" t="n">
        <v>15000</v>
      </c>
      <c r="F357" s="8" t="s">
        <v>11319</v>
      </c>
      <c r="G357" s="8" t="s">
        <v>2767</v>
      </c>
      <c r="H357" s="8" t="s">
        <v>11610</v>
      </c>
      <c r="I357" s="8"/>
      <c r="J357" s="8" t="s">
        <v>11677</v>
      </c>
    </row>
    <row r="358" customFormat="false" ht="15" hidden="false" customHeight="true" outlineLevel="0" collapsed="false">
      <c r="A358" s="8" t="s">
        <v>11609</v>
      </c>
      <c r="B358" s="8" t="s">
        <v>2766</v>
      </c>
      <c r="C358" s="8" t="s">
        <v>672</v>
      </c>
      <c r="D358" s="8" t="s">
        <v>251</v>
      </c>
      <c r="E358" s="11" t="n">
        <v>15000</v>
      </c>
      <c r="F358" s="8" t="s">
        <v>11319</v>
      </c>
      <c r="G358" s="8" t="s">
        <v>11678</v>
      </c>
      <c r="H358" s="8" t="s">
        <v>11610</v>
      </c>
      <c r="I358" s="8"/>
      <c r="J358" s="8" t="s">
        <v>11677</v>
      </c>
    </row>
    <row r="359" customFormat="false" ht="15" hidden="false" customHeight="true" outlineLevel="0" collapsed="false">
      <c r="A359" s="8" t="s">
        <v>11609</v>
      </c>
      <c r="B359" s="8" t="s">
        <v>2766</v>
      </c>
      <c r="C359" s="8" t="s">
        <v>350</v>
      </c>
      <c r="D359" s="8" t="s">
        <v>351</v>
      </c>
      <c r="E359" s="11" t="n">
        <v>15000</v>
      </c>
      <c r="F359" s="8" t="s">
        <v>11319</v>
      </c>
      <c r="G359" s="8" t="s">
        <v>2769</v>
      </c>
      <c r="H359" s="8" t="s">
        <v>11610</v>
      </c>
      <c r="I359" s="8"/>
      <c r="J359" s="8" t="s">
        <v>11677</v>
      </c>
    </row>
    <row r="360" customFormat="false" ht="15" hidden="false" customHeight="true" outlineLevel="0" collapsed="false">
      <c r="A360" s="8" t="s">
        <v>11609</v>
      </c>
      <c r="B360" s="8" t="s">
        <v>1743</v>
      </c>
      <c r="C360" s="8" t="s">
        <v>235</v>
      </c>
      <c r="D360" s="8" t="s">
        <v>236</v>
      </c>
      <c r="E360" s="11" t="n">
        <v>15000</v>
      </c>
      <c r="F360" s="8" t="s">
        <v>11313</v>
      </c>
      <c r="G360" s="8" t="s">
        <v>2772</v>
      </c>
      <c r="H360" s="8" t="s">
        <v>11610</v>
      </c>
      <c r="I360" s="8"/>
      <c r="J360" s="8" t="s">
        <v>11588</v>
      </c>
    </row>
    <row r="361" customFormat="false" ht="15" hidden="false" customHeight="true" outlineLevel="0" collapsed="false">
      <c r="A361" s="8" t="s">
        <v>11609</v>
      </c>
      <c r="B361" s="8" t="s">
        <v>1743</v>
      </c>
      <c r="C361" s="8" t="s">
        <v>235</v>
      </c>
      <c r="D361" s="8" t="s">
        <v>236</v>
      </c>
      <c r="E361" s="11" t="n">
        <v>15000</v>
      </c>
      <c r="F361" s="8" t="s">
        <v>11313</v>
      </c>
      <c r="G361" s="8" t="s">
        <v>2642</v>
      </c>
      <c r="H361" s="8" t="s">
        <v>11610</v>
      </c>
      <c r="I361" s="8"/>
      <c r="J361" s="8" t="s">
        <v>11588</v>
      </c>
    </row>
    <row r="362" customFormat="false" ht="15" hidden="false" customHeight="true" outlineLevel="0" collapsed="false">
      <c r="A362" s="8" t="s">
        <v>11609</v>
      </c>
      <c r="B362" s="8" t="s">
        <v>1743</v>
      </c>
      <c r="C362" s="8" t="s">
        <v>215</v>
      </c>
      <c r="D362" s="8" t="s">
        <v>216</v>
      </c>
      <c r="E362" s="11" t="n">
        <v>15000</v>
      </c>
      <c r="F362" s="8" t="s">
        <v>11313</v>
      </c>
      <c r="G362" s="8" t="s">
        <v>2638</v>
      </c>
      <c r="H362" s="8" t="s">
        <v>11610</v>
      </c>
      <c r="I362" s="8"/>
      <c r="J362" s="8" t="s">
        <v>11588</v>
      </c>
    </row>
    <row r="363" customFormat="false" ht="15" hidden="false" customHeight="true" outlineLevel="0" collapsed="false">
      <c r="A363" s="8" t="s">
        <v>11609</v>
      </c>
      <c r="B363" s="8" t="s">
        <v>1743</v>
      </c>
      <c r="C363" s="8" t="s">
        <v>215</v>
      </c>
      <c r="D363" s="8" t="s">
        <v>216</v>
      </c>
      <c r="E363" s="11" t="n">
        <v>15000</v>
      </c>
      <c r="F363" s="8" t="s">
        <v>11313</v>
      </c>
      <c r="G363" s="8" t="s">
        <v>2639</v>
      </c>
      <c r="H363" s="8" t="s">
        <v>11610</v>
      </c>
      <c r="I363" s="8"/>
      <c r="J363" s="8" t="s">
        <v>11588</v>
      </c>
    </row>
    <row r="364" customFormat="false" ht="15" hidden="false" customHeight="true" outlineLevel="0" collapsed="false">
      <c r="A364" s="8" t="s">
        <v>11609</v>
      </c>
      <c r="B364" s="8" t="s">
        <v>1743</v>
      </c>
      <c r="C364" s="8" t="s">
        <v>151</v>
      </c>
      <c r="D364" s="8" t="s">
        <v>391</v>
      </c>
      <c r="E364" s="11" t="n">
        <v>20000</v>
      </c>
      <c r="F364" s="8" t="s">
        <v>11313</v>
      </c>
      <c r="G364" s="8" t="s">
        <v>2627</v>
      </c>
      <c r="H364" s="8" t="s">
        <v>11610</v>
      </c>
      <c r="I364" s="8"/>
      <c r="J364" s="8" t="s">
        <v>11588</v>
      </c>
    </row>
    <row r="365" customFormat="false" ht="15" hidden="false" customHeight="true" outlineLevel="0" collapsed="false">
      <c r="A365" s="8" t="s">
        <v>11609</v>
      </c>
      <c r="B365" s="8" t="s">
        <v>1743</v>
      </c>
      <c r="C365" s="8" t="s">
        <v>657</v>
      </c>
      <c r="D365" s="8" t="s">
        <v>246</v>
      </c>
      <c r="E365" s="11" t="n">
        <v>15000</v>
      </c>
      <c r="F365" s="8" t="s">
        <v>11313</v>
      </c>
      <c r="G365" s="8" t="s">
        <v>2640</v>
      </c>
      <c r="H365" s="8" t="s">
        <v>11610</v>
      </c>
      <c r="I365" s="8"/>
      <c r="J365" s="8" t="s">
        <v>11588</v>
      </c>
    </row>
    <row r="366" customFormat="false" ht="15" hidden="false" customHeight="true" outlineLevel="0" collapsed="false">
      <c r="A366" s="8" t="s">
        <v>11609</v>
      </c>
      <c r="B366" s="8" t="s">
        <v>1743</v>
      </c>
      <c r="C366" s="8" t="s">
        <v>309</v>
      </c>
      <c r="D366" s="8" t="s">
        <v>310</v>
      </c>
      <c r="E366" s="11" t="n">
        <v>10000</v>
      </c>
      <c r="F366" s="8" t="s">
        <v>11313</v>
      </c>
      <c r="G366" s="8" t="s">
        <v>2773</v>
      </c>
      <c r="H366" s="8" t="s">
        <v>11610</v>
      </c>
      <c r="I366" s="8"/>
      <c r="J366" s="8" t="s">
        <v>11588</v>
      </c>
    </row>
    <row r="367" customFormat="false" ht="15" hidden="false" customHeight="true" outlineLevel="0" collapsed="false">
      <c r="A367" s="8" t="s">
        <v>11609</v>
      </c>
      <c r="B367" s="8" t="s">
        <v>1743</v>
      </c>
      <c r="C367" s="8" t="s">
        <v>477</v>
      </c>
      <c r="D367" s="8" t="s">
        <v>478</v>
      </c>
      <c r="E367" s="11" t="n">
        <v>20000</v>
      </c>
      <c r="F367" s="8" t="s">
        <v>11313</v>
      </c>
      <c r="G367" s="8" t="s">
        <v>2627</v>
      </c>
      <c r="H367" s="8" t="s">
        <v>11610</v>
      </c>
      <c r="I367" s="8"/>
      <c r="J367" s="8" t="s">
        <v>11588</v>
      </c>
    </row>
    <row r="368" customFormat="false" ht="15" hidden="false" customHeight="true" outlineLevel="0" collapsed="false">
      <c r="A368" s="8" t="s">
        <v>11609</v>
      </c>
      <c r="B368" s="8" t="s">
        <v>1743</v>
      </c>
      <c r="C368" s="8" t="s">
        <v>960</v>
      </c>
      <c r="D368" s="8" t="s">
        <v>961</v>
      </c>
      <c r="E368" s="11" t="n">
        <v>10000</v>
      </c>
      <c r="F368" s="8" t="s">
        <v>11313</v>
      </c>
      <c r="G368" s="8" t="s">
        <v>2627</v>
      </c>
      <c r="H368" s="8" t="s">
        <v>11610</v>
      </c>
      <c r="I368" s="8"/>
      <c r="J368" s="8" t="s">
        <v>11588</v>
      </c>
    </row>
    <row r="369" customFormat="false" ht="15" hidden="false" customHeight="true" outlineLevel="0" collapsed="false">
      <c r="A369" s="8" t="s">
        <v>11609</v>
      </c>
      <c r="B369" s="8" t="s">
        <v>1743</v>
      </c>
      <c r="C369" s="8" t="s">
        <v>1095</v>
      </c>
      <c r="D369" s="8" t="s">
        <v>278</v>
      </c>
      <c r="E369" s="11" t="n">
        <v>15000</v>
      </c>
      <c r="F369" s="8" t="s">
        <v>11313</v>
      </c>
      <c r="G369" s="8" t="s">
        <v>2641</v>
      </c>
      <c r="H369" s="8" t="s">
        <v>11610</v>
      </c>
      <c r="I369" s="8"/>
      <c r="J369" s="8" t="s">
        <v>11588</v>
      </c>
    </row>
    <row r="370" customFormat="false" ht="15" hidden="false" customHeight="true" outlineLevel="0" collapsed="false">
      <c r="A370" s="8" t="s">
        <v>11609</v>
      </c>
      <c r="B370" s="8" t="s">
        <v>928</v>
      </c>
      <c r="C370" s="8" t="s">
        <v>983</v>
      </c>
      <c r="D370" s="8" t="s">
        <v>984</v>
      </c>
      <c r="E370" s="11" t="n">
        <v>10000</v>
      </c>
      <c r="F370" s="8" t="s">
        <v>11308</v>
      </c>
      <c r="G370" s="8" t="s">
        <v>11679</v>
      </c>
      <c r="H370" s="8" t="s">
        <v>11610</v>
      </c>
      <c r="I370" s="8"/>
      <c r="J370" s="8" t="s">
        <v>11680</v>
      </c>
    </row>
    <row r="371" customFormat="false" ht="15" hidden="false" customHeight="true" outlineLevel="0" collapsed="false">
      <c r="A371" s="8" t="s">
        <v>11609</v>
      </c>
      <c r="B371" s="8" t="s">
        <v>928</v>
      </c>
      <c r="C371" s="8" t="s">
        <v>2780</v>
      </c>
      <c r="D371" s="8" t="s">
        <v>541</v>
      </c>
      <c r="E371" s="11" t="n">
        <v>5000</v>
      </c>
      <c r="F371" s="8" t="s">
        <v>11308</v>
      </c>
      <c r="G371" s="8" t="s">
        <v>2781</v>
      </c>
      <c r="H371" s="8" t="s">
        <v>11610</v>
      </c>
      <c r="I371" s="8"/>
      <c r="J371" s="8" t="s">
        <v>11590</v>
      </c>
    </row>
    <row r="372" customFormat="false" ht="15" hidden="false" customHeight="true" outlineLevel="0" collapsed="false">
      <c r="A372" s="8" t="s">
        <v>11609</v>
      </c>
      <c r="B372" s="8" t="s">
        <v>928</v>
      </c>
      <c r="C372" s="8" t="s">
        <v>285</v>
      </c>
      <c r="D372" s="8" t="s">
        <v>286</v>
      </c>
      <c r="E372" s="11" t="n">
        <v>10000</v>
      </c>
      <c r="F372" s="8" t="s">
        <v>11308</v>
      </c>
      <c r="G372" s="8" t="s">
        <v>2776</v>
      </c>
      <c r="H372" s="8" t="s">
        <v>11610</v>
      </c>
      <c r="I372" s="8"/>
      <c r="J372" s="8" t="s">
        <v>11591</v>
      </c>
    </row>
    <row r="373" customFormat="false" ht="15" hidden="false" customHeight="true" outlineLevel="0" collapsed="false">
      <c r="A373" s="8" t="s">
        <v>11609</v>
      </c>
      <c r="B373" s="8" t="s">
        <v>928</v>
      </c>
      <c r="C373" s="8" t="s">
        <v>225</v>
      </c>
      <c r="D373" s="8" t="s">
        <v>226</v>
      </c>
      <c r="E373" s="11" t="n">
        <v>25000</v>
      </c>
      <c r="F373" s="8" t="s">
        <v>11308</v>
      </c>
      <c r="G373" s="8" t="s">
        <v>2775</v>
      </c>
      <c r="H373" s="8" t="s">
        <v>11610</v>
      </c>
      <c r="I373" s="8"/>
      <c r="J373" s="8" t="s">
        <v>11593</v>
      </c>
    </row>
    <row r="374" customFormat="false" ht="15" hidden="false" customHeight="true" outlineLevel="0" collapsed="false">
      <c r="A374" s="8" t="s">
        <v>11609</v>
      </c>
      <c r="B374" s="8" t="s">
        <v>928</v>
      </c>
      <c r="C374" s="8" t="s">
        <v>481</v>
      </c>
      <c r="D374" s="8" t="s">
        <v>482</v>
      </c>
      <c r="E374" s="11" t="n">
        <v>10000</v>
      </c>
      <c r="F374" s="8" t="s">
        <v>11308</v>
      </c>
      <c r="G374" s="8" t="s">
        <v>2777</v>
      </c>
      <c r="H374" s="8" t="s">
        <v>11610</v>
      </c>
      <c r="I374" s="8"/>
      <c r="J374" s="8" t="s">
        <v>11594</v>
      </c>
    </row>
    <row r="375" customFormat="false" ht="15" hidden="false" customHeight="true" outlineLevel="0" collapsed="false">
      <c r="A375" s="8" t="s">
        <v>11609</v>
      </c>
      <c r="B375" s="8" t="s">
        <v>928</v>
      </c>
      <c r="C375" s="8" t="s">
        <v>404</v>
      </c>
      <c r="D375" s="8" t="s">
        <v>405</v>
      </c>
      <c r="E375" s="11" t="n">
        <v>5000</v>
      </c>
      <c r="F375" s="8" t="s">
        <v>11308</v>
      </c>
      <c r="G375" s="8" t="s">
        <v>2782</v>
      </c>
      <c r="H375" s="8" t="s">
        <v>11610</v>
      </c>
      <c r="I375" s="8"/>
      <c r="J375" s="8" t="s">
        <v>11543</v>
      </c>
    </row>
    <row r="376" customFormat="false" ht="15" hidden="false" customHeight="true" outlineLevel="0" collapsed="false">
      <c r="A376" s="8" t="s">
        <v>11609</v>
      </c>
      <c r="B376" s="8" t="s">
        <v>928</v>
      </c>
      <c r="C376" s="8" t="s">
        <v>11681</v>
      </c>
      <c r="D376" s="8" t="s">
        <v>1010</v>
      </c>
      <c r="E376" s="11" t="n">
        <v>0</v>
      </c>
      <c r="F376" s="8" t="s">
        <v>11308</v>
      </c>
      <c r="G376" s="8" t="s">
        <v>11682</v>
      </c>
      <c r="H376" s="8" t="s">
        <v>11615</v>
      </c>
      <c r="I376" s="8"/>
      <c r="J376" s="8" t="s">
        <v>11683</v>
      </c>
    </row>
    <row r="377" customFormat="false" ht="15" hidden="false" customHeight="true" outlineLevel="0" collapsed="false">
      <c r="A377" s="8" t="s">
        <v>11609</v>
      </c>
      <c r="B377" s="8" t="s">
        <v>928</v>
      </c>
      <c r="C377" s="8" t="s">
        <v>962</v>
      </c>
      <c r="D377" s="8" t="s">
        <v>963</v>
      </c>
      <c r="E377" s="11" t="n">
        <v>10000</v>
      </c>
      <c r="F377" s="8" t="s">
        <v>11308</v>
      </c>
      <c r="G377" s="8" t="s">
        <v>11684</v>
      </c>
      <c r="H377" s="8" t="s">
        <v>11610</v>
      </c>
      <c r="I377" s="8"/>
      <c r="J377" s="8" t="s">
        <v>11685</v>
      </c>
    </row>
    <row r="378" customFormat="false" ht="15" hidden="false" customHeight="true" outlineLevel="0" collapsed="false">
      <c r="A378" s="8" t="s">
        <v>11609</v>
      </c>
      <c r="B378" s="8" t="s">
        <v>928</v>
      </c>
      <c r="C378" s="8" t="s">
        <v>985</v>
      </c>
      <c r="D378" s="8" t="s">
        <v>986</v>
      </c>
      <c r="E378" s="11" t="n">
        <v>5000</v>
      </c>
      <c r="F378" s="8" t="s">
        <v>11308</v>
      </c>
      <c r="G378" s="8" t="s">
        <v>11686</v>
      </c>
      <c r="H378" s="8" t="s">
        <v>11610</v>
      </c>
      <c r="I378" s="8"/>
      <c r="J378" s="8" t="s">
        <v>11687</v>
      </c>
    </row>
    <row r="379" customFormat="false" ht="15" hidden="false" customHeight="true" outlineLevel="0" collapsed="false">
      <c r="A379" s="8" t="s">
        <v>11609</v>
      </c>
      <c r="B379" s="8" t="s">
        <v>928</v>
      </c>
      <c r="C379" s="8" t="s">
        <v>240</v>
      </c>
      <c r="D379" s="8" t="s">
        <v>241</v>
      </c>
      <c r="E379" s="11" t="n">
        <v>10000</v>
      </c>
      <c r="F379" s="8" t="s">
        <v>11308</v>
      </c>
      <c r="G379" s="8" t="s">
        <v>2778</v>
      </c>
      <c r="H379" s="8" t="s">
        <v>11610</v>
      </c>
      <c r="I379" s="8"/>
      <c r="J379" s="8" t="s">
        <v>11597</v>
      </c>
    </row>
    <row r="380" customFormat="false" ht="15" hidden="false" customHeight="true" outlineLevel="0" collapsed="false">
      <c r="A380" s="8" t="s">
        <v>11609</v>
      </c>
      <c r="B380" s="8" t="s">
        <v>928</v>
      </c>
      <c r="C380" s="8" t="s">
        <v>987</v>
      </c>
      <c r="D380" s="8" t="s">
        <v>988</v>
      </c>
      <c r="E380" s="11" t="n">
        <v>5000</v>
      </c>
      <c r="F380" s="8" t="s">
        <v>11308</v>
      </c>
      <c r="G380" s="8" t="s">
        <v>11688</v>
      </c>
      <c r="H380" s="8" t="s">
        <v>11610</v>
      </c>
      <c r="I380" s="8"/>
      <c r="J380" s="8" t="s">
        <v>11689</v>
      </c>
    </row>
    <row r="381" customFormat="false" ht="15" hidden="false" customHeight="true" outlineLevel="0" collapsed="false">
      <c r="A381" s="8" t="s">
        <v>11609</v>
      </c>
      <c r="B381" s="8" t="s">
        <v>928</v>
      </c>
      <c r="C381" s="8" t="s">
        <v>549</v>
      </c>
      <c r="D381" s="8" t="s">
        <v>550</v>
      </c>
      <c r="E381" s="11" t="n">
        <v>5000</v>
      </c>
      <c r="F381" s="8" t="s">
        <v>11308</v>
      </c>
      <c r="G381" s="8" t="s">
        <v>2783</v>
      </c>
      <c r="H381" s="8" t="s">
        <v>11610</v>
      </c>
      <c r="I381" s="8"/>
      <c r="J381" s="8" t="s">
        <v>11599</v>
      </c>
    </row>
    <row r="382" customFormat="false" ht="15" hidden="false" customHeight="true" outlineLevel="0" collapsed="false">
      <c r="A382" s="8" t="s">
        <v>11609</v>
      </c>
      <c r="B382" s="8" t="s">
        <v>928</v>
      </c>
      <c r="C382" s="8" t="s">
        <v>415</v>
      </c>
      <c r="D382" s="8" t="s">
        <v>416</v>
      </c>
      <c r="E382" s="11" t="n">
        <v>5000</v>
      </c>
      <c r="F382" s="8" t="s">
        <v>11308</v>
      </c>
      <c r="G382" s="8" t="s">
        <v>2784</v>
      </c>
      <c r="H382" s="8" t="s">
        <v>11610</v>
      </c>
      <c r="I382" s="8"/>
      <c r="J382" s="8" t="s">
        <v>11601</v>
      </c>
    </row>
    <row r="383" customFormat="false" ht="15" hidden="false" customHeight="true" outlineLevel="0" collapsed="false">
      <c r="A383" s="8" t="s">
        <v>11609</v>
      </c>
      <c r="B383" s="8" t="s">
        <v>928</v>
      </c>
      <c r="C383" s="8" t="s">
        <v>552</v>
      </c>
      <c r="D383" s="8" t="s">
        <v>553</v>
      </c>
      <c r="E383" s="11" t="n">
        <v>5000</v>
      </c>
      <c r="F383" s="8" t="s">
        <v>11308</v>
      </c>
      <c r="G383" s="8" t="s">
        <v>2785</v>
      </c>
      <c r="H383" s="8" t="s">
        <v>11610</v>
      </c>
      <c r="I383" s="8"/>
      <c r="J383" s="8" t="s">
        <v>11602</v>
      </c>
    </row>
    <row r="384" customFormat="false" ht="15" hidden="false" customHeight="true" outlineLevel="0" collapsed="false">
      <c r="A384" s="8" t="s">
        <v>11609</v>
      </c>
      <c r="B384" s="8" t="s">
        <v>928</v>
      </c>
      <c r="C384" s="8" t="s">
        <v>927</v>
      </c>
      <c r="D384" s="8" t="s">
        <v>421</v>
      </c>
      <c r="E384" s="11" t="n">
        <v>15000</v>
      </c>
      <c r="F384" s="8" t="s">
        <v>11308</v>
      </c>
      <c r="G384" s="8"/>
      <c r="H384" s="8" t="s">
        <v>11610</v>
      </c>
      <c r="I384" s="8"/>
      <c r="J384" s="8" t="s">
        <v>11604</v>
      </c>
    </row>
    <row r="385" customFormat="false" ht="15" hidden="false" customHeight="true" outlineLevel="0" collapsed="false">
      <c r="A385" s="8" t="s">
        <v>11609</v>
      </c>
      <c r="B385" s="8" t="s">
        <v>928</v>
      </c>
      <c r="C385" s="8" t="s">
        <v>560</v>
      </c>
      <c r="D385" s="8" t="s">
        <v>561</v>
      </c>
      <c r="E385" s="11" t="n">
        <v>5000</v>
      </c>
      <c r="F385" s="8" t="s">
        <v>11308</v>
      </c>
      <c r="G385" s="8" t="s">
        <v>2786</v>
      </c>
      <c r="H385" s="8" t="s">
        <v>11610</v>
      </c>
      <c r="I385" s="8"/>
      <c r="J385" s="8" t="s">
        <v>11605</v>
      </c>
    </row>
    <row r="386" customFormat="false" ht="15" hidden="false" customHeight="true" outlineLevel="0" collapsed="false">
      <c r="A386" s="8" t="s">
        <v>11609</v>
      </c>
      <c r="B386" s="8" t="s">
        <v>928</v>
      </c>
      <c r="C386" s="8" t="s">
        <v>989</v>
      </c>
      <c r="D386" s="8" t="s">
        <v>990</v>
      </c>
      <c r="E386" s="11" t="n">
        <v>5000</v>
      </c>
      <c r="F386" s="8" t="s">
        <v>11308</v>
      </c>
      <c r="G386" s="8" t="s">
        <v>11690</v>
      </c>
      <c r="H386" s="8" t="s">
        <v>11461</v>
      </c>
      <c r="I386" s="8"/>
      <c r="J386" s="8" t="s">
        <v>11691</v>
      </c>
    </row>
    <row r="387" customFormat="false" ht="15" hidden="false" customHeight="true" outlineLevel="0" collapsed="false">
      <c r="A387" s="8" t="s">
        <v>11609</v>
      </c>
      <c r="B387" s="8" t="s">
        <v>928</v>
      </c>
      <c r="C387" s="8" t="s">
        <v>989</v>
      </c>
      <c r="D387" s="8" t="s">
        <v>990</v>
      </c>
      <c r="E387" s="11" t="n">
        <v>5000</v>
      </c>
      <c r="F387" s="8" t="s">
        <v>11308</v>
      </c>
      <c r="G387" s="8" t="s">
        <v>11690</v>
      </c>
      <c r="H387" s="8" t="s">
        <v>11461</v>
      </c>
      <c r="I387" s="8"/>
      <c r="J387" s="8" t="s">
        <v>11691</v>
      </c>
    </row>
    <row r="388" customFormat="false" ht="15" hidden="false" customHeight="true" outlineLevel="0" collapsed="false">
      <c r="A388" s="8" t="s">
        <v>11609</v>
      </c>
      <c r="B388" s="8" t="s">
        <v>928</v>
      </c>
      <c r="C388" s="8" t="s">
        <v>563</v>
      </c>
      <c r="D388" s="8" t="s">
        <v>564</v>
      </c>
      <c r="E388" s="11" t="n">
        <v>5000</v>
      </c>
      <c r="F388" s="8" t="s">
        <v>11308</v>
      </c>
      <c r="G388" s="8" t="s">
        <v>2787</v>
      </c>
      <c r="H388" s="8" t="s">
        <v>11610</v>
      </c>
      <c r="I388" s="8"/>
      <c r="J388" s="8" t="s">
        <v>11606</v>
      </c>
    </row>
    <row r="389" customFormat="false" ht="15" hidden="false" customHeight="true" outlineLevel="0" collapsed="false">
      <c r="A389" s="8" t="s">
        <v>11609</v>
      </c>
      <c r="B389" s="8" t="s">
        <v>928</v>
      </c>
      <c r="C389" s="8" t="s">
        <v>1159</v>
      </c>
      <c r="D389" s="8" t="s">
        <v>567</v>
      </c>
      <c r="E389" s="11" t="n">
        <v>5000</v>
      </c>
      <c r="F389" s="8" t="s">
        <v>11308</v>
      </c>
      <c r="G389" s="8" t="s">
        <v>2788</v>
      </c>
      <c r="H389" s="8" t="s">
        <v>11610</v>
      </c>
      <c r="I389" s="8"/>
      <c r="J389" s="8" t="s">
        <v>11607</v>
      </c>
    </row>
    <row r="390" customFormat="false" ht="15" hidden="false" customHeight="true" outlineLevel="0" collapsed="false">
      <c r="C390" s="12" t="s">
        <v>11692</v>
      </c>
      <c r="E390" s="13" t="n">
        <f aca="false">SUM(E188:E389)</f>
        <v>2295000</v>
      </c>
    </row>
    <row r="391" customFormat="false" ht="15" hidden="false" customHeight="true" outlineLevel="0" collapsed="false">
      <c r="A391" s="8" t="s">
        <v>11693</v>
      </c>
      <c r="B391" s="8" t="s">
        <v>926</v>
      </c>
      <c r="C391" s="8" t="s">
        <v>424</v>
      </c>
      <c r="D391" s="8" t="s">
        <v>425</v>
      </c>
      <c r="E391" s="11" t="n">
        <v>10000</v>
      </c>
      <c r="F391" s="8" t="s">
        <v>11308</v>
      </c>
      <c r="G391" s="8"/>
      <c r="H391" s="8" t="s">
        <v>11610</v>
      </c>
      <c r="I391" s="8"/>
      <c r="J391" s="8" t="s">
        <v>11462</v>
      </c>
    </row>
    <row r="392" customFormat="false" ht="15" hidden="false" customHeight="true" outlineLevel="0" collapsed="false">
      <c r="A392" s="8" t="s">
        <v>11693</v>
      </c>
      <c r="B392" s="8" t="s">
        <v>926</v>
      </c>
      <c r="C392" s="8" t="s">
        <v>273</v>
      </c>
      <c r="D392" s="8" t="s">
        <v>274</v>
      </c>
      <c r="E392" s="11" t="n">
        <v>20000</v>
      </c>
      <c r="F392" s="8" t="s">
        <v>11308</v>
      </c>
      <c r="G392" s="8" t="s">
        <v>2627</v>
      </c>
      <c r="H392" s="8" t="s">
        <v>11610</v>
      </c>
      <c r="I392" s="8"/>
      <c r="J392" s="8" t="s">
        <v>11462</v>
      </c>
    </row>
    <row r="393" customFormat="false" ht="15" hidden="false" customHeight="true" outlineLevel="0" collapsed="false">
      <c r="A393" s="8" t="s">
        <v>11693</v>
      </c>
      <c r="B393" s="8" t="s">
        <v>926</v>
      </c>
      <c r="C393" s="8" t="s">
        <v>230</v>
      </c>
      <c r="D393" s="8" t="s">
        <v>231</v>
      </c>
      <c r="E393" s="11" t="n">
        <v>25000</v>
      </c>
      <c r="F393" s="8" t="s">
        <v>11322</v>
      </c>
      <c r="G393" s="8" t="s">
        <v>11463</v>
      </c>
      <c r="H393" s="8" t="s">
        <v>11610</v>
      </c>
      <c r="I393" s="8"/>
      <c r="J393" s="8" t="s">
        <v>11462</v>
      </c>
    </row>
    <row r="394" customFormat="false" ht="15" hidden="false" customHeight="true" outlineLevel="0" collapsed="false">
      <c r="A394" s="8" t="s">
        <v>11693</v>
      </c>
      <c r="B394" s="8" t="s">
        <v>926</v>
      </c>
      <c r="C394" s="8" t="s">
        <v>657</v>
      </c>
      <c r="D394" s="8" t="s">
        <v>246</v>
      </c>
      <c r="E394" s="11" t="n">
        <v>10000</v>
      </c>
      <c r="F394" s="8" t="s">
        <v>11308</v>
      </c>
      <c r="G394" s="8" t="s">
        <v>2635</v>
      </c>
      <c r="H394" s="8" t="s">
        <v>11610</v>
      </c>
      <c r="I394" s="8"/>
      <c r="J394" s="8" t="s">
        <v>11462</v>
      </c>
    </row>
    <row r="395" customFormat="false" ht="15" hidden="false" customHeight="true" outlineLevel="0" collapsed="false">
      <c r="A395" s="8" t="s">
        <v>11693</v>
      </c>
      <c r="B395" s="8" t="s">
        <v>926</v>
      </c>
      <c r="C395" s="8" t="s">
        <v>395</v>
      </c>
      <c r="D395" s="8" t="s">
        <v>396</v>
      </c>
      <c r="E395" s="11" t="n">
        <v>10000</v>
      </c>
      <c r="F395" s="8" t="s">
        <v>11308</v>
      </c>
      <c r="G395" s="8" t="s">
        <v>2627</v>
      </c>
      <c r="H395" s="8" t="s">
        <v>11610</v>
      </c>
      <c r="I395" s="8"/>
      <c r="J395" s="8" t="s">
        <v>11462</v>
      </c>
    </row>
    <row r="396" customFormat="false" ht="15" hidden="false" customHeight="true" outlineLevel="0" collapsed="false">
      <c r="A396" s="8" t="s">
        <v>11693</v>
      </c>
      <c r="B396" s="8" t="s">
        <v>926</v>
      </c>
      <c r="C396" s="8" t="s">
        <v>672</v>
      </c>
      <c r="D396" s="8" t="s">
        <v>251</v>
      </c>
      <c r="E396" s="11" t="n">
        <v>10000</v>
      </c>
      <c r="F396" s="8" t="s">
        <v>11319</v>
      </c>
      <c r="G396" s="8" t="s">
        <v>11694</v>
      </c>
      <c r="H396" s="8" t="s">
        <v>11610</v>
      </c>
      <c r="I396" s="8"/>
      <c r="J396" s="8" t="s">
        <v>11462</v>
      </c>
    </row>
    <row r="397" customFormat="false" ht="15" hidden="false" customHeight="true" outlineLevel="0" collapsed="false">
      <c r="A397" s="8" t="s">
        <v>11693</v>
      </c>
      <c r="B397" s="8" t="s">
        <v>926</v>
      </c>
      <c r="C397" s="8" t="s">
        <v>400</v>
      </c>
      <c r="D397" s="8" t="s">
        <v>401</v>
      </c>
      <c r="E397" s="11" t="n">
        <v>15000</v>
      </c>
      <c r="F397" s="8" t="s">
        <v>11308</v>
      </c>
      <c r="G397" s="8" t="s">
        <v>2627</v>
      </c>
      <c r="H397" s="8" t="s">
        <v>11610</v>
      </c>
      <c r="I397" s="8"/>
      <c r="J397" s="8" t="s">
        <v>11462</v>
      </c>
    </row>
    <row r="398" customFormat="false" ht="15" hidden="false" customHeight="true" outlineLevel="0" collapsed="false">
      <c r="A398" s="8" t="s">
        <v>11693</v>
      </c>
      <c r="B398" s="8" t="s">
        <v>957</v>
      </c>
      <c r="C398" s="8" t="s">
        <v>321</v>
      </c>
      <c r="D398" s="8" t="s">
        <v>322</v>
      </c>
      <c r="E398" s="11" t="n">
        <v>10000</v>
      </c>
      <c r="F398" s="8" t="s">
        <v>11313</v>
      </c>
      <c r="G398" s="8" t="s">
        <v>2644</v>
      </c>
      <c r="H398" s="8" t="s">
        <v>11610</v>
      </c>
      <c r="I398" s="8"/>
      <c r="J398" s="8" t="s">
        <v>11468</v>
      </c>
    </row>
    <row r="399" customFormat="false" ht="15" hidden="false" customHeight="true" outlineLevel="0" collapsed="false">
      <c r="A399" s="8" t="s">
        <v>11693</v>
      </c>
      <c r="B399" s="8" t="s">
        <v>957</v>
      </c>
      <c r="C399" s="8" t="s">
        <v>215</v>
      </c>
      <c r="D399" s="8" t="s">
        <v>216</v>
      </c>
      <c r="E399" s="11" t="n">
        <v>15000</v>
      </c>
      <c r="F399" s="8" t="s">
        <v>11313</v>
      </c>
      <c r="G399" s="8" t="s">
        <v>2638</v>
      </c>
      <c r="H399" s="8" t="s">
        <v>11610</v>
      </c>
      <c r="I399" s="8"/>
      <c r="J399" s="8" t="s">
        <v>11469</v>
      </c>
    </row>
    <row r="400" customFormat="false" ht="15" hidden="false" customHeight="true" outlineLevel="0" collapsed="false">
      <c r="A400" s="8" t="s">
        <v>11693</v>
      </c>
      <c r="B400" s="8" t="s">
        <v>957</v>
      </c>
      <c r="C400" s="8" t="s">
        <v>215</v>
      </c>
      <c r="D400" s="8" t="s">
        <v>216</v>
      </c>
      <c r="E400" s="11" t="n">
        <v>15000</v>
      </c>
      <c r="F400" s="8" t="s">
        <v>11313</v>
      </c>
      <c r="G400" s="8" t="s">
        <v>2639</v>
      </c>
      <c r="H400" s="8" t="s">
        <v>11610</v>
      </c>
      <c r="I400" s="8"/>
      <c r="J400" s="8" t="s">
        <v>11470</v>
      </c>
    </row>
    <row r="401" customFormat="false" ht="15" hidden="false" customHeight="true" outlineLevel="0" collapsed="false">
      <c r="A401" s="8" t="s">
        <v>11693</v>
      </c>
      <c r="B401" s="8" t="s">
        <v>957</v>
      </c>
      <c r="C401" s="8" t="s">
        <v>657</v>
      </c>
      <c r="D401" s="8" t="s">
        <v>246</v>
      </c>
      <c r="E401" s="11" t="n">
        <v>15000</v>
      </c>
      <c r="F401" s="8" t="s">
        <v>11313</v>
      </c>
      <c r="G401" s="8" t="s">
        <v>2640</v>
      </c>
      <c r="H401" s="8" t="s">
        <v>11610</v>
      </c>
      <c r="I401" s="8"/>
      <c r="J401" s="8" t="s">
        <v>11695</v>
      </c>
    </row>
    <row r="402" customFormat="false" ht="15" hidden="false" customHeight="true" outlineLevel="0" collapsed="false">
      <c r="A402" s="8" t="s">
        <v>11693</v>
      </c>
      <c r="B402" s="8" t="s">
        <v>957</v>
      </c>
      <c r="C402" s="8" t="s">
        <v>309</v>
      </c>
      <c r="D402" s="8" t="s">
        <v>310</v>
      </c>
      <c r="E402" s="11" t="n">
        <v>10000</v>
      </c>
      <c r="F402" s="8" t="s">
        <v>11313</v>
      </c>
      <c r="G402" s="8" t="s">
        <v>11696</v>
      </c>
      <c r="H402" s="8" t="s">
        <v>11610</v>
      </c>
      <c r="I402" s="8"/>
      <c r="J402" s="8" t="s">
        <v>11472</v>
      </c>
    </row>
    <row r="403" customFormat="false" ht="15" hidden="false" customHeight="true" outlineLevel="0" collapsed="false">
      <c r="A403" s="8" t="s">
        <v>11693</v>
      </c>
      <c r="B403" s="8" t="s">
        <v>957</v>
      </c>
      <c r="C403" s="8" t="s">
        <v>11613</v>
      </c>
      <c r="D403" s="8" t="s">
        <v>956</v>
      </c>
      <c r="E403" s="11" t="n">
        <v>20000</v>
      </c>
      <c r="F403" s="8" t="s">
        <v>11313</v>
      </c>
      <c r="G403" s="8" t="s">
        <v>11697</v>
      </c>
      <c r="H403" s="8" t="s">
        <v>11461</v>
      </c>
      <c r="I403" s="8"/>
      <c r="J403" s="8" t="s">
        <v>11616</v>
      </c>
    </row>
    <row r="404" customFormat="false" ht="15" hidden="false" customHeight="true" outlineLevel="0" collapsed="false">
      <c r="A404" s="8" t="s">
        <v>11693</v>
      </c>
      <c r="B404" s="8" t="s">
        <v>957</v>
      </c>
      <c r="C404" s="8" t="s">
        <v>1095</v>
      </c>
      <c r="D404" s="8" t="s">
        <v>278</v>
      </c>
      <c r="E404" s="11" t="n">
        <v>15000</v>
      </c>
      <c r="F404" s="8" t="s">
        <v>11313</v>
      </c>
      <c r="G404" s="8" t="s">
        <v>2641</v>
      </c>
      <c r="H404" s="8" t="s">
        <v>11610</v>
      </c>
      <c r="I404" s="8"/>
      <c r="J404" s="8" t="s">
        <v>11473</v>
      </c>
    </row>
    <row r="405" customFormat="false" ht="15" hidden="false" customHeight="true" outlineLevel="0" collapsed="false">
      <c r="A405" s="8" t="s">
        <v>11693</v>
      </c>
      <c r="B405" s="8" t="s">
        <v>957</v>
      </c>
      <c r="C405" s="8" t="s">
        <v>1264</v>
      </c>
      <c r="D405" s="8" t="s">
        <v>959</v>
      </c>
      <c r="E405" s="11" t="n">
        <v>10000</v>
      </c>
      <c r="F405" s="8" t="s">
        <v>11313</v>
      </c>
      <c r="G405" s="8" t="s">
        <v>11617</v>
      </c>
      <c r="H405" s="8" t="s">
        <v>11610</v>
      </c>
      <c r="I405" s="8"/>
      <c r="J405" s="8" t="s">
        <v>11618</v>
      </c>
    </row>
    <row r="406" customFormat="false" ht="15" hidden="false" customHeight="true" outlineLevel="0" collapsed="false">
      <c r="A406" s="8" t="s">
        <v>11693</v>
      </c>
      <c r="B406" s="8" t="s">
        <v>945</v>
      </c>
      <c r="C406" s="8" t="s">
        <v>225</v>
      </c>
      <c r="D406" s="8" t="s">
        <v>226</v>
      </c>
      <c r="E406" s="11" t="n">
        <v>30000</v>
      </c>
      <c r="F406" s="8" t="s">
        <v>11308</v>
      </c>
      <c r="G406" s="8" t="s">
        <v>2647</v>
      </c>
      <c r="H406" s="8" t="s">
        <v>11610</v>
      </c>
      <c r="I406" s="8"/>
      <c r="J406" s="8" t="s">
        <v>11475</v>
      </c>
    </row>
    <row r="407" customFormat="false" ht="15" hidden="false" customHeight="true" outlineLevel="0" collapsed="false">
      <c r="A407" s="8" t="s">
        <v>11693</v>
      </c>
      <c r="B407" s="8" t="s">
        <v>945</v>
      </c>
      <c r="C407" s="8" t="s">
        <v>943</v>
      </c>
      <c r="D407" s="8" t="s">
        <v>944</v>
      </c>
      <c r="E407" s="11" t="n">
        <v>15000</v>
      </c>
      <c r="F407" s="8" t="s">
        <v>11308</v>
      </c>
      <c r="G407" s="8" t="s">
        <v>11698</v>
      </c>
      <c r="H407" s="8" t="s">
        <v>11461</v>
      </c>
      <c r="I407" s="8"/>
      <c r="J407" s="8" t="s">
        <v>11620</v>
      </c>
    </row>
    <row r="408" customFormat="false" ht="15" hidden="false" customHeight="true" outlineLevel="0" collapsed="false">
      <c r="A408" s="8" t="s">
        <v>11693</v>
      </c>
      <c r="B408" s="8" t="s">
        <v>945</v>
      </c>
      <c r="C408" s="8" t="s">
        <v>1228</v>
      </c>
      <c r="D408" s="8" t="s">
        <v>495</v>
      </c>
      <c r="E408" s="11" t="n">
        <v>5000</v>
      </c>
      <c r="F408" s="8" t="s">
        <v>11308</v>
      </c>
      <c r="G408" s="8" t="s">
        <v>11699</v>
      </c>
      <c r="H408" s="8" t="s">
        <v>11610</v>
      </c>
      <c r="I408" s="8"/>
      <c r="J408" s="8" t="s">
        <v>11477</v>
      </c>
    </row>
    <row r="409" customFormat="false" ht="15" hidden="false" customHeight="true" outlineLevel="0" collapsed="false">
      <c r="A409" s="8" t="s">
        <v>11693</v>
      </c>
      <c r="B409" s="8" t="s">
        <v>3111</v>
      </c>
      <c r="C409" s="8" t="s">
        <v>991</v>
      </c>
      <c r="D409" s="8" t="s">
        <v>992</v>
      </c>
      <c r="E409" s="11" t="n">
        <v>10000</v>
      </c>
      <c r="F409" s="8" t="s">
        <v>11308</v>
      </c>
      <c r="G409" s="8"/>
      <c r="H409" s="8" t="s">
        <v>11610</v>
      </c>
      <c r="I409" s="8"/>
      <c r="J409" s="8" t="s">
        <v>11700</v>
      </c>
    </row>
    <row r="410" customFormat="false" ht="15" hidden="false" customHeight="true" outlineLevel="0" collapsed="false">
      <c r="A410" s="8" t="s">
        <v>11693</v>
      </c>
      <c r="B410" s="8" t="s">
        <v>3111</v>
      </c>
      <c r="C410" s="8" t="s">
        <v>933</v>
      </c>
      <c r="D410" s="8" t="s">
        <v>508</v>
      </c>
      <c r="E410" s="11" t="n">
        <v>10000</v>
      </c>
      <c r="F410" s="8" t="s">
        <v>11305</v>
      </c>
      <c r="G410" s="8" t="s">
        <v>11701</v>
      </c>
      <c r="H410" s="8" t="s">
        <v>11610</v>
      </c>
      <c r="I410" s="8"/>
      <c r="J410" s="8" t="s">
        <v>11621</v>
      </c>
    </row>
    <row r="411" customFormat="false" ht="15" hidden="false" customHeight="true" outlineLevel="0" collapsed="false">
      <c r="A411" s="8" t="s">
        <v>11693</v>
      </c>
      <c r="B411" s="8" t="s">
        <v>3111</v>
      </c>
      <c r="C411" s="8" t="s">
        <v>168</v>
      </c>
      <c r="D411" s="8" t="s">
        <v>222</v>
      </c>
      <c r="E411" s="11" t="n">
        <v>80000</v>
      </c>
      <c r="F411" s="8" t="s">
        <v>11308</v>
      </c>
      <c r="G411" s="8" t="s">
        <v>2627</v>
      </c>
      <c r="H411" s="8" t="s">
        <v>11610</v>
      </c>
      <c r="I411" s="8"/>
      <c r="J411" s="8" t="s">
        <v>11478</v>
      </c>
    </row>
    <row r="412" customFormat="false" ht="15" hidden="false" customHeight="true" outlineLevel="0" collapsed="false">
      <c r="A412" s="8" t="s">
        <v>11693</v>
      </c>
      <c r="B412" s="8" t="s">
        <v>1938</v>
      </c>
      <c r="C412" s="8" t="s">
        <v>260</v>
      </c>
      <c r="D412" s="8" t="s">
        <v>261</v>
      </c>
      <c r="E412" s="11" t="n">
        <v>20000</v>
      </c>
      <c r="F412" s="8" t="s">
        <v>11319</v>
      </c>
      <c r="G412" s="8" t="s">
        <v>11702</v>
      </c>
      <c r="H412" s="8" t="s">
        <v>11610</v>
      </c>
      <c r="I412" s="8"/>
      <c r="J412" s="8" t="s">
        <v>11480</v>
      </c>
    </row>
    <row r="413" customFormat="false" ht="15" hidden="false" customHeight="true" outlineLevel="0" collapsed="false">
      <c r="A413" s="8" t="s">
        <v>11693</v>
      </c>
      <c r="B413" s="8" t="s">
        <v>1938</v>
      </c>
      <c r="C413" s="8" t="s">
        <v>281</v>
      </c>
      <c r="D413" s="8" t="s">
        <v>282</v>
      </c>
      <c r="E413" s="11" t="n">
        <v>20000</v>
      </c>
      <c r="F413" s="8" t="s">
        <v>11308</v>
      </c>
      <c r="G413" s="8" t="s">
        <v>2662</v>
      </c>
      <c r="H413" s="8" t="s">
        <v>11610</v>
      </c>
      <c r="I413" s="8"/>
      <c r="J413" s="8" t="s">
        <v>11480</v>
      </c>
    </row>
    <row r="414" customFormat="false" ht="15" hidden="false" customHeight="true" outlineLevel="0" collapsed="false">
      <c r="A414" s="8" t="s">
        <v>11693</v>
      </c>
      <c r="B414" s="8" t="s">
        <v>1938</v>
      </c>
      <c r="C414" s="8" t="s">
        <v>285</v>
      </c>
      <c r="D414" s="8" t="s">
        <v>286</v>
      </c>
      <c r="E414" s="11" t="n">
        <v>20000</v>
      </c>
      <c r="F414" s="8" t="s">
        <v>11308</v>
      </c>
      <c r="G414" s="8" t="s">
        <v>2655</v>
      </c>
      <c r="H414" s="8" t="s">
        <v>11610</v>
      </c>
      <c r="I414" s="8"/>
      <c r="J414" s="8" t="s">
        <v>11480</v>
      </c>
    </row>
    <row r="415" customFormat="false" ht="15" hidden="false" customHeight="true" outlineLevel="0" collapsed="false">
      <c r="A415" s="8" t="s">
        <v>11693</v>
      </c>
      <c r="B415" s="8" t="s">
        <v>1938</v>
      </c>
      <c r="C415" s="8" t="s">
        <v>290</v>
      </c>
      <c r="D415" s="8" t="s">
        <v>291</v>
      </c>
      <c r="E415" s="11" t="n">
        <v>20000</v>
      </c>
      <c r="F415" s="8" t="s">
        <v>11319</v>
      </c>
      <c r="G415" s="8" t="s">
        <v>2657</v>
      </c>
      <c r="H415" s="8" t="s">
        <v>11610</v>
      </c>
      <c r="I415" s="8"/>
      <c r="J415" s="8" t="s">
        <v>11480</v>
      </c>
    </row>
    <row r="416" customFormat="false" ht="15" hidden="false" customHeight="true" outlineLevel="0" collapsed="false">
      <c r="A416" s="8" t="s">
        <v>11693</v>
      </c>
      <c r="B416" s="8" t="s">
        <v>1938</v>
      </c>
      <c r="C416" s="8" t="s">
        <v>332</v>
      </c>
      <c r="D416" s="8" t="s">
        <v>333</v>
      </c>
      <c r="E416" s="11" t="n">
        <v>20000</v>
      </c>
      <c r="F416" s="8" t="s">
        <v>11319</v>
      </c>
      <c r="G416" s="8" t="s">
        <v>2674</v>
      </c>
      <c r="H416" s="8" t="s">
        <v>11610</v>
      </c>
      <c r="I416" s="8"/>
      <c r="J416" s="8" t="s">
        <v>11480</v>
      </c>
    </row>
    <row r="417" customFormat="false" ht="15" hidden="false" customHeight="true" outlineLevel="0" collapsed="false">
      <c r="A417" s="8" t="s">
        <v>11693</v>
      </c>
      <c r="B417" s="8" t="s">
        <v>1938</v>
      </c>
      <c r="C417" s="8" t="s">
        <v>293</v>
      </c>
      <c r="D417" s="8" t="s">
        <v>294</v>
      </c>
      <c r="E417" s="11" t="n">
        <v>20000</v>
      </c>
      <c r="F417" s="8" t="s">
        <v>11319</v>
      </c>
      <c r="G417" s="8" t="s">
        <v>2656</v>
      </c>
      <c r="H417" s="8" t="s">
        <v>11610</v>
      </c>
      <c r="I417" s="8"/>
      <c r="J417" s="8" t="s">
        <v>11480</v>
      </c>
    </row>
    <row r="418" customFormat="false" ht="15" hidden="false" customHeight="true" outlineLevel="0" collapsed="false">
      <c r="A418" s="8" t="s">
        <v>11693</v>
      </c>
      <c r="B418" s="8" t="s">
        <v>1938</v>
      </c>
      <c r="C418" s="8" t="s">
        <v>336</v>
      </c>
      <c r="D418" s="8" t="s">
        <v>337</v>
      </c>
      <c r="E418" s="11" t="n">
        <v>20000</v>
      </c>
      <c r="F418" s="8" t="s">
        <v>11319</v>
      </c>
      <c r="G418" s="8" t="s">
        <v>2672</v>
      </c>
      <c r="H418" s="8" t="s">
        <v>11610</v>
      </c>
      <c r="I418" s="8"/>
      <c r="J418" s="8" t="s">
        <v>11480</v>
      </c>
    </row>
    <row r="419" customFormat="false" ht="15" hidden="false" customHeight="true" outlineLevel="0" collapsed="false">
      <c r="A419" s="8" t="s">
        <v>11693</v>
      </c>
      <c r="B419" s="8" t="s">
        <v>1938</v>
      </c>
      <c r="C419" s="8" t="s">
        <v>340</v>
      </c>
      <c r="D419" s="8" t="s">
        <v>341</v>
      </c>
      <c r="E419" s="11" t="n">
        <v>20000</v>
      </c>
      <c r="F419" s="8" t="s">
        <v>11319</v>
      </c>
      <c r="G419" s="8" t="s">
        <v>2659</v>
      </c>
      <c r="H419" s="8" t="s">
        <v>11610</v>
      </c>
      <c r="I419" s="8"/>
      <c r="J419" s="8" t="s">
        <v>11480</v>
      </c>
    </row>
    <row r="420" customFormat="false" ht="15" hidden="false" customHeight="true" outlineLevel="0" collapsed="false">
      <c r="A420" s="8" t="s">
        <v>11693</v>
      </c>
      <c r="B420" s="8" t="s">
        <v>1938</v>
      </c>
      <c r="C420" s="8" t="s">
        <v>296</v>
      </c>
      <c r="D420" s="8" t="s">
        <v>297</v>
      </c>
      <c r="E420" s="11" t="n">
        <v>20000</v>
      </c>
      <c r="F420" s="8" t="s">
        <v>11319</v>
      </c>
      <c r="G420" s="8" t="s">
        <v>2653</v>
      </c>
      <c r="H420" s="8" t="s">
        <v>11610</v>
      </c>
      <c r="I420" s="8"/>
      <c r="J420" s="8" t="s">
        <v>11480</v>
      </c>
    </row>
    <row r="421" customFormat="false" ht="15" hidden="false" customHeight="true" outlineLevel="0" collapsed="false">
      <c r="A421" s="8" t="s">
        <v>11693</v>
      </c>
      <c r="B421" s="8" t="s">
        <v>1938</v>
      </c>
      <c r="C421" s="8" t="s">
        <v>672</v>
      </c>
      <c r="D421" s="8" t="s">
        <v>251</v>
      </c>
      <c r="E421" s="11" t="n">
        <v>20000</v>
      </c>
      <c r="F421" s="8" t="s">
        <v>11319</v>
      </c>
      <c r="G421" s="8" t="s">
        <v>11703</v>
      </c>
      <c r="H421" s="8" t="s">
        <v>11610</v>
      </c>
      <c r="I421" s="8"/>
      <c r="J421" s="8" t="s">
        <v>11480</v>
      </c>
    </row>
    <row r="422" customFormat="false" ht="15" hidden="false" customHeight="true" outlineLevel="0" collapsed="false">
      <c r="A422" s="8" t="s">
        <v>11693</v>
      </c>
      <c r="B422" s="8" t="s">
        <v>1938</v>
      </c>
      <c r="C422" s="8" t="s">
        <v>343</v>
      </c>
      <c r="D422" s="8" t="s">
        <v>344</v>
      </c>
      <c r="E422" s="11" t="n">
        <v>20000</v>
      </c>
      <c r="F422" s="8" t="s">
        <v>11319</v>
      </c>
      <c r="G422" s="8" t="s">
        <v>2665</v>
      </c>
      <c r="H422" s="8" t="s">
        <v>11610</v>
      </c>
      <c r="I422" s="8"/>
      <c r="J422" s="8" t="s">
        <v>11480</v>
      </c>
    </row>
    <row r="423" customFormat="false" ht="15" hidden="false" customHeight="true" outlineLevel="0" collapsed="false">
      <c r="A423" s="8" t="s">
        <v>11693</v>
      </c>
      <c r="B423" s="8" t="s">
        <v>1938</v>
      </c>
      <c r="C423" s="8" t="s">
        <v>902</v>
      </c>
      <c r="D423" s="8" t="s">
        <v>266</v>
      </c>
      <c r="E423" s="11" t="n">
        <v>20000</v>
      </c>
      <c r="F423" s="8" t="s">
        <v>11319</v>
      </c>
      <c r="G423" s="8" t="s">
        <v>2654</v>
      </c>
      <c r="H423" s="8" t="s">
        <v>11610</v>
      </c>
      <c r="I423" s="8"/>
      <c r="J423" s="8" t="s">
        <v>11480</v>
      </c>
    </row>
    <row r="424" customFormat="false" ht="15" hidden="false" customHeight="true" outlineLevel="0" collapsed="false">
      <c r="A424" s="8" t="s">
        <v>11693</v>
      </c>
      <c r="B424" s="8" t="s">
        <v>1938</v>
      </c>
      <c r="C424" s="8" t="s">
        <v>902</v>
      </c>
      <c r="D424" s="8" t="s">
        <v>266</v>
      </c>
      <c r="E424" s="11" t="n">
        <v>20000</v>
      </c>
      <c r="F424" s="8" t="s">
        <v>11319</v>
      </c>
      <c r="G424" s="8" t="s">
        <v>2666</v>
      </c>
      <c r="H424" s="8" t="s">
        <v>11610</v>
      </c>
      <c r="I424" s="8"/>
      <c r="J424" s="8" t="s">
        <v>11480</v>
      </c>
    </row>
    <row r="425" customFormat="false" ht="15" hidden="false" customHeight="true" outlineLevel="0" collapsed="false">
      <c r="A425" s="8" t="s">
        <v>11693</v>
      </c>
      <c r="B425" s="8" t="s">
        <v>1938</v>
      </c>
      <c r="C425" s="8" t="s">
        <v>346</v>
      </c>
      <c r="D425" s="8" t="s">
        <v>347</v>
      </c>
      <c r="E425" s="11" t="n">
        <v>20000</v>
      </c>
      <c r="F425" s="8" t="s">
        <v>11319</v>
      </c>
      <c r="G425" s="8" t="s">
        <v>2653</v>
      </c>
      <c r="H425" s="8" t="s">
        <v>11610</v>
      </c>
      <c r="I425" s="8"/>
      <c r="J425" s="8" t="s">
        <v>11480</v>
      </c>
    </row>
    <row r="426" customFormat="false" ht="15" hidden="false" customHeight="true" outlineLevel="0" collapsed="false">
      <c r="A426" s="8" t="s">
        <v>11693</v>
      </c>
      <c r="B426" s="8" t="s">
        <v>1938</v>
      </c>
      <c r="C426" s="8" t="s">
        <v>171</v>
      </c>
      <c r="D426" s="8" t="s">
        <v>938</v>
      </c>
      <c r="E426" s="11" t="n">
        <v>20000</v>
      </c>
      <c r="F426" s="8" t="s">
        <v>11308</v>
      </c>
      <c r="G426" s="8" t="s">
        <v>11704</v>
      </c>
      <c r="H426" s="8" t="s">
        <v>11610</v>
      </c>
      <c r="I426" s="8"/>
      <c r="J426" s="8" t="s">
        <v>11480</v>
      </c>
    </row>
    <row r="427" customFormat="false" ht="15" hidden="false" customHeight="true" outlineLevel="0" collapsed="false">
      <c r="A427" s="8" t="s">
        <v>11693</v>
      </c>
      <c r="B427" s="8" t="s">
        <v>1938</v>
      </c>
      <c r="C427" s="8" t="s">
        <v>350</v>
      </c>
      <c r="D427" s="8" t="s">
        <v>351</v>
      </c>
      <c r="E427" s="11" t="n">
        <v>20000</v>
      </c>
      <c r="F427" s="8" t="s">
        <v>11319</v>
      </c>
      <c r="G427" s="8" t="s">
        <v>2664</v>
      </c>
      <c r="H427" s="8" t="s">
        <v>11610</v>
      </c>
      <c r="I427" s="8"/>
      <c r="J427" s="8" t="s">
        <v>11480</v>
      </c>
    </row>
    <row r="428" customFormat="false" ht="15" hidden="false" customHeight="true" outlineLevel="0" collapsed="false">
      <c r="A428" s="8" t="s">
        <v>11693</v>
      </c>
      <c r="B428" s="8" t="s">
        <v>1938</v>
      </c>
      <c r="C428" s="8" t="s">
        <v>353</v>
      </c>
      <c r="D428" s="8" t="s">
        <v>354</v>
      </c>
      <c r="E428" s="11" t="n">
        <v>20000</v>
      </c>
      <c r="F428" s="8" t="s">
        <v>11319</v>
      </c>
      <c r="G428" s="8" t="s">
        <v>11482</v>
      </c>
      <c r="H428" s="8" t="s">
        <v>11610</v>
      </c>
      <c r="I428" s="8"/>
      <c r="J428" s="8" t="s">
        <v>11480</v>
      </c>
    </row>
    <row r="429" customFormat="false" ht="15" hidden="false" customHeight="true" outlineLevel="0" collapsed="false">
      <c r="A429" s="8" t="s">
        <v>11693</v>
      </c>
      <c r="B429" s="8" t="s">
        <v>691</v>
      </c>
      <c r="C429" s="8" t="s">
        <v>260</v>
      </c>
      <c r="D429" s="8" t="s">
        <v>261</v>
      </c>
      <c r="E429" s="11" t="n">
        <v>10000</v>
      </c>
      <c r="F429" s="8" t="s">
        <v>11319</v>
      </c>
      <c r="G429" s="8"/>
      <c r="H429" s="8" t="s">
        <v>11610</v>
      </c>
      <c r="I429" s="8"/>
      <c r="J429" s="8" t="s">
        <v>11484</v>
      </c>
    </row>
    <row r="430" customFormat="false" ht="15" hidden="false" customHeight="true" outlineLevel="0" collapsed="false">
      <c r="A430" s="8" t="s">
        <v>11693</v>
      </c>
      <c r="B430" s="8" t="s">
        <v>691</v>
      </c>
      <c r="C430" s="8" t="s">
        <v>281</v>
      </c>
      <c r="D430" s="8" t="s">
        <v>282</v>
      </c>
      <c r="E430" s="11" t="n">
        <v>10000</v>
      </c>
      <c r="F430" s="8" t="s">
        <v>11308</v>
      </c>
      <c r="G430" s="8" t="s">
        <v>2627</v>
      </c>
      <c r="H430" s="8" t="s">
        <v>11610</v>
      </c>
      <c r="I430" s="8"/>
      <c r="J430" s="8" t="s">
        <v>11484</v>
      </c>
    </row>
    <row r="431" customFormat="false" ht="15" hidden="false" customHeight="true" outlineLevel="0" collapsed="false">
      <c r="A431" s="8" t="s">
        <v>11693</v>
      </c>
      <c r="B431" s="8" t="s">
        <v>691</v>
      </c>
      <c r="C431" s="8" t="s">
        <v>1127</v>
      </c>
      <c r="D431" s="8" t="s">
        <v>357</v>
      </c>
      <c r="E431" s="11" t="n">
        <v>15000</v>
      </c>
      <c r="F431" s="8" t="s">
        <v>11319</v>
      </c>
      <c r="G431" s="8"/>
      <c r="H431" s="8" t="s">
        <v>11610</v>
      </c>
      <c r="I431" s="8"/>
      <c r="J431" s="8" t="s">
        <v>11484</v>
      </c>
    </row>
    <row r="432" customFormat="false" ht="15" hidden="false" customHeight="true" outlineLevel="0" collapsed="false">
      <c r="A432" s="8" t="s">
        <v>11693</v>
      </c>
      <c r="B432" s="8" t="s">
        <v>691</v>
      </c>
      <c r="C432" s="8" t="s">
        <v>935</v>
      </c>
      <c r="D432" s="8" t="s">
        <v>936</v>
      </c>
      <c r="E432" s="11" t="n">
        <v>20000</v>
      </c>
      <c r="F432" s="8" t="s">
        <v>11319</v>
      </c>
      <c r="G432" s="8" t="s">
        <v>11625</v>
      </c>
      <c r="H432" s="8" t="s">
        <v>11610</v>
      </c>
      <c r="I432" s="8"/>
      <c r="J432" s="8" t="s">
        <v>11484</v>
      </c>
    </row>
    <row r="433" customFormat="false" ht="15" hidden="false" customHeight="true" outlineLevel="0" collapsed="false">
      <c r="A433" s="8" t="s">
        <v>11693</v>
      </c>
      <c r="B433" s="8" t="s">
        <v>691</v>
      </c>
      <c r="C433" s="8" t="s">
        <v>427</v>
      </c>
      <c r="D433" s="8" t="s">
        <v>428</v>
      </c>
      <c r="E433" s="11" t="n">
        <v>10000</v>
      </c>
      <c r="F433" s="8" t="s">
        <v>11319</v>
      </c>
      <c r="G433" s="8" t="s">
        <v>2680</v>
      </c>
      <c r="H433" s="8" t="s">
        <v>11610</v>
      </c>
      <c r="I433" s="8"/>
      <c r="J433" s="8" t="s">
        <v>11484</v>
      </c>
    </row>
    <row r="434" customFormat="false" ht="15" hidden="false" customHeight="true" outlineLevel="0" collapsed="false">
      <c r="A434" s="8" t="s">
        <v>11693</v>
      </c>
      <c r="B434" s="8" t="s">
        <v>691</v>
      </c>
      <c r="C434" s="8" t="s">
        <v>290</v>
      </c>
      <c r="D434" s="8" t="s">
        <v>291</v>
      </c>
      <c r="E434" s="11" t="n">
        <v>20000</v>
      </c>
      <c r="F434" s="8" t="s">
        <v>11319</v>
      </c>
      <c r="G434" s="8"/>
      <c r="H434" s="8" t="s">
        <v>11610</v>
      </c>
      <c r="I434" s="8"/>
      <c r="J434" s="8" t="s">
        <v>11484</v>
      </c>
    </row>
    <row r="435" customFormat="false" ht="15" hidden="false" customHeight="true" outlineLevel="0" collapsed="false">
      <c r="A435" s="8" t="s">
        <v>11693</v>
      </c>
      <c r="B435" s="8" t="s">
        <v>691</v>
      </c>
      <c r="C435" s="8" t="s">
        <v>657</v>
      </c>
      <c r="D435" s="8" t="s">
        <v>246</v>
      </c>
      <c r="E435" s="11" t="n">
        <v>10000</v>
      </c>
      <c r="F435" s="8" t="s">
        <v>11308</v>
      </c>
      <c r="G435" s="8"/>
      <c r="H435" s="8" t="s">
        <v>11610</v>
      </c>
      <c r="I435" s="8"/>
      <c r="J435" s="8" t="s">
        <v>11484</v>
      </c>
    </row>
    <row r="436" customFormat="false" ht="15" hidden="false" customHeight="true" outlineLevel="0" collapsed="false">
      <c r="A436" s="8" t="s">
        <v>11693</v>
      </c>
      <c r="B436" s="8" t="s">
        <v>691</v>
      </c>
      <c r="C436" s="8" t="s">
        <v>431</v>
      </c>
      <c r="D436" s="8" t="s">
        <v>432</v>
      </c>
      <c r="E436" s="11" t="n">
        <v>10000</v>
      </c>
      <c r="F436" s="8" t="s">
        <v>11319</v>
      </c>
      <c r="G436" s="8" t="s">
        <v>2679</v>
      </c>
      <c r="H436" s="8" t="s">
        <v>11610</v>
      </c>
      <c r="I436" s="8"/>
      <c r="J436" s="8" t="s">
        <v>11484</v>
      </c>
    </row>
    <row r="437" customFormat="false" ht="15" hidden="false" customHeight="true" outlineLevel="0" collapsed="false">
      <c r="A437" s="8" t="s">
        <v>11693</v>
      </c>
      <c r="B437" s="8" t="s">
        <v>691</v>
      </c>
      <c r="C437" s="8" t="s">
        <v>293</v>
      </c>
      <c r="D437" s="8" t="s">
        <v>294</v>
      </c>
      <c r="E437" s="11" t="n">
        <v>10000</v>
      </c>
      <c r="F437" s="8" t="s">
        <v>11319</v>
      </c>
      <c r="G437" s="8"/>
      <c r="H437" s="8" t="s">
        <v>11610</v>
      </c>
      <c r="I437" s="8"/>
      <c r="J437" s="8" t="s">
        <v>11484</v>
      </c>
    </row>
    <row r="438" customFormat="false" ht="15" hidden="false" customHeight="true" outlineLevel="0" collapsed="false">
      <c r="A438" s="8" t="s">
        <v>11693</v>
      </c>
      <c r="B438" s="8" t="s">
        <v>691</v>
      </c>
      <c r="C438" s="8" t="s">
        <v>672</v>
      </c>
      <c r="D438" s="8" t="s">
        <v>251</v>
      </c>
      <c r="E438" s="11" t="n">
        <v>20000</v>
      </c>
      <c r="F438" s="8" t="s">
        <v>11319</v>
      </c>
      <c r="G438" s="8"/>
      <c r="H438" s="8" t="s">
        <v>11610</v>
      </c>
      <c r="I438" s="8"/>
      <c r="J438" s="8" t="s">
        <v>11484</v>
      </c>
    </row>
    <row r="439" customFormat="false" ht="15" hidden="false" customHeight="true" outlineLevel="0" collapsed="false">
      <c r="A439" s="8" t="s">
        <v>11693</v>
      </c>
      <c r="B439" s="8" t="s">
        <v>691</v>
      </c>
      <c r="C439" s="8" t="s">
        <v>993</v>
      </c>
      <c r="D439" s="8" t="s">
        <v>994</v>
      </c>
      <c r="E439" s="11" t="n">
        <v>10000</v>
      </c>
      <c r="F439" s="8" t="s">
        <v>11319</v>
      </c>
      <c r="G439" s="8" t="s">
        <v>11705</v>
      </c>
      <c r="H439" s="8" t="s">
        <v>11610</v>
      </c>
      <c r="I439" s="8"/>
      <c r="J439" s="8" t="s">
        <v>11484</v>
      </c>
    </row>
    <row r="440" customFormat="false" ht="15" hidden="false" customHeight="true" outlineLevel="0" collapsed="false">
      <c r="A440" s="8" t="s">
        <v>11693</v>
      </c>
      <c r="B440" s="8" t="s">
        <v>11487</v>
      </c>
      <c r="C440" s="8" t="s">
        <v>408</v>
      </c>
      <c r="D440" s="8" t="s">
        <v>409</v>
      </c>
      <c r="E440" s="11" t="n">
        <v>30000</v>
      </c>
      <c r="F440" s="8" t="s">
        <v>11308</v>
      </c>
      <c r="G440" s="8" t="s">
        <v>2627</v>
      </c>
      <c r="H440" s="8" t="s">
        <v>11610</v>
      </c>
      <c r="I440" s="8"/>
      <c r="J440" s="8" t="s">
        <v>11489</v>
      </c>
    </row>
    <row r="441" customFormat="false" ht="15" hidden="false" customHeight="true" outlineLevel="0" collapsed="false">
      <c r="A441" s="8" t="s">
        <v>11693</v>
      </c>
      <c r="B441" s="8" t="s">
        <v>11487</v>
      </c>
      <c r="C441" s="8" t="s">
        <v>360</v>
      </c>
      <c r="D441" s="8" t="s">
        <v>361</v>
      </c>
      <c r="E441" s="11" t="n">
        <v>20000</v>
      </c>
      <c r="F441" s="8" t="s">
        <v>11308</v>
      </c>
      <c r="G441" s="8" t="s">
        <v>11626</v>
      </c>
      <c r="H441" s="8" t="s">
        <v>11610</v>
      </c>
      <c r="I441" s="8"/>
      <c r="J441" s="8" t="s">
        <v>11489</v>
      </c>
    </row>
    <row r="442" customFormat="false" ht="15" hidden="false" customHeight="true" outlineLevel="0" collapsed="false">
      <c r="A442" s="8" t="s">
        <v>11693</v>
      </c>
      <c r="B442" s="8" t="s">
        <v>11487</v>
      </c>
      <c r="C442" s="8" t="s">
        <v>364</v>
      </c>
      <c r="D442" s="8" t="s">
        <v>365</v>
      </c>
      <c r="E442" s="11" t="n">
        <v>20000</v>
      </c>
      <c r="F442" s="8" t="s">
        <v>11308</v>
      </c>
      <c r="G442" s="8" t="s">
        <v>2663</v>
      </c>
      <c r="H442" s="8" t="s">
        <v>11610</v>
      </c>
      <c r="I442" s="8"/>
      <c r="J442" s="8" t="s">
        <v>11489</v>
      </c>
    </row>
    <row r="443" customFormat="false" ht="15" hidden="false" customHeight="true" outlineLevel="0" collapsed="false">
      <c r="A443" s="8" t="s">
        <v>11693</v>
      </c>
      <c r="B443" s="8" t="s">
        <v>11487</v>
      </c>
      <c r="C443" s="8" t="s">
        <v>718</v>
      </c>
      <c r="D443" s="8" t="s">
        <v>269</v>
      </c>
      <c r="E443" s="11" t="n">
        <v>20000</v>
      </c>
      <c r="F443" s="8" t="s">
        <v>11308</v>
      </c>
      <c r="G443" s="8" t="s">
        <v>2688</v>
      </c>
      <c r="H443" s="8" t="s">
        <v>11610</v>
      </c>
      <c r="I443" s="8"/>
      <c r="J443" s="8" t="s">
        <v>11489</v>
      </c>
    </row>
    <row r="444" customFormat="false" ht="15" hidden="false" customHeight="true" outlineLevel="0" collapsed="false">
      <c r="A444" s="8" t="s">
        <v>11693</v>
      </c>
      <c r="B444" s="8" t="s">
        <v>7649</v>
      </c>
      <c r="C444" s="8" t="s">
        <v>2695</v>
      </c>
      <c r="D444" s="8" t="s">
        <v>500</v>
      </c>
      <c r="E444" s="11" t="n">
        <v>5000</v>
      </c>
      <c r="F444" s="8" t="s">
        <v>11491</v>
      </c>
      <c r="G444" s="8"/>
      <c r="H444" s="8" t="s">
        <v>11610</v>
      </c>
      <c r="I444" s="8"/>
      <c r="J444" s="8" t="s">
        <v>11629</v>
      </c>
    </row>
    <row r="445" customFormat="false" ht="15" hidden="false" customHeight="true" outlineLevel="0" collapsed="false">
      <c r="A445" s="8" t="s">
        <v>11693</v>
      </c>
      <c r="B445" s="8" t="s">
        <v>7649</v>
      </c>
      <c r="C445" s="8" t="s">
        <v>215</v>
      </c>
      <c r="D445" s="8" t="s">
        <v>216</v>
      </c>
      <c r="E445" s="11" t="n">
        <v>10000</v>
      </c>
      <c r="F445" s="8" t="s">
        <v>11491</v>
      </c>
      <c r="G445" s="8"/>
      <c r="H445" s="8" t="s">
        <v>11610</v>
      </c>
      <c r="I445" s="8"/>
      <c r="J445" s="8" t="s">
        <v>11629</v>
      </c>
    </row>
    <row r="446" customFormat="false" ht="15" hidden="false" customHeight="true" outlineLevel="0" collapsed="false">
      <c r="A446" s="8" t="s">
        <v>11693</v>
      </c>
      <c r="B446" s="8" t="s">
        <v>7649</v>
      </c>
      <c r="C446" s="8" t="s">
        <v>145</v>
      </c>
      <c r="D446" s="8" t="s">
        <v>369</v>
      </c>
      <c r="E446" s="11" t="n">
        <v>35000</v>
      </c>
      <c r="F446" s="8" t="s">
        <v>11491</v>
      </c>
      <c r="G446" s="8"/>
      <c r="H446" s="8" t="s">
        <v>11610</v>
      </c>
      <c r="I446" s="8"/>
      <c r="J446" s="8" t="s">
        <v>11629</v>
      </c>
    </row>
    <row r="447" customFormat="false" ht="15" hidden="false" customHeight="true" outlineLevel="0" collapsed="false">
      <c r="A447" s="8" t="s">
        <v>11693</v>
      </c>
      <c r="B447" s="8" t="s">
        <v>7649</v>
      </c>
      <c r="C447" s="8" t="s">
        <v>240</v>
      </c>
      <c r="D447" s="8" t="s">
        <v>241</v>
      </c>
      <c r="E447" s="11" t="n">
        <v>50000</v>
      </c>
      <c r="F447" s="8" t="s">
        <v>11491</v>
      </c>
      <c r="G447" s="8" t="s">
        <v>2627</v>
      </c>
      <c r="H447" s="8" t="s">
        <v>11610</v>
      </c>
      <c r="I447" s="8"/>
      <c r="J447" s="8" t="s">
        <v>11629</v>
      </c>
    </row>
    <row r="448" customFormat="false" ht="15" hidden="false" customHeight="true" outlineLevel="0" collapsed="false">
      <c r="A448" s="8" t="s">
        <v>11693</v>
      </c>
      <c r="B448" s="8" t="s">
        <v>7649</v>
      </c>
      <c r="C448" s="8" t="s">
        <v>372</v>
      </c>
      <c r="D448" s="8" t="s">
        <v>373</v>
      </c>
      <c r="E448" s="11" t="n">
        <v>20000</v>
      </c>
      <c r="F448" s="8" t="s">
        <v>11491</v>
      </c>
      <c r="G448" s="8"/>
      <c r="H448" s="8" t="s">
        <v>11610</v>
      </c>
      <c r="I448" s="8"/>
      <c r="J448" s="8" t="s">
        <v>11629</v>
      </c>
    </row>
    <row r="449" customFormat="false" ht="15" hidden="false" customHeight="true" outlineLevel="0" collapsed="false">
      <c r="A449" s="8" t="s">
        <v>11693</v>
      </c>
      <c r="B449" s="8" t="s">
        <v>7649</v>
      </c>
      <c r="C449" s="8" t="s">
        <v>313</v>
      </c>
      <c r="D449" s="8" t="s">
        <v>314</v>
      </c>
      <c r="E449" s="11" t="n">
        <v>25000</v>
      </c>
      <c r="F449" s="8" t="s">
        <v>11491</v>
      </c>
      <c r="G449" s="8"/>
      <c r="H449" s="8" t="s">
        <v>11610</v>
      </c>
      <c r="I449" s="8"/>
      <c r="J449" s="8" t="s">
        <v>11629</v>
      </c>
    </row>
    <row r="450" customFormat="false" ht="15" hidden="false" customHeight="true" outlineLevel="0" collapsed="false">
      <c r="A450" s="8" t="s">
        <v>11693</v>
      </c>
      <c r="B450" s="8" t="s">
        <v>7649</v>
      </c>
      <c r="C450" s="8" t="s">
        <v>1860</v>
      </c>
      <c r="D450" s="8" t="s">
        <v>377</v>
      </c>
      <c r="E450" s="11" t="n">
        <v>20000</v>
      </c>
      <c r="F450" s="8" t="s">
        <v>11491</v>
      </c>
      <c r="G450" s="8"/>
      <c r="H450" s="8" t="s">
        <v>11610</v>
      </c>
      <c r="I450" s="8"/>
      <c r="J450" s="8" t="s">
        <v>11629</v>
      </c>
    </row>
    <row r="451" customFormat="false" ht="15" hidden="false" customHeight="true" outlineLevel="0" collapsed="false">
      <c r="A451" s="8" t="s">
        <v>11693</v>
      </c>
      <c r="B451" s="8" t="s">
        <v>7649</v>
      </c>
      <c r="C451" s="8" t="s">
        <v>142</v>
      </c>
      <c r="D451" s="8" t="s">
        <v>441</v>
      </c>
      <c r="E451" s="11" t="n">
        <v>10000</v>
      </c>
      <c r="F451" s="8" t="s">
        <v>11491</v>
      </c>
      <c r="G451" s="8"/>
      <c r="H451" s="8" t="s">
        <v>11610</v>
      </c>
      <c r="I451" s="8"/>
      <c r="J451" s="8" t="s">
        <v>11629</v>
      </c>
    </row>
    <row r="452" customFormat="false" ht="15" hidden="false" customHeight="true" outlineLevel="0" collapsed="false">
      <c r="A452" s="8" t="s">
        <v>11693</v>
      </c>
      <c r="B452" s="8" t="s">
        <v>7649</v>
      </c>
      <c r="C452" s="8" t="s">
        <v>171</v>
      </c>
      <c r="D452" s="8" t="s">
        <v>938</v>
      </c>
      <c r="E452" s="11" t="n">
        <v>20000</v>
      </c>
      <c r="F452" s="8" t="s">
        <v>11491</v>
      </c>
      <c r="G452" s="8"/>
      <c r="H452" s="8" t="s">
        <v>11610</v>
      </c>
      <c r="I452" s="8"/>
      <c r="J452" s="8" t="s">
        <v>11629</v>
      </c>
    </row>
    <row r="453" customFormat="false" ht="15" hidden="false" customHeight="true" outlineLevel="0" collapsed="false">
      <c r="A453" s="8" t="s">
        <v>11693</v>
      </c>
      <c r="B453" s="8" t="s">
        <v>923</v>
      </c>
      <c r="C453" s="8" t="s">
        <v>225</v>
      </c>
      <c r="D453" s="8" t="s">
        <v>226</v>
      </c>
      <c r="E453" s="11" t="n">
        <v>5000</v>
      </c>
      <c r="F453" s="8" t="s">
        <v>11308</v>
      </c>
      <c r="G453" s="8" t="s">
        <v>11706</v>
      </c>
      <c r="H453" s="8" t="s">
        <v>11610</v>
      </c>
      <c r="I453" s="8"/>
      <c r="J453" s="8" t="s">
        <v>11707</v>
      </c>
    </row>
    <row r="454" customFormat="false" ht="15" hidden="false" customHeight="true" outlineLevel="0" collapsed="false">
      <c r="A454" s="8" t="s">
        <v>11693</v>
      </c>
      <c r="B454" s="8" t="s">
        <v>923</v>
      </c>
      <c r="C454" s="8" t="s">
        <v>921</v>
      </c>
      <c r="D454" s="8" t="s">
        <v>922</v>
      </c>
      <c r="E454" s="11" t="n">
        <v>5000</v>
      </c>
      <c r="F454" s="8" t="s">
        <v>11308</v>
      </c>
      <c r="G454" s="8" t="s">
        <v>11708</v>
      </c>
      <c r="H454" s="8" t="s">
        <v>11610</v>
      </c>
      <c r="I454" s="8"/>
      <c r="J454" s="8" t="s">
        <v>11707</v>
      </c>
    </row>
    <row r="455" customFormat="false" ht="15" hidden="false" customHeight="true" outlineLevel="0" collapsed="false">
      <c r="A455" s="8" t="s">
        <v>11693</v>
      </c>
      <c r="B455" s="8" t="s">
        <v>923</v>
      </c>
      <c r="C455" s="8" t="s">
        <v>921</v>
      </c>
      <c r="D455" s="8" t="s">
        <v>922</v>
      </c>
      <c r="E455" s="11" t="n">
        <v>5000</v>
      </c>
      <c r="F455" s="8" t="s">
        <v>11308</v>
      </c>
      <c r="G455" s="8" t="s">
        <v>11709</v>
      </c>
      <c r="H455" s="8" t="s">
        <v>11610</v>
      </c>
      <c r="I455" s="8"/>
      <c r="J455" s="8" t="s">
        <v>11707</v>
      </c>
    </row>
    <row r="456" customFormat="false" ht="15" hidden="false" customHeight="true" outlineLevel="0" collapsed="false">
      <c r="A456" s="8" t="s">
        <v>11693</v>
      </c>
      <c r="B456" s="8" t="s">
        <v>923</v>
      </c>
      <c r="C456" s="8" t="s">
        <v>921</v>
      </c>
      <c r="D456" s="8" t="s">
        <v>922</v>
      </c>
      <c r="E456" s="11" t="n">
        <v>5000</v>
      </c>
      <c r="F456" s="8" t="s">
        <v>11308</v>
      </c>
      <c r="G456" s="8" t="s">
        <v>11710</v>
      </c>
      <c r="H456" s="8" t="s">
        <v>11610</v>
      </c>
      <c r="I456" s="8"/>
      <c r="J456" s="8" t="s">
        <v>11707</v>
      </c>
    </row>
    <row r="457" customFormat="false" ht="15" hidden="false" customHeight="true" outlineLevel="0" collapsed="false">
      <c r="A457" s="8" t="s">
        <v>11693</v>
      </c>
      <c r="B457" s="8" t="s">
        <v>923</v>
      </c>
      <c r="C457" s="8" t="s">
        <v>921</v>
      </c>
      <c r="D457" s="8" t="s">
        <v>922</v>
      </c>
      <c r="E457" s="11" t="n">
        <v>5000</v>
      </c>
      <c r="F457" s="8" t="s">
        <v>11308</v>
      </c>
      <c r="G457" s="8" t="s">
        <v>11711</v>
      </c>
      <c r="H457" s="8" t="s">
        <v>11610</v>
      </c>
      <c r="I457" s="8"/>
      <c r="J457" s="8" t="s">
        <v>11707</v>
      </c>
    </row>
    <row r="458" customFormat="false" ht="15" hidden="false" customHeight="true" outlineLevel="0" collapsed="false">
      <c r="A458" s="8" t="s">
        <v>11693</v>
      </c>
      <c r="B458" s="8" t="s">
        <v>923</v>
      </c>
      <c r="C458" s="8" t="s">
        <v>921</v>
      </c>
      <c r="D458" s="8" t="s">
        <v>922</v>
      </c>
      <c r="E458" s="11" t="n">
        <v>5000</v>
      </c>
      <c r="F458" s="8" t="s">
        <v>11308</v>
      </c>
      <c r="G458" s="8" t="s">
        <v>11712</v>
      </c>
      <c r="H458" s="8" t="s">
        <v>11610</v>
      </c>
      <c r="I458" s="8"/>
      <c r="J458" s="8" t="s">
        <v>11707</v>
      </c>
    </row>
    <row r="459" customFormat="false" ht="15" hidden="false" customHeight="true" outlineLevel="0" collapsed="false">
      <c r="A459" s="8" t="s">
        <v>11693</v>
      </c>
      <c r="B459" s="8" t="s">
        <v>923</v>
      </c>
      <c r="C459" s="8" t="s">
        <v>921</v>
      </c>
      <c r="D459" s="8" t="s">
        <v>922</v>
      </c>
      <c r="E459" s="11" t="n">
        <v>10000</v>
      </c>
      <c r="F459" s="8" t="s">
        <v>11308</v>
      </c>
      <c r="G459" s="8" t="s">
        <v>11713</v>
      </c>
      <c r="H459" s="8" t="s">
        <v>11610</v>
      </c>
      <c r="I459" s="8"/>
      <c r="J459" s="8" t="s">
        <v>11707</v>
      </c>
    </row>
    <row r="460" customFormat="false" ht="15" hidden="false" customHeight="true" outlineLevel="0" collapsed="false">
      <c r="A460" s="8" t="s">
        <v>11693</v>
      </c>
      <c r="B460" s="8" t="s">
        <v>923</v>
      </c>
      <c r="C460" s="8" t="s">
        <v>921</v>
      </c>
      <c r="D460" s="8" t="s">
        <v>922</v>
      </c>
      <c r="E460" s="11" t="n">
        <v>10000</v>
      </c>
      <c r="F460" s="8" t="s">
        <v>11308</v>
      </c>
      <c r="G460" s="8" t="s">
        <v>11714</v>
      </c>
      <c r="H460" s="8" t="s">
        <v>11610</v>
      </c>
      <c r="I460" s="8"/>
      <c r="J460" s="8" t="s">
        <v>11707</v>
      </c>
    </row>
    <row r="461" customFormat="false" ht="15" hidden="false" customHeight="true" outlineLevel="0" collapsed="false">
      <c r="A461" s="8" t="s">
        <v>11693</v>
      </c>
      <c r="B461" s="8" t="s">
        <v>923</v>
      </c>
      <c r="C461" s="8" t="s">
        <v>921</v>
      </c>
      <c r="D461" s="8" t="s">
        <v>922</v>
      </c>
      <c r="E461" s="11" t="n">
        <v>5000</v>
      </c>
      <c r="F461" s="8" t="s">
        <v>11308</v>
      </c>
      <c r="G461" s="8" t="s">
        <v>11715</v>
      </c>
      <c r="H461" s="8" t="s">
        <v>11610</v>
      </c>
      <c r="I461" s="8"/>
      <c r="J461" s="8" t="s">
        <v>11707</v>
      </c>
    </row>
    <row r="462" customFormat="false" ht="15" hidden="false" customHeight="true" outlineLevel="0" collapsed="false">
      <c r="A462" s="8" t="s">
        <v>11693</v>
      </c>
      <c r="B462" s="8" t="s">
        <v>923</v>
      </c>
      <c r="C462" s="8" t="s">
        <v>921</v>
      </c>
      <c r="D462" s="8" t="s">
        <v>922</v>
      </c>
      <c r="E462" s="11" t="n">
        <v>5000</v>
      </c>
      <c r="F462" s="8" t="s">
        <v>11308</v>
      </c>
      <c r="G462" s="8" t="s">
        <v>11716</v>
      </c>
      <c r="H462" s="8" t="s">
        <v>11610</v>
      </c>
      <c r="I462" s="8"/>
      <c r="J462" s="8" t="s">
        <v>11707</v>
      </c>
    </row>
    <row r="463" customFormat="false" ht="15" hidden="false" customHeight="true" outlineLevel="0" collapsed="false">
      <c r="A463" s="8" t="s">
        <v>11693</v>
      </c>
      <c r="B463" s="8" t="s">
        <v>923</v>
      </c>
      <c r="C463" s="8" t="s">
        <v>477</v>
      </c>
      <c r="D463" s="8" t="s">
        <v>478</v>
      </c>
      <c r="E463" s="11" t="n">
        <v>5000</v>
      </c>
      <c r="F463" s="8" t="s">
        <v>11308</v>
      </c>
      <c r="G463" s="8" t="s">
        <v>11706</v>
      </c>
      <c r="H463" s="8" t="s">
        <v>11610</v>
      </c>
      <c r="I463" s="8"/>
      <c r="J463" s="8" t="s">
        <v>11707</v>
      </c>
    </row>
    <row r="464" customFormat="false" ht="15" hidden="false" customHeight="true" outlineLevel="0" collapsed="false">
      <c r="A464" s="8" t="s">
        <v>11693</v>
      </c>
      <c r="B464" s="8" t="s">
        <v>923</v>
      </c>
      <c r="C464" s="8" t="s">
        <v>1228</v>
      </c>
      <c r="D464" s="8" t="s">
        <v>495</v>
      </c>
      <c r="E464" s="11" t="n">
        <v>5000</v>
      </c>
      <c r="F464" s="8" t="s">
        <v>11308</v>
      </c>
      <c r="G464" s="8" t="s">
        <v>11706</v>
      </c>
      <c r="H464" s="8" t="s">
        <v>11610</v>
      </c>
      <c r="I464" s="8"/>
      <c r="J464" s="8" t="s">
        <v>11707</v>
      </c>
    </row>
    <row r="465" customFormat="false" ht="15" hidden="false" customHeight="true" outlineLevel="0" collapsed="false">
      <c r="A465" s="8" t="s">
        <v>11693</v>
      </c>
      <c r="B465" s="8" t="s">
        <v>894</v>
      </c>
      <c r="C465" s="8" t="s">
        <v>999</v>
      </c>
      <c r="D465" s="8" t="s">
        <v>1000</v>
      </c>
      <c r="E465" s="11" t="n">
        <v>7000</v>
      </c>
      <c r="F465" s="8" t="s">
        <v>11308</v>
      </c>
      <c r="G465" s="8"/>
      <c r="H465" s="8" t="s">
        <v>11461</v>
      </c>
      <c r="I465" s="8"/>
      <c r="J465" s="8" t="s">
        <v>11631</v>
      </c>
    </row>
    <row r="466" customFormat="false" ht="15" hidden="false" customHeight="true" outlineLevel="0" collapsed="false">
      <c r="A466" s="8" t="s">
        <v>11693</v>
      </c>
      <c r="B466" s="8" t="s">
        <v>894</v>
      </c>
      <c r="C466" s="8" t="s">
        <v>745</v>
      </c>
      <c r="D466" s="8" t="s">
        <v>1028</v>
      </c>
      <c r="E466" s="11" t="n">
        <v>0</v>
      </c>
      <c r="F466" s="8" t="s">
        <v>11308</v>
      </c>
      <c r="G466" s="8" t="s">
        <v>9129</v>
      </c>
      <c r="H466" s="8" t="s">
        <v>11615</v>
      </c>
      <c r="I466" s="8"/>
      <c r="J466" s="8" t="s">
        <v>11717</v>
      </c>
    </row>
    <row r="467" customFormat="false" ht="15" hidden="false" customHeight="true" outlineLevel="0" collapsed="false">
      <c r="A467" s="8" t="s">
        <v>11693</v>
      </c>
      <c r="B467" s="8" t="s">
        <v>894</v>
      </c>
      <c r="C467" s="8" t="s">
        <v>503</v>
      </c>
      <c r="D467" s="8" t="s">
        <v>504</v>
      </c>
      <c r="E467" s="11" t="n">
        <v>5000</v>
      </c>
      <c r="F467" s="8" t="s">
        <v>11319</v>
      </c>
      <c r="G467" s="8" t="s">
        <v>11718</v>
      </c>
      <c r="H467" s="8" t="s">
        <v>11610</v>
      </c>
      <c r="I467" s="8"/>
      <c r="J467" s="8" t="s">
        <v>11495</v>
      </c>
    </row>
    <row r="468" customFormat="false" ht="15" hidden="false" customHeight="true" outlineLevel="0" collapsed="false">
      <c r="A468" s="8" t="s">
        <v>11693</v>
      </c>
      <c r="B468" s="8" t="s">
        <v>894</v>
      </c>
      <c r="C468" s="8" t="s">
        <v>448</v>
      </c>
      <c r="D468" s="8" t="s">
        <v>449</v>
      </c>
      <c r="E468" s="11" t="n">
        <v>5000</v>
      </c>
      <c r="F468" s="8" t="s">
        <v>11308</v>
      </c>
      <c r="G468" s="8" t="s">
        <v>11719</v>
      </c>
      <c r="H468" s="8" t="s">
        <v>11610</v>
      </c>
      <c r="I468" s="8"/>
      <c r="J468" s="8" t="s">
        <v>11720</v>
      </c>
    </row>
    <row r="469" customFormat="false" ht="15" hidden="false" customHeight="true" outlineLevel="0" collapsed="false">
      <c r="A469" s="8" t="s">
        <v>11693</v>
      </c>
      <c r="B469" s="8" t="s">
        <v>894</v>
      </c>
      <c r="C469" s="8" t="s">
        <v>183</v>
      </c>
      <c r="D469" s="8" t="s">
        <v>1029</v>
      </c>
      <c r="E469" s="11" t="n">
        <v>0</v>
      </c>
      <c r="F469" s="8" t="s">
        <v>11305</v>
      </c>
      <c r="G469" s="8"/>
      <c r="H469" s="8" t="s">
        <v>11615</v>
      </c>
      <c r="I469" s="8"/>
      <c r="J469" s="8" t="s">
        <v>11721</v>
      </c>
    </row>
    <row r="470" customFormat="false" ht="15" hidden="false" customHeight="true" outlineLevel="0" collapsed="false">
      <c r="A470" s="8" t="s">
        <v>11693</v>
      </c>
      <c r="B470" s="8" t="s">
        <v>894</v>
      </c>
      <c r="C470" s="8" t="s">
        <v>1127</v>
      </c>
      <c r="D470" s="8" t="s">
        <v>357</v>
      </c>
      <c r="E470" s="11" t="n">
        <v>5000</v>
      </c>
      <c r="F470" s="8" t="s">
        <v>11319</v>
      </c>
      <c r="G470" s="8" t="s">
        <v>2708</v>
      </c>
      <c r="H470" s="8" t="s">
        <v>11610</v>
      </c>
      <c r="I470" s="8"/>
      <c r="J470" s="8" t="s">
        <v>11498</v>
      </c>
    </row>
    <row r="471" customFormat="false" ht="15" hidden="false" customHeight="true" outlineLevel="0" collapsed="false">
      <c r="A471" s="8" t="s">
        <v>11693</v>
      </c>
      <c r="B471" s="8" t="s">
        <v>894</v>
      </c>
      <c r="C471" s="8" t="s">
        <v>452</v>
      </c>
      <c r="D471" s="8" t="s">
        <v>453</v>
      </c>
      <c r="E471" s="11" t="n">
        <v>10000</v>
      </c>
      <c r="F471" s="8" t="s">
        <v>11311</v>
      </c>
      <c r="G471" s="8" t="s">
        <v>2705</v>
      </c>
      <c r="H471" s="8" t="s">
        <v>11610</v>
      </c>
      <c r="I471" s="8"/>
      <c r="J471" s="8" t="s">
        <v>11501</v>
      </c>
    </row>
    <row r="472" customFormat="false" ht="15" hidden="false" customHeight="true" outlineLevel="0" collapsed="false">
      <c r="A472" s="8" t="s">
        <v>11693</v>
      </c>
      <c r="B472" s="8" t="s">
        <v>894</v>
      </c>
      <c r="C472" s="8" t="s">
        <v>11639</v>
      </c>
      <c r="D472" s="8" t="s">
        <v>1004</v>
      </c>
      <c r="E472" s="11" t="n">
        <v>5000</v>
      </c>
      <c r="F472" s="8" t="s">
        <v>11308</v>
      </c>
      <c r="G472" s="8"/>
      <c r="H472" s="8" t="s">
        <v>11461</v>
      </c>
      <c r="I472" s="8"/>
      <c r="J472" s="8" t="s">
        <v>11641</v>
      </c>
    </row>
    <row r="473" customFormat="false" ht="15" hidden="false" customHeight="true" outlineLevel="0" collapsed="false">
      <c r="A473" s="8" t="s">
        <v>11693</v>
      </c>
      <c r="B473" s="8" t="s">
        <v>894</v>
      </c>
      <c r="C473" s="8" t="s">
        <v>893</v>
      </c>
      <c r="D473" s="8" t="s">
        <v>198</v>
      </c>
      <c r="E473" s="11" t="n">
        <v>1000</v>
      </c>
      <c r="F473" s="8" t="s">
        <v>11502</v>
      </c>
      <c r="G473" s="8" t="s">
        <v>2723</v>
      </c>
      <c r="H473" s="8" t="s">
        <v>11610</v>
      </c>
      <c r="I473" s="8"/>
      <c r="J473" s="8" t="s">
        <v>11503</v>
      </c>
    </row>
    <row r="474" customFormat="false" ht="15" hidden="false" customHeight="true" outlineLevel="0" collapsed="false">
      <c r="A474" s="8" t="s">
        <v>11693</v>
      </c>
      <c r="B474" s="8" t="s">
        <v>894</v>
      </c>
      <c r="C474" s="8" t="s">
        <v>893</v>
      </c>
      <c r="D474" s="8" t="s">
        <v>198</v>
      </c>
      <c r="E474" s="11" t="n">
        <v>1000</v>
      </c>
      <c r="F474" s="8" t="s">
        <v>11502</v>
      </c>
      <c r="G474" s="8" t="s">
        <v>2655</v>
      </c>
      <c r="H474" s="8" t="s">
        <v>11610</v>
      </c>
      <c r="I474" s="8"/>
      <c r="J474" s="8" t="s">
        <v>11504</v>
      </c>
    </row>
    <row r="475" customFormat="false" ht="15" hidden="false" customHeight="true" outlineLevel="0" collapsed="false">
      <c r="A475" s="8" t="s">
        <v>11693</v>
      </c>
      <c r="B475" s="8" t="s">
        <v>894</v>
      </c>
      <c r="C475" s="8" t="s">
        <v>893</v>
      </c>
      <c r="D475" s="8" t="s">
        <v>198</v>
      </c>
      <c r="E475" s="11" t="n">
        <v>5000</v>
      </c>
      <c r="F475" s="8" t="s">
        <v>11502</v>
      </c>
      <c r="G475" s="8" t="s">
        <v>11722</v>
      </c>
      <c r="H475" s="8" t="s">
        <v>11610</v>
      </c>
      <c r="I475" s="8"/>
      <c r="J475" s="8" t="s">
        <v>11505</v>
      </c>
    </row>
    <row r="476" customFormat="false" ht="15" hidden="false" customHeight="true" outlineLevel="0" collapsed="false">
      <c r="A476" s="8" t="s">
        <v>11693</v>
      </c>
      <c r="B476" s="8" t="s">
        <v>894</v>
      </c>
      <c r="C476" s="8" t="s">
        <v>893</v>
      </c>
      <c r="D476" s="8" t="s">
        <v>198</v>
      </c>
      <c r="E476" s="11" t="n">
        <v>1000</v>
      </c>
      <c r="F476" s="8" t="s">
        <v>11502</v>
      </c>
      <c r="G476" s="8" t="s">
        <v>2724</v>
      </c>
      <c r="H476" s="8" t="s">
        <v>11610</v>
      </c>
      <c r="I476" s="8"/>
      <c r="J476" s="8" t="s">
        <v>11506</v>
      </c>
    </row>
    <row r="477" customFormat="false" ht="15" hidden="false" customHeight="true" outlineLevel="0" collapsed="false">
      <c r="A477" s="8" t="s">
        <v>11693</v>
      </c>
      <c r="B477" s="8" t="s">
        <v>894</v>
      </c>
      <c r="C477" s="8" t="s">
        <v>893</v>
      </c>
      <c r="D477" s="8" t="s">
        <v>198</v>
      </c>
      <c r="E477" s="11" t="n">
        <v>1000</v>
      </c>
      <c r="F477" s="8" t="s">
        <v>11502</v>
      </c>
      <c r="G477" s="8" t="s">
        <v>2725</v>
      </c>
      <c r="H477" s="8" t="s">
        <v>11610</v>
      </c>
      <c r="I477" s="8"/>
      <c r="J477" s="8" t="s">
        <v>11507</v>
      </c>
    </row>
    <row r="478" customFormat="false" ht="15" hidden="false" customHeight="true" outlineLevel="0" collapsed="false">
      <c r="A478" s="8" t="s">
        <v>11693</v>
      </c>
      <c r="B478" s="8" t="s">
        <v>894</v>
      </c>
      <c r="C478" s="8" t="s">
        <v>893</v>
      </c>
      <c r="D478" s="8" t="s">
        <v>198</v>
      </c>
      <c r="E478" s="11" t="n">
        <v>1000</v>
      </c>
      <c r="F478" s="8" t="s">
        <v>11502</v>
      </c>
      <c r="G478" s="8" t="s">
        <v>2726</v>
      </c>
      <c r="H478" s="8" t="s">
        <v>11610</v>
      </c>
      <c r="I478" s="8"/>
      <c r="J478" s="8" t="s">
        <v>11723</v>
      </c>
    </row>
    <row r="479" customFormat="false" ht="15" hidden="false" customHeight="true" outlineLevel="0" collapsed="false">
      <c r="A479" s="8" t="s">
        <v>11693</v>
      </c>
      <c r="B479" s="8" t="s">
        <v>894</v>
      </c>
      <c r="C479" s="8" t="s">
        <v>893</v>
      </c>
      <c r="D479" s="8" t="s">
        <v>198</v>
      </c>
      <c r="E479" s="11" t="n">
        <v>1000</v>
      </c>
      <c r="F479" s="8" t="s">
        <v>11502</v>
      </c>
      <c r="G479" s="8" t="s">
        <v>2727</v>
      </c>
      <c r="H479" s="8" t="s">
        <v>11610</v>
      </c>
      <c r="I479" s="8"/>
      <c r="J479" s="8" t="s">
        <v>11724</v>
      </c>
    </row>
    <row r="480" customFormat="false" ht="15" hidden="false" customHeight="true" outlineLevel="0" collapsed="false">
      <c r="A480" s="8" t="s">
        <v>11693</v>
      </c>
      <c r="B480" s="8" t="s">
        <v>894</v>
      </c>
      <c r="C480" s="8" t="s">
        <v>893</v>
      </c>
      <c r="D480" s="8" t="s">
        <v>198</v>
      </c>
      <c r="E480" s="11" t="n">
        <v>1000</v>
      </c>
      <c r="F480" s="8" t="s">
        <v>11502</v>
      </c>
      <c r="G480" s="8" t="s">
        <v>11725</v>
      </c>
      <c r="H480" s="8" t="s">
        <v>11610</v>
      </c>
      <c r="I480" s="8"/>
      <c r="J480" s="8" t="s">
        <v>11726</v>
      </c>
    </row>
    <row r="481" customFormat="false" ht="15" hidden="false" customHeight="true" outlineLevel="0" collapsed="false">
      <c r="A481" s="8" t="s">
        <v>11693</v>
      </c>
      <c r="B481" s="8" t="s">
        <v>894</v>
      </c>
      <c r="C481" s="8" t="s">
        <v>893</v>
      </c>
      <c r="D481" s="8" t="s">
        <v>198</v>
      </c>
      <c r="E481" s="11" t="n">
        <v>1000</v>
      </c>
      <c r="F481" s="8" t="s">
        <v>11502</v>
      </c>
      <c r="G481" s="8" t="s">
        <v>2653</v>
      </c>
      <c r="H481" s="8" t="s">
        <v>11610</v>
      </c>
      <c r="I481" s="8"/>
      <c r="J481" s="8" t="s">
        <v>11511</v>
      </c>
    </row>
    <row r="482" customFormat="false" ht="15" hidden="false" customHeight="true" outlineLevel="0" collapsed="false">
      <c r="A482" s="8" t="s">
        <v>11693</v>
      </c>
      <c r="B482" s="8" t="s">
        <v>894</v>
      </c>
      <c r="C482" s="8" t="s">
        <v>893</v>
      </c>
      <c r="D482" s="8" t="s">
        <v>198</v>
      </c>
      <c r="E482" s="11" t="n">
        <v>5000</v>
      </c>
      <c r="F482" s="8" t="s">
        <v>11502</v>
      </c>
      <c r="G482" s="8" t="s">
        <v>2710</v>
      </c>
      <c r="H482" s="8" t="s">
        <v>11610</v>
      </c>
      <c r="I482" s="8"/>
      <c r="J482" s="8" t="s">
        <v>11513</v>
      </c>
    </row>
    <row r="483" customFormat="false" ht="15" hidden="false" customHeight="true" outlineLevel="0" collapsed="false">
      <c r="A483" s="8" t="s">
        <v>11693</v>
      </c>
      <c r="B483" s="8" t="s">
        <v>894</v>
      </c>
      <c r="C483" s="8" t="s">
        <v>893</v>
      </c>
      <c r="D483" s="8" t="s">
        <v>198</v>
      </c>
      <c r="E483" s="11" t="n">
        <v>5000</v>
      </c>
      <c r="F483" s="8" t="s">
        <v>11502</v>
      </c>
      <c r="G483" s="8" t="s">
        <v>2711</v>
      </c>
      <c r="H483" s="8" t="s">
        <v>11610</v>
      </c>
      <c r="I483" s="8"/>
      <c r="J483" s="8" t="s">
        <v>11514</v>
      </c>
    </row>
    <row r="484" customFormat="false" ht="15" hidden="false" customHeight="true" outlineLevel="0" collapsed="false">
      <c r="A484" s="8" t="s">
        <v>11693</v>
      </c>
      <c r="B484" s="8" t="s">
        <v>894</v>
      </c>
      <c r="C484" s="8" t="s">
        <v>893</v>
      </c>
      <c r="D484" s="8" t="s">
        <v>198</v>
      </c>
      <c r="E484" s="11" t="n">
        <v>1000</v>
      </c>
      <c r="F484" s="8" t="s">
        <v>11502</v>
      </c>
      <c r="G484" s="8" t="s">
        <v>2729</v>
      </c>
      <c r="H484" s="8" t="s">
        <v>11610</v>
      </c>
      <c r="I484" s="8"/>
      <c r="J484" s="8" t="s">
        <v>11515</v>
      </c>
    </row>
    <row r="485" customFormat="false" ht="15" hidden="false" customHeight="true" outlineLevel="0" collapsed="false">
      <c r="A485" s="8" t="s">
        <v>11693</v>
      </c>
      <c r="B485" s="8" t="s">
        <v>894</v>
      </c>
      <c r="C485" s="8" t="s">
        <v>893</v>
      </c>
      <c r="D485" s="8" t="s">
        <v>198</v>
      </c>
      <c r="E485" s="11" t="n">
        <v>1000</v>
      </c>
      <c r="F485" s="8" t="s">
        <v>11502</v>
      </c>
      <c r="G485" s="8" t="s">
        <v>2730</v>
      </c>
      <c r="H485" s="8" t="s">
        <v>11610</v>
      </c>
      <c r="I485" s="8"/>
      <c r="J485" s="8" t="s">
        <v>11516</v>
      </c>
    </row>
    <row r="486" customFormat="false" ht="15" hidden="false" customHeight="true" outlineLevel="0" collapsed="false">
      <c r="A486" s="8" t="s">
        <v>11693</v>
      </c>
      <c r="B486" s="8" t="s">
        <v>894</v>
      </c>
      <c r="C486" s="8" t="s">
        <v>893</v>
      </c>
      <c r="D486" s="8" t="s">
        <v>198</v>
      </c>
      <c r="E486" s="11" t="n">
        <v>1000</v>
      </c>
      <c r="F486" s="8" t="s">
        <v>11502</v>
      </c>
      <c r="G486" s="8" t="s">
        <v>2731</v>
      </c>
      <c r="H486" s="8" t="s">
        <v>11610</v>
      </c>
      <c r="I486" s="8"/>
      <c r="J486" s="8" t="s">
        <v>11727</v>
      </c>
    </row>
    <row r="487" customFormat="false" ht="15" hidden="false" customHeight="true" outlineLevel="0" collapsed="false">
      <c r="A487" s="8" t="s">
        <v>11693</v>
      </c>
      <c r="B487" s="8" t="s">
        <v>894</v>
      </c>
      <c r="C487" s="8" t="s">
        <v>893</v>
      </c>
      <c r="D487" s="8" t="s">
        <v>198</v>
      </c>
      <c r="E487" s="11" t="n">
        <v>1000</v>
      </c>
      <c r="F487" s="8" t="s">
        <v>11502</v>
      </c>
      <c r="G487" s="8" t="s">
        <v>2732</v>
      </c>
      <c r="H487" s="8" t="s">
        <v>11610</v>
      </c>
      <c r="I487" s="8"/>
      <c r="J487" s="8" t="s">
        <v>11728</v>
      </c>
    </row>
    <row r="488" customFormat="false" ht="15" hidden="false" customHeight="true" outlineLevel="0" collapsed="false">
      <c r="A488" s="8" t="s">
        <v>11693</v>
      </c>
      <c r="B488" s="8" t="s">
        <v>894</v>
      </c>
      <c r="C488" s="8" t="s">
        <v>893</v>
      </c>
      <c r="D488" s="8" t="s">
        <v>198</v>
      </c>
      <c r="E488" s="11" t="n">
        <v>1000</v>
      </c>
      <c r="F488" s="8" t="s">
        <v>11502</v>
      </c>
      <c r="G488" s="8" t="s">
        <v>2733</v>
      </c>
      <c r="H488" s="8" t="s">
        <v>11610</v>
      </c>
      <c r="I488" s="8"/>
      <c r="J488" s="8" t="s">
        <v>11729</v>
      </c>
    </row>
    <row r="489" customFormat="false" ht="15" hidden="false" customHeight="true" outlineLevel="0" collapsed="false">
      <c r="A489" s="8" t="s">
        <v>11693</v>
      </c>
      <c r="B489" s="8" t="s">
        <v>894</v>
      </c>
      <c r="C489" s="8" t="s">
        <v>893</v>
      </c>
      <c r="D489" s="8" t="s">
        <v>198</v>
      </c>
      <c r="E489" s="11" t="n">
        <v>1000</v>
      </c>
      <c r="F489" s="8" t="s">
        <v>11502</v>
      </c>
      <c r="G489" s="8" t="s">
        <v>2734</v>
      </c>
      <c r="H489" s="8" t="s">
        <v>11610</v>
      </c>
      <c r="I489" s="8"/>
      <c r="J489" s="8" t="s">
        <v>11730</v>
      </c>
    </row>
    <row r="490" customFormat="false" ht="15" hidden="false" customHeight="true" outlineLevel="0" collapsed="false">
      <c r="A490" s="8" t="s">
        <v>11693</v>
      </c>
      <c r="B490" s="8" t="s">
        <v>894</v>
      </c>
      <c r="C490" s="8" t="s">
        <v>893</v>
      </c>
      <c r="D490" s="8" t="s">
        <v>198</v>
      </c>
      <c r="E490" s="11" t="n">
        <v>1000</v>
      </c>
      <c r="F490" s="8" t="s">
        <v>11502</v>
      </c>
      <c r="G490" s="8" t="s">
        <v>2735</v>
      </c>
      <c r="H490" s="8" t="s">
        <v>11610</v>
      </c>
      <c r="I490" s="8"/>
      <c r="J490" s="8" t="s">
        <v>11731</v>
      </c>
    </row>
    <row r="491" customFormat="false" ht="15" hidden="false" customHeight="true" outlineLevel="0" collapsed="false">
      <c r="A491" s="8" t="s">
        <v>11693</v>
      </c>
      <c r="B491" s="8" t="s">
        <v>894</v>
      </c>
      <c r="C491" s="8" t="s">
        <v>893</v>
      </c>
      <c r="D491" s="8" t="s">
        <v>198</v>
      </c>
      <c r="E491" s="11" t="n">
        <v>1000</v>
      </c>
      <c r="F491" s="8" t="s">
        <v>11502</v>
      </c>
      <c r="G491" s="8" t="s">
        <v>2736</v>
      </c>
      <c r="H491" s="8" t="s">
        <v>11610</v>
      </c>
      <c r="I491" s="8"/>
      <c r="J491" s="8" t="s">
        <v>11732</v>
      </c>
    </row>
    <row r="492" customFormat="false" ht="15" hidden="false" customHeight="true" outlineLevel="0" collapsed="false">
      <c r="A492" s="8" t="s">
        <v>11693</v>
      </c>
      <c r="B492" s="8" t="s">
        <v>894</v>
      </c>
      <c r="C492" s="8" t="s">
        <v>893</v>
      </c>
      <c r="D492" s="8" t="s">
        <v>198</v>
      </c>
      <c r="E492" s="11" t="n">
        <v>1000</v>
      </c>
      <c r="F492" s="8" t="s">
        <v>11502</v>
      </c>
      <c r="G492" s="8" t="s">
        <v>2737</v>
      </c>
      <c r="H492" s="8" t="s">
        <v>11610</v>
      </c>
      <c r="I492" s="8"/>
      <c r="J492" s="8" t="s">
        <v>11733</v>
      </c>
    </row>
    <row r="493" customFormat="false" ht="15" hidden="false" customHeight="true" outlineLevel="0" collapsed="false">
      <c r="A493" s="8" t="s">
        <v>11693</v>
      </c>
      <c r="B493" s="8" t="s">
        <v>894</v>
      </c>
      <c r="C493" s="8" t="s">
        <v>893</v>
      </c>
      <c r="D493" s="8" t="s">
        <v>198</v>
      </c>
      <c r="E493" s="11" t="n">
        <v>1000</v>
      </c>
      <c r="F493" s="8" t="s">
        <v>11502</v>
      </c>
      <c r="G493" s="8" t="s">
        <v>2738</v>
      </c>
      <c r="H493" s="8" t="s">
        <v>11610</v>
      </c>
      <c r="I493" s="8"/>
      <c r="J493" s="8" t="s">
        <v>11734</v>
      </c>
    </row>
    <row r="494" customFormat="false" ht="15" hidden="false" customHeight="true" outlineLevel="0" collapsed="false">
      <c r="A494" s="8" t="s">
        <v>11693</v>
      </c>
      <c r="B494" s="8" t="s">
        <v>894</v>
      </c>
      <c r="C494" s="8" t="s">
        <v>893</v>
      </c>
      <c r="D494" s="8" t="s">
        <v>198</v>
      </c>
      <c r="E494" s="11" t="n">
        <v>1000</v>
      </c>
      <c r="F494" s="8" t="s">
        <v>11502</v>
      </c>
      <c r="G494" s="8" t="s">
        <v>2739</v>
      </c>
      <c r="H494" s="8" t="s">
        <v>11610</v>
      </c>
      <c r="I494" s="8"/>
      <c r="J494" s="8" t="s">
        <v>11525</v>
      </c>
    </row>
    <row r="495" customFormat="false" ht="15" hidden="false" customHeight="true" outlineLevel="0" collapsed="false">
      <c r="A495" s="8" t="s">
        <v>11693</v>
      </c>
      <c r="B495" s="8" t="s">
        <v>894</v>
      </c>
      <c r="C495" s="8" t="s">
        <v>893</v>
      </c>
      <c r="D495" s="8" t="s">
        <v>198</v>
      </c>
      <c r="E495" s="11" t="n">
        <v>1000</v>
      </c>
      <c r="F495" s="8" t="s">
        <v>11502</v>
      </c>
      <c r="G495" s="8" t="s">
        <v>2740</v>
      </c>
      <c r="H495" s="8" t="s">
        <v>11610</v>
      </c>
      <c r="I495" s="8"/>
      <c r="J495" s="8" t="s">
        <v>11735</v>
      </c>
    </row>
    <row r="496" customFormat="false" ht="15" hidden="false" customHeight="true" outlineLevel="0" collapsed="false">
      <c r="A496" s="8" t="s">
        <v>11693</v>
      </c>
      <c r="B496" s="8" t="s">
        <v>894</v>
      </c>
      <c r="C496" s="8" t="s">
        <v>893</v>
      </c>
      <c r="D496" s="8" t="s">
        <v>198</v>
      </c>
      <c r="E496" s="11" t="n">
        <v>1000</v>
      </c>
      <c r="F496" s="8" t="s">
        <v>11502</v>
      </c>
      <c r="G496" s="8" t="s">
        <v>2741</v>
      </c>
      <c r="H496" s="8" t="s">
        <v>11610</v>
      </c>
      <c r="I496" s="8"/>
      <c r="J496" s="8" t="s">
        <v>11736</v>
      </c>
    </row>
    <row r="497" customFormat="false" ht="15" hidden="false" customHeight="true" outlineLevel="0" collapsed="false">
      <c r="A497" s="8" t="s">
        <v>11693</v>
      </c>
      <c r="B497" s="8" t="s">
        <v>894</v>
      </c>
      <c r="C497" s="8" t="s">
        <v>893</v>
      </c>
      <c r="D497" s="8" t="s">
        <v>198</v>
      </c>
      <c r="E497" s="11" t="n">
        <v>1000</v>
      </c>
      <c r="F497" s="8" t="s">
        <v>11502</v>
      </c>
      <c r="G497" s="8" t="s">
        <v>2742</v>
      </c>
      <c r="H497" s="8" t="s">
        <v>11610</v>
      </c>
      <c r="I497" s="8"/>
      <c r="J497" s="8" t="s">
        <v>11528</v>
      </c>
    </row>
    <row r="498" customFormat="false" ht="15" hidden="false" customHeight="true" outlineLevel="0" collapsed="false">
      <c r="A498" s="8" t="s">
        <v>11693</v>
      </c>
      <c r="B498" s="8" t="s">
        <v>894</v>
      </c>
      <c r="C498" s="8" t="s">
        <v>893</v>
      </c>
      <c r="D498" s="8" t="s">
        <v>198</v>
      </c>
      <c r="E498" s="11" t="n">
        <v>1000</v>
      </c>
      <c r="F498" s="8" t="s">
        <v>11502</v>
      </c>
      <c r="G498" s="8" t="s">
        <v>2743</v>
      </c>
      <c r="H498" s="8" t="s">
        <v>11610</v>
      </c>
      <c r="I498" s="8"/>
      <c r="J498" s="8" t="s">
        <v>11737</v>
      </c>
    </row>
    <row r="499" customFormat="false" ht="15" hidden="false" customHeight="true" outlineLevel="0" collapsed="false">
      <c r="A499" s="8" t="s">
        <v>11693</v>
      </c>
      <c r="B499" s="8" t="s">
        <v>894</v>
      </c>
      <c r="C499" s="8" t="s">
        <v>893</v>
      </c>
      <c r="D499" s="8" t="s">
        <v>198</v>
      </c>
      <c r="E499" s="11" t="n">
        <v>1000</v>
      </c>
      <c r="F499" s="8" t="s">
        <v>11502</v>
      </c>
      <c r="G499" s="8" t="s">
        <v>2744</v>
      </c>
      <c r="H499" s="8" t="s">
        <v>11610</v>
      </c>
      <c r="I499" s="8"/>
      <c r="J499" s="8" t="s">
        <v>11738</v>
      </c>
    </row>
    <row r="500" customFormat="false" ht="15" hidden="false" customHeight="true" outlineLevel="0" collapsed="false">
      <c r="A500" s="8" t="s">
        <v>11693</v>
      </c>
      <c r="B500" s="8" t="s">
        <v>894</v>
      </c>
      <c r="C500" s="8" t="s">
        <v>893</v>
      </c>
      <c r="D500" s="8" t="s">
        <v>198</v>
      </c>
      <c r="E500" s="11" t="n">
        <v>1000</v>
      </c>
      <c r="F500" s="8" t="s">
        <v>11502</v>
      </c>
      <c r="G500" s="8" t="s">
        <v>2745</v>
      </c>
      <c r="H500" s="8" t="s">
        <v>11610</v>
      </c>
      <c r="I500" s="8"/>
      <c r="J500" s="8" t="s">
        <v>11531</v>
      </c>
    </row>
    <row r="501" customFormat="false" ht="15" hidden="false" customHeight="true" outlineLevel="0" collapsed="false">
      <c r="A501" s="8" t="s">
        <v>11693</v>
      </c>
      <c r="B501" s="8" t="s">
        <v>894</v>
      </c>
      <c r="C501" s="8" t="s">
        <v>893</v>
      </c>
      <c r="D501" s="8" t="s">
        <v>198</v>
      </c>
      <c r="E501" s="11" t="n">
        <v>1000</v>
      </c>
      <c r="F501" s="8" t="s">
        <v>11502</v>
      </c>
      <c r="G501" s="8" t="s">
        <v>2746</v>
      </c>
      <c r="H501" s="8" t="s">
        <v>11610</v>
      </c>
      <c r="I501" s="8"/>
      <c r="J501" s="8" t="s">
        <v>11532</v>
      </c>
    </row>
    <row r="502" customFormat="false" ht="15" hidden="false" customHeight="true" outlineLevel="0" collapsed="false">
      <c r="A502" s="8" t="s">
        <v>11693</v>
      </c>
      <c r="B502" s="8" t="s">
        <v>894</v>
      </c>
      <c r="C502" s="8" t="s">
        <v>893</v>
      </c>
      <c r="D502" s="8" t="s">
        <v>198</v>
      </c>
      <c r="E502" s="11" t="n">
        <v>1000</v>
      </c>
      <c r="F502" s="8" t="s">
        <v>11502</v>
      </c>
      <c r="G502" s="8" t="s">
        <v>2747</v>
      </c>
      <c r="H502" s="8" t="s">
        <v>11610</v>
      </c>
      <c r="I502" s="8"/>
      <c r="J502" s="8" t="s">
        <v>11533</v>
      </c>
    </row>
    <row r="503" customFormat="false" ht="15" hidden="false" customHeight="true" outlineLevel="0" collapsed="false">
      <c r="A503" s="8" t="s">
        <v>11693</v>
      </c>
      <c r="B503" s="8" t="s">
        <v>894</v>
      </c>
      <c r="C503" s="8" t="s">
        <v>893</v>
      </c>
      <c r="D503" s="8" t="s">
        <v>198</v>
      </c>
      <c r="E503" s="11" t="n">
        <v>1000</v>
      </c>
      <c r="F503" s="8" t="s">
        <v>11502</v>
      </c>
      <c r="G503" s="8" t="s">
        <v>2748</v>
      </c>
      <c r="H503" s="8" t="s">
        <v>11610</v>
      </c>
      <c r="I503" s="8"/>
      <c r="J503" s="8" t="s">
        <v>11739</v>
      </c>
    </row>
    <row r="504" customFormat="false" ht="15" hidden="false" customHeight="true" outlineLevel="0" collapsed="false">
      <c r="A504" s="8" t="s">
        <v>11693</v>
      </c>
      <c r="B504" s="8" t="s">
        <v>894</v>
      </c>
      <c r="C504" s="8" t="s">
        <v>893</v>
      </c>
      <c r="D504" s="8" t="s">
        <v>198</v>
      </c>
      <c r="E504" s="11" t="n">
        <v>1000</v>
      </c>
      <c r="F504" s="8" t="s">
        <v>11502</v>
      </c>
      <c r="G504" s="8" t="s">
        <v>2656</v>
      </c>
      <c r="H504" s="8" t="s">
        <v>11610</v>
      </c>
      <c r="I504" s="8"/>
      <c r="J504" s="8" t="s">
        <v>11528</v>
      </c>
    </row>
    <row r="505" customFormat="false" ht="15" hidden="false" customHeight="true" outlineLevel="0" collapsed="false">
      <c r="A505" s="8" t="s">
        <v>11693</v>
      </c>
      <c r="B505" s="8" t="s">
        <v>894</v>
      </c>
      <c r="C505" s="8" t="s">
        <v>1021</v>
      </c>
      <c r="D505" s="8" t="s">
        <v>198</v>
      </c>
      <c r="E505" s="11" t="n">
        <v>0</v>
      </c>
      <c r="F505" s="8" t="s">
        <v>11305</v>
      </c>
      <c r="G505" s="8"/>
      <c r="H505" s="8" t="s">
        <v>11640</v>
      </c>
      <c r="I505" s="8"/>
      <c r="J505" s="8" t="s">
        <v>11537</v>
      </c>
    </row>
    <row r="506" customFormat="false" ht="15" hidden="false" customHeight="true" outlineLevel="0" collapsed="false">
      <c r="A506" s="8" t="s">
        <v>11693</v>
      </c>
      <c r="B506" s="8" t="s">
        <v>894</v>
      </c>
      <c r="C506" s="8" t="s">
        <v>197</v>
      </c>
      <c r="D506" s="8" t="s">
        <v>198</v>
      </c>
      <c r="E506" s="11" t="n">
        <v>0</v>
      </c>
      <c r="F506" s="8" t="s">
        <v>11322</v>
      </c>
      <c r="G506" s="8"/>
      <c r="H506" s="8" t="s">
        <v>11640</v>
      </c>
      <c r="I506" s="8"/>
      <c r="J506" s="8" t="s">
        <v>11740</v>
      </c>
    </row>
    <row r="507" customFormat="false" ht="15" hidden="false" customHeight="true" outlineLevel="0" collapsed="false">
      <c r="A507" s="8" t="s">
        <v>11693</v>
      </c>
      <c r="B507" s="8" t="s">
        <v>894</v>
      </c>
      <c r="C507" s="8" t="s">
        <v>1022</v>
      </c>
      <c r="D507" s="8" t="s">
        <v>198</v>
      </c>
      <c r="E507" s="11" t="n">
        <v>0</v>
      </c>
      <c r="F507" s="8" t="s">
        <v>11318</v>
      </c>
      <c r="G507" s="8"/>
      <c r="H507" s="8" t="s">
        <v>11640</v>
      </c>
      <c r="I507" s="8"/>
      <c r="J507" s="8" t="s">
        <v>11740</v>
      </c>
    </row>
    <row r="508" customFormat="false" ht="15" hidden="false" customHeight="true" outlineLevel="0" collapsed="false">
      <c r="A508" s="8" t="s">
        <v>11693</v>
      </c>
      <c r="B508" s="8" t="s">
        <v>894</v>
      </c>
      <c r="C508" s="8" t="s">
        <v>225</v>
      </c>
      <c r="D508" s="8" t="s">
        <v>226</v>
      </c>
      <c r="E508" s="11" t="n">
        <v>5000</v>
      </c>
      <c r="F508" s="8" t="s">
        <v>11308</v>
      </c>
      <c r="G508" s="8" t="s">
        <v>2627</v>
      </c>
      <c r="H508" s="8" t="s">
        <v>11610</v>
      </c>
      <c r="I508" s="8"/>
      <c r="J508" s="8" t="s">
        <v>11741</v>
      </c>
    </row>
    <row r="509" customFormat="false" ht="15" hidden="false" customHeight="true" outlineLevel="0" collapsed="false">
      <c r="A509" s="8" t="s">
        <v>11693</v>
      </c>
      <c r="B509" s="8" t="s">
        <v>894</v>
      </c>
      <c r="C509" s="8" t="s">
        <v>225</v>
      </c>
      <c r="D509" s="8" t="s">
        <v>226</v>
      </c>
      <c r="E509" s="11" t="n">
        <v>22500</v>
      </c>
      <c r="F509" s="8" t="s">
        <v>11308</v>
      </c>
      <c r="G509" s="8" t="s">
        <v>2627</v>
      </c>
      <c r="H509" s="8" t="s">
        <v>11610</v>
      </c>
      <c r="I509" s="8"/>
      <c r="J509" s="8" t="s">
        <v>11542</v>
      </c>
    </row>
    <row r="510" customFormat="false" ht="15" hidden="false" customHeight="true" outlineLevel="0" collapsed="false">
      <c r="A510" s="8" t="s">
        <v>11693</v>
      </c>
      <c r="B510" s="8" t="s">
        <v>894</v>
      </c>
      <c r="C510" s="8" t="s">
        <v>225</v>
      </c>
      <c r="D510" s="8" t="s">
        <v>226</v>
      </c>
      <c r="E510" s="11" t="n">
        <v>5000</v>
      </c>
      <c r="F510" s="8" t="s">
        <v>11308</v>
      </c>
      <c r="G510" s="8" t="s">
        <v>2627</v>
      </c>
      <c r="H510" s="8" t="s">
        <v>11610</v>
      </c>
      <c r="I510" s="8"/>
      <c r="J510" s="8" t="s">
        <v>11542</v>
      </c>
    </row>
    <row r="511" customFormat="false" ht="15" hidden="false" customHeight="true" outlineLevel="0" collapsed="false">
      <c r="A511" s="8" t="s">
        <v>11693</v>
      </c>
      <c r="B511" s="8" t="s">
        <v>894</v>
      </c>
      <c r="C511" s="8" t="s">
        <v>225</v>
      </c>
      <c r="D511" s="8" t="s">
        <v>226</v>
      </c>
      <c r="E511" s="11" t="n">
        <v>5000</v>
      </c>
      <c r="F511" s="8" t="s">
        <v>11308</v>
      </c>
      <c r="G511" s="8" t="s">
        <v>2627</v>
      </c>
      <c r="H511" s="8" t="s">
        <v>11610</v>
      </c>
      <c r="I511" s="8"/>
      <c r="J511" s="8" t="s">
        <v>11542</v>
      </c>
    </row>
    <row r="512" customFormat="false" ht="15" hidden="false" customHeight="true" outlineLevel="0" collapsed="false">
      <c r="A512" s="8" t="s">
        <v>11693</v>
      </c>
      <c r="B512" s="8" t="s">
        <v>894</v>
      </c>
      <c r="C512" s="8" t="s">
        <v>933</v>
      </c>
      <c r="D512" s="8" t="s">
        <v>508</v>
      </c>
      <c r="E512" s="11" t="n">
        <v>5000</v>
      </c>
      <c r="F512" s="8" t="s">
        <v>11305</v>
      </c>
      <c r="G512" s="8" t="s">
        <v>11701</v>
      </c>
      <c r="H512" s="8" t="s">
        <v>11610</v>
      </c>
      <c r="I512" s="8"/>
      <c r="J512" s="8" t="s">
        <v>11621</v>
      </c>
    </row>
    <row r="513" customFormat="false" ht="15" hidden="false" customHeight="true" outlineLevel="0" collapsed="false">
      <c r="A513" s="8" t="s">
        <v>11693</v>
      </c>
      <c r="B513" s="8" t="s">
        <v>894</v>
      </c>
      <c r="C513" s="8" t="s">
        <v>1005</v>
      </c>
      <c r="D513" s="8" t="s">
        <v>1006</v>
      </c>
      <c r="E513" s="11" t="n">
        <v>5000</v>
      </c>
      <c r="F513" s="8" t="s">
        <v>11308</v>
      </c>
      <c r="G513" s="8" t="s">
        <v>11649</v>
      </c>
      <c r="H513" s="8" t="s">
        <v>11461</v>
      </c>
      <c r="I513" s="8"/>
      <c r="J513" s="8" t="s">
        <v>11650</v>
      </c>
    </row>
    <row r="514" customFormat="false" ht="15" hidden="false" customHeight="true" outlineLevel="0" collapsed="false">
      <c r="A514" s="8" t="s">
        <v>11693</v>
      </c>
      <c r="B514" s="8" t="s">
        <v>894</v>
      </c>
      <c r="C514" s="8" t="s">
        <v>771</v>
      </c>
      <c r="D514" s="8" t="s">
        <v>512</v>
      </c>
      <c r="E514" s="11" t="n">
        <v>5000</v>
      </c>
      <c r="F514" s="8" t="s">
        <v>11318</v>
      </c>
      <c r="G514" s="8"/>
      <c r="H514" s="8" t="s">
        <v>11610</v>
      </c>
      <c r="I514" s="8"/>
      <c r="J514" s="8" t="s">
        <v>11545</v>
      </c>
    </row>
    <row r="515" customFormat="false" ht="15" hidden="false" customHeight="true" outlineLevel="0" collapsed="false">
      <c r="A515" s="8" t="s">
        <v>11693</v>
      </c>
      <c r="B515" s="8" t="s">
        <v>894</v>
      </c>
      <c r="C515" s="8" t="s">
        <v>515</v>
      </c>
      <c r="D515" s="8" t="s">
        <v>516</v>
      </c>
      <c r="E515" s="11" t="n">
        <v>5000</v>
      </c>
      <c r="F515" s="8" t="s">
        <v>11308</v>
      </c>
      <c r="G515" s="8"/>
      <c r="H515" s="8" t="s">
        <v>11610</v>
      </c>
      <c r="I515" s="8"/>
      <c r="J515" s="8" t="s">
        <v>11546</v>
      </c>
    </row>
    <row r="516" customFormat="false" ht="15" hidden="false" customHeight="true" outlineLevel="0" collapsed="false">
      <c r="A516" s="8" t="s">
        <v>11693</v>
      </c>
      <c r="B516" s="8" t="s">
        <v>894</v>
      </c>
      <c r="C516" s="8" t="s">
        <v>380</v>
      </c>
      <c r="D516" s="8" t="s">
        <v>381</v>
      </c>
      <c r="E516" s="11" t="n">
        <v>5000</v>
      </c>
      <c r="F516" s="8" t="s">
        <v>11305</v>
      </c>
      <c r="G516" s="8" t="s">
        <v>2627</v>
      </c>
      <c r="H516" s="8" t="s">
        <v>11610</v>
      </c>
      <c r="I516" s="8"/>
      <c r="J516" s="8" t="s">
        <v>11547</v>
      </c>
    </row>
    <row r="517" customFormat="false" ht="15" hidden="false" customHeight="true" outlineLevel="0" collapsed="false">
      <c r="A517" s="8" t="s">
        <v>11693</v>
      </c>
      <c r="B517" s="8" t="s">
        <v>894</v>
      </c>
      <c r="C517" s="8" t="s">
        <v>1030</v>
      </c>
      <c r="D517" s="8" t="s">
        <v>1031</v>
      </c>
      <c r="E517" s="11" t="n">
        <v>0</v>
      </c>
      <c r="F517" s="8" t="s">
        <v>11322</v>
      </c>
      <c r="G517" s="8"/>
      <c r="H517" s="8" t="s">
        <v>11615</v>
      </c>
      <c r="I517" s="8"/>
      <c r="J517" s="8" t="s">
        <v>11742</v>
      </c>
    </row>
    <row r="518" customFormat="false" ht="15" hidden="false" customHeight="true" outlineLevel="0" collapsed="false">
      <c r="A518" s="8" t="s">
        <v>11693</v>
      </c>
      <c r="B518" s="8" t="s">
        <v>894</v>
      </c>
      <c r="C518" s="8" t="s">
        <v>1202</v>
      </c>
      <c r="D518" s="8" t="s">
        <v>439</v>
      </c>
      <c r="E518" s="11" t="n">
        <v>10000</v>
      </c>
      <c r="F518" s="8" t="s">
        <v>11305</v>
      </c>
      <c r="G518" s="8" t="s">
        <v>8762</v>
      </c>
      <c r="H518" s="8" t="s">
        <v>11610</v>
      </c>
      <c r="I518" s="8"/>
      <c r="J518" s="8" t="s">
        <v>11656</v>
      </c>
    </row>
    <row r="519" customFormat="false" ht="15" hidden="false" customHeight="true" outlineLevel="0" collapsed="false">
      <c r="A519" s="8" t="s">
        <v>11693</v>
      </c>
      <c r="B519" s="8" t="s">
        <v>894</v>
      </c>
      <c r="C519" s="8" t="s">
        <v>964</v>
      </c>
      <c r="D519" s="8" t="s">
        <v>965</v>
      </c>
      <c r="E519" s="11" t="n">
        <v>20000</v>
      </c>
      <c r="F519" s="8" t="s">
        <v>11308</v>
      </c>
      <c r="G519" s="8" t="s">
        <v>11743</v>
      </c>
      <c r="H519" s="8" t="s">
        <v>11610</v>
      </c>
      <c r="I519" s="8"/>
      <c r="J519" s="8" t="s">
        <v>11744</v>
      </c>
    </row>
    <row r="520" customFormat="false" ht="15" hidden="false" customHeight="true" outlineLevel="0" collapsed="false">
      <c r="A520" s="8" t="s">
        <v>11693</v>
      </c>
      <c r="B520" s="8" t="s">
        <v>894</v>
      </c>
      <c r="C520" s="8" t="s">
        <v>462</v>
      </c>
      <c r="D520" s="8" t="s">
        <v>463</v>
      </c>
      <c r="E520" s="11" t="n">
        <v>10000</v>
      </c>
      <c r="F520" s="8" t="s">
        <v>11308</v>
      </c>
      <c r="G520" s="8" t="s">
        <v>2627</v>
      </c>
      <c r="H520" s="8" t="s">
        <v>11610</v>
      </c>
      <c r="I520" s="8"/>
      <c r="J520" s="8" t="s">
        <v>11745</v>
      </c>
    </row>
    <row r="521" customFormat="false" ht="15" hidden="false" customHeight="true" outlineLevel="0" collapsed="false">
      <c r="A521" s="8" t="s">
        <v>11693</v>
      </c>
      <c r="B521" s="8" t="s">
        <v>894</v>
      </c>
      <c r="C521" s="8" t="s">
        <v>925</v>
      </c>
      <c r="D521" s="8" t="s">
        <v>198</v>
      </c>
      <c r="E521" s="11" t="n">
        <v>2000</v>
      </c>
      <c r="F521" s="8" t="s">
        <v>11554</v>
      </c>
      <c r="G521" s="8" t="s">
        <v>2715</v>
      </c>
      <c r="H521" s="8" t="s">
        <v>11610</v>
      </c>
      <c r="I521" s="8"/>
      <c r="J521" s="8" t="s">
        <v>11555</v>
      </c>
    </row>
    <row r="522" customFormat="false" ht="15" hidden="false" customHeight="true" outlineLevel="0" collapsed="false">
      <c r="A522" s="8" t="s">
        <v>11693</v>
      </c>
      <c r="B522" s="8" t="s">
        <v>894</v>
      </c>
      <c r="C522" s="8" t="s">
        <v>925</v>
      </c>
      <c r="D522" s="8" t="s">
        <v>198</v>
      </c>
      <c r="E522" s="11" t="n">
        <v>2000</v>
      </c>
      <c r="F522" s="8" t="s">
        <v>11554</v>
      </c>
      <c r="G522" s="8" t="s">
        <v>2716</v>
      </c>
      <c r="H522" s="8" t="s">
        <v>11610</v>
      </c>
      <c r="I522" s="8"/>
      <c r="J522" s="8" t="s">
        <v>11556</v>
      </c>
    </row>
    <row r="523" customFormat="false" ht="15" hidden="false" customHeight="true" outlineLevel="0" collapsed="false">
      <c r="A523" s="8" t="s">
        <v>11693</v>
      </c>
      <c r="B523" s="8" t="s">
        <v>894</v>
      </c>
      <c r="C523" s="8" t="s">
        <v>925</v>
      </c>
      <c r="D523" s="8" t="s">
        <v>198</v>
      </c>
      <c r="E523" s="11" t="n">
        <v>2000</v>
      </c>
      <c r="F523" s="8" t="s">
        <v>11554</v>
      </c>
      <c r="G523" s="8" t="s">
        <v>2717</v>
      </c>
      <c r="H523" s="8" t="s">
        <v>11610</v>
      </c>
      <c r="I523" s="8"/>
      <c r="J523" s="8" t="s">
        <v>11557</v>
      </c>
    </row>
    <row r="524" customFormat="false" ht="15" hidden="false" customHeight="true" outlineLevel="0" collapsed="false">
      <c r="A524" s="8" t="s">
        <v>11693</v>
      </c>
      <c r="B524" s="8" t="s">
        <v>894</v>
      </c>
      <c r="C524" s="8" t="s">
        <v>925</v>
      </c>
      <c r="D524" s="8" t="s">
        <v>198</v>
      </c>
      <c r="E524" s="11" t="n">
        <v>2000</v>
      </c>
      <c r="F524" s="8" t="s">
        <v>11554</v>
      </c>
      <c r="G524" s="8" t="s">
        <v>2718</v>
      </c>
      <c r="H524" s="8" t="s">
        <v>11610</v>
      </c>
      <c r="I524" s="8"/>
      <c r="J524" s="8" t="s">
        <v>11558</v>
      </c>
    </row>
    <row r="525" customFormat="false" ht="15" hidden="false" customHeight="true" outlineLevel="0" collapsed="false">
      <c r="A525" s="8" t="s">
        <v>11693</v>
      </c>
      <c r="B525" s="8" t="s">
        <v>894</v>
      </c>
      <c r="C525" s="8" t="s">
        <v>925</v>
      </c>
      <c r="D525" s="8" t="s">
        <v>198</v>
      </c>
      <c r="E525" s="11" t="n">
        <v>2000</v>
      </c>
      <c r="F525" s="8" t="s">
        <v>11554</v>
      </c>
      <c r="G525" s="8" t="s">
        <v>2719</v>
      </c>
      <c r="H525" s="8" t="s">
        <v>11610</v>
      </c>
      <c r="I525" s="8"/>
      <c r="J525" s="8" t="s">
        <v>11559</v>
      </c>
    </row>
    <row r="526" customFormat="false" ht="15" hidden="false" customHeight="true" outlineLevel="0" collapsed="false">
      <c r="A526" s="8" t="s">
        <v>11693</v>
      </c>
      <c r="B526" s="8" t="s">
        <v>894</v>
      </c>
      <c r="C526" s="8" t="s">
        <v>925</v>
      </c>
      <c r="D526" s="8" t="s">
        <v>198</v>
      </c>
      <c r="E526" s="11" t="n">
        <v>2000</v>
      </c>
      <c r="F526" s="8" t="s">
        <v>11554</v>
      </c>
      <c r="G526" s="8" t="s">
        <v>2720</v>
      </c>
      <c r="H526" s="8" t="s">
        <v>11610</v>
      </c>
      <c r="I526" s="8"/>
      <c r="J526" s="8" t="s">
        <v>11560</v>
      </c>
    </row>
    <row r="527" customFormat="false" ht="15" hidden="false" customHeight="true" outlineLevel="0" collapsed="false">
      <c r="A527" s="8" t="s">
        <v>11693</v>
      </c>
      <c r="B527" s="8" t="s">
        <v>894</v>
      </c>
      <c r="C527" s="8" t="s">
        <v>925</v>
      </c>
      <c r="D527" s="8" t="s">
        <v>198</v>
      </c>
      <c r="E527" s="11" t="n">
        <v>2000</v>
      </c>
      <c r="F527" s="8" t="s">
        <v>11554</v>
      </c>
      <c r="G527" s="8" t="s">
        <v>2721</v>
      </c>
      <c r="H527" s="8" t="s">
        <v>11610</v>
      </c>
      <c r="I527" s="8"/>
      <c r="J527" s="8" t="s">
        <v>11561</v>
      </c>
    </row>
    <row r="528" customFormat="false" ht="15" hidden="false" customHeight="true" outlineLevel="0" collapsed="false">
      <c r="A528" s="8" t="s">
        <v>11693</v>
      </c>
      <c r="B528" s="8" t="s">
        <v>894</v>
      </c>
      <c r="C528" s="8" t="s">
        <v>925</v>
      </c>
      <c r="D528" s="8" t="s">
        <v>198</v>
      </c>
      <c r="E528" s="11" t="n">
        <v>2000</v>
      </c>
      <c r="F528" s="8" t="s">
        <v>11554</v>
      </c>
      <c r="G528" s="8" t="s">
        <v>2722</v>
      </c>
      <c r="H528" s="8" t="s">
        <v>11610</v>
      </c>
      <c r="I528" s="8"/>
      <c r="J528" s="8" t="s">
        <v>11562</v>
      </c>
    </row>
    <row r="529" customFormat="false" ht="15" hidden="false" customHeight="true" outlineLevel="0" collapsed="false">
      <c r="A529" s="8" t="s">
        <v>11693</v>
      </c>
      <c r="B529" s="8" t="s">
        <v>894</v>
      </c>
      <c r="C529" s="8" t="s">
        <v>326</v>
      </c>
      <c r="D529" s="8" t="s">
        <v>327</v>
      </c>
      <c r="E529" s="11" t="n">
        <v>5000</v>
      </c>
      <c r="F529" s="8" t="s">
        <v>11305</v>
      </c>
      <c r="G529" s="8" t="s">
        <v>2703</v>
      </c>
      <c r="H529" s="8" t="s">
        <v>11610</v>
      </c>
      <c r="I529" s="8"/>
      <c r="J529" s="8" t="s">
        <v>11479</v>
      </c>
    </row>
    <row r="530" customFormat="false" ht="15" hidden="false" customHeight="true" outlineLevel="0" collapsed="false">
      <c r="A530" s="8" t="s">
        <v>11693</v>
      </c>
      <c r="B530" s="8" t="s">
        <v>894</v>
      </c>
      <c r="C530" s="8" t="s">
        <v>11746</v>
      </c>
      <c r="D530" s="8" t="s">
        <v>1012</v>
      </c>
      <c r="E530" s="11" t="n">
        <v>5000</v>
      </c>
      <c r="F530" s="8" t="s">
        <v>11308</v>
      </c>
      <c r="G530" s="8"/>
      <c r="H530" s="8" t="s">
        <v>11610</v>
      </c>
      <c r="I530" s="8"/>
      <c r="J530" s="8" t="s">
        <v>11747</v>
      </c>
    </row>
    <row r="531" customFormat="false" ht="15" hidden="false" customHeight="true" outlineLevel="0" collapsed="false">
      <c r="A531" s="8" t="s">
        <v>11693</v>
      </c>
      <c r="B531" s="8" t="s">
        <v>894</v>
      </c>
      <c r="C531" s="8" t="s">
        <v>523</v>
      </c>
      <c r="D531" s="8" t="s">
        <v>524</v>
      </c>
      <c r="E531" s="11" t="n">
        <v>5000</v>
      </c>
      <c r="F531" s="8" t="s">
        <v>11308</v>
      </c>
      <c r="G531" s="8"/>
      <c r="H531" s="8" t="s">
        <v>11610</v>
      </c>
      <c r="I531" s="8"/>
      <c r="J531" s="8" t="s">
        <v>11564</v>
      </c>
    </row>
    <row r="532" customFormat="false" ht="15" hidden="false" customHeight="true" outlineLevel="0" collapsed="false">
      <c r="A532" s="8" t="s">
        <v>11693</v>
      </c>
      <c r="B532" s="8" t="s">
        <v>894</v>
      </c>
      <c r="C532" s="8" t="s">
        <v>340</v>
      </c>
      <c r="D532" s="8" t="s">
        <v>341</v>
      </c>
      <c r="E532" s="11" t="n">
        <v>10000</v>
      </c>
      <c r="F532" s="8" t="s">
        <v>11319</v>
      </c>
      <c r="G532" s="8" t="s">
        <v>2627</v>
      </c>
      <c r="H532" s="8" t="s">
        <v>11610</v>
      </c>
      <c r="I532" s="8"/>
      <c r="J532" s="8" t="s">
        <v>11748</v>
      </c>
    </row>
    <row r="533" customFormat="false" ht="15" hidden="false" customHeight="true" outlineLevel="0" collapsed="false">
      <c r="A533" s="8" t="s">
        <v>11693</v>
      </c>
      <c r="B533" s="8" t="s">
        <v>894</v>
      </c>
      <c r="C533" s="8" t="s">
        <v>973</v>
      </c>
      <c r="D533" s="8" t="s">
        <v>198</v>
      </c>
      <c r="E533" s="11" t="n">
        <v>10000</v>
      </c>
      <c r="F533" s="8" t="s">
        <v>11659</v>
      </c>
      <c r="G533" s="8" t="s">
        <v>11660</v>
      </c>
      <c r="H533" s="8" t="s">
        <v>11610</v>
      </c>
      <c r="I533" s="8"/>
      <c r="J533" s="8" t="s">
        <v>11661</v>
      </c>
    </row>
    <row r="534" customFormat="false" ht="15" hidden="false" customHeight="true" outlineLevel="0" collapsed="false">
      <c r="A534" s="8" t="s">
        <v>11693</v>
      </c>
      <c r="B534" s="8" t="s">
        <v>894</v>
      </c>
      <c r="C534" s="8" t="s">
        <v>11627</v>
      </c>
      <c r="D534" s="8" t="s">
        <v>930</v>
      </c>
      <c r="E534" s="11" t="n">
        <v>15000</v>
      </c>
      <c r="F534" s="8" t="s">
        <v>11308</v>
      </c>
      <c r="G534" s="8" t="s">
        <v>11628</v>
      </c>
      <c r="H534" s="8" t="s">
        <v>11610</v>
      </c>
      <c r="I534" s="8"/>
      <c r="J534" s="8" t="s">
        <v>11749</v>
      </c>
    </row>
    <row r="535" customFormat="false" ht="15" hidden="false" customHeight="true" outlineLevel="0" collapsed="false">
      <c r="A535" s="8" t="s">
        <v>11693</v>
      </c>
      <c r="B535" s="8" t="s">
        <v>894</v>
      </c>
      <c r="C535" s="8" t="s">
        <v>975</v>
      </c>
      <c r="D535" s="8" t="s">
        <v>976</v>
      </c>
      <c r="E535" s="11" t="n">
        <v>5000</v>
      </c>
      <c r="F535" s="8" t="s">
        <v>11305</v>
      </c>
      <c r="G535" s="8" t="s">
        <v>11662</v>
      </c>
      <c r="H535" s="8" t="s">
        <v>11610</v>
      </c>
      <c r="I535" s="8"/>
      <c r="J535" s="8" t="s">
        <v>11663</v>
      </c>
    </row>
    <row r="536" customFormat="false" ht="15" hidden="false" customHeight="true" outlineLevel="0" collapsed="false">
      <c r="A536" s="8" t="s">
        <v>11693</v>
      </c>
      <c r="B536" s="8" t="s">
        <v>894</v>
      </c>
      <c r="C536" s="8" t="s">
        <v>317</v>
      </c>
      <c r="D536" s="8" t="s">
        <v>318</v>
      </c>
      <c r="E536" s="11" t="n">
        <v>75000</v>
      </c>
      <c r="F536" s="8" t="s">
        <v>11308</v>
      </c>
      <c r="G536" s="8" t="s">
        <v>2627</v>
      </c>
      <c r="H536" s="8" t="s">
        <v>11610</v>
      </c>
      <c r="I536" s="8"/>
      <c r="J536" s="8" t="s">
        <v>11750</v>
      </c>
    </row>
    <row r="537" customFormat="false" ht="15" hidden="false" customHeight="true" outlineLevel="0" collapsed="false">
      <c r="A537" s="8" t="s">
        <v>11693</v>
      </c>
      <c r="B537" s="8" t="s">
        <v>894</v>
      </c>
      <c r="C537" s="8" t="s">
        <v>977</v>
      </c>
      <c r="D537" s="8" t="s">
        <v>978</v>
      </c>
      <c r="E537" s="11" t="n">
        <v>5000</v>
      </c>
      <c r="F537" s="8" t="s">
        <v>11318</v>
      </c>
      <c r="G537" s="8"/>
      <c r="H537" s="8" t="s">
        <v>11610</v>
      </c>
      <c r="I537" s="8"/>
      <c r="J537" s="8" t="s">
        <v>11664</v>
      </c>
    </row>
    <row r="538" customFormat="false" ht="15" hidden="false" customHeight="true" outlineLevel="0" collapsed="false">
      <c r="A538" s="8" t="s">
        <v>11693</v>
      </c>
      <c r="B538" s="8" t="s">
        <v>894</v>
      </c>
      <c r="C538" s="8" t="s">
        <v>997</v>
      </c>
      <c r="D538" s="8" t="s">
        <v>998</v>
      </c>
      <c r="E538" s="11" t="n">
        <v>7500</v>
      </c>
      <c r="F538" s="8" t="s">
        <v>11318</v>
      </c>
      <c r="G538" s="8" t="s">
        <v>11751</v>
      </c>
      <c r="H538" s="8" t="s">
        <v>11461</v>
      </c>
      <c r="I538" s="8"/>
      <c r="J538" s="8" t="s">
        <v>11752</v>
      </c>
    </row>
    <row r="539" customFormat="false" ht="15" hidden="false" customHeight="true" outlineLevel="0" collapsed="false">
      <c r="A539" s="8" t="s">
        <v>11693</v>
      </c>
      <c r="B539" s="8" t="s">
        <v>894</v>
      </c>
      <c r="C539" s="8" t="s">
        <v>1032</v>
      </c>
      <c r="D539" s="8" t="s">
        <v>1033</v>
      </c>
      <c r="E539" s="11" t="n">
        <v>0</v>
      </c>
      <c r="F539" s="8" t="s">
        <v>11318</v>
      </c>
      <c r="G539" s="8" t="s">
        <v>11753</v>
      </c>
      <c r="H539" s="8" t="s">
        <v>11615</v>
      </c>
      <c r="I539" s="8"/>
      <c r="J539" s="8" t="s">
        <v>11754</v>
      </c>
    </row>
    <row r="540" customFormat="false" ht="15" hidden="false" customHeight="true" outlineLevel="0" collapsed="false">
      <c r="A540" s="8" t="s">
        <v>11693</v>
      </c>
      <c r="B540" s="8" t="s">
        <v>894</v>
      </c>
      <c r="C540" s="8" t="s">
        <v>528</v>
      </c>
      <c r="D540" s="8" t="s">
        <v>529</v>
      </c>
      <c r="E540" s="11" t="n">
        <v>5000</v>
      </c>
      <c r="F540" s="8" t="s">
        <v>11308</v>
      </c>
      <c r="G540" s="8"/>
      <c r="H540" s="8" t="s">
        <v>11610</v>
      </c>
      <c r="I540" s="8"/>
      <c r="J540" s="8" t="s">
        <v>11572</v>
      </c>
    </row>
    <row r="541" customFormat="false" ht="15" hidden="false" customHeight="true" outlineLevel="0" collapsed="false">
      <c r="A541" s="8" t="s">
        <v>11693</v>
      </c>
      <c r="B541" s="8" t="s">
        <v>894</v>
      </c>
      <c r="C541" s="8" t="s">
        <v>388</v>
      </c>
      <c r="D541" s="8" t="s">
        <v>389</v>
      </c>
      <c r="E541" s="11" t="n">
        <v>5000</v>
      </c>
      <c r="F541" s="8" t="s">
        <v>11319</v>
      </c>
      <c r="G541" s="8" t="s">
        <v>2699</v>
      </c>
      <c r="H541" s="8" t="s">
        <v>11610</v>
      </c>
      <c r="I541" s="8"/>
      <c r="J541" s="8" t="s">
        <v>11669</v>
      </c>
    </row>
    <row r="542" customFormat="false" ht="15" hidden="false" customHeight="true" outlineLevel="0" collapsed="false">
      <c r="A542" s="8" t="s">
        <v>11693</v>
      </c>
      <c r="B542" s="8" t="s">
        <v>894</v>
      </c>
      <c r="C542" s="8" t="s">
        <v>979</v>
      </c>
      <c r="D542" s="8" t="s">
        <v>980</v>
      </c>
      <c r="E542" s="11" t="n">
        <v>5000</v>
      </c>
      <c r="F542" s="8" t="s">
        <v>11308</v>
      </c>
      <c r="G542" s="8" t="s">
        <v>11755</v>
      </c>
      <c r="H542" s="8" t="s">
        <v>11610</v>
      </c>
      <c r="I542" s="8"/>
      <c r="J542" s="8" t="s">
        <v>11671</v>
      </c>
    </row>
    <row r="543" customFormat="false" ht="15" hidden="false" customHeight="true" outlineLevel="0" collapsed="false">
      <c r="A543" s="8" t="s">
        <v>11693</v>
      </c>
      <c r="B543" s="8" t="s">
        <v>894</v>
      </c>
      <c r="C543" s="8" t="s">
        <v>300</v>
      </c>
      <c r="D543" s="8" t="s">
        <v>301</v>
      </c>
      <c r="E543" s="11" t="n">
        <v>28000</v>
      </c>
      <c r="F543" s="8" t="s">
        <v>11319</v>
      </c>
      <c r="G543" s="8"/>
      <c r="H543" s="8" t="s">
        <v>11610</v>
      </c>
      <c r="I543" s="8"/>
      <c r="J543" s="8" t="s">
        <v>11756</v>
      </c>
    </row>
    <row r="544" customFormat="false" ht="15" hidden="false" customHeight="true" outlineLevel="0" collapsed="false">
      <c r="A544" s="8" t="s">
        <v>11693</v>
      </c>
      <c r="B544" s="8" t="s">
        <v>894</v>
      </c>
      <c r="C544" s="8" t="s">
        <v>1034</v>
      </c>
      <c r="D544" s="8" t="s">
        <v>1035</v>
      </c>
      <c r="E544" s="11" t="n">
        <v>0</v>
      </c>
      <c r="F544" s="8" t="s">
        <v>11308</v>
      </c>
      <c r="G544" s="8"/>
      <c r="H544" s="8" t="s">
        <v>11615</v>
      </c>
      <c r="I544" s="8"/>
      <c r="J544" s="8" t="s">
        <v>11757</v>
      </c>
    </row>
    <row r="545" customFormat="false" ht="15" hidden="false" customHeight="true" outlineLevel="0" collapsed="false">
      <c r="A545" s="8" t="s">
        <v>11693</v>
      </c>
      <c r="B545" s="8" t="s">
        <v>894</v>
      </c>
      <c r="C545" s="8" t="s">
        <v>531</v>
      </c>
      <c r="D545" s="8" t="s">
        <v>532</v>
      </c>
      <c r="E545" s="11" t="n">
        <v>5000</v>
      </c>
      <c r="F545" s="8" t="s">
        <v>11308</v>
      </c>
      <c r="G545" s="8" t="s">
        <v>11574</v>
      </c>
      <c r="H545" s="8" t="s">
        <v>11461</v>
      </c>
      <c r="I545" s="8"/>
      <c r="J545" s="8" t="s">
        <v>11575</v>
      </c>
    </row>
    <row r="546" customFormat="false" ht="15" hidden="false" customHeight="true" outlineLevel="0" collapsed="false">
      <c r="A546" s="8" t="s">
        <v>11693</v>
      </c>
      <c r="B546" s="8" t="s">
        <v>894</v>
      </c>
      <c r="C546" s="8" t="s">
        <v>11758</v>
      </c>
      <c r="D546" s="8" t="s">
        <v>1014</v>
      </c>
      <c r="E546" s="11" t="n">
        <v>5000</v>
      </c>
      <c r="F546" s="8" t="s">
        <v>11308</v>
      </c>
      <c r="G546" s="8"/>
      <c r="H546" s="8" t="s">
        <v>11610</v>
      </c>
      <c r="I546" s="8"/>
      <c r="J546" s="8" t="s">
        <v>11759</v>
      </c>
    </row>
    <row r="547" customFormat="false" ht="15" hidden="false" customHeight="true" outlineLevel="0" collapsed="false">
      <c r="A547" s="8" t="s">
        <v>11693</v>
      </c>
      <c r="B547" s="8" t="s">
        <v>894</v>
      </c>
      <c r="C547" s="8" t="s">
        <v>718</v>
      </c>
      <c r="D547" s="8" t="s">
        <v>269</v>
      </c>
      <c r="E547" s="11" t="n">
        <v>5000</v>
      </c>
      <c r="F547" s="8" t="s">
        <v>11318</v>
      </c>
      <c r="G547" s="8"/>
      <c r="H547" s="8" t="s">
        <v>11610</v>
      </c>
      <c r="I547" s="8"/>
      <c r="J547" s="8" t="s">
        <v>11576</v>
      </c>
    </row>
    <row r="548" customFormat="false" ht="15" hidden="false" customHeight="true" outlineLevel="0" collapsed="false">
      <c r="A548" s="8" t="s">
        <v>11693</v>
      </c>
      <c r="B548" s="8" t="s">
        <v>894</v>
      </c>
      <c r="C548" s="8" t="s">
        <v>1036</v>
      </c>
      <c r="D548" s="8" t="s">
        <v>1037</v>
      </c>
      <c r="E548" s="11" t="n">
        <v>0</v>
      </c>
      <c r="F548" s="8" t="s">
        <v>11308</v>
      </c>
      <c r="G548" s="8" t="s">
        <v>2627</v>
      </c>
      <c r="H548" s="8" t="s">
        <v>11615</v>
      </c>
      <c r="I548" s="8"/>
      <c r="J548" s="8" t="s">
        <v>11760</v>
      </c>
    </row>
    <row r="549" customFormat="false" ht="15" hidden="false" customHeight="true" outlineLevel="0" collapsed="false">
      <c r="A549" s="8" t="s">
        <v>11693</v>
      </c>
      <c r="B549" s="8" t="s">
        <v>11579</v>
      </c>
      <c r="C549" s="8" t="s">
        <v>163</v>
      </c>
      <c r="D549" s="8" t="s">
        <v>947</v>
      </c>
      <c r="E549" s="11" t="n">
        <v>15000</v>
      </c>
      <c r="F549" s="8" t="s">
        <v>11318</v>
      </c>
      <c r="G549" s="8" t="s">
        <v>11761</v>
      </c>
      <c r="H549" s="8" t="s">
        <v>11610</v>
      </c>
      <c r="I549" s="8"/>
      <c r="J549" s="8" t="s">
        <v>11580</v>
      </c>
    </row>
    <row r="550" customFormat="false" ht="15" hidden="false" customHeight="true" outlineLevel="0" collapsed="false">
      <c r="A550" s="8" t="s">
        <v>11693</v>
      </c>
      <c r="B550" s="8" t="s">
        <v>11579</v>
      </c>
      <c r="C550" s="8" t="s">
        <v>1084</v>
      </c>
      <c r="D550" s="8" t="s">
        <v>212</v>
      </c>
      <c r="E550" s="11" t="n">
        <v>15000</v>
      </c>
      <c r="F550" s="8" t="s">
        <v>11318</v>
      </c>
      <c r="G550" s="8" t="s">
        <v>11762</v>
      </c>
      <c r="H550" s="8" t="s">
        <v>11610</v>
      </c>
      <c r="I550" s="8"/>
      <c r="J550" s="8" t="s">
        <v>11580</v>
      </c>
    </row>
    <row r="551" customFormat="false" ht="15" hidden="false" customHeight="true" outlineLevel="0" collapsed="false">
      <c r="A551" s="8" t="s">
        <v>11693</v>
      </c>
      <c r="B551" s="8" t="s">
        <v>11579</v>
      </c>
      <c r="C551" s="8" t="s">
        <v>2029</v>
      </c>
      <c r="D551" s="8" t="s">
        <v>305</v>
      </c>
      <c r="E551" s="11" t="n">
        <v>10000</v>
      </c>
      <c r="F551" s="8" t="s">
        <v>11318</v>
      </c>
      <c r="G551" s="8" t="s">
        <v>11763</v>
      </c>
      <c r="H551" s="8" t="s">
        <v>11610</v>
      </c>
      <c r="I551" s="8"/>
      <c r="J551" s="8" t="s">
        <v>11580</v>
      </c>
    </row>
    <row r="552" customFormat="false" ht="15" hidden="false" customHeight="true" outlineLevel="0" collapsed="false">
      <c r="A552" s="8" t="s">
        <v>11693</v>
      </c>
      <c r="B552" s="8" t="s">
        <v>11579</v>
      </c>
      <c r="C552" s="8" t="s">
        <v>718</v>
      </c>
      <c r="D552" s="8" t="s">
        <v>269</v>
      </c>
      <c r="E552" s="11" t="n">
        <v>10000</v>
      </c>
      <c r="F552" s="8" t="s">
        <v>11318</v>
      </c>
      <c r="G552" s="8" t="s">
        <v>7138</v>
      </c>
      <c r="H552" s="8" t="s">
        <v>11610</v>
      </c>
      <c r="I552" s="8"/>
      <c r="J552" s="8" t="s">
        <v>11580</v>
      </c>
    </row>
    <row r="553" customFormat="false" ht="15" hidden="false" customHeight="true" outlineLevel="0" collapsed="false">
      <c r="A553" s="8" t="s">
        <v>11693</v>
      </c>
      <c r="B553" s="8" t="s">
        <v>882</v>
      </c>
      <c r="C553" s="8" t="s">
        <v>2759</v>
      </c>
      <c r="D553" s="8" t="s">
        <v>256</v>
      </c>
      <c r="E553" s="11" t="n">
        <v>10000</v>
      </c>
      <c r="F553" s="8" t="s">
        <v>11308</v>
      </c>
      <c r="G553" s="8" t="s">
        <v>11673</v>
      </c>
      <c r="H553" s="8" t="s">
        <v>11610</v>
      </c>
      <c r="I553" s="8"/>
      <c r="J553" s="8" t="s">
        <v>11764</v>
      </c>
    </row>
    <row r="554" customFormat="false" ht="15" hidden="false" customHeight="true" outlineLevel="0" collapsed="false">
      <c r="A554" s="8" t="s">
        <v>11693</v>
      </c>
      <c r="B554" s="8" t="s">
        <v>882</v>
      </c>
      <c r="C554" s="8" t="s">
        <v>640</v>
      </c>
      <c r="D554" s="8" t="s">
        <v>198</v>
      </c>
      <c r="E554" s="11" t="n">
        <v>50000</v>
      </c>
      <c r="F554" s="8" t="s">
        <v>11324</v>
      </c>
      <c r="G554" s="8" t="s">
        <v>11765</v>
      </c>
      <c r="H554" s="8" t="s">
        <v>11610</v>
      </c>
      <c r="I554" s="8"/>
      <c r="J554" s="8" t="s">
        <v>11766</v>
      </c>
    </row>
    <row r="555" customFormat="false" ht="15" hidden="false" customHeight="true" outlineLevel="0" collapsed="false">
      <c r="A555" s="8" t="s">
        <v>11693</v>
      </c>
      <c r="B555" s="8" t="s">
        <v>882</v>
      </c>
      <c r="C555" s="8" t="s">
        <v>640</v>
      </c>
      <c r="D555" s="8" t="s">
        <v>198</v>
      </c>
      <c r="E555" s="11" t="n">
        <v>150000</v>
      </c>
      <c r="F555" s="8" t="s">
        <v>11324</v>
      </c>
      <c r="G555" s="8" t="s">
        <v>2750</v>
      </c>
      <c r="H555" s="8" t="s">
        <v>11610</v>
      </c>
      <c r="I555" s="8"/>
      <c r="J555" s="8" t="s">
        <v>11581</v>
      </c>
    </row>
    <row r="556" customFormat="false" ht="15" hidden="false" customHeight="true" outlineLevel="0" collapsed="false">
      <c r="A556" s="8" t="s">
        <v>11693</v>
      </c>
      <c r="B556" s="8" t="s">
        <v>882</v>
      </c>
      <c r="C556" s="8" t="s">
        <v>466</v>
      </c>
      <c r="D556" s="8" t="s">
        <v>467</v>
      </c>
      <c r="E556" s="11" t="n">
        <v>10000</v>
      </c>
      <c r="F556" s="8" t="s">
        <v>11308</v>
      </c>
      <c r="G556" s="8" t="s">
        <v>2627</v>
      </c>
      <c r="H556" s="8" t="s">
        <v>11610</v>
      </c>
      <c r="I556" s="8"/>
      <c r="J556" s="8" t="s">
        <v>11582</v>
      </c>
    </row>
    <row r="557" customFormat="false" ht="15" hidden="false" customHeight="true" outlineLevel="0" collapsed="false">
      <c r="A557" s="8" t="s">
        <v>11693</v>
      </c>
      <c r="B557" s="8" t="s">
        <v>882</v>
      </c>
      <c r="C557" s="8" t="s">
        <v>470</v>
      </c>
      <c r="D557" s="8" t="s">
        <v>471</v>
      </c>
      <c r="E557" s="11" t="n">
        <v>10000</v>
      </c>
      <c r="F557" s="8" t="s">
        <v>11308</v>
      </c>
      <c r="G557" s="8"/>
      <c r="H557" s="8" t="s">
        <v>11610</v>
      </c>
      <c r="I557" s="8"/>
      <c r="J557" s="8" t="s">
        <v>11582</v>
      </c>
    </row>
    <row r="558" customFormat="false" ht="15" hidden="false" customHeight="true" outlineLevel="0" collapsed="false">
      <c r="A558" s="8" t="s">
        <v>11693</v>
      </c>
      <c r="B558" s="8" t="s">
        <v>882</v>
      </c>
      <c r="C558" s="8" t="s">
        <v>617</v>
      </c>
      <c r="D558" s="8" t="s">
        <v>205</v>
      </c>
      <c r="E558" s="11" t="n">
        <v>50000</v>
      </c>
      <c r="F558" s="8" t="s">
        <v>11318</v>
      </c>
      <c r="G558" s="8" t="s">
        <v>2627</v>
      </c>
      <c r="H558" s="8" t="s">
        <v>11610</v>
      </c>
      <c r="I558" s="8"/>
      <c r="J558" s="8" t="s">
        <v>11676</v>
      </c>
    </row>
    <row r="559" customFormat="false" ht="15" hidden="false" customHeight="true" outlineLevel="0" collapsed="false">
      <c r="A559" s="8" t="s">
        <v>11693</v>
      </c>
      <c r="B559" s="8" t="s">
        <v>2342</v>
      </c>
      <c r="C559" s="8" t="s">
        <v>950</v>
      </c>
      <c r="D559" s="8" t="s">
        <v>951</v>
      </c>
      <c r="E559" s="11" t="n">
        <v>25000</v>
      </c>
      <c r="F559" s="8" t="s">
        <v>11308</v>
      </c>
      <c r="G559" s="8" t="s">
        <v>11767</v>
      </c>
      <c r="H559" s="8" t="s">
        <v>11610</v>
      </c>
      <c r="I559" s="8"/>
      <c r="J559" s="8" t="s">
        <v>11586</v>
      </c>
    </row>
    <row r="560" customFormat="false" ht="15" hidden="false" customHeight="true" outlineLevel="0" collapsed="false">
      <c r="A560" s="8" t="s">
        <v>11693</v>
      </c>
      <c r="B560" s="8" t="s">
        <v>2342</v>
      </c>
      <c r="C560" s="8" t="s">
        <v>161</v>
      </c>
      <c r="D560" s="8" t="s">
        <v>952</v>
      </c>
      <c r="E560" s="11" t="n">
        <v>25000</v>
      </c>
      <c r="F560" s="8" t="s">
        <v>11308</v>
      </c>
      <c r="G560" s="8" t="s">
        <v>2627</v>
      </c>
      <c r="H560" s="8" t="s">
        <v>11610</v>
      </c>
      <c r="I560" s="8"/>
      <c r="J560" s="8" t="s">
        <v>11586</v>
      </c>
    </row>
    <row r="561" customFormat="false" ht="15" hidden="false" customHeight="true" outlineLevel="0" collapsed="false">
      <c r="A561" s="8" t="s">
        <v>11693</v>
      </c>
      <c r="B561" s="8" t="s">
        <v>2342</v>
      </c>
      <c r="C561" s="8" t="s">
        <v>197</v>
      </c>
      <c r="D561" s="8" t="s">
        <v>198</v>
      </c>
      <c r="E561" s="11" t="n">
        <v>10000</v>
      </c>
      <c r="F561" s="8" t="s">
        <v>11322</v>
      </c>
      <c r="G561" s="8" t="s">
        <v>2627</v>
      </c>
      <c r="H561" s="8" t="s">
        <v>11610</v>
      </c>
      <c r="I561" s="8"/>
      <c r="J561" s="8" t="s">
        <v>11586</v>
      </c>
    </row>
    <row r="562" customFormat="false" ht="15" hidden="false" customHeight="true" outlineLevel="0" collapsed="false">
      <c r="A562" s="8" t="s">
        <v>11693</v>
      </c>
      <c r="B562" s="8" t="s">
        <v>2342</v>
      </c>
      <c r="C562" s="8" t="s">
        <v>197</v>
      </c>
      <c r="D562" s="8" t="s">
        <v>198</v>
      </c>
      <c r="E562" s="11" t="n">
        <v>0</v>
      </c>
      <c r="F562" s="8" t="s">
        <v>11322</v>
      </c>
      <c r="G562" s="8"/>
      <c r="H562" s="8" t="s">
        <v>11640</v>
      </c>
      <c r="I562" s="8"/>
      <c r="J562" s="8" t="s">
        <v>11586</v>
      </c>
    </row>
    <row r="563" customFormat="false" ht="15" hidden="false" customHeight="true" outlineLevel="0" collapsed="false">
      <c r="A563" s="8" t="s">
        <v>11693</v>
      </c>
      <c r="B563" s="8" t="s">
        <v>2342</v>
      </c>
      <c r="C563" s="8" t="s">
        <v>981</v>
      </c>
      <c r="D563" s="8" t="s">
        <v>982</v>
      </c>
      <c r="E563" s="11" t="n">
        <v>10000</v>
      </c>
      <c r="F563" s="8" t="s">
        <v>11308</v>
      </c>
      <c r="G563" s="8" t="s">
        <v>2627</v>
      </c>
      <c r="H563" s="8" t="s">
        <v>11610</v>
      </c>
      <c r="I563" s="8"/>
      <c r="J563" s="8" t="s">
        <v>11586</v>
      </c>
    </row>
    <row r="564" customFormat="false" ht="15" hidden="false" customHeight="true" outlineLevel="0" collapsed="false">
      <c r="A564" s="8" t="s">
        <v>11693</v>
      </c>
      <c r="B564" s="8" t="s">
        <v>2342</v>
      </c>
      <c r="C564" s="8" t="s">
        <v>473</v>
      </c>
      <c r="D564" s="8" t="s">
        <v>474</v>
      </c>
      <c r="E564" s="11" t="n">
        <v>20000</v>
      </c>
      <c r="F564" s="8" t="s">
        <v>11308</v>
      </c>
      <c r="G564" s="8" t="s">
        <v>2765</v>
      </c>
      <c r="H564" s="8" t="s">
        <v>11610</v>
      </c>
      <c r="I564" s="8"/>
      <c r="J564" s="8" t="s">
        <v>11586</v>
      </c>
    </row>
    <row r="565" customFormat="false" ht="15" hidden="false" customHeight="true" outlineLevel="0" collapsed="false">
      <c r="A565" s="8" t="s">
        <v>11693</v>
      </c>
      <c r="B565" s="8" t="s">
        <v>2766</v>
      </c>
      <c r="C565" s="8" t="s">
        <v>290</v>
      </c>
      <c r="D565" s="8" t="s">
        <v>291</v>
      </c>
      <c r="E565" s="11" t="n">
        <v>15000</v>
      </c>
      <c r="F565" s="8" t="s">
        <v>11319</v>
      </c>
      <c r="G565" s="8" t="s">
        <v>2767</v>
      </c>
      <c r="H565" s="8" t="s">
        <v>11610</v>
      </c>
      <c r="I565" s="8"/>
      <c r="J565" s="8" t="s">
        <v>11677</v>
      </c>
    </row>
    <row r="566" customFormat="false" ht="15" hidden="false" customHeight="true" outlineLevel="0" collapsed="false">
      <c r="A566" s="8" t="s">
        <v>11693</v>
      </c>
      <c r="B566" s="8" t="s">
        <v>2766</v>
      </c>
      <c r="C566" s="8" t="s">
        <v>672</v>
      </c>
      <c r="D566" s="8" t="s">
        <v>251</v>
      </c>
      <c r="E566" s="11" t="n">
        <v>15000</v>
      </c>
      <c r="F566" s="8" t="s">
        <v>11319</v>
      </c>
      <c r="G566" s="8" t="s">
        <v>11678</v>
      </c>
      <c r="H566" s="8" t="s">
        <v>11610</v>
      </c>
      <c r="I566" s="8"/>
      <c r="J566" s="8" t="s">
        <v>11677</v>
      </c>
    </row>
    <row r="567" customFormat="false" ht="15" hidden="false" customHeight="true" outlineLevel="0" collapsed="false">
      <c r="A567" s="8" t="s">
        <v>11693</v>
      </c>
      <c r="B567" s="8" t="s">
        <v>2766</v>
      </c>
      <c r="C567" s="8" t="s">
        <v>350</v>
      </c>
      <c r="D567" s="8" t="s">
        <v>351</v>
      </c>
      <c r="E567" s="11" t="n">
        <v>15000</v>
      </c>
      <c r="F567" s="8" t="s">
        <v>11319</v>
      </c>
      <c r="G567" s="8" t="s">
        <v>2769</v>
      </c>
      <c r="H567" s="8" t="s">
        <v>11610</v>
      </c>
      <c r="I567" s="8"/>
      <c r="J567" s="8" t="s">
        <v>11677</v>
      </c>
    </row>
    <row r="568" customFormat="false" ht="15" hidden="false" customHeight="true" outlineLevel="0" collapsed="false">
      <c r="A568" s="8" t="s">
        <v>11693</v>
      </c>
      <c r="B568" s="8" t="s">
        <v>1743</v>
      </c>
      <c r="C568" s="8" t="s">
        <v>235</v>
      </c>
      <c r="D568" s="8" t="s">
        <v>236</v>
      </c>
      <c r="E568" s="11" t="n">
        <v>15000</v>
      </c>
      <c r="F568" s="8" t="s">
        <v>11313</v>
      </c>
      <c r="G568" s="8" t="s">
        <v>2772</v>
      </c>
      <c r="H568" s="8" t="s">
        <v>11610</v>
      </c>
      <c r="I568" s="8"/>
      <c r="J568" s="8" t="s">
        <v>11588</v>
      </c>
    </row>
    <row r="569" customFormat="false" ht="15" hidden="false" customHeight="true" outlineLevel="0" collapsed="false">
      <c r="A569" s="8" t="s">
        <v>11693</v>
      </c>
      <c r="B569" s="8" t="s">
        <v>1743</v>
      </c>
      <c r="C569" s="8" t="s">
        <v>235</v>
      </c>
      <c r="D569" s="8" t="s">
        <v>236</v>
      </c>
      <c r="E569" s="11" t="n">
        <v>15000</v>
      </c>
      <c r="F569" s="8" t="s">
        <v>11313</v>
      </c>
      <c r="G569" s="8" t="s">
        <v>2642</v>
      </c>
      <c r="H569" s="8" t="s">
        <v>11610</v>
      </c>
      <c r="I569" s="8"/>
      <c r="J569" s="8" t="s">
        <v>11588</v>
      </c>
    </row>
    <row r="570" customFormat="false" ht="15" hidden="false" customHeight="true" outlineLevel="0" collapsed="false">
      <c r="A570" s="8" t="s">
        <v>11693</v>
      </c>
      <c r="B570" s="8" t="s">
        <v>1743</v>
      </c>
      <c r="C570" s="8" t="s">
        <v>215</v>
      </c>
      <c r="D570" s="8" t="s">
        <v>216</v>
      </c>
      <c r="E570" s="11" t="n">
        <v>15000</v>
      </c>
      <c r="F570" s="8" t="s">
        <v>11313</v>
      </c>
      <c r="G570" s="8" t="s">
        <v>2638</v>
      </c>
      <c r="H570" s="8" t="s">
        <v>11610</v>
      </c>
      <c r="I570" s="8"/>
      <c r="J570" s="8" t="s">
        <v>11588</v>
      </c>
    </row>
    <row r="571" customFormat="false" ht="15" hidden="false" customHeight="true" outlineLevel="0" collapsed="false">
      <c r="A571" s="8" t="s">
        <v>11693</v>
      </c>
      <c r="B571" s="8" t="s">
        <v>1743</v>
      </c>
      <c r="C571" s="8" t="s">
        <v>215</v>
      </c>
      <c r="D571" s="8" t="s">
        <v>216</v>
      </c>
      <c r="E571" s="11" t="n">
        <v>10000</v>
      </c>
      <c r="F571" s="8" t="s">
        <v>11313</v>
      </c>
      <c r="G571" s="8" t="s">
        <v>2638</v>
      </c>
      <c r="H571" s="8" t="s">
        <v>11610</v>
      </c>
      <c r="I571" s="8"/>
      <c r="J571" s="8" t="s">
        <v>11588</v>
      </c>
    </row>
    <row r="572" customFormat="false" ht="15" hidden="false" customHeight="true" outlineLevel="0" collapsed="false">
      <c r="A572" s="8" t="s">
        <v>11693</v>
      </c>
      <c r="B572" s="8" t="s">
        <v>1743</v>
      </c>
      <c r="C572" s="8" t="s">
        <v>215</v>
      </c>
      <c r="D572" s="8" t="s">
        <v>216</v>
      </c>
      <c r="E572" s="11" t="n">
        <v>15000</v>
      </c>
      <c r="F572" s="8" t="s">
        <v>11313</v>
      </c>
      <c r="G572" s="8" t="s">
        <v>2639</v>
      </c>
      <c r="H572" s="8" t="s">
        <v>11610</v>
      </c>
      <c r="I572" s="8"/>
      <c r="J572" s="8" t="s">
        <v>11588</v>
      </c>
    </row>
    <row r="573" customFormat="false" ht="15" hidden="false" customHeight="true" outlineLevel="0" collapsed="false">
      <c r="A573" s="8" t="s">
        <v>11693</v>
      </c>
      <c r="B573" s="8" t="s">
        <v>1743</v>
      </c>
      <c r="C573" s="8" t="s">
        <v>215</v>
      </c>
      <c r="D573" s="8" t="s">
        <v>216</v>
      </c>
      <c r="E573" s="11" t="n">
        <v>10000</v>
      </c>
      <c r="F573" s="8" t="s">
        <v>11313</v>
      </c>
      <c r="G573" s="8" t="s">
        <v>2639</v>
      </c>
      <c r="H573" s="8" t="s">
        <v>11610</v>
      </c>
      <c r="I573" s="8"/>
      <c r="J573" s="8" t="s">
        <v>11588</v>
      </c>
    </row>
    <row r="574" customFormat="false" ht="15" hidden="false" customHeight="true" outlineLevel="0" collapsed="false">
      <c r="A574" s="8" t="s">
        <v>11693</v>
      </c>
      <c r="B574" s="8" t="s">
        <v>1743</v>
      </c>
      <c r="C574" s="8" t="s">
        <v>151</v>
      </c>
      <c r="D574" s="8" t="s">
        <v>391</v>
      </c>
      <c r="E574" s="11" t="n">
        <v>0</v>
      </c>
      <c r="F574" s="8" t="s">
        <v>11313</v>
      </c>
      <c r="G574" s="8" t="s">
        <v>2627</v>
      </c>
      <c r="H574" s="8" t="s">
        <v>11615</v>
      </c>
      <c r="I574" s="8"/>
      <c r="J574" s="8" t="s">
        <v>11588</v>
      </c>
    </row>
    <row r="575" customFormat="false" ht="15" hidden="false" customHeight="true" outlineLevel="0" collapsed="false">
      <c r="A575" s="8" t="s">
        <v>11693</v>
      </c>
      <c r="B575" s="8" t="s">
        <v>1743</v>
      </c>
      <c r="C575" s="8" t="s">
        <v>657</v>
      </c>
      <c r="D575" s="8" t="s">
        <v>246</v>
      </c>
      <c r="E575" s="11" t="n">
        <v>15000</v>
      </c>
      <c r="F575" s="8" t="s">
        <v>11313</v>
      </c>
      <c r="G575" s="8" t="s">
        <v>2640</v>
      </c>
      <c r="H575" s="8" t="s">
        <v>11610</v>
      </c>
      <c r="I575" s="8"/>
      <c r="J575" s="8" t="s">
        <v>11588</v>
      </c>
    </row>
    <row r="576" customFormat="false" ht="15" hidden="false" customHeight="true" outlineLevel="0" collapsed="false">
      <c r="A576" s="8" t="s">
        <v>11693</v>
      </c>
      <c r="B576" s="8" t="s">
        <v>1743</v>
      </c>
      <c r="C576" s="8" t="s">
        <v>309</v>
      </c>
      <c r="D576" s="8" t="s">
        <v>310</v>
      </c>
      <c r="E576" s="11" t="n">
        <v>10000</v>
      </c>
      <c r="F576" s="8" t="s">
        <v>11313</v>
      </c>
      <c r="G576" s="8" t="s">
        <v>11696</v>
      </c>
      <c r="H576" s="8" t="s">
        <v>11610</v>
      </c>
      <c r="I576" s="8"/>
      <c r="J576" s="8" t="s">
        <v>11588</v>
      </c>
    </row>
    <row r="577" customFormat="false" ht="15" hidden="false" customHeight="true" outlineLevel="0" collapsed="false">
      <c r="A577" s="8" t="s">
        <v>11693</v>
      </c>
      <c r="B577" s="8" t="s">
        <v>1743</v>
      </c>
      <c r="C577" s="8" t="s">
        <v>477</v>
      </c>
      <c r="D577" s="8" t="s">
        <v>478</v>
      </c>
      <c r="E577" s="11" t="n">
        <v>20000</v>
      </c>
      <c r="F577" s="8" t="s">
        <v>11313</v>
      </c>
      <c r="G577" s="8" t="s">
        <v>2627</v>
      </c>
      <c r="H577" s="8" t="s">
        <v>11610</v>
      </c>
      <c r="I577" s="8"/>
      <c r="J577" s="8" t="s">
        <v>11588</v>
      </c>
    </row>
    <row r="578" customFormat="false" ht="15" hidden="false" customHeight="true" outlineLevel="0" collapsed="false">
      <c r="A578" s="8" t="s">
        <v>11693</v>
      </c>
      <c r="B578" s="8" t="s">
        <v>1743</v>
      </c>
      <c r="C578" s="8" t="s">
        <v>960</v>
      </c>
      <c r="D578" s="8" t="s">
        <v>961</v>
      </c>
      <c r="E578" s="11" t="n">
        <v>10000</v>
      </c>
      <c r="F578" s="8" t="s">
        <v>11313</v>
      </c>
      <c r="G578" s="8" t="s">
        <v>2627</v>
      </c>
      <c r="H578" s="8" t="s">
        <v>11610</v>
      </c>
      <c r="I578" s="8"/>
      <c r="J578" s="8" t="s">
        <v>11588</v>
      </c>
    </row>
    <row r="579" customFormat="false" ht="15" hidden="false" customHeight="true" outlineLevel="0" collapsed="false">
      <c r="A579" s="8" t="s">
        <v>11693</v>
      </c>
      <c r="B579" s="8" t="s">
        <v>1743</v>
      </c>
      <c r="C579" s="8" t="s">
        <v>1095</v>
      </c>
      <c r="D579" s="8" t="s">
        <v>278</v>
      </c>
      <c r="E579" s="11" t="n">
        <v>15000</v>
      </c>
      <c r="F579" s="8" t="s">
        <v>11313</v>
      </c>
      <c r="G579" s="8" t="s">
        <v>2641</v>
      </c>
      <c r="H579" s="8" t="s">
        <v>11610</v>
      </c>
      <c r="I579" s="8"/>
      <c r="J579" s="8" t="s">
        <v>11588</v>
      </c>
    </row>
    <row r="580" customFormat="false" ht="15" hidden="false" customHeight="true" outlineLevel="0" collapsed="false">
      <c r="A580" s="8" t="s">
        <v>11693</v>
      </c>
      <c r="B580" s="8" t="s">
        <v>928</v>
      </c>
      <c r="C580" s="8" t="s">
        <v>2780</v>
      </c>
      <c r="D580" s="8" t="s">
        <v>541</v>
      </c>
      <c r="E580" s="11" t="n">
        <v>5000</v>
      </c>
      <c r="F580" s="8" t="s">
        <v>11308</v>
      </c>
      <c r="G580" s="8" t="s">
        <v>11768</v>
      </c>
      <c r="H580" s="8" t="s">
        <v>11610</v>
      </c>
      <c r="I580" s="8"/>
      <c r="J580" s="8" t="s">
        <v>11590</v>
      </c>
    </row>
    <row r="581" customFormat="false" ht="15" hidden="false" customHeight="true" outlineLevel="0" collapsed="false">
      <c r="A581" s="8" t="s">
        <v>11693</v>
      </c>
      <c r="B581" s="8" t="s">
        <v>928</v>
      </c>
      <c r="C581" s="8" t="s">
        <v>285</v>
      </c>
      <c r="D581" s="8" t="s">
        <v>286</v>
      </c>
      <c r="E581" s="11" t="n">
        <v>10000</v>
      </c>
      <c r="F581" s="8" t="s">
        <v>11308</v>
      </c>
      <c r="G581" s="8" t="s">
        <v>11769</v>
      </c>
      <c r="H581" s="8" t="s">
        <v>11610</v>
      </c>
      <c r="I581" s="8"/>
      <c r="J581" s="8" t="s">
        <v>11770</v>
      </c>
    </row>
    <row r="582" customFormat="false" ht="15" hidden="false" customHeight="true" outlineLevel="0" collapsed="false">
      <c r="A582" s="8" t="s">
        <v>11693</v>
      </c>
      <c r="B582" s="8" t="s">
        <v>928</v>
      </c>
      <c r="C582" s="8" t="s">
        <v>225</v>
      </c>
      <c r="D582" s="8" t="s">
        <v>226</v>
      </c>
      <c r="E582" s="11" t="n">
        <v>15000</v>
      </c>
      <c r="F582" s="8" t="s">
        <v>11308</v>
      </c>
      <c r="G582" s="8" t="s">
        <v>2775</v>
      </c>
      <c r="H582" s="8" t="s">
        <v>11610</v>
      </c>
      <c r="I582" s="8"/>
      <c r="J582" s="8" t="s">
        <v>11593</v>
      </c>
    </row>
    <row r="583" customFormat="false" ht="15" hidden="false" customHeight="true" outlineLevel="0" collapsed="false">
      <c r="A583" s="8" t="s">
        <v>11693</v>
      </c>
      <c r="B583" s="8" t="s">
        <v>928</v>
      </c>
      <c r="C583" s="8" t="s">
        <v>225</v>
      </c>
      <c r="D583" s="8" t="s">
        <v>226</v>
      </c>
      <c r="E583" s="11" t="n">
        <v>10000</v>
      </c>
      <c r="F583" s="8" t="s">
        <v>11308</v>
      </c>
      <c r="G583" s="8" t="s">
        <v>2627</v>
      </c>
      <c r="H583" s="8" t="s">
        <v>11610</v>
      </c>
      <c r="I583" s="8"/>
      <c r="J583" s="8" t="s">
        <v>11593</v>
      </c>
    </row>
    <row r="584" customFormat="false" ht="15" hidden="false" customHeight="true" outlineLevel="0" collapsed="false">
      <c r="A584" s="8" t="s">
        <v>11693</v>
      </c>
      <c r="B584" s="8" t="s">
        <v>928</v>
      </c>
      <c r="C584" s="8" t="s">
        <v>481</v>
      </c>
      <c r="D584" s="8" t="s">
        <v>482</v>
      </c>
      <c r="E584" s="11" t="n">
        <v>10000</v>
      </c>
      <c r="F584" s="8" t="s">
        <v>11308</v>
      </c>
      <c r="G584" s="8" t="s">
        <v>2777</v>
      </c>
      <c r="H584" s="8" t="s">
        <v>11610</v>
      </c>
      <c r="I584" s="8"/>
      <c r="J584" s="8" t="s">
        <v>11594</v>
      </c>
    </row>
    <row r="585" customFormat="false" ht="15" hidden="false" customHeight="true" outlineLevel="0" collapsed="false">
      <c r="A585" s="8" t="s">
        <v>11693</v>
      </c>
      <c r="B585" s="8" t="s">
        <v>928</v>
      </c>
      <c r="C585" s="8" t="s">
        <v>404</v>
      </c>
      <c r="D585" s="8" t="s">
        <v>405</v>
      </c>
      <c r="E585" s="11" t="n">
        <v>5000</v>
      </c>
      <c r="F585" s="8" t="s">
        <v>11308</v>
      </c>
      <c r="G585" s="8" t="s">
        <v>2782</v>
      </c>
      <c r="H585" s="8" t="s">
        <v>11610</v>
      </c>
      <c r="I585" s="8"/>
      <c r="J585" s="8" t="s">
        <v>11543</v>
      </c>
    </row>
    <row r="586" customFormat="false" ht="15" hidden="false" customHeight="true" outlineLevel="0" collapsed="false">
      <c r="A586" s="8" t="s">
        <v>11693</v>
      </c>
      <c r="B586" s="8" t="s">
        <v>928</v>
      </c>
      <c r="C586" s="8" t="s">
        <v>11681</v>
      </c>
      <c r="D586" s="8" t="s">
        <v>1010</v>
      </c>
      <c r="E586" s="11" t="n">
        <v>5000</v>
      </c>
      <c r="F586" s="8" t="s">
        <v>11308</v>
      </c>
      <c r="G586" s="8" t="s">
        <v>11682</v>
      </c>
      <c r="H586" s="8" t="s">
        <v>11610</v>
      </c>
      <c r="I586" s="8"/>
      <c r="J586" s="8" t="s">
        <v>11683</v>
      </c>
    </row>
    <row r="587" customFormat="false" ht="15" hidden="false" customHeight="true" outlineLevel="0" collapsed="false">
      <c r="A587" s="8" t="s">
        <v>11693</v>
      </c>
      <c r="B587" s="8" t="s">
        <v>928</v>
      </c>
      <c r="C587" s="8" t="s">
        <v>962</v>
      </c>
      <c r="D587" s="8" t="s">
        <v>963</v>
      </c>
      <c r="E587" s="11" t="n">
        <v>10000</v>
      </c>
      <c r="F587" s="8" t="s">
        <v>11308</v>
      </c>
      <c r="G587" s="8" t="s">
        <v>11684</v>
      </c>
      <c r="H587" s="8" t="s">
        <v>11610</v>
      </c>
      <c r="I587" s="8"/>
      <c r="J587" s="8" t="s">
        <v>11685</v>
      </c>
    </row>
    <row r="588" customFormat="false" ht="15" hidden="false" customHeight="true" outlineLevel="0" collapsed="false">
      <c r="A588" s="8" t="s">
        <v>11693</v>
      </c>
      <c r="B588" s="8" t="s">
        <v>928</v>
      </c>
      <c r="C588" s="8" t="s">
        <v>985</v>
      </c>
      <c r="D588" s="8" t="s">
        <v>986</v>
      </c>
      <c r="E588" s="11" t="n">
        <v>5000</v>
      </c>
      <c r="F588" s="8" t="s">
        <v>11308</v>
      </c>
      <c r="G588" s="8" t="s">
        <v>11686</v>
      </c>
      <c r="H588" s="8" t="s">
        <v>11610</v>
      </c>
      <c r="I588" s="8"/>
      <c r="J588" s="8" t="s">
        <v>11687</v>
      </c>
    </row>
    <row r="589" customFormat="false" ht="15" hidden="false" customHeight="true" outlineLevel="0" collapsed="false">
      <c r="A589" s="8" t="s">
        <v>11693</v>
      </c>
      <c r="B589" s="8" t="s">
        <v>928</v>
      </c>
      <c r="C589" s="8" t="s">
        <v>240</v>
      </c>
      <c r="D589" s="8" t="s">
        <v>241</v>
      </c>
      <c r="E589" s="11" t="n">
        <v>10000</v>
      </c>
      <c r="F589" s="8" t="s">
        <v>11308</v>
      </c>
      <c r="G589" s="8" t="s">
        <v>2778</v>
      </c>
      <c r="H589" s="8" t="s">
        <v>11610</v>
      </c>
      <c r="I589" s="8"/>
      <c r="J589" s="8" t="s">
        <v>11597</v>
      </c>
    </row>
    <row r="590" customFormat="false" ht="15" hidden="false" customHeight="true" outlineLevel="0" collapsed="false">
      <c r="A590" s="8" t="s">
        <v>11693</v>
      </c>
      <c r="B590" s="8" t="s">
        <v>928</v>
      </c>
      <c r="C590" s="8" t="s">
        <v>987</v>
      </c>
      <c r="D590" s="8" t="s">
        <v>988</v>
      </c>
      <c r="E590" s="11" t="n">
        <v>5000</v>
      </c>
      <c r="F590" s="8" t="s">
        <v>11308</v>
      </c>
      <c r="G590" s="8" t="s">
        <v>11688</v>
      </c>
      <c r="H590" s="8" t="s">
        <v>11610</v>
      </c>
      <c r="I590" s="8"/>
      <c r="J590" s="8" t="s">
        <v>11689</v>
      </c>
    </row>
    <row r="591" customFormat="false" ht="15" hidden="false" customHeight="true" outlineLevel="0" collapsed="false">
      <c r="A591" s="8" t="s">
        <v>11693</v>
      </c>
      <c r="B591" s="8" t="s">
        <v>928</v>
      </c>
      <c r="C591" s="8" t="s">
        <v>1038</v>
      </c>
      <c r="D591" s="8" t="s">
        <v>1039</v>
      </c>
      <c r="E591" s="11" t="n">
        <v>0</v>
      </c>
      <c r="F591" s="8" t="s">
        <v>11308</v>
      </c>
      <c r="G591" s="8" t="s">
        <v>11771</v>
      </c>
      <c r="H591" s="8" t="s">
        <v>11615</v>
      </c>
      <c r="I591" s="8"/>
      <c r="J591" s="8" t="s">
        <v>11772</v>
      </c>
    </row>
    <row r="592" customFormat="false" ht="15" hidden="false" customHeight="true" outlineLevel="0" collapsed="false">
      <c r="A592" s="8" t="s">
        <v>11693</v>
      </c>
      <c r="B592" s="8" t="s">
        <v>928</v>
      </c>
      <c r="C592" s="8" t="s">
        <v>1015</v>
      </c>
      <c r="D592" s="8" t="s">
        <v>1016</v>
      </c>
      <c r="E592" s="11" t="n">
        <v>5000</v>
      </c>
      <c r="F592" s="8" t="s">
        <v>11308</v>
      </c>
      <c r="G592" s="8" t="s">
        <v>11773</v>
      </c>
      <c r="H592" s="8" t="s">
        <v>11610</v>
      </c>
      <c r="I592" s="8"/>
      <c r="J592" s="8" t="s">
        <v>11774</v>
      </c>
    </row>
    <row r="593" customFormat="false" ht="15" hidden="false" customHeight="true" outlineLevel="0" collapsed="false">
      <c r="A593" s="8" t="s">
        <v>11693</v>
      </c>
      <c r="B593" s="8" t="s">
        <v>928</v>
      </c>
      <c r="C593" s="8" t="s">
        <v>549</v>
      </c>
      <c r="D593" s="8" t="s">
        <v>550</v>
      </c>
      <c r="E593" s="11" t="n">
        <v>5000</v>
      </c>
      <c r="F593" s="8" t="s">
        <v>11308</v>
      </c>
      <c r="G593" s="8" t="s">
        <v>2783</v>
      </c>
      <c r="H593" s="8" t="s">
        <v>11610</v>
      </c>
      <c r="I593" s="8"/>
      <c r="J593" s="8" t="s">
        <v>11599</v>
      </c>
    </row>
    <row r="594" customFormat="false" ht="15" hidden="false" customHeight="true" outlineLevel="0" collapsed="false">
      <c r="A594" s="8" t="s">
        <v>11693</v>
      </c>
      <c r="B594" s="8" t="s">
        <v>928</v>
      </c>
      <c r="C594" s="8" t="s">
        <v>415</v>
      </c>
      <c r="D594" s="8" t="s">
        <v>416</v>
      </c>
      <c r="E594" s="11" t="n">
        <v>5000</v>
      </c>
      <c r="F594" s="8" t="s">
        <v>11308</v>
      </c>
      <c r="G594" s="8" t="s">
        <v>2784</v>
      </c>
      <c r="H594" s="8" t="s">
        <v>11610</v>
      </c>
      <c r="I594" s="8"/>
      <c r="J594" s="8" t="s">
        <v>11601</v>
      </c>
    </row>
    <row r="595" customFormat="false" ht="15" hidden="false" customHeight="true" outlineLevel="0" collapsed="false">
      <c r="A595" s="8" t="s">
        <v>11693</v>
      </c>
      <c r="B595" s="8" t="s">
        <v>928</v>
      </c>
      <c r="C595" s="8" t="s">
        <v>552</v>
      </c>
      <c r="D595" s="8" t="s">
        <v>553</v>
      </c>
      <c r="E595" s="11" t="n">
        <v>5000</v>
      </c>
      <c r="F595" s="8" t="s">
        <v>11308</v>
      </c>
      <c r="G595" s="8" t="s">
        <v>11775</v>
      </c>
      <c r="H595" s="8" t="s">
        <v>11610</v>
      </c>
      <c r="I595" s="8"/>
      <c r="J595" s="8" t="s">
        <v>11602</v>
      </c>
    </row>
    <row r="596" customFormat="false" ht="15" hidden="false" customHeight="true" outlineLevel="0" collapsed="false">
      <c r="A596" s="8" t="s">
        <v>11693</v>
      </c>
      <c r="B596" s="8" t="s">
        <v>928</v>
      </c>
      <c r="C596" s="8" t="s">
        <v>927</v>
      </c>
      <c r="D596" s="8" t="s">
        <v>421</v>
      </c>
      <c r="E596" s="11" t="n">
        <v>15000</v>
      </c>
      <c r="F596" s="8" t="s">
        <v>11308</v>
      </c>
      <c r="G596" s="8" t="s">
        <v>11776</v>
      </c>
      <c r="H596" s="8" t="s">
        <v>11610</v>
      </c>
      <c r="I596" s="8"/>
      <c r="J596" s="8" t="s">
        <v>11604</v>
      </c>
    </row>
    <row r="597" customFormat="false" ht="15" hidden="false" customHeight="true" outlineLevel="0" collapsed="false">
      <c r="A597" s="8" t="s">
        <v>11693</v>
      </c>
      <c r="B597" s="8" t="s">
        <v>928</v>
      </c>
      <c r="C597" s="8" t="s">
        <v>560</v>
      </c>
      <c r="D597" s="8" t="s">
        <v>561</v>
      </c>
      <c r="E597" s="11" t="n">
        <v>5000</v>
      </c>
      <c r="F597" s="8" t="s">
        <v>11308</v>
      </c>
      <c r="G597" s="8" t="s">
        <v>2786</v>
      </c>
      <c r="H597" s="8" t="s">
        <v>11610</v>
      </c>
      <c r="I597" s="8"/>
      <c r="J597" s="8" t="s">
        <v>11605</v>
      </c>
    </row>
    <row r="598" customFormat="false" ht="15" hidden="false" customHeight="true" outlineLevel="0" collapsed="false">
      <c r="A598" s="8" t="s">
        <v>11693</v>
      </c>
      <c r="B598" s="8" t="s">
        <v>928</v>
      </c>
      <c r="C598" s="8" t="s">
        <v>995</v>
      </c>
      <c r="D598" s="8" t="s">
        <v>996</v>
      </c>
      <c r="E598" s="11" t="n">
        <v>10000</v>
      </c>
      <c r="F598" s="8" t="s">
        <v>11308</v>
      </c>
      <c r="G598" s="8" t="s">
        <v>11777</v>
      </c>
      <c r="H598" s="8" t="s">
        <v>11610</v>
      </c>
      <c r="I598" s="8"/>
      <c r="J598" s="8" t="s">
        <v>11778</v>
      </c>
    </row>
    <row r="599" customFormat="false" ht="15" hidden="false" customHeight="true" outlineLevel="0" collapsed="false">
      <c r="A599" s="8" t="s">
        <v>11693</v>
      </c>
      <c r="B599" s="8" t="s">
        <v>928</v>
      </c>
      <c r="C599" s="8" t="s">
        <v>989</v>
      </c>
      <c r="D599" s="8" t="s">
        <v>990</v>
      </c>
      <c r="E599" s="11" t="n">
        <v>0</v>
      </c>
      <c r="F599" s="8" t="s">
        <v>11308</v>
      </c>
      <c r="G599" s="8" t="s">
        <v>11690</v>
      </c>
      <c r="H599" s="8" t="s">
        <v>11615</v>
      </c>
      <c r="I599" s="8"/>
      <c r="J599" s="8" t="s">
        <v>11691</v>
      </c>
    </row>
    <row r="600" customFormat="false" ht="15" hidden="false" customHeight="true" outlineLevel="0" collapsed="false">
      <c r="A600" s="8" t="s">
        <v>11693</v>
      </c>
      <c r="B600" s="8" t="s">
        <v>928</v>
      </c>
      <c r="C600" s="8" t="s">
        <v>563</v>
      </c>
      <c r="D600" s="8" t="s">
        <v>564</v>
      </c>
      <c r="E600" s="11" t="n">
        <v>5000</v>
      </c>
      <c r="F600" s="8" t="s">
        <v>11308</v>
      </c>
      <c r="G600" s="8" t="s">
        <v>2787</v>
      </c>
      <c r="H600" s="8" t="s">
        <v>11610</v>
      </c>
      <c r="I600" s="8"/>
      <c r="J600" s="8" t="s">
        <v>11606</v>
      </c>
    </row>
    <row r="601" customFormat="false" ht="15" hidden="false" customHeight="true" outlineLevel="0" collapsed="false">
      <c r="A601" s="8" t="s">
        <v>11693</v>
      </c>
      <c r="B601" s="8" t="s">
        <v>928</v>
      </c>
      <c r="C601" s="8" t="s">
        <v>1159</v>
      </c>
      <c r="D601" s="8" t="s">
        <v>567</v>
      </c>
      <c r="E601" s="11" t="n">
        <v>5000</v>
      </c>
      <c r="F601" s="8" t="s">
        <v>11308</v>
      </c>
      <c r="G601" s="8" t="s">
        <v>2788</v>
      </c>
      <c r="H601" s="8" t="s">
        <v>11610</v>
      </c>
      <c r="I601" s="8"/>
      <c r="J601" s="8" t="s">
        <v>11607</v>
      </c>
    </row>
    <row r="602" customFormat="false" ht="15" hidden="false" customHeight="true" outlineLevel="0" collapsed="false">
      <c r="C602" s="12" t="s">
        <v>11779</v>
      </c>
      <c r="E602" s="13" t="n">
        <f aca="false">SUM(E391:E601)</f>
        <v>2365000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60"/>
  </cols>
  <sheetData>
    <row r="1" customFormat="false" ht="15" hidden="false" customHeight="true" outlineLevel="0" collapsed="false">
      <c r="A1" s="7" t="s">
        <v>11780</v>
      </c>
    </row>
    <row r="2" customFormat="false" ht="15" hidden="false" customHeight="true" outlineLevel="0" collapsed="false">
      <c r="A2" s="8" t="s">
        <v>11781</v>
      </c>
    </row>
    <row r="4" customFormat="false" ht="15" hidden="false" customHeight="true" outlineLevel="0" collapsed="false">
      <c r="A4" s="10" t="s">
        <v>11403</v>
      </c>
      <c r="B4" s="10" t="s">
        <v>72</v>
      </c>
      <c r="C4" s="10" t="s">
        <v>11782</v>
      </c>
    </row>
    <row r="5" customFormat="false" ht="15" hidden="false" customHeight="true" outlineLevel="0" collapsed="false">
      <c r="A5" s="8" t="s">
        <v>11783</v>
      </c>
      <c r="B5" s="11" t="n">
        <v>3195000</v>
      </c>
      <c r="C5" s="8" t="s">
        <v>11784</v>
      </c>
    </row>
    <row r="6" customFormat="false" ht="15" hidden="false" customHeight="true" outlineLevel="0" collapsed="false">
      <c r="A6" s="8" t="s">
        <v>11785</v>
      </c>
      <c r="B6" s="11" t="n">
        <v>17750000</v>
      </c>
      <c r="C6" s="8" t="s">
        <v>11786</v>
      </c>
    </row>
    <row r="7" customFormat="false" ht="15" hidden="false" customHeight="true" outlineLevel="0" collapsed="false">
      <c r="A7" s="8" t="s">
        <v>11787</v>
      </c>
      <c r="B7" s="11" t="n">
        <v>7000000</v>
      </c>
      <c r="C7" s="8" t="s">
        <v>11788</v>
      </c>
    </row>
    <row r="8" customFormat="false" ht="15" hidden="false" customHeight="true" outlineLevel="0" collapsed="false">
      <c r="A8" s="8" t="s">
        <v>11789</v>
      </c>
      <c r="B8" s="11" t="n">
        <v>5850000</v>
      </c>
      <c r="C8" s="8" t="s">
        <v>11790</v>
      </c>
    </row>
    <row r="9" customFormat="false" ht="15" hidden="false" customHeight="true" outlineLevel="0" collapsed="false">
      <c r="A9" s="8" t="s">
        <v>11791</v>
      </c>
      <c r="B9" s="11" t="n">
        <v>2108925</v>
      </c>
      <c r="C9" s="8" t="s">
        <v>11792</v>
      </c>
    </row>
    <row r="10" customFormat="false" ht="15" hidden="false" customHeight="true" outlineLevel="0" collapsed="false">
      <c r="A10" s="12" t="s">
        <v>11793</v>
      </c>
      <c r="B10" s="13" t="n">
        <f aca="false">SUM(B5:B9)</f>
        <v>35903925</v>
      </c>
      <c r="C10" s="8" t="s">
        <v>11794</v>
      </c>
    </row>
    <row r="12" customFormat="false" ht="15" hidden="false" customHeight="true" outlineLevel="0" collapsed="false">
      <c r="A12" s="8" t="s">
        <v>11795</v>
      </c>
      <c r="B12" s="168" t="str">
        <f aca="false">IF(B10=35903925,"TIES ✓","CHECK")</f>
        <v>TIES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8"/>
    <col collapsed="false" customWidth="true" hidden="false" outlineLevel="0" max="3" min="3" style="1" width="26"/>
    <col collapsed="false" customWidth="true" hidden="false" outlineLevel="0" max="4" min="4" style="1" width="14"/>
  </cols>
  <sheetData>
    <row r="1" customFormat="false" ht="15" hidden="false" customHeight="true" outlineLevel="0" collapsed="false">
      <c r="A1" s="7" t="s">
        <v>11796</v>
      </c>
    </row>
    <row r="3" customFormat="false" ht="15" hidden="false" customHeight="true" outlineLevel="0" collapsed="false">
      <c r="A3" s="10" t="s">
        <v>73</v>
      </c>
      <c r="B3" s="10" t="s">
        <v>11797</v>
      </c>
      <c r="C3" s="10" t="s">
        <v>11798</v>
      </c>
      <c r="D3" s="10" t="s">
        <v>72</v>
      </c>
    </row>
    <row r="4" customFormat="false" ht="15" hidden="false" customHeight="true" outlineLevel="0" collapsed="false">
      <c r="A4" s="8" t="s">
        <v>11799</v>
      </c>
      <c r="B4" s="8" t="s">
        <v>11800</v>
      </c>
      <c r="C4" s="8" t="s">
        <v>11801</v>
      </c>
      <c r="D4" s="11" t="n">
        <v>500000</v>
      </c>
    </row>
    <row r="5" customFormat="false" ht="15" hidden="false" customHeight="true" outlineLevel="0" collapsed="false">
      <c r="A5" s="8" t="s">
        <v>11802</v>
      </c>
      <c r="B5" s="8" t="s">
        <v>11803</v>
      </c>
      <c r="C5" s="8" t="s">
        <v>11801</v>
      </c>
      <c r="D5" s="11" t="n">
        <v>75000</v>
      </c>
    </row>
    <row r="6" customFormat="false" ht="15" hidden="false" customHeight="true" outlineLevel="0" collapsed="false">
      <c r="A6" s="8" t="s">
        <v>11804</v>
      </c>
      <c r="B6" s="8" t="s">
        <v>11805</v>
      </c>
      <c r="C6" s="8" t="s">
        <v>11801</v>
      </c>
      <c r="D6" s="11" t="n">
        <v>50000</v>
      </c>
    </row>
    <row r="7" customFormat="false" ht="15" hidden="false" customHeight="true" outlineLevel="0" collapsed="false">
      <c r="A7" s="8" t="s">
        <v>11806</v>
      </c>
      <c r="B7" s="8" t="s">
        <v>326</v>
      </c>
      <c r="C7" s="8" t="s">
        <v>11801</v>
      </c>
      <c r="D7" s="11" t="n">
        <v>35000</v>
      </c>
    </row>
    <row r="8" customFormat="false" ht="15" hidden="false" customHeight="true" outlineLevel="0" collapsed="false">
      <c r="A8" s="8" t="s">
        <v>928</v>
      </c>
      <c r="B8" s="8" t="s">
        <v>225</v>
      </c>
      <c r="C8" s="8" t="s">
        <v>11801</v>
      </c>
      <c r="D8" s="11" t="n">
        <v>30000</v>
      </c>
    </row>
    <row r="9" customFormat="false" ht="15" hidden="false" customHeight="true" outlineLevel="0" collapsed="false">
      <c r="A9" s="8" t="s">
        <v>928</v>
      </c>
      <c r="B9" s="8" t="s">
        <v>592</v>
      </c>
      <c r="C9" s="8" t="s">
        <v>11801</v>
      </c>
      <c r="D9" s="11" t="n">
        <v>25000</v>
      </c>
    </row>
    <row r="10" customFormat="false" ht="15" hidden="false" customHeight="true" outlineLevel="0" collapsed="false">
      <c r="A10" s="8" t="s">
        <v>11807</v>
      </c>
      <c r="B10" s="8" t="s">
        <v>11323</v>
      </c>
      <c r="C10" s="8" t="s">
        <v>11808</v>
      </c>
      <c r="D10" s="11" t="n">
        <v>110000</v>
      </c>
    </row>
    <row r="11" customFormat="false" ht="15" hidden="false" customHeight="true" outlineLevel="0" collapsed="false">
      <c r="A11" s="8" t="s">
        <v>11809</v>
      </c>
      <c r="B11" s="8" t="s">
        <v>11810</v>
      </c>
      <c r="C11" s="8" t="s">
        <v>11811</v>
      </c>
      <c r="D11" s="11" t="n">
        <v>25000</v>
      </c>
    </row>
    <row r="12" customFormat="false" ht="15" hidden="false" customHeight="true" outlineLevel="0" collapsed="false">
      <c r="A12" s="8" t="s">
        <v>11812</v>
      </c>
      <c r="B12" s="8" t="s">
        <v>648</v>
      </c>
      <c r="C12" s="8" t="s">
        <v>11813</v>
      </c>
      <c r="D12" s="11" t="n">
        <v>50000</v>
      </c>
    </row>
    <row r="13" customFormat="false" ht="15" hidden="false" customHeight="true" outlineLevel="0" collapsed="false">
      <c r="B13" s="12" t="s">
        <v>11814</v>
      </c>
      <c r="D13" s="13" t="n">
        <f aca="false">SUM(D4:D12)</f>
        <v>900000</v>
      </c>
    </row>
    <row r="14" customFormat="false" ht="15" hidden="false" customHeight="true" outlineLevel="0" collapsed="false">
      <c r="B14" s="8" t="s">
        <v>11815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4"/>
    <col collapsed="false" customWidth="true" hidden="false" outlineLevel="0" max="3" min="3" style="1" width="22"/>
    <col collapsed="false" customWidth="true" hidden="false" outlineLevel="0" max="4" min="4" style="1" width="14"/>
  </cols>
  <sheetData>
    <row r="1" customFormat="false" ht="15" hidden="false" customHeight="true" outlineLevel="0" collapsed="false">
      <c r="A1" s="7" t="s">
        <v>11816</v>
      </c>
    </row>
    <row r="3" customFormat="false" ht="15" hidden="false" customHeight="true" outlineLevel="0" collapsed="false">
      <c r="A3" s="10" t="s">
        <v>73</v>
      </c>
      <c r="B3" s="10" t="s">
        <v>779</v>
      </c>
      <c r="C3" s="10" t="s">
        <v>11817</v>
      </c>
      <c r="D3" s="10" t="s">
        <v>72</v>
      </c>
    </row>
    <row r="4" customFormat="false" ht="15" hidden="false" customHeight="true" outlineLevel="0" collapsed="false">
      <c r="A4" s="8" t="s">
        <v>11818</v>
      </c>
      <c r="B4" s="8" t="s">
        <v>11819</v>
      </c>
      <c r="C4" s="8" t="s">
        <v>11820</v>
      </c>
      <c r="D4" s="11" t="n">
        <v>75000</v>
      </c>
    </row>
    <row r="5" customFormat="false" ht="15" hidden="false" customHeight="true" outlineLevel="0" collapsed="false">
      <c r="A5" s="8" t="s">
        <v>11818</v>
      </c>
      <c r="B5" s="8" t="s">
        <v>11821</v>
      </c>
      <c r="C5" s="8" t="s">
        <v>11820</v>
      </c>
      <c r="D5" s="11" t="n">
        <v>70000</v>
      </c>
    </row>
    <row r="6" customFormat="false" ht="15" hidden="false" customHeight="true" outlineLevel="0" collapsed="false">
      <c r="A6" s="8" t="s">
        <v>11818</v>
      </c>
      <c r="B6" s="8" t="s">
        <v>11822</v>
      </c>
      <c r="C6" s="8" t="s">
        <v>11820</v>
      </c>
      <c r="D6" s="11" t="n">
        <v>75000</v>
      </c>
    </row>
    <row r="7" customFormat="false" ht="15" hidden="false" customHeight="true" outlineLevel="0" collapsed="false">
      <c r="A7" s="8" t="s">
        <v>11818</v>
      </c>
      <c r="B7" s="8" t="s">
        <v>11823</v>
      </c>
      <c r="C7" s="8" t="s">
        <v>11820</v>
      </c>
      <c r="D7" s="11" t="n">
        <v>250000</v>
      </c>
    </row>
    <row r="8" customFormat="false" ht="15" hidden="false" customHeight="true" outlineLevel="0" collapsed="false">
      <c r="A8" s="8" t="s">
        <v>11818</v>
      </c>
      <c r="B8" s="8" t="s">
        <v>11824</v>
      </c>
      <c r="C8" s="8" t="s">
        <v>11820</v>
      </c>
      <c r="D8" s="11" t="n">
        <v>150000</v>
      </c>
    </row>
    <row r="9" customFormat="false" ht="15" hidden="false" customHeight="true" outlineLevel="0" collapsed="false">
      <c r="A9" s="8" t="s">
        <v>11818</v>
      </c>
      <c r="B9" s="8" t="s">
        <v>11825</v>
      </c>
      <c r="C9" s="8" t="s">
        <v>11820</v>
      </c>
      <c r="D9" s="11" t="n">
        <v>150000</v>
      </c>
    </row>
    <row r="10" customFormat="false" ht="15" hidden="false" customHeight="true" outlineLevel="0" collapsed="false">
      <c r="A10" s="8" t="s">
        <v>11802</v>
      </c>
      <c r="B10" s="8" t="s">
        <v>11826</v>
      </c>
      <c r="C10" s="8" t="s">
        <v>11827</v>
      </c>
      <c r="D10" s="11" t="n">
        <v>7000000</v>
      </c>
    </row>
    <row r="11" customFormat="false" ht="15" hidden="false" customHeight="true" outlineLevel="0" collapsed="false">
      <c r="A11" s="8" t="s">
        <v>11802</v>
      </c>
      <c r="B11" s="8" t="s">
        <v>1721</v>
      </c>
      <c r="C11" s="8" t="s">
        <v>11827</v>
      </c>
      <c r="D11" s="11" t="n">
        <v>2500000</v>
      </c>
    </row>
    <row r="12" customFormat="false" ht="15" hidden="false" customHeight="true" outlineLevel="0" collapsed="false">
      <c r="A12" s="8" t="s">
        <v>11828</v>
      </c>
      <c r="B12" s="8" t="s">
        <v>11829</v>
      </c>
      <c r="C12" s="8" t="s">
        <v>11830</v>
      </c>
      <c r="D12" s="11" t="n">
        <v>2000000</v>
      </c>
    </row>
    <row r="13" customFormat="false" ht="15" hidden="false" customHeight="true" outlineLevel="0" collapsed="false">
      <c r="A13" s="8" t="s">
        <v>11806</v>
      </c>
      <c r="B13" s="8" t="s">
        <v>11831</v>
      </c>
      <c r="C13" s="8" t="s">
        <v>11832</v>
      </c>
      <c r="D13" s="11" t="n">
        <v>340000</v>
      </c>
    </row>
    <row r="14" customFormat="false" ht="15" hidden="false" customHeight="true" outlineLevel="0" collapsed="false">
      <c r="A14" s="8" t="s">
        <v>11806</v>
      </c>
      <c r="B14" s="8" t="s">
        <v>11833</v>
      </c>
      <c r="C14" s="8" t="s">
        <v>11832</v>
      </c>
      <c r="D14" s="11" t="n">
        <v>1250000</v>
      </c>
    </row>
    <row r="15" customFormat="false" ht="15" hidden="false" customHeight="true" outlineLevel="0" collapsed="false">
      <c r="A15" s="8" t="s">
        <v>11834</v>
      </c>
      <c r="B15" s="8" t="s">
        <v>11835</v>
      </c>
      <c r="C15" s="8" t="s">
        <v>11836</v>
      </c>
      <c r="D15" s="11" t="n">
        <v>500000</v>
      </c>
    </row>
    <row r="16" customFormat="false" ht="15" hidden="false" customHeight="true" outlineLevel="0" collapsed="false">
      <c r="A16" s="8" t="s">
        <v>11834</v>
      </c>
      <c r="B16" s="8" t="s">
        <v>11837</v>
      </c>
      <c r="C16" s="8" t="s">
        <v>11836</v>
      </c>
      <c r="D16" s="11" t="n">
        <v>500000</v>
      </c>
    </row>
    <row r="17" customFormat="false" ht="15" hidden="false" customHeight="true" outlineLevel="0" collapsed="false">
      <c r="A17" s="8" t="s">
        <v>11834</v>
      </c>
      <c r="B17" s="8" t="s">
        <v>11838</v>
      </c>
      <c r="C17" s="8" t="s">
        <v>11836</v>
      </c>
      <c r="D17" s="11" t="n">
        <v>250000</v>
      </c>
    </row>
    <row r="18" customFormat="false" ht="15" hidden="false" customHeight="true" outlineLevel="0" collapsed="false">
      <c r="A18" s="8" t="s">
        <v>11839</v>
      </c>
      <c r="B18" s="8" t="s">
        <v>11840</v>
      </c>
      <c r="C18" s="8" t="s">
        <v>11841</v>
      </c>
      <c r="D18" s="11" t="n">
        <v>250000</v>
      </c>
    </row>
    <row r="19" customFormat="false" ht="15" hidden="false" customHeight="true" outlineLevel="0" collapsed="false">
      <c r="A19" s="8" t="s">
        <v>11842</v>
      </c>
      <c r="B19" s="8" t="s">
        <v>11843</v>
      </c>
      <c r="C19" s="8" t="s">
        <v>11844</v>
      </c>
      <c r="D19" s="11" t="n">
        <v>250000</v>
      </c>
    </row>
    <row r="20" customFormat="false" ht="15" hidden="false" customHeight="true" outlineLevel="0" collapsed="false">
      <c r="A20" s="8" t="s">
        <v>11842</v>
      </c>
      <c r="B20" s="8" t="s">
        <v>11845</v>
      </c>
      <c r="C20" s="8" t="s">
        <v>11844</v>
      </c>
      <c r="D20" s="11" t="n">
        <v>400000</v>
      </c>
    </row>
    <row r="21" customFormat="false" ht="15" hidden="false" customHeight="true" outlineLevel="0" collapsed="false">
      <c r="A21" s="8" t="s">
        <v>11842</v>
      </c>
      <c r="B21" s="8" t="s">
        <v>11846</v>
      </c>
      <c r="C21" s="8" t="s">
        <v>11847</v>
      </c>
      <c r="D21" s="11" t="n">
        <v>50000</v>
      </c>
    </row>
    <row r="22" customFormat="false" ht="15" hidden="false" customHeight="true" outlineLevel="0" collapsed="false">
      <c r="A22" s="8" t="s">
        <v>11804</v>
      </c>
      <c r="B22" s="8" t="s">
        <v>11848</v>
      </c>
      <c r="C22" s="8" t="s">
        <v>11849</v>
      </c>
      <c r="D22" s="11" t="n">
        <v>200000</v>
      </c>
    </row>
    <row r="23" customFormat="false" ht="15" hidden="false" customHeight="true" outlineLevel="0" collapsed="false">
      <c r="A23" s="8" t="s">
        <v>11804</v>
      </c>
      <c r="B23" s="8" t="s">
        <v>11850</v>
      </c>
      <c r="C23" s="8" t="s">
        <v>11849</v>
      </c>
      <c r="D23" s="11" t="n">
        <v>120000</v>
      </c>
    </row>
    <row r="24" customFormat="false" ht="15" hidden="false" customHeight="true" outlineLevel="0" collapsed="false">
      <c r="A24" s="8" t="s">
        <v>11804</v>
      </c>
      <c r="B24" s="8" t="s">
        <v>11851</v>
      </c>
      <c r="C24" s="8" t="s">
        <v>11852</v>
      </c>
      <c r="D24" s="11" t="n">
        <v>500000</v>
      </c>
    </row>
    <row r="25" customFormat="false" ht="15" hidden="false" customHeight="true" outlineLevel="0" collapsed="false">
      <c r="A25" s="8" t="s">
        <v>11853</v>
      </c>
      <c r="B25" s="8" t="s">
        <v>1725</v>
      </c>
      <c r="C25" s="8" t="s">
        <v>11854</v>
      </c>
      <c r="D25" s="11" t="n">
        <v>870000</v>
      </c>
    </row>
    <row r="26" customFormat="false" ht="15" hidden="false" customHeight="true" outlineLevel="0" collapsed="false">
      <c r="B26" s="12" t="s">
        <v>11855</v>
      </c>
      <c r="D26" s="13" t="n">
        <f aca="false">SUM(D4:D25)</f>
        <v>17750000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44"/>
    <col collapsed="false" customWidth="true" hidden="false" outlineLevel="0" max="4" min="4" style="1" width="16"/>
    <col collapsed="false" customWidth="true" hidden="false" outlineLevel="0" max="5" min="5" style="1" width="13"/>
  </cols>
  <sheetData>
    <row r="1" customFormat="false" ht="15" hidden="false" customHeight="true" outlineLevel="0" collapsed="false">
      <c r="A1" s="7" t="s">
        <v>11856</v>
      </c>
    </row>
    <row r="3" customFormat="false" ht="15" hidden="false" customHeight="true" outlineLevel="0" collapsed="false">
      <c r="A3" s="9" t="s">
        <v>11857</v>
      </c>
    </row>
    <row r="4" customFormat="false" ht="15" hidden="false" customHeight="true" outlineLevel="0" collapsed="false">
      <c r="A4" s="10" t="s">
        <v>73</v>
      </c>
      <c r="B4" s="10" t="s">
        <v>11858</v>
      </c>
      <c r="C4" s="10" t="s">
        <v>11859</v>
      </c>
      <c r="D4" s="10" t="s">
        <v>72</v>
      </c>
    </row>
    <row r="5" customFormat="false" ht="15" hidden="false" customHeight="true" outlineLevel="0" collapsed="false">
      <c r="A5" s="8" t="s">
        <v>11804</v>
      </c>
      <c r="B5" s="8" t="s">
        <v>2632</v>
      </c>
      <c r="C5" s="17" t="s">
        <v>11860</v>
      </c>
      <c r="D5" s="11" t="n">
        <v>4000000</v>
      </c>
    </row>
    <row r="6" customFormat="false" ht="15" hidden="false" customHeight="true" outlineLevel="0" collapsed="false">
      <c r="A6" s="8" t="s">
        <v>11804</v>
      </c>
      <c r="B6" s="8" t="s">
        <v>11861</v>
      </c>
      <c r="C6" s="17" t="s">
        <v>11862</v>
      </c>
      <c r="D6" s="11" t="n">
        <v>3000000</v>
      </c>
    </row>
    <row r="7" customFormat="false" ht="15" hidden="false" customHeight="true" outlineLevel="0" collapsed="false">
      <c r="B7" s="12" t="s">
        <v>11863</v>
      </c>
      <c r="D7" s="13" t="n">
        <f aca="false">SUM(D5:D6)</f>
        <v>7000000</v>
      </c>
    </row>
    <row r="9" customFormat="false" ht="15" hidden="false" customHeight="true" outlineLevel="0" collapsed="false">
      <c r="A9" s="9" t="s">
        <v>11864</v>
      </c>
    </row>
    <row r="10" customFormat="false" ht="15" hidden="false" customHeight="true" outlineLevel="0" collapsed="false">
      <c r="A10" s="10" t="s">
        <v>73</v>
      </c>
      <c r="B10" s="10" t="s">
        <v>11858</v>
      </c>
      <c r="C10" s="10" t="s">
        <v>11859</v>
      </c>
      <c r="D10" s="10" t="s">
        <v>72</v>
      </c>
    </row>
    <row r="11" customFormat="false" ht="15" hidden="false" customHeight="true" outlineLevel="0" collapsed="false">
      <c r="A11" s="8" t="s">
        <v>11804</v>
      </c>
      <c r="B11" s="8" t="s">
        <v>11865</v>
      </c>
      <c r="C11" s="17" t="s">
        <v>11866</v>
      </c>
      <c r="D11" s="11" t="n">
        <v>5850000</v>
      </c>
    </row>
    <row r="12" customFormat="false" ht="15" hidden="false" customHeight="true" outlineLevel="0" collapsed="false">
      <c r="B12" s="12" t="s">
        <v>11867</v>
      </c>
      <c r="D12" s="13" t="n">
        <f aca="false">D11</f>
        <v>5850000</v>
      </c>
    </row>
    <row r="14" customFormat="false" ht="15" hidden="false" customHeight="true" outlineLevel="0" collapsed="false">
      <c r="A14" s="9" t="s">
        <v>11868</v>
      </c>
    </row>
    <row r="15" customFormat="false" ht="15" hidden="false" customHeight="true" outlineLevel="0" collapsed="false">
      <c r="A15" s="10" t="s">
        <v>73</v>
      </c>
      <c r="B15" s="10" t="s">
        <v>131</v>
      </c>
      <c r="C15" s="10" t="s">
        <v>130</v>
      </c>
      <c r="D15" s="10" t="s">
        <v>11859</v>
      </c>
      <c r="E15" s="10" t="s">
        <v>72</v>
      </c>
    </row>
    <row r="16" customFormat="false" ht="15" hidden="false" customHeight="true" outlineLevel="0" collapsed="false">
      <c r="A16" s="8" t="s">
        <v>11802</v>
      </c>
      <c r="B16" s="8" t="s">
        <v>184</v>
      </c>
      <c r="C16" s="8" t="s">
        <v>11869</v>
      </c>
      <c r="D16" s="8" t="s">
        <v>11870</v>
      </c>
      <c r="E16" s="11" t="n">
        <v>13000</v>
      </c>
    </row>
    <row r="17" customFormat="false" ht="15" hidden="false" customHeight="true" outlineLevel="0" collapsed="false">
      <c r="A17" s="8" t="s">
        <v>11812</v>
      </c>
      <c r="B17" s="8" t="s">
        <v>680</v>
      </c>
      <c r="C17" s="8" t="s">
        <v>11871</v>
      </c>
      <c r="D17" s="8" t="s">
        <v>11872</v>
      </c>
      <c r="E17" s="11" t="n">
        <v>50000</v>
      </c>
    </row>
    <row r="18" customFormat="false" ht="15" hidden="false" customHeight="true" outlineLevel="0" collapsed="false">
      <c r="A18" s="8" t="s">
        <v>11804</v>
      </c>
      <c r="B18" s="8" t="s">
        <v>670</v>
      </c>
      <c r="C18" s="8" t="s">
        <v>300</v>
      </c>
      <c r="D18" s="8" t="s">
        <v>11873</v>
      </c>
      <c r="E18" s="11" t="n">
        <v>70000</v>
      </c>
    </row>
    <row r="19" customFormat="false" ht="15" hidden="false" customHeight="true" outlineLevel="0" collapsed="false">
      <c r="A19" s="8" t="s">
        <v>11809</v>
      </c>
      <c r="B19" s="8" t="s">
        <v>11874</v>
      </c>
      <c r="C19" s="8" t="s">
        <v>11875</v>
      </c>
      <c r="D19" s="8" t="s">
        <v>11876</v>
      </c>
      <c r="E19" s="11" t="n">
        <v>96421</v>
      </c>
    </row>
    <row r="20" customFormat="false" ht="15" hidden="false" customHeight="true" outlineLevel="0" collapsed="false">
      <c r="A20" s="8" t="s">
        <v>11809</v>
      </c>
      <c r="B20" s="8" t="s">
        <v>11877</v>
      </c>
      <c r="C20" s="8" t="s">
        <v>11878</v>
      </c>
      <c r="D20" s="8" t="s">
        <v>11879</v>
      </c>
      <c r="E20" s="11" t="n">
        <v>8333</v>
      </c>
    </row>
    <row r="21" customFormat="false" ht="15" hidden="false" customHeight="true" outlineLevel="0" collapsed="false">
      <c r="A21" s="8" t="s">
        <v>11799</v>
      </c>
      <c r="B21" s="8" t="s">
        <v>11880</v>
      </c>
      <c r="C21" s="8" t="s">
        <v>11881</v>
      </c>
      <c r="D21" s="8" t="s">
        <v>11882</v>
      </c>
      <c r="E21" s="11" t="n">
        <v>40000</v>
      </c>
    </row>
    <row r="22" customFormat="false" ht="15" hidden="false" customHeight="true" outlineLevel="0" collapsed="false">
      <c r="A22" s="8" t="s">
        <v>11812</v>
      </c>
      <c r="B22" s="8" t="s">
        <v>680</v>
      </c>
      <c r="C22" s="8" t="s">
        <v>679</v>
      </c>
      <c r="D22" s="8" t="s">
        <v>11872</v>
      </c>
      <c r="E22" s="11" t="n">
        <v>100000</v>
      </c>
    </row>
    <row r="23" customFormat="false" ht="15" hidden="false" customHeight="true" outlineLevel="0" collapsed="false">
      <c r="A23" s="8" t="s">
        <v>11812</v>
      </c>
      <c r="B23" s="8" t="s">
        <v>704</v>
      </c>
      <c r="C23" s="8" t="s">
        <v>679</v>
      </c>
      <c r="D23" s="8" t="s">
        <v>11883</v>
      </c>
      <c r="E23" s="11" t="n">
        <v>50000</v>
      </c>
    </row>
    <row r="24" customFormat="false" ht="15" hidden="false" customHeight="true" outlineLevel="0" collapsed="false">
      <c r="A24" s="8" t="s">
        <v>11812</v>
      </c>
      <c r="B24" s="8" t="s">
        <v>11884</v>
      </c>
      <c r="C24" s="8" t="s">
        <v>679</v>
      </c>
      <c r="D24" s="8" t="s">
        <v>11885</v>
      </c>
      <c r="E24" s="11" t="n">
        <v>150000</v>
      </c>
    </row>
    <row r="25" customFormat="false" ht="15" hidden="false" customHeight="true" outlineLevel="0" collapsed="false">
      <c r="A25" s="8" t="s">
        <v>11812</v>
      </c>
      <c r="B25" s="8" t="s">
        <v>741</v>
      </c>
      <c r="C25" s="8" t="s">
        <v>679</v>
      </c>
      <c r="D25" s="8" t="s">
        <v>11886</v>
      </c>
      <c r="E25" s="11" t="n">
        <v>50000</v>
      </c>
    </row>
    <row r="26" customFormat="false" ht="15" hidden="false" customHeight="true" outlineLevel="0" collapsed="false">
      <c r="A26" s="8" t="s">
        <v>11887</v>
      </c>
      <c r="B26" s="8" t="s">
        <v>2525</v>
      </c>
      <c r="C26" s="8" t="s">
        <v>679</v>
      </c>
      <c r="D26" s="8" t="s">
        <v>11888</v>
      </c>
      <c r="E26" s="11" t="n">
        <v>125000</v>
      </c>
    </row>
    <row r="27" customFormat="false" ht="15" hidden="false" customHeight="true" outlineLevel="0" collapsed="false">
      <c r="A27" s="8" t="s">
        <v>11887</v>
      </c>
      <c r="B27" s="8" t="s">
        <v>162</v>
      </c>
      <c r="C27" s="8" t="s">
        <v>695</v>
      </c>
      <c r="D27" s="8" t="s">
        <v>11889</v>
      </c>
      <c r="E27" s="11" t="n">
        <v>646666</v>
      </c>
    </row>
    <row r="28" customFormat="false" ht="15" hidden="false" customHeight="true" outlineLevel="0" collapsed="false">
      <c r="A28" s="8" t="s">
        <v>11890</v>
      </c>
      <c r="B28" s="8" t="s">
        <v>2537</v>
      </c>
      <c r="C28" s="8" t="s">
        <v>317</v>
      </c>
      <c r="D28" s="8" t="s">
        <v>11891</v>
      </c>
      <c r="E28" s="11" t="n">
        <v>52935</v>
      </c>
    </row>
    <row r="29" customFormat="false" ht="15" hidden="false" customHeight="true" outlineLevel="0" collapsed="false">
      <c r="A29" s="8" t="s">
        <v>11804</v>
      </c>
      <c r="B29" s="8" t="s">
        <v>670</v>
      </c>
      <c r="C29" s="8" t="s">
        <v>427</v>
      </c>
      <c r="D29" s="8" t="s">
        <v>11892</v>
      </c>
      <c r="E29" s="11" t="n">
        <v>70000</v>
      </c>
    </row>
    <row r="30" customFormat="false" ht="15" hidden="false" customHeight="true" outlineLevel="0" collapsed="false">
      <c r="A30" s="8" t="s">
        <v>11893</v>
      </c>
      <c r="B30" s="8" t="s">
        <v>1054</v>
      </c>
      <c r="C30" s="8" t="s">
        <v>427</v>
      </c>
      <c r="D30" s="8" t="s">
        <v>11894</v>
      </c>
      <c r="E30" s="11" t="n">
        <v>37500</v>
      </c>
    </row>
    <row r="31" customFormat="false" ht="15" hidden="false" customHeight="true" outlineLevel="0" collapsed="false">
      <c r="A31" s="8" t="s">
        <v>11895</v>
      </c>
      <c r="B31" s="8" t="s">
        <v>2557</v>
      </c>
      <c r="C31" s="8" t="s">
        <v>11896</v>
      </c>
      <c r="D31" s="8" t="s">
        <v>11897</v>
      </c>
      <c r="E31" s="11" t="n">
        <v>335000</v>
      </c>
    </row>
    <row r="32" customFormat="false" ht="15" hidden="false" customHeight="true" outlineLevel="0" collapsed="false">
      <c r="A32" s="8" t="s">
        <v>11806</v>
      </c>
      <c r="B32" s="8" t="s">
        <v>147</v>
      </c>
      <c r="C32" s="8" t="s">
        <v>290</v>
      </c>
      <c r="D32" s="8" t="s">
        <v>11898</v>
      </c>
      <c r="E32" s="11" t="n">
        <v>50000</v>
      </c>
    </row>
    <row r="33" customFormat="false" ht="15" hidden="false" customHeight="true" outlineLevel="0" collapsed="false">
      <c r="A33" s="8" t="s">
        <v>11899</v>
      </c>
      <c r="B33" s="8" t="s">
        <v>769</v>
      </c>
      <c r="C33" s="8" t="s">
        <v>290</v>
      </c>
      <c r="D33" s="8" t="s">
        <v>11900</v>
      </c>
      <c r="E33" s="11" t="n">
        <v>25000</v>
      </c>
    </row>
    <row r="34" customFormat="false" ht="15" hidden="false" customHeight="true" outlineLevel="0" collapsed="false">
      <c r="A34" s="8" t="s">
        <v>11899</v>
      </c>
      <c r="B34" s="8" t="s">
        <v>769</v>
      </c>
      <c r="C34" s="8" t="s">
        <v>563</v>
      </c>
      <c r="D34" s="8" t="s">
        <v>11901</v>
      </c>
      <c r="E34" s="11" t="n">
        <v>25000</v>
      </c>
    </row>
    <row r="35" customFormat="false" ht="15" hidden="false" customHeight="true" outlineLevel="0" collapsed="false">
      <c r="A35" s="8" t="s">
        <v>11799</v>
      </c>
      <c r="B35" s="8" t="s">
        <v>11880</v>
      </c>
      <c r="C35" s="8" t="s">
        <v>350</v>
      </c>
      <c r="D35" s="8" t="s">
        <v>11902</v>
      </c>
      <c r="E35" s="11" t="n">
        <v>6000</v>
      </c>
    </row>
    <row r="36" customFormat="false" ht="15" hidden="false" customHeight="true" outlineLevel="0" collapsed="false">
      <c r="A36" s="8" t="s">
        <v>11903</v>
      </c>
      <c r="B36" s="8" t="s">
        <v>772</v>
      </c>
      <c r="C36" s="8" t="s">
        <v>11904</v>
      </c>
      <c r="D36" s="8" t="s">
        <v>11905</v>
      </c>
      <c r="E36" s="11" t="n">
        <v>35000</v>
      </c>
    </row>
    <row r="37" customFormat="false" ht="15" hidden="false" customHeight="true" outlineLevel="0" collapsed="false">
      <c r="A37" s="8" t="s">
        <v>11802</v>
      </c>
      <c r="B37" s="8" t="s">
        <v>719</v>
      </c>
      <c r="C37" s="8" t="s">
        <v>11869</v>
      </c>
      <c r="D37" s="8" t="s">
        <v>11906</v>
      </c>
      <c r="E37" s="11" t="n">
        <v>73070</v>
      </c>
    </row>
    <row r="38" customFormat="false" ht="15" hidden="false" customHeight="true" outlineLevel="0" collapsed="false">
      <c r="C38" s="12" t="s">
        <v>11907</v>
      </c>
      <c r="E38" s="13" t="n">
        <f aca="false">SUM(E16:E37)</f>
        <v>2108925</v>
      </c>
    </row>
    <row r="39" customFormat="false" ht="15" hidden="false" customHeight="true" outlineLevel="0" collapsed="false">
      <c r="C39" s="8" t="s">
        <v>11908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8"/>
    <col collapsed="false" customWidth="true" hidden="false" outlineLevel="0" max="4" min="4" style="1" width="60"/>
  </cols>
  <sheetData>
    <row r="1" customFormat="false" ht="15" hidden="false" customHeight="true" outlineLevel="0" collapsed="false">
      <c r="A1" s="7" t="s">
        <v>11909</v>
      </c>
    </row>
    <row r="2" customFormat="false" ht="15" hidden="false" customHeight="true" outlineLevel="0" collapsed="false">
      <c r="A2" s="8" t="s">
        <v>11910</v>
      </c>
    </row>
    <row r="4" customFormat="false" ht="15" hidden="false" customHeight="true" outlineLevel="0" collapsed="false">
      <c r="A4" s="10" t="s">
        <v>11387</v>
      </c>
      <c r="B4" s="10" t="s">
        <v>11911</v>
      </c>
      <c r="C4" s="10" t="s">
        <v>11912</v>
      </c>
      <c r="D4" s="10" t="s">
        <v>11913</v>
      </c>
    </row>
    <row r="5" customFormat="false" ht="15" hidden="false" customHeight="true" outlineLevel="0" collapsed="false">
      <c r="A5" s="8" t="s">
        <v>11785</v>
      </c>
      <c r="B5" s="11" t="n">
        <v>17750000</v>
      </c>
      <c r="C5" s="11" t="n">
        <v>17750000</v>
      </c>
      <c r="D5" s="15" t="s">
        <v>11914</v>
      </c>
    </row>
    <row r="6" customFormat="false" ht="15" hidden="false" customHeight="true" outlineLevel="0" collapsed="false">
      <c r="A6" s="8" t="s">
        <v>11915</v>
      </c>
      <c r="B6" s="11" t="n">
        <v>2250000</v>
      </c>
      <c r="C6" s="11" t="n">
        <v>2250000</v>
      </c>
      <c r="D6" s="15" t="s">
        <v>11916</v>
      </c>
    </row>
    <row r="7" customFormat="false" ht="15" hidden="false" customHeight="true" outlineLevel="0" collapsed="false">
      <c r="A7" s="8" t="s">
        <v>11917</v>
      </c>
      <c r="B7" s="11" t="n">
        <v>45000</v>
      </c>
      <c r="C7" s="11" t="n">
        <v>45000</v>
      </c>
      <c r="D7" s="8" t="s">
        <v>11918</v>
      </c>
    </row>
    <row r="8" customFormat="false" ht="15" hidden="false" customHeight="true" outlineLevel="0" collapsed="false">
      <c r="A8" s="8" t="s">
        <v>11919</v>
      </c>
      <c r="B8" s="18" t="n">
        <v>900000</v>
      </c>
      <c r="C8" s="18" t="n">
        <v>825000</v>
      </c>
      <c r="D8" s="8" t="s">
        <v>11920</v>
      </c>
    </row>
    <row r="9" customFormat="false" ht="15" hidden="false" customHeight="true" outlineLevel="0" collapsed="false">
      <c r="A9" s="8" t="s">
        <v>11787</v>
      </c>
      <c r="B9" s="18" t="n">
        <v>7000000</v>
      </c>
      <c r="C9" s="18" t="n">
        <v>7418000</v>
      </c>
      <c r="D9" s="8" t="s">
        <v>11921</v>
      </c>
    </row>
    <row r="10" customFormat="false" ht="15" hidden="false" customHeight="true" outlineLevel="0" collapsed="false">
      <c r="A10" s="8" t="s">
        <v>11922</v>
      </c>
      <c r="B10" s="11" t="n">
        <v>5850000</v>
      </c>
      <c r="C10" s="11" t="n">
        <v>5850000</v>
      </c>
      <c r="D10" s="15" t="s">
        <v>11923</v>
      </c>
    </row>
    <row r="11" customFormat="false" ht="15" hidden="false" customHeight="true" outlineLevel="0" collapsed="false">
      <c r="A11" s="8" t="s">
        <v>11924</v>
      </c>
      <c r="B11" s="18" t="n">
        <v>2108925</v>
      </c>
      <c r="C11" s="18" t="n">
        <v>8341467</v>
      </c>
      <c r="D11" s="8" t="s">
        <v>11925</v>
      </c>
    </row>
    <row r="13" customFormat="false" ht="15" hidden="false" customHeight="true" outlineLevel="0" collapsed="false">
      <c r="A13" s="4" t="s">
        <v>11926</v>
      </c>
    </row>
    <row r="14" customFormat="false" ht="15" hidden="false" customHeight="true" outlineLevel="0" collapsed="false">
      <c r="A14" s="4" t="s">
        <v>11927</v>
      </c>
    </row>
    <row r="16" customFormat="false" ht="15" hidden="false" customHeight="true" outlineLevel="0" collapsed="false">
      <c r="A16" s="12" t="s">
        <v>11928</v>
      </c>
    </row>
    <row r="17" customFormat="false" ht="15" hidden="false" customHeight="true" outlineLevel="0" collapsed="false">
      <c r="A17" s="8" t="s">
        <v>11929</v>
      </c>
    </row>
    <row r="18" customFormat="false" ht="15" hidden="false" customHeight="true" outlineLevel="0" collapsed="false">
      <c r="A18" s="15" t="s">
        <v>11930</v>
      </c>
    </row>
    <row r="19" customFormat="false" ht="15" hidden="false" customHeight="true" outlineLevel="0" collapsed="false">
      <c r="A19" s="8" t="s">
        <v>11931</v>
      </c>
    </row>
    <row r="20" customFormat="false" ht="15" hidden="false" customHeight="true" outlineLevel="0" collapsed="false">
      <c r="A20" s="19" t="s">
        <v>11932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2"/>
    <col collapsed="false" customWidth="true" hidden="false" outlineLevel="0" max="3" min="3" style="1" width="60"/>
    <col collapsed="false" customWidth="true" hidden="false" outlineLevel="0" max="4" min="4" style="1" width="13"/>
  </cols>
  <sheetData>
    <row r="1" customFormat="false" ht="15" hidden="false" customHeight="true" outlineLevel="0" collapsed="false">
      <c r="A1" s="7" t="s">
        <v>11933</v>
      </c>
    </row>
    <row r="2" customFormat="false" ht="15" hidden="false" customHeight="true" outlineLevel="0" collapsed="false">
      <c r="A2" s="8" t="s">
        <v>11934</v>
      </c>
    </row>
    <row r="4" customFormat="false" ht="15" hidden="false" customHeight="true" outlineLevel="0" collapsed="false">
      <c r="A4" s="10" t="s">
        <v>11935</v>
      </c>
      <c r="B4" s="10" t="s">
        <v>140</v>
      </c>
      <c r="C4" s="10" t="s">
        <v>11936</v>
      </c>
      <c r="D4" s="10" t="s">
        <v>72</v>
      </c>
    </row>
    <row r="5" customFormat="false" ht="15" hidden="false" customHeight="true" outlineLevel="0" collapsed="false">
      <c r="A5" s="34" t="s">
        <v>926</v>
      </c>
      <c r="B5" s="34" t="s">
        <v>11937</v>
      </c>
      <c r="C5" s="34"/>
      <c r="D5" s="35" t="n">
        <v>10000</v>
      </c>
    </row>
    <row r="6" customFormat="false" ht="15" hidden="false" customHeight="true" outlineLevel="0" collapsed="false">
      <c r="A6" s="34" t="s">
        <v>926</v>
      </c>
      <c r="B6" s="34" t="s">
        <v>273</v>
      </c>
      <c r="C6" s="34" t="s">
        <v>2627</v>
      </c>
      <c r="D6" s="35" t="n">
        <v>20000</v>
      </c>
    </row>
    <row r="7" customFormat="false" ht="15" hidden="false" customHeight="true" outlineLevel="0" collapsed="false">
      <c r="A7" s="34" t="s">
        <v>926</v>
      </c>
      <c r="B7" s="34" t="s">
        <v>11938</v>
      </c>
      <c r="C7" s="34" t="s">
        <v>2627</v>
      </c>
      <c r="D7" s="35" t="n">
        <v>25000</v>
      </c>
    </row>
    <row r="8" customFormat="false" ht="15" hidden="false" customHeight="true" outlineLevel="0" collapsed="false">
      <c r="A8" s="34" t="s">
        <v>926</v>
      </c>
      <c r="B8" s="34" t="s">
        <v>11939</v>
      </c>
      <c r="C8" s="34"/>
      <c r="D8" s="35" t="n">
        <v>10000</v>
      </c>
    </row>
    <row r="9" customFormat="false" ht="15" hidden="false" customHeight="true" outlineLevel="0" collapsed="false">
      <c r="A9" s="34" t="s">
        <v>926</v>
      </c>
      <c r="B9" s="34" t="s">
        <v>11940</v>
      </c>
      <c r="C9" s="34" t="s">
        <v>2627</v>
      </c>
      <c r="D9" s="35" t="n">
        <v>10000</v>
      </c>
    </row>
    <row r="10" customFormat="false" ht="15" hidden="false" customHeight="true" outlineLevel="0" collapsed="false">
      <c r="A10" s="34" t="s">
        <v>926</v>
      </c>
      <c r="B10" s="34" t="s">
        <v>11941</v>
      </c>
      <c r="C10" s="34" t="s">
        <v>2627</v>
      </c>
      <c r="D10" s="35" t="n">
        <v>10000</v>
      </c>
    </row>
    <row r="11" customFormat="false" ht="15" hidden="false" customHeight="true" outlineLevel="0" collapsed="false">
      <c r="A11" s="34" t="s">
        <v>926</v>
      </c>
      <c r="B11" s="34" t="s">
        <v>11942</v>
      </c>
      <c r="C11" s="34" t="s">
        <v>2627</v>
      </c>
      <c r="D11" s="35" t="n">
        <v>15000</v>
      </c>
    </row>
    <row r="12" customFormat="false" ht="15" hidden="false" customHeight="true" outlineLevel="0" collapsed="false">
      <c r="B12" s="4" t="s">
        <v>11943</v>
      </c>
      <c r="D12" s="13" t="n">
        <f aca="false">SUM(D5:D11)</f>
        <v>100000</v>
      </c>
    </row>
    <row r="13" customFormat="false" ht="15" hidden="false" customHeight="true" outlineLevel="0" collapsed="false">
      <c r="A13" s="34" t="s">
        <v>957</v>
      </c>
      <c r="B13" s="34" t="s">
        <v>11944</v>
      </c>
      <c r="C13" s="34"/>
      <c r="D13" s="35" t="n">
        <v>15000</v>
      </c>
    </row>
    <row r="14" customFormat="false" ht="15" hidden="false" customHeight="true" outlineLevel="0" collapsed="false">
      <c r="A14" s="34" t="s">
        <v>957</v>
      </c>
      <c r="B14" s="34" t="s">
        <v>11945</v>
      </c>
      <c r="C14" s="34"/>
      <c r="D14" s="35" t="n">
        <v>15000</v>
      </c>
    </row>
    <row r="15" customFormat="false" ht="15" hidden="false" customHeight="true" outlineLevel="0" collapsed="false">
      <c r="A15" s="34" t="s">
        <v>957</v>
      </c>
      <c r="B15" s="34" t="s">
        <v>11946</v>
      </c>
      <c r="C15" s="34" t="s">
        <v>2627</v>
      </c>
      <c r="D15" s="35" t="n">
        <v>10000</v>
      </c>
    </row>
    <row r="16" customFormat="false" ht="15" hidden="false" customHeight="true" outlineLevel="0" collapsed="false">
      <c r="A16" s="34" t="s">
        <v>957</v>
      </c>
      <c r="B16" s="34" t="s">
        <v>11947</v>
      </c>
      <c r="C16" s="34"/>
      <c r="D16" s="35" t="n">
        <v>15000</v>
      </c>
    </row>
    <row r="17" customFormat="false" ht="15" hidden="false" customHeight="true" outlineLevel="0" collapsed="false">
      <c r="A17" s="34" t="s">
        <v>957</v>
      </c>
      <c r="B17" s="34" t="s">
        <v>11948</v>
      </c>
      <c r="C17" s="34"/>
      <c r="D17" s="35" t="n">
        <v>15000</v>
      </c>
    </row>
    <row r="18" customFormat="false" ht="15" hidden="false" customHeight="true" outlineLevel="0" collapsed="false">
      <c r="A18" s="34" t="s">
        <v>957</v>
      </c>
      <c r="B18" s="34" t="s">
        <v>11949</v>
      </c>
      <c r="C18" s="34"/>
      <c r="D18" s="35" t="n">
        <v>15000</v>
      </c>
    </row>
    <row r="19" customFormat="false" ht="15" hidden="false" customHeight="true" outlineLevel="0" collapsed="false">
      <c r="A19" s="34" t="s">
        <v>957</v>
      </c>
      <c r="B19" s="34" t="s">
        <v>11950</v>
      </c>
      <c r="C19" s="34" t="s">
        <v>2627</v>
      </c>
      <c r="D19" s="35" t="n">
        <v>10000</v>
      </c>
    </row>
    <row r="20" customFormat="false" ht="15" hidden="false" customHeight="true" outlineLevel="0" collapsed="false">
      <c r="A20" s="34" t="s">
        <v>957</v>
      </c>
      <c r="B20" s="34" t="s">
        <v>11951</v>
      </c>
      <c r="C20" s="34"/>
      <c r="D20" s="35" t="n">
        <v>15000</v>
      </c>
    </row>
    <row r="21" customFormat="false" ht="15" hidden="false" customHeight="true" outlineLevel="0" collapsed="false">
      <c r="B21" s="4" t="s">
        <v>11952</v>
      </c>
      <c r="D21" s="13" t="n">
        <f aca="false">SUM(D13:D20)</f>
        <v>110000</v>
      </c>
    </row>
    <row r="22" customFormat="false" ht="15" hidden="false" customHeight="true" outlineLevel="0" collapsed="false">
      <c r="A22" s="34" t="s">
        <v>945</v>
      </c>
      <c r="B22" s="34" t="s">
        <v>273</v>
      </c>
      <c r="C22" s="34" t="s">
        <v>11953</v>
      </c>
      <c r="D22" s="35" t="n">
        <v>10000</v>
      </c>
    </row>
    <row r="23" customFormat="false" ht="15" hidden="false" customHeight="true" outlineLevel="0" collapsed="false">
      <c r="A23" s="34" t="s">
        <v>945</v>
      </c>
      <c r="B23" s="34" t="s">
        <v>11954</v>
      </c>
      <c r="C23" s="34" t="s">
        <v>2627</v>
      </c>
      <c r="D23" s="35" t="n">
        <v>30000</v>
      </c>
    </row>
    <row r="24" customFormat="false" ht="15" hidden="false" customHeight="true" outlineLevel="0" collapsed="false">
      <c r="A24" s="34" t="s">
        <v>945</v>
      </c>
      <c r="B24" s="34" t="s">
        <v>489</v>
      </c>
      <c r="C24" s="34" t="s">
        <v>2627</v>
      </c>
      <c r="D24" s="35" t="n">
        <v>5000</v>
      </c>
    </row>
    <row r="25" customFormat="false" ht="15" hidden="false" customHeight="true" outlineLevel="0" collapsed="false">
      <c r="A25" s="34" t="s">
        <v>945</v>
      </c>
      <c r="B25" s="34" t="s">
        <v>11955</v>
      </c>
      <c r="C25" s="34" t="s">
        <v>11956</v>
      </c>
      <c r="D25" s="35" t="n">
        <v>5000</v>
      </c>
    </row>
    <row r="26" customFormat="false" ht="15" hidden="false" customHeight="true" outlineLevel="0" collapsed="false">
      <c r="B26" s="4" t="s">
        <v>11957</v>
      </c>
      <c r="D26" s="13" t="n">
        <f aca="false">SUM(D22:D25)</f>
        <v>50000</v>
      </c>
    </row>
    <row r="27" customFormat="false" ht="15" hidden="false" customHeight="true" outlineLevel="0" collapsed="false">
      <c r="A27" s="34" t="s">
        <v>3111</v>
      </c>
      <c r="B27" s="34" t="s">
        <v>168</v>
      </c>
      <c r="C27" s="34" t="s">
        <v>2627</v>
      </c>
      <c r="D27" s="35" t="n">
        <v>80000</v>
      </c>
    </row>
    <row r="28" customFormat="false" ht="15" hidden="false" customHeight="true" outlineLevel="0" collapsed="false">
      <c r="A28" s="34" t="s">
        <v>3111</v>
      </c>
      <c r="B28" s="34" t="s">
        <v>11958</v>
      </c>
      <c r="C28" s="34"/>
      <c r="D28" s="35" t="n">
        <v>20000</v>
      </c>
    </row>
    <row r="29" customFormat="false" ht="15" hidden="false" customHeight="true" outlineLevel="0" collapsed="false">
      <c r="B29" s="4" t="s">
        <v>11959</v>
      </c>
      <c r="D29" s="13" t="n">
        <f aca="false">SUM(D27:D28)</f>
        <v>100000</v>
      </c>
    </row>
    <row r="30" customFormat="false" ht="15" hidden="false" customHeight="true" outlineLevel="0" collapsed="false">
      <c r="A30" s="34" t="s">
        <v>1938</v>
      </c>
      <c r="B30" s="34" t="s">
        <v>11960</v>
      </c>
      <c r="C30" s="34" t="s">
        <v>11961</v>
      </c>
      <c r="D30" s="35" t="n">
        <v>20000</v>
      </c>
    </row>
    <row r="31" customFormat="false" ht="15" hidden="false" customHeight="true" outlineLevel="0" collapsed="false">
      <c r="A31" s="34" t="s">
        <v>1938</v>
      </c>
      <c r="B31" s="34" t="s">
        <v>11962</v>
      </c>
      <c r="C31" s="34" t="s">
        <v>2662</v>
      </c>
      <c r="D31" s="35" t="n">
        <v>20000</v>
      </c>
    </row>
    <row r="32" customFormat="false" ht="15" hidden="false" customHeight="true" outlineLevel="0" collapsed="false">
      <c r="A32" s="34" t="s">
        <v>1938</v>
      </c>
      <c r="B32" s="34" t="s">
        <v>11963</v>
      </c>
      <c r="C32" s="34" t="s">
        <v>11481</v>
      </c>
      <c r="D32" s="35" t="n">
        <v>20000</v>
      </c>
    </row>
    <row r="33" customFormat="false" ht="15" hidden="false" customHeight="true" outlineLevel="0" collapsed="false">
      <c r="A33" s="34" t="s">
        <v>1938</v>
      </c>
      <c r="B33" s="34" t="s">
        <v>11964</v>
      </c>
      <c r="C33" s="34" t="s">
        <v>2655</v>
      </c>
      <c r="D33" s="35" t="n">
        <v>20000</v>
      </c>
    </row>
    <row r="34" customFormat="false" ht="15" hidden="false" customHeight="true" outlineLevel="0" collapsed="false">
      <c r="A34" s="34" t="s">
        <v>1938</v>
      </c>
      <c r="B34" s="34" t="s">
        <v>11965</v>
      </c>
      <c r="C34" s="34" t="s">
        <v>2657</v>
      </c>
      <c r="D34" s="35" t="n">
        <v>20000</v>
      </c>
    </row>
    <row r="35" customFormat="false" ht="15" hidden="false" customHeight="true" outlineLevel="0" collapsed="false">
      <c r="A35" s="34" t="s">
        <v>1938</v>
      </c>
      <c r="B35" s="34" t="s">
        <v>11966</v>
      </c>
      <c r="C35" s="34" t="s">
        <v>2674</v>
      </c>
      <c r="D35" s="35" t="n">
        <v>20000</v>
      </c>
    </row>
    <row r="36" customFormat="false" ht="15" hidden="false" customHeight="true" outlineLevel="0" collapsed="false">
      <c r="A36" s="34" t="s">
        <v>1938</v>
      </c>
      <c r="B36" s="34" t="s">
        <v>11967</v>
      </c>
      <c r="C36" s="34"/>
      <c r="D36" s="35" t="n">
        <v>20000</v>
      </c>
    </row>
    <row r="37" customFormat="false" ht="15" hidden="false" customHeight="true" outlineLevel="0" collapsed="false">
      <c r="A37" s="34" t="s">
        <v>1938</v>
      </c>
      <c r="B37" s="34" t="s">
        <v>11968</v>
      </c>
      <c r="C37" s="34" t="s">
        <v>2672</v>
      </c>
      <c r="D37" s="35" t="n">
        <v>20000</v>
      </c>
    </row>
    <row r="38" customFormat="false" ht="15" hidden="false" customHeight="true" outlineLevel="0" collapsed="false">
      <c r="A38" s="34" t="s">
        <v>1938</v>
      </c>
      <c r="B38" s="34" t="s">
        <v>11969</v>
      </c>
      <c r="C38" s="34" t="s">
        <v>2659</v>
      </c>
      <c r="D38" s="35" t="n">
        <v>20000</v>
      </c>
    </row>
    <row r="39" customFormat="false" ht="15" hidden="false" customHeight="true" outlineLevel="0" collapsed="false">
      <c r="A39" s="34" t="s">
        <v>1938</v>
      </c>
      <c r="B39" s="34" t="s">
        <v>11970</v>
      </c>
      <c r="C39" s="34" t="s">
        <v>2653</v>
      </c>
      <c r="D39" s="35" t="n">
        <v>20000</v>
      </c>
    </row>
    <row r="40" customFormat="false" ht="15" hidden="false" customHeight="true" outlineLevel="0" collapsed="false">
      <c r="A40" s="34" t="s">
        <v>1938</v>
      </c>
      <c r="B40" s="34" t="s">
        <v>11971</v>
      </c>
      <c r="C40" s="34" t="s">
        <v>2663</v>
      </c>
      <c r="D40" s="35" t="n">
        <v>20000</v>
      </c>
    </row>
    <row r="41" customFormat="false" ht="15" hidden="false" customHeight="true" outlineLevel="0" collapsed="false">
      <c r="A41" s="34" t="s">
        <v>1938</v>
      </c>
      <c r="B41" s="34" t="s">
        <v>11972</v>
      </c>
      <c r="C41" s="34" t="s">
        <v>2665</v>
      </c>
      <c r="D41" s="35" t="n">
        <v>20000</v>
      </c>
    </row>
    <row r="42" customFormat="false" ht="15" hidden="false" customHeight="true" outlineLevel="0" collapsed="false">
      <c r="A42" s="34" t="s">
        <v>1938</v>
      </c>
      <c r="B42" s="34" t="s">
        <v>11973</v>
      </c>
      <c r="C42" s="34" t="s">
        <v>2654</v>
      </c>
      <c r="D42" s="35" t="n">
        <v>20000</v>
      </c>
    </row>
    <row r="43" customFormat="false" ht="15" hidden="false" customHeight="true" outlineLevel="0" collapsed="false">
      <c r="A43" s="34" t="s">
        <v>1938</v>
      </c>
      <c r="B43" s="34" t="s">
        <v>11973</v>
      </c>
      <c r="C43" s="34" t="s">
        <v>2666</v>
      </c>
      <c r="D43" s="35" t="n">
        <v>20000</v>
      </c>
    </row>
    <row r="44" customFormat="false" ht="15" hidden="false" customHeight="true" outlineLevel="0" collapsed="false">
      <c r="A44" s="34" t="s">
        <v>1938</v>
      </c>
      <c r="B44" s="34" t="s">
        <v>11974</v>
      </c>
      <c r="C44" s="34" t="s">
        <v>2653</v>
      </c>
      <c r="D44" s="35" t="n">
        <v>20000</v>
      </c>
    </row>
    <row r="45" customFormat="false" ht="15" hidden="false" customHeight="true" outlineLevel="0" collapsed="false">
      <c r="A45" s="34" t="s">
        <v>1938</v>
      </c>
      <c r="B45" s="34" t="s">
        <v>11975</v>
      </c>
      <c r="C45" s="34" t="s">
        <v>2664</v>
      </c>
      <c r="D45" s="35" t="n">
        <v>20000</v>
      </c>
    </row>
    <row r="46" customFormat="false" ht="15" hidden="false" customHeight="true" outlineLevel="0" collapsed="false">
      <c r="A46" s="34" t="s">
        <v>1938</v>
      </c>
      <c r="B46" s="34" t="s">
        <v>11976</v>
      </c>
      <c r="C46" s="34" t="s">
        <v>11482</v>
      </c>
      <c r="D46" s="35" t="n">
        <v>20000</v>
      </c>
    </row>
    <row r="47" customFormat="false" ht="15" hidden="false" customHeight="true" outlineLevel="0" collapsed="false">
      <c r="B47" s="4" t="s">
        <v>11977</v>
      </c>
      <c r="D47" s="13" t="n">
        <f aca="false">SUM(D30:D46)</f>
        <v>340000</v>
      </c>
    </row>
    <row r="48" customFormat="false" ht="15" hidden="false" customHeight="true" outlineLevel="0" collapsed="false">
      <c r="A48" s="34" t="s">
        <v>691</v>
      </c>
      <c r="B48" s="34" t="s">
        <v>11978</v>
      </c>
      <c r="C48" s="34"/>
      <c r="D48" s="35" t="n">
        <v>10000</v>
      </c>
    </row>
    <row r="49" customFormat="false" ht="15" hidden="false" customHeight="true" outlineLevel="0" collapsed="false">
      <c r="A49" s="34" t="s">
        <v>691</v>
      </c>
      <c r="B49" s="34" t="s">
        <v>281</v>
      </c>
      <c r="C49" s="34" t="s">
        <v>2627</v>
      </c>
      <c r="D49" s="35" t="n">
        <v>10000</v>
      </c>
    </row>
    <row r="50" customFormat="false" ht="15" hidden="false" customHeight="true" outlineLevel="0" collapsed="false">
      <c r="A50" s="34" t="s">
        <v>691</v>
      </c>
      <c r="B50" s="34" t="s">
        <v>1127</v>
      </c>
      <c r="C50" s="34" t="s">
        <v>11979</v>
      </c>
      <c r="D50" s="35" t="n">
        <v>15000</v>
      </c>
    </row>
    <row r="51" customFormat="false" ht="15" hidden="false" customHeight="true" outlineLevel="0" collapsed="false">
      <c r="A51" s="34" t="s">
        <v>691</v>
      </c>
      <c r="B51" s="34" t="s">
        <v>427</v>
      </c>
      <c r="C51" s="34" t="s">
        <v>2680</v>
      </c>
      <c r="D51" s="35" t="n">
        <v>10000</v>
      </c>
    </row>
    <row r="52" customFormat="false" ht="15" hidden="false" customHeight="true" outlineLevel="0" collapsed="false">
      <c r="A52" s="34" t="s">
        <v>691</v>
      </c>
      <c r="B52" s="34" t="s">
        <v>290</v>
      </c>
      <c r="C52" s="34" t="s">
        <v>11980</v>
      </c>
      <c r="D52" s="35" t="n">
        <v>10000</v>
      </c>
    </row>
    <row r="53" customFormat="false" ht="15" hidden="false" customHeight="true" outlineLevel="0" collapsed="false">
      <c r="A53" s="34" t="s">
        <v>691</v>
      </c>
      <c r="B53" s="34" t="s">
        <v>657</v>
      </c>
      <c r="C53" s="34" t="s">
        <v>11981</v>
      </c>
      <c r="D53" s="35" t="n">
        <v>10000</v>
      </c>
    </row>
    <row r="54" customFormat="false" ht="15" hidden="false" customHeight="true" outlineLevel="0" collapsed="false">
      <c r="A54" s="34" t="s">
        <v>691</v>
      </c>
      <c r="B54" s="34" t="s">
        <v>11982</v>
      </c>
      <c r="C54" s="34"/>
      <c r="D54" s="35" t="n">
        <v>10000</v>
      </c>
    </row>
    <row r="55" customFormat="false" ht="15" hidden="false" customHeight="true" outlineLevel="0" collapsed="false">
      <c r="A55" s="34" t="s">
        <v>691</v>
      </c>
      <c r="B55" s="34" t="s">
        <v>293</v>
      </c>
      <c r="C55" s="34" t="s">
        <v>11983</v>
      </c>
      <c r="D55" s="35" t="n">
        <v>10000</v>
      </c>
    </row>
    <row r="56" customFormat="false" ht="15" hidden="false" customHeight="true" outlineLevel="0" collapsed="false">
      <c r="A56" s="34" t="s">
        <v>691</v>
      </c>
      <c r="B56" s="34" t="s">
        <v>11984</v>
      </c>
      <c r="C56" s="34" t="s">
        <v>2657</v>
      </c>
      <c r="D56" s="35" t="n">
        <v>10000</v>
      </c>
    </row>
    <row r="57" customFormat="false" ht="15" hidden="false" customHeight="true" outlineLevel="0" collapsed="false">
      <c r="A57" s="34" t="s">
        <v>691</v>
      </c>
      <c r="B57" s="34" t="s">
        <v>11985</v>
      </c>
      <c r="C57" s="34"/>
      <c r="D57" s="35" t="n">
        <v>20000</v>
      </c>
    </row>
    <row r="58" customFormat="false" ht="15" hidden="false" customHeight="true" outlineLevel="0" collapsed="false">
      <c r="A58" s="34" t="s">
        <v>691</v>
      </c>
      <c r="B58" s="34" t="s">
        <v>300</v>
      </c>
      <c r="C58" s="34" t="s">
        <v>2627</v>
      </c>
      <c r="D58" s="35" t="n">
        <v>30000</v>
      </c>
    </row>
    <row r="59" customFormat="false" ht="15" hidden="false" customHeight="true" outlineLevel="0" collapsed="false">
      <c r="B59" s="4" t="s">
        <v>11986</v>
      </c>
      <c r="D59" s="13" t="n">
        <f aca="false">SUM(D48:D58)</f>
        <v>145000</v>
      </c>
    </row>
    <row r="60" customFormat="false" ht="15" hidden="false" customHeight="true" outlineLevel="0" collapsed="false">
      <c r="A60" s="34" t="s">
        <v>11487</v>
      </c>
      <c r="B60" s="34" t="s">
        <v>360</v>
      </c>
      <c r="C60" s="34" t="s">
        <v>11987</v>
      </c>
      <c r="D60" s="35" t="n">
        <v>20000</v>
      </c>
    </row>
    <row r="61" customFormat="false" ht="15" hidden="false" customHeight="true" outlineLevel="0" collapsed="false">
      <c r="A61" s="34" t="s">
        <v>11487</v>
      </c>
      <c r="B61" s="34" t="s">
        <v>364</v>
      </c>
      <c r="C61" s="34" t="s">
        <v>2663</v>
      </c>
      <c r="D61" s="35" t="n">
        <v>20000</v>
      </c>
    </row>
    <row r="62" customFormat="false" ht="15" hidden="false" customHeight="true" outlineLevel="0" collapsed="false">
      <c r="A62" s="34" t="s">
        <v>11487</v>
      </c>
      <c r="B62" s="34" t="s">
        <v>11988</v>
      </c>
      <c r="C62" s="34" t="s">
        <v>2627</v>
      </c>
      <c r="D62" s="35" t="n">
        <v>30000</v>
      </c>
    </row>
    <row r="63" customFormat="false" ht="15" hidden="false" customHeight="true" outlineLevel="0" collapsed="false">
      <c r="A63" s="34" t="s">
        <v>11487</v>
      </c>
      <c r="B63" s="34" t="s">
        <v>11989</v>
      </c>
      <c r="C63" s="34"/>
      <c r="D63" s="35" t="n">
        <v>20000</v>
      </c>
    </row>
    <row r="64" customFormat="false" ht="15" hidden="false" customHeight="true" outlineLevel="0" collapsed="false">
      <c r="B64" s="4" t="s">
        <v>11990</v>
      </c>
      <c r="D64" s="13" t="n">
        <f aca="false">SUM(D60:D63)</f>
        <v>90000</v>
      </c>
    </row>
    <row r="65" customFormat="false" ht="15" hidden="false" customHeight="true" outlineLevel="0" collapsed="false">
      <c r="A65" s="34" t="s">
        <v>7649</v>
      </c>
      <c r="B65" s="34" t="s">
        <v>11991</v>
      </c>
      <c r="C65" s="34" t="s">
        <v>2627</v>
      </c>
      <c r="D65" s="35" t="n">
        <v>5000</v>
      </c>
    </row>
    <row r="66" customFormat="false" ht="15" hidden="false" customHeight="true" outlineLevel="0" collapsed="false">
      <c r="A66" s="34" t="s">
        <v>7649</v>
      </c>
      <c r="B66" s="34" t="s">
        <v>11992</v>
      </c>
      <c r="C66" s="34" t="s">
        <v>2627</v>
      </c>
      <c r="D66" s="35" t="n">
        <v>10000</v>
      </c>
    </row>
    <row r="67" customFormat="false" ht="15" hidden="false" customHeight="true" outlineLevel="0" collapsed="false">
      <c r="A67" s="34" t="s">
        <v>7649</v>
      </c>
      <c r="B67" s="34" t="s">
        <v>11993</v>
      </c>
      <c r="C67" s="34" t="s">
        <v>2627</v>
      </c>
      <c r="D67" s="35" t="n">
        <v>20000</v>
      </c>
    </row>
    <row r="68" customFormat="false" ht="15" hidden="false" customHeight="true" outlineLevel="0" collapsed="false">
      <c r="A68" s="34" t="s">
        <v>7649</v>
      </c>
      <c r="B68" s="34" t="s">
        <v>11994</v>
      </c>
      <c r="C68" s="34"/>
      <c r="D68" s="35" t="n">
        <v>10000</v>
      </c>
    </row>
    <row r="69" customFormat="false" ht="15" hidden="false" customHeight="true" outlineLevel="0" collapsed="false">
      <c r="A69" s="34" t="s">
        <v>7649</v>
      </c>
      <c r="B69" s="34" t="s">
        <v>11995</v>
      </c>
      <c r="C69" s="34" t="s">
        <v>2627</v>
      </c>
      <c r="D69" s="35" t="n">
        <v>50000</v>
      </c>
    </row>
    <row r="70" customFormat="false" ht="15" hidden="false" customHeight="true" outlineLevel="0" collapsed="false">
      <c r="A70" s="34" t="s">
        <v>7649</v>
      </c>
      <c r="B70" s="34" t="s">
        <v>11996</v>
      </c>
      <c r="C70" s="34" t="s">
        <v>2627</v>
      </c>
      <c r="D70" s="35" t="n">
        <v>20000</v>
      </c>
    </row>
    <row r="71" customFormat="false" ht="15" hidden="false" customHeight="true" outlineLevel="0" collapsed="false">
      <c r="A71" s="34" t="s">
        <v>7649</v>
      </c>
      <c r="B71" s="34" t="s">
        <v>11997</v>
      </c>
      <c r="C71" s="34" t="s">
        <v>2627</v>
      </c>
      <c r="D71" s="35" t="n">
        <v>25000</v>
      </c>
    </row>
    <row r="72" customFormat="false" ht="15" hidden="false" customHeight="true" outlineLevel="0" collapsed="false">
      <c r="A72" s="34" t="s">
        <v>7649</v>
      </c>
      <c r="B72" s="34" t="s">
        <v>11998</v>
      </c>
      <c r="C72" s="34" t="s">
        <v>2627</v>
      </c>
      <c r="D72" s="35" t="n">
        <v>20000</v>
      </c>
    </row>
    <row r="73" customFormat="false" ht="15" hidden="false" customHeight="true" outlineLevel="0" collapsed="false">
      <c r="A73" s="34" t="s">
        <v>7649</v>
      </c>
      <c r="B73" s="34" t="s">
        <v>11999</v>
      </c>
      <c r="C73" s="34" t="s">
        <v>2627</v>
      </c>
      <c r="D73" s="35" t="n">
        <v>10000</v>
      </c>
    </row>
    <row r="74" customFormat="false" ht="15" hidden="false" customHeight="true" outlineLevel="0" collapsed="false">
      <c r="A74" s="34" t="s">
        <v>7649</v>
      </c>
      <c r="B74" s="34" t="s">
        <v>12000</v>
      </c>
      <c r="C74" s="34" t="s">
        <v>2627</v>
      </c>
      <c r="D74" s="35" t="n">
        <v>10000</v>
      </c>
    </row>
    <row r="75" customFormat="false" ht="15" hidden="false" customHeight="true" outlineLevel="0" collapsed="false">
      <c r="A75" s="34" t="s">
        <v>7649</v>
      </c>
      <c r="B75" s="34" t="s">
        <v>12000</v>
      </c>
      <c r="C75" s="34" t="s">
        <v>2627</v>
      </c>
      <c r="D75" s="35" t="n">
        <v>15000</v>
      </c>
    </row>
    <row r="76" customFormat="false" ht="15" hidden="false" customHeight="true" outlineLevel="0" collapsed="false">
      <c r="B76" s="4" t="s">
        <v>12001</v>
      </c>
      <c r="D76" s="13" t="n">
        <f aca="false">SUM(D65:D75)</f>
        <v>195000</v>
      </c>
    </row>
    <row r="77" customFormat="false" ht="15" hidden="false" customHeight="true" outlineLevel="0" collapsed="false">
      <c r="A77" s="34" t="s">
        <v>894</v>
      </c>
      <c r="B77" s="34" t="s">
        <v>444</v>
      </c>
      <c r="C77" s="34" t="s">
        <v>2627</v>
      </c>
      <c r="D77" s="35" t="n">
        <v>10000</v>
      </c>
    </row>
    <row r="78" customFormat="false" ht="15" hidden="false" customHeight="true" outlineLevel="0" collapsed="false">
      <c r="A78" s="34" t="s">
        <v>894</v>
      </c>
      <c r="B78" s="34" t="s">
        <v>12002</v>
      </c>
      <c r="C78" s="34" t="s">
        <v>2627</v>
      </c>
      <c r="D78" s="35" t="n">
        <v>5000</v>
      </c>
    </row>
    <row r="79" customFormat="false" ht="15" hidden="false" customHeight="true" outlineLevel="0" collapsed="false">
      <c r="A79" s="34" t="s">
        <v>894</v>
      </c>
      <c r="B79" s="34" t="s">
        <v>260</v>
      </c>
      <c r="C79" s="34" t="s">
        <v>2680</v>
      </c>
      <c r="D79" s="35" t="n">
        <v>10000</v>
      </c>
    </row>
    <row r="80" customFormat="false" ht="15" hidden="false" customHeight="true" outlineLevel="0" collapsed="false">
      <c r="A80" s="34" t="s">
        <v>894</v>
      </c>
      <c r="B80" s="34" t="s">
        <v>12003</v>
      </c>
      <c r="C80" s="34" t="s">
        <v>2627</v>
      </c>
      <c r="D80" s="35" t="n">
        <v>10000</v>
      </c>
    </row>
    <row r="81" customFormat="false" ht="15" hidden="false" customHeight="true" outlineLevel="0" collapsed="false">
      <c r="A81" s="34" t="s">
        <v>894</v>
      </c>
      <c r="B81" s="34" t="s">
        <v>12004</v>
      </c>
      <c r="C81" s="34" t="s">
        <v>2627</v>
      </c>
      <c r="D81" s="35" t="n">
        <v>5000</v>
      </c>
    </row>
    <row r="82" customFormat="false" ht="15" hidden="false" customHeight="true" outlineLevel="0" collapsed="false">
      <c r="A82" s="34" t="s">
        <v>894</v>
      </c>
      <c r="B82" s="34" t="s">
        <v>12005</v>
      </c>
      <c r="C82" s="34" t="s">
        <v>2627</v>
      </c>
      <c r="D82" s="35" t="n">
        <v>16000</v>
      </c>
    </row>
    <row r="83" customFormat="false" ht="15" hidden="false" customHeight="true" outlineLevel="0" collapsed="false">
      <c r="A83" s="34" t="s">
        <v>894</v>
      </c>
      <c r="B83" s="34" t="s">
        <v>12006</v>
      </c>
      <c r="C83" s="34"/>
      <c r="D83" s="35" t="n">
        <v>10000</v>
      </c>
    </row>
    <row r="84" customFormat="false" ht="15" hidden="false" customHeight="true" outlineLevel="0" collapsed="false">
      <c r="A84" s="34" t="s">
        <v>894</v>
      </c>
      <c r="B84" s="34" t="s">
        <v>12007</v>
      </c>
      <c r="C84" s="34"/>
      <c r="D84" s="35" t="n">
        <v>1000</v>
      </c>
    </row>
    <row r="85" customFormat="false" ht="15" hidden="false" customHeight="true" outlineLevel="0" collapsed="false">
      <c r="A85" s="34" t="s">
        <v>894</v>
      </c>
      <c r="B85" s="34" t="s">
        <v>893</v>
      </c>
      <c r="C85" s="34" t="s">
        <v>2655</v>
      </c>
      <c r="D85" s="35" t="n">
        <v>1000</v>
      </c>
    </row>
    <row r="86" customFormat="false" ht="15" hidden="false" customHeight="true" outlineLevel="0" collapsed="false">
      <c r="A86" s="34" t="s">
        <v>894</v>
      </c>
      <c r="B86" s="34" t="s">
        <v>12008</v>
      </c>
      <c r="C86" s="34"/>
      <c r="D86" s="35" t="n">
        <v>5000</v>
      </c>
    </row>
    <row r="87" customFormat="false" ht="15" hidden="false" customHeight="true" outlineLevel="0" collapsed="false">
      <c r="A87" s="34" t="s">
        <v>894</v>
      </c>
      <c r="B87" s="34" t="s">
        <v>12009</v>
      </c>
      <c r="C87" s="34"/>
      <c r="D87" s="35" t="n">
        <v>1000</v>
      </c>
    </row>
    <row r="88" customFormat="false" ht="15" hidden="false" customHeight="true" outlineLevel="0" collapsed="false">
      <c r="A88" s="34" t="s">
        <v>894</v>
      </c>
      <c r="B88" s="34" t="s">
        <v>12010</v>
      </c>
      <c r="C88" s="34"/>
      <c r="D88" s="35" t="n">
        <v>1000</v>
      </c>
    </row>
    <row r="89" customFormat="false" ht="15" hidden="false" customHeight="true" outlineLevel="0" collapsed="false">
      <c r="A89" s="34" t="s">
        <v>894</v>
      </c>
      <c r="B89" s="34" t="s">
        <v>893</v>
      </c>
      <c r="C89" s="34" t="s">
        <v>2726</v>
      </c>
      <c r="D89" s="35" t="n">
        <v>1000</v>
      </c>
    </row>
    <row r="90" customFormat="false" ht="15" hidden="false" customHeight="true" outlineLevel="0" collapsed="false">
      <c r="A90" s="34" t="s">
        <v>894</v>
      </c>
      <c r="B90" s="34" t="s">
        <v>893</v>
      </c>
      <c r="C90" s="34" t="s">
        <v>2727</v>
      </c>
      <c r="D90" s="35" t="n">
        <v>1000</v>
      </c>
    </row>
    <row r="91" customFormat="false" ht="15" hidden="false" customHeight="true" outlineLevel="0" collapsed="false">
      <c r="A91" s="34" t="s">
        <v>894</v>
      </c>
      <c r="B91" s="34" t="s">
        <v>893</v>
      </c>
      <c r="C91" s="34" t="s">
        <v>2728</v>
      </c>
      <c r="D91" s="35" t="n">
        <v>1000</v>
      </c>
    </row>
    <row r="92" customFormat="false" ht="15" hidden="false" customHeight="true" outlineLevel="0" collapsed="false">
      <c r="A92" s="34" t="s">
        <v>894</v>
      </c>
      <c r="B92" s="34" t="s">
        <v>893</v>
      </c>
      <c r="C92" s="34" t="s">
        <v>2653</v>
      </c>
      <c r="D92" s="35" t="n">
        <v>1000</v>
      </c>
    </row>
    <row r="93" customFormat="false" ht="15" hidden="false" customHeight="true" outlineLevel="0" collapsed="false">
      <c r="A93" s="34" t="s">
        <v>894</v>
      </c>
      <c r="B93" s="34" t="s">
        <v>893</v>
      </c>
      <c r="C93" s="34" t="s">
        <v>2653</v>
      </c>
      <c r="D93" s="35" t="n">
        <v>5000</v>
      </c>
    </row>
    <row r="94" customFormat="false" ht="15" hidden="false" customHeight="true" outlineLevel="0" collapsed="false">
      <c r="A94" s="34" t="s">
        <v>894</v>
      </c>
      <c r="B94" s="34" t="s">
        <v>893</v>
      </c>
      <c r="C94" s="34" t="s">
        <v>2710</v>
      </c>
      <c r="D94" s="35" t="n">
        <v>5000</v>
      </c>
    </row>
    <row r="95" customFormat="false" ht="15" hidden="false" customHeight="true" outlineLevel="0" collapsed="false">
      <c r="A95" s="34" t="s">
        <v>894</v>
      </c>
      <c r="B95" s="34" t="s">
        <v>893</v>
      </c>
      <c r="C95" s="34" t="s">
        <v>2711</v>
      </c>
      <c r="D95" s="35" t="n">
        <v>5000</v>
      </c>
    </row>
    <row r="96" customFormat="false" ht="15" hidden="false" customHeight="true" outlineLevel="0" collapsed="false">
      <c r="A96" s="34" t="s">
        <v>894</v>
      </c>
      <c r="B96" s="34" t="s">
        <v>893</v>
      </c>
      <c r="C96" s="34" t="s">
        <v>2729</v>
      </c>
      <c r="D96" s="35" t="n">
        <v>1000</v>
      </c>
    </row>
    <row r="97" customFormat="false" ht="15" hidden="false" customHeight="true" outlineLevel="0" collapsed="false">
      <c r="A97" s="34" t="s">
        <v>894</v>
      </c>
      <c r="B97" s="34" t="s">
        <v>893</v>
      </c>
      <c r="C97" s="34" t="s">
        <v>2730</v>
      </c>
      <c r="D97" s="35" t="n">
        <v>1000</v>
      </c>
    </row>
    <row r="98" customFormat="false" ht="15" hidden="false" customHeight="true" outlineLevel="0" collapsed="false">
      <c r="A98" s="34" t="s">
        <v>894</v>
      </c>
      <c r="B98" s="34" t="s">
        <v>893</v>
      </c>
      <c r="C98" s="34" t="s">
        <v>2731</v>
      </c>
      <c r="D98" s="35" t="n">
        <v>1000</v>
      </c>
    </row>
    <row r="99" customFormat="false" ht="15" hidden="false" customHeight="true" outlineLevel="0" collapsed="false">
      <c r="A99" s="34" t="s">
        <v>894</v>
      </c>
      <c r="B99" s="34" t="s">
        <v>893</v>
      </c>
      <c r="C99" s="34" t="s">
        <v>2732</v>
      </c>
      <c r="D99" s="35" t="n">
        <v>1000</v>
      </c>
    </row>
    <row r="100" customFormat="false" ht="15" hidden="false" customHeight="true" outlineLevel="0" collapsed="false">
      <c r="A100" s="34" t="s">
        <v>894</v>
      </c>
      <c r="B100" s="34" t="s">
        <v>893</v>
      </c>
      <c r="C100" s="34" t="s">
        <v>2733</v>
      </c>
      <c r="D100" s="35" t="n">
        <v>1000</v>
      </c>
    </row>
    <row r="101" customFormat="false" ht="15" hidden="false" customHeight="true" outlineLevel="0" collapsed="false">
      <c r="A101" s="34" t="s">
        <v>894</v>
      </c>
      <c r="B101" s="34" t="s">
        <v>893</v>
      </c>
      <c r="C101" s="34" t="s">
        <v>2734</v>
      </c>
      <c r="D101" s="35" t="n">
        <v>1000</v>
      </c>
    </row>
    <row r="102" customFormat="false" ht="15" hidden="false" customHeight="true" outlineLevel="0" collapsed="false">
      <c r="A102" s="34" t="s">
        <v>894</v>
      </c>
      <c r="B102" s="34" t="s">
        <v>893</v>
      </c>
      <c r="C102" s="34" t="s">
        <v>2735</v>
      </c>
      <c r="D102" s="35" t="n">
        <v>1000</v>
      </c>
    </row>
    <row r="103" customFormat="false" ht="15" hidden="false" customHeight="true" outlineLevel="0" collapsed="false">
      <c r="A103" s="34" t="s">
        <v>894</v>
      </c>
      <c r="B103" s="34" t="s">
        <v>893</v>
      </c>
      <c r="C103" s="34" t="s">
        <v>2736</v>
      </c>
      <c r="D103" s="35" t="n">
        <v>1000</v>
      </c>
    </row>
    <row r="104" customFormat="false" ht="15" hidden="false" customHeight="true" outlineLevel="0" collapsed="false">
      <c r="A104" s="34" t="s">
        <v>894</v>
      </c>
      <c r="B104" s="34" t="s">
        <v>893</v>
      </c>
      <c r="C104" s="34" t="s">
        <v>2737</v>
      </c>
      <c r="D104" s="35" t="n">
        <v>1000</v>
      </c>
    </row>
    <row r="105" customFormat="false" ht="15" hidden="false" customHeight="true" outlineLevel="0" collapsed="false">
      <c r="A105" s="34" t="s">
        <v>894</v>
      </c>
      <c r="B105" s="34" t="s">
        <v>893</v>
      </c>
      <c r="C105" s="34" t="s">
        <v>2738</v>
      </c>
      <c r="D105" s="35" t="n">
        <v>1000</v>
      </c>
    </row>
    <row r="106" customFormat="false" ht="15" hidden="false" customHeight="true" outlineLevel="0" collapsed="false">
      <c r="A106" s="34" t="s">
        <v>894</v>
      </c>
      <c r="B106" s="34" t="s">
        <v>893</v>
      </c>
      <c r="C106" s="34" t="s">
        <v>2739</v>
      </c>
      <c r="D106" s="35" t="n">
        <v>1000</v>
      </c>
    </row>
    <row r="107" customFormat="false" ht="15" hidden="false" customHeight="true" outlineLevel="0" collapsed="false">
      <c r="A107" s="34" t="s">
        <v>894</v>
      </c>
      <c r="B107" s="34" t="s">
        <v>893</v>
      </c>
      <c r="C107" s="34" t="s">
        <v>2740</v>
      </c>
      <c r="D107" s="35" t="n">
        <v>1000</v>
      </c>
    </row>
    <row r="108" customFormat="false" ht="15" hidden="false" customHeight="true" outlineLevel="0" collapsed="false">
      <c r="A108" s="34" t="s">
        <v>894</v>
      </c>
      <c r="B108" s="34" t="s">
        <v>893</v>
      </c>
      <c r="C108" s="34" t="s">
        <v>2741</v>
      </c>
      <c r="D108" s="35" t="n">
        <v>1000</v>
      </c>
    </row>
    <row r="109" customFormat="false" ht="15" hidden="false" customHeight="true" outlineLevel="0" collapsed="false">
      <c r="A109" s="34" t="s">
        <v>894</v>
      </c>
      <c r="B109" s="34" t="s">
        <v>893</v>
      </c>
      <c r="C109" s="34" t="s">
        <v>2742</v>
      </c>
      <c r="D109" s="35" t="n">
        <v>1000</v>
      </c>
    </row>
    <row r="110" customFormat="false" ht="15" hidden="false" customHeight="true" outlineLevel="0" collapsed="false">
      <c r="A110" s="34" t="s">
        <v>894</v>
      </c>
      <c r="B110" s="34" t="s">
        <v>893</v>
      </c>
      <c r="C110" s="34" t="s">
        <v>2743</v>
      </c>
      <c r="D110" s="35" t="n">
        <v>1000</v>
      </c>
    </row>
    <row r="111" customFormat="false" ht="15" hidden="false" customHeight="true" outlineLevel="0" collapsed="false">
      <c r="A111" s="34" t="s">
        <v>894</v>
      </c>
      <c r="B111" s="34" t="s">
        <v>893</v>
      </c>
      <c r="C111" s="34" t="s">
        <v>2744</v>
      </c>
      <c r="D111" s="35" t="n">
        <v>1000</v>
      </c>
    </row>
    <row r="112" customFormat="false" ht="15" hidden="false" customHeight="true" outlineLevel="0" collapsed="false">
      <c r="A112" s="34" t="s">
        <v>894</v>
      </c>
      <c r="B112" s="34" t="s">
        <v>893</v>
      </c>
      <c r="C112" s="34" t="s">
        <v>2745</v>
      </c>
      <c r="D112" s="35" t="n">
        <v>1000</v>
      </c>
    </row>
    <row r="113" customFormat="false" ht="15" hidden="false" customHeight="true" outlineLevel="0" collapsed="false">
      <c r="A113" s="34" t="s">
        <v>894</v>
      </c>
      <c r="B113" s="34" t="s">
        <v>12011</v>
      </c>
      <c r="C113" s="34"/>
      <c r="D113" s="35" t="n">
        <v>1000</v>
      </c>
    </row>
    <row r="114" customFormat="false" ht="15" hidden="false" customHeight="true" outlineLevel="0" collapsed="false">
      <c r="A114" s="34" t="s">
        <v>894</v>
      </c>
      <c r="B114" s="34" t="s">
        <v>12012</v>
      </c>
      <c r="C114" s="34"/>
      <c r="D114" s="35" t="n">
        <v>1000</v>
      </c>
    </row>
    <row r="115" customFormat="false" ht="15" hidden="false" customHeight="true" outlineLevel="0" collapsed="false">
      <c r="A115" s="34" t="s">
        <v>894</v>
      </c>
      <c r="B115" s="34" t="s">
        <v>12013</v>
      </c>
      <c r="C115" s="34"/>
      <c r="D115" s="35" t="n">
        <v>1000</v>
      </c>
    </row>
    <row r="116" customFormat="false" ht="15" hidden="false" customHeight="true" outlineLevel="0" collapsed="false">
      <c r="A116" s="34" t="s">
        <v>894</v>
      </c>
      <c r="B116" s="34" t="s">
        <v>12014</v>
      </c>
      <c r="C116" s="34"/>
      <c r="D116" s="35" t="n">
        <v>1000</v>
      </c>
    </row>
    <row r="117" customFormat="false" ht="15" hidden="false" customHeight="true" outlineLevel="0" collapsed="false">
      <c r="A117" s="34" t="s">
        <v>894</v>
      </c>
      <c r="B117" s="34" t="s">
        <v>974</v>
      </c>
      <c r="C117" s="34" t="s">
        <v>2627</v>
      </c>
      <c r="D117" s="35" t="n">
        <v>14000</v>
      </c>
    </row>
    <row r="118" customFormat="false" ht="15" hidden="false" customHeight="true" outlineLevel="0" collapsed="false">
      <c r="A118" s="34" t="s">
        <v>894</v>
      </c>
      <c r="B118" s="34" t="s">
        <v>2167</v>
      </c>
      <c r="C118" s="34" t="s">
        <v>12015</v>
      </c>
      <c r="D118" s="35" t="n">
        <v>5000</v>
      </c>
    </row>
    <row r="119" customFormat="false" ht="15" hidden="false" customHeight="true" outlineLevel="0" collapsed="false">
      <c r="A119" s="34" t="s">
        <v>894</v>
      </c>
      <c r="B119" s="34" t="s">
        <v>12016</v>
      </c>
      <c r="C119" s="34"/>
      <c r="D119" s="35" t="n">
        <v>7500</v>
      </c>
    </row>
    <row r="120" customFormat="false" ht="15" hidden="false" customHeight="true" outlineLevel="0" collapsed="false">
      <c r="A120" s="34" t="s">
        <v>894</v>
      </c>
      <c r="B120" s="34" t="s">
        <v>12017</v>
      </c>
      <c r="C120" s="34"/>
      <c r="D120" s="35" t="n">
        <v>7500</v>
      </c>
    </row>
    <row r="121" customFormat="false" ht="15" hidden="false" customHeight="true" outlineLevel="0" collapsed="false">
      <c r="A121" s="34" t="s">
        <v>894</v>
      </c>
      <c r="B121" s="34" t="s">
        <v>225</v>
      </c>
      <c r="C121" s="34" t="s">
        <v>2627</v>
      </c>
      <c r="D121" s="35" t="n">
        <v>5000</v>
      </c>
    </row>
    <row r="122" customFormat="false" ht="15" hidden="false" customHeight="true" outlineLevel="0" collapsed="false">
      <c r="A122" s="34" t="s">
        <v>894</v>
      </c>
      <c r="B122" s="34" t="s">
        <v>12018</v>
      </c>
      <c r="C122" s="34" t="s">
        <v>2627</v>
      </c>
      <c r="D122" s="35" t="n">
        <v>10000</v>
      </c>
    </row>
    <row r="123" customFormat="false" ht="15" hidden="false" customHeight="true" outlineLevel="0" collapsed="false">
      <c r="A123" s="34" t="s">
        <v>894</v>
      </c>
      <c r="B123" s="34" t="s">
        <v>12019</v>
      </c>
      <c r="C123" s="34" t="s">
        <v>2627</v>
      </c>
      <c r="D123" s="35" t="n">
        <v>5000</v>
      </c>
    </row>
    <row r="124" customFormat="false" ht="15" hidden="false" customHeight="true" outlineLevel="0" collapsed="false">
      <c r="A124" s="34" t="s">
        <v>894</v>
      </c>
      <c r="B124" s="34" t="s">
        <v>771</v>
      </c>
      <c r="C124" s="34" t="s">
        <v>2627</v>
      </c>
      <c r="D124" s="35" t="n">
        <v>5000</v>
      </c>
    </row>
    <row r="125" customFormat="false" ht="15" hidden="false" customHeight="true" outlineLevel="0" collapsed="false">
      <c r="A125" s="34" t="s">
        <v>894</v>
      </c>
      <c r="B125" s="34" t="s">
        <v>515</v>
      </c>
      <c r="C125" s="34" t="s">
        <v>12020</v>
      </c>
      <c r="D125" s="35" t="n">
        <v>5000</v>
      </c>
    </row>
    <row r="126" customFormat="false" ht="15" hidden="false" customHeight="true" outlineLevel="0" collapsed="false">
      <c r="A126" s="34" t="s">
        <v>894</v>
      </c>
      <c r="B126" s="34" t="s">
        <v>380</v>
      </c>
      <c r="C126" s="34" t="s">
        <v>2627</v>
      </c>
      <c r="D126" s="35" t="n">
        <v>10000</v>
      </c>
    </row>
    <row r="127" customFormat="false" ht="15" hidden="false" customHeight="true" outlineLevel="0" collapsed="false">
      <c r="A127" s="34" t="s">
        <v>894</v>
      </c>
      <c r="B127" s="34" t="s">
        <v>380</v>
      </c>
      <c r="C127" s="34" t="s">
        <v>2627</v>
      </c>
      <c r="D127" s="35" t="n">
        <v>10000</v>
      </c>
    </row>
    <row r="128" customFormat="false" ht="15" hidden="false" customHeight="true" outlineLevel="0" collapsed="false">
      <c r="A128" s="34" t="s">
        <v>894</v>
      </c>
      <c r="B128" s="34" t="s">
        <v>456</v>
      </c>
      <c r="C128" s="34" t="s">
        <v>12021</v>
      </c>
      <c r="D128" s="35" t="n">
        <v>10000</v>
      </c>
    </row>
    <row r="129" customFormat="false" ht="15" hidden="false" customHeight="true" outlineLevel="0" collapsed="false">
      <c r="A129" s="34" t="s">
        <v>894</v>
      </c>
      <c r="B129" s="34" t="s">
        <v>12022</v>
      </c>
      <c r="C129" s="34" t="s">
        <v>2627</v>
      </c>
      <c r="D129" s="35" t="n">
        <v>5000</v>
      </c>
    </row>
    <row r="130" customFormat="false" ht="15" hidden="false" customHeight="true" outlineLevel="0" collapsed="false">
      <c r="A130" s="34" t="s">
        <v>894</v>
      </c>
      <c r="B130" s="34" t="s">
        <v>408</v>
      </c>
      <c r="C130" s="34" t="s">
        <v>2627</v>
      </c>
      <c r="D130" s="35" t="n">
        <v>15000</v>
      </c>
    </row>
    <row r="131" customFormat="false" ht="15" hidden="false" customHeight="true" outlineLevel="0" collapsed="false">
      <c r="A131" s="34" t="s">
        <v>894</v>
      </c>
      <c r="B131" s="34" t="s">
        <v>462</v>
      </c>
      <c r="C131" s="34" t="s">
        <v>2627</v>
      </c>
      <c r="D131" s="35" t="n">
        <v>10000</v>
      </c>
    </row>
    <row r="132" customFormat="false" ht="15" hidden="false" customHeight="true" outlineLevel="0" collapsed="false">
      <c r="A132" s="34" t="s">
        <v>894</v>
      </c>
      <c r="B132" s="34" t="s">
        <v>11940</v>
      </c>
      <c r="C132" s="34" t="s">
        <v>2627</v>
      </c>
      <c r="D132" s="35" t="n">
        <v>5000</v>
      </c>
    </row>
    <row r="133" customFormat="false" ht="15" hidden="false" customHeight="true" outlineLevel="0" collapsed="false">
      <c r="A133" s="34" t="s">
        <v>894</v>
      </c>
      <c r="B133" s="34" t="s">
        <v>12023</v>
      </c>
      <c r="C133" s="34"/>
      <c r="D133" s="35" t="n">
        <v>2000</v>
      </c>
    </row>
    <row r="134" customFormat="false" ht="15" hidden="false" customHeight="true" outlineLevel="0" collapsed="false">
      <c r="A134" s="34" t="s">
        <v>894</v>
      </c>
      <c r="B134" s="34" t="s">
        <v>12024</v>
      </c>
      <c r="C134" s="34"/>
      <c r="D134" s="35" t="n">
        <v>2000</v>
      </c>
    </row>
    <row r="135" customFormat="false" ht="15" hidden="false" customHeight="true" outlineLevel="0" collapsed="false">
      <c r="A135" s="34" t="s">
        <v>894</v>
      </c>
      <c r="B135" s="34" t="s">
        <v>12025</v>
      </c>
      <c r="C135" s="34"/>
      <c r="D135" s="35" t="n">
        <v>2000</v>
      </c>
    </row>
    <row r="136" customFormat="false" ht="15" hidden="false" customHeight="true" outlineLevel="0" collapsed="false">
      <c r="A136" s="34" t="s">
        <v>894</v>
      </c>
      <c r="B136" s="34" t="s">
        <v>12026</v>
      </c>
      <c r="C136" s="34" t="s">
        <v>2627</v>
      </c>
      <c r="D136" s="35" t="n">
        <v>2000</v>
      </c>
    </row>
    <row r="137" customFormat="false" ht="15" hidden="false" customHeight="true" outlineLevel="0" collapsed="false">
      <c r="A137" s="34" t="s">
        <v>894</v>
      </c>
      <c r="B137" s="34" t="s">
        <v>12027</v>
      </c>
      <c r="C137" s="34"/>
      <c r="D137" s="35" t="n">
        <v>2000</v>
      </c>
    </row>
    <row r="138" customFormat="false" ht="15" hidden="false" customHeight="true" outlineLevel="0" collapsed="false">
      <c r="A138" s="34" t="s">
        <v>894</v>
      </c>
      <c r="B138" s="34" t="s">
        <v>12028</v>
      </c>
      <c r="C138" s="34"/>
      <c r="D138" s="35" t="n">
        <v>2000</v>
      </c>
    </row>
    <row r="139" customFormat="false" ht="15" hidden="false" customHeight="true" outlineLevel="0" collapsed="false">
      <c r="A139" s="34" t="s">
        <v>894</v>
      </c>
      <c r="B139" s="34" t="s">
        <v>12029</v>
      </c>
      <c r="C139" s="34"/>
      <c r="D139" s="35" t="n">
        <v>2000</v>
      </c>
    </row>
    <row r="140" customFormat="false" ht="15" hidden="false" customHeight="true" outlineLevel="0" collapsed="false">
      <c r="A140" s="34" t="s">
        <v>894</v>
      </c>
      <c r="B140" s="34" t="s">
        <v>12030</v>
      </c>
      <c r="C140" s="34"/>
      <c r="D140" s="35" t="n">
        <v>2000</v>
      </c>
    </row>
    <row r="141" customFormat="false" ht="15" hidden="false" customHeight="true" outlineLevel="0" collapsed="false">
      <c r="A141" s="34" t="s">
        <v>894</v>
      </c>
      <c r="B141" s="34" t="s">
        <v>518</v>
      </c>
      <c r="C141" s="34" t="s">
        <v>2627</v>
      </c>
      <c r="D141" s="35" t="n">
        <v>5000</v>
      </c>
    </row>
    <row r="142" customFormat="false" ht="15" hidden="false" customHeight="true" outlineLevel="0" collapsed="false">
      <c r="A142" s="34" t="s">
        <v>894</v>
      </c>
      <c r="B142" s="34" t="s">
        <v>523</v>
      </c>
      <c r="C142" s="34" t="s">
        <v>2627</v>
      </c>
      <c r="D142" s="35" t="n">
        <v>5000</v>
      </c>
    </row>
    <row r="143" customFormat="false" ht="15" hidden="false" customHeight="true" outlineLevel="0" collapsed="false">
      <c r="A143" s="34" t="s">
        <v>894</v>
      </c>
      <c r="B143" s="34" t="s">
        <v>384</v>
      </c>
      <c r="C143" s="34" t="s">
        <v>2655</v>
      </c>
      <c r="D143" s="35" t="n">
        <v>20000</v>
      </c>
    </row>
    <row r="144" customFormat="false" ht="15" hidden="false" customHeight="true" outlineLevel="0" collapsed="false">
      <c r="A144" s="34" t="s">
        <v>894</v>
      </c>
      <c r="B144" s="34" t="s">
        <v>12031</v>
      </c>
      <c r="C144" s="34"/>
      <c r="D144" s="35" t="n">
        <v>10000</v>
      </c>
    </row>
    <row r="145" customFormat="false" ht="15" hidden="false" customHeight="true" outlineLevel="0" collapsed="false">
      <c r="A145" s="34" t="s">
        <v>894</v>
      </c>
      <c r="B145" s="34" t="s">
        <v>12032</v>
      </c>
      <c r="C145" s="34" t="s">
        <v>2627</v>
      </c>
      <c r="D145" s="35" t="n">
        <v>30000</v>
      </c>
    </row>
    <row r="146" customFormat="false" ht="15" hidden="false" customHeight="true" outlineLevel="0" collapsed="false">
      <c r="A146" s="34" t="s">
        <v>894</v>
      </c>
      <c r="B146" s="34" t="s">
        <v>1084</v>
      </c>
      <c r="C146" s="34" t="s">
        <v>2627</v>
      </c>
      <c r="D146" s="35" t="n">
        <v>5000</v>
      </c>
    </row>
    <row r="147" customFormat="false" ht="15" hidden="false" customHeight="true" outlineLevel="0" collapsed="false">
      <c r="A147" s="34" t="s">
        <v>894</v>
      </c>
      <c r="B147" s="34" t="s">
        <v>12033</v>
      </c>
      <c r="C147" s="34" t="s">
        <v>2627</v>
      </c>
      <c r="D147" s="35" t="n">
        <v>25000</v>
      </c>
    </row>
    <row r="148" customFormat="false" ht="15" hidden="false" customHeight="true" outlineLevel="0" collapsed="false">
      <c r="A148" s="34" t="s">
        <v>894</v>
      </c>
      <c r="B148" s="34" t="s">
        <v>528</v>
      </c>
      <c r="C148" s="34" t="s">
        <v>12034</v>
      </c>
      <c r="D148" s="35" t="n">
        <v>5000</v>
      </c>
    </row>
    <row r="149" customFormat="false" ht="15" hidden="false" customHeight="true" outlineLevel="0" collapsed="false">
      <c r="A149" s="34" t="s">
        <v>894</v>
      </c>
      <c r="B149" s="34" t="s">
        <v>12035</v>
      </c>
      <c r="C149" s="34"/>
      <c r="D149" s="35" t="n">
        <v>20000</v>
      </c>
    </row>
    <row r="150" customFormat="false" ht="15" hidden="false" customHeight="true" outlineLevel="0" collapsed="false">
      <c r="A150" s="34" t="s">
        <v>894</v>
      </c>
      <c r="B150" s="34" t="s">
        <v>12036</v>
      </c>
      <c r="C150" s="34"/>
      <c r="D150" s="35" t="n">
        <v>5000</v>
      </c>
    </row>
    <row r="151" customFormat="false" ht="15" hidden="false" customHeight="true" outlineLevel="0" collapsed="false">
      <c r="A151" s="34" t="s">
        <v>894</v>
      </c>
      <c r="B151" s="34" t="s">
        <v>12037</v>
      </c>
      <c r="C151" s="34" t="s">
        <v>2627</v>
      </c>
      <c r="D151" s="35" t="n">
        <v>5000</v>
      </c>
    </row>
    <row r="152" customFormat="false" ht="15" hidden="false" customHeight="true" outlineLevel="0" collapsed="false">
      <c r="A152" s="34" t="s">
        <v>894</v>
      </c>
      <c r="B152" s="34" t="s">
        <v>12038</v>
      </c>
      <c r="C152" s="34" t="s">
        <v>2627</v>
      </c>
      <c r="D152" s="35" t="n">
        <v>5000</v>
      </c>
    </row>
    <row r="153" customFormat="false" ht="15" hidden="false" customHeight="true" outlineLevel="0" collapsed="false">
      <c r="B153" s="4" t="s">
        <v>12039</v>
      </c>
      <c r="D153" s="13" t="n">
        <f aca="false">SUM(D77:D152)</f>
        <v>400000</v>
      </c>
    </row>
    <row r="154" customFormat="false" ht="15" hidden="false" customHeight="true" outlineLevel="0" collapsed="false">
      <c r="A154" s="34" t="s">
        <v>11579</v>
      </c>
      <c r="B154" s="34" t="s">
        <v>12040</v>
      </c>
      <c r="C154" s="34" t="s">
        <v>2627</v>
      </c>
      <c r="D154" s="35" t="n">
        <v>10000</v>
      </c>
    </row>
    <row r="155" customFormat="false" ht="15" hidden="false" customHeight="true" outlineLevel="0" collapsed="false">
      <c r="A155" s="34" t="s">
        <v>11579</v>
      </c>
      <c r="B155" s="34" t="s">
        <v>12041</v>
      </c>
      <c r="C155" s="34" t="s">
        <v>2627</v>
      </c>
      <c r="D155" s="35" t="n">
        <v>15000</v>
      </c>
    </row>
    <row r="156" customFormat="false" ht="15" hidden="false" customHeight="true" outlineLevel="0" collapsed="false">
      <c r="A156" s="34" t="s">
        <v>11579</v>
      </c>
      <c r="B156" s="34" t="s">
        <v>12042</v>
      </c>
      <c r="C156" s="34" t="s">
        <v>2627</v>
      </c>
      <c r="D156" s="35" t="n">
        <v>15000</v>
      </c>
    </row>
    <row r="157" customFormat="false" ht="15" hidden="false" customHeight="true" outlineLevel="0" collapsed="false">
      <c r="A157" s="34" t="s">
        <v>11579</v>
      </c>
      <c r="B157" s="34" t="s">
        <v>12043</v>
      </c>
      <c r="C157" s="34"/>
      <c r="D157" s="35" t="n">
        <v>10000</v>
      </c>
    </row>
    <row r="158" customFormat="false" ht="15" hidden="false" customHeight="true" outlineLevel="0" collapsed="false">
      <c r="B158" s="4" t="s">
        <v>12044</v>
      </c>
      <c r="D158" s="13" t="n">
        <f aca="false">SUM(D154:D157)</f>
        <v>50000</v>
      </c>
    </row>
    <row r="159" customFormat="false" ht="15" hidden="false" customHeight="true" outlineLevel="0" collapsed="false">
      <c r="A159" s="34" t="s">
        <v>882</v>
      </c>
      <c r="B159" s="34" t="s">
        <v>12045</v>
      </c>
      <c r="C159" s="34"/>
      <c r="D159" s="35" t="n">
        <v>180000</v>
      </c>
    </row>
    <row r="160" customFormat="false" ht="15" hidden="false" customHeight="true" outlineLevel="0" collapsed="false">
      <c r="A160" s="34" t="s">
        <v>882</v>
      </c>
      <c r="B160" s="34" t="s">
        <v>466</v>
      </c>
      <c r="C160" s="34" t="s">
        <v>2627</v>
      </c>
      <c r="D160" s="35" t="n">
        <v>10000</v>
      </c>
    </row>
    <row r="161" customFormat="false" ht="15" hidden="false" customHeight="true" outlineLevel="0" collapsed="false">
      <c r="A161" s="34" t="s">
        <v>882</v>
      </c>
      <c r="B161" s="34" t="s">
        <v>470</v>
      </c>
      <c r="C161" s="34" t="s">
        <v>12046</v>
      </c>
      <c r="D161" s="35" t="n">
        <v>10000</v>
      </c>
    </row>
    <row r="162" customFormat="false" ht="15" hidden="false" customHeight="true" outlineLevel="0" collapsed="false">
      <c r="A162" s="34" t="s">
        <v>882</v>
      </c>
      <c r="B162" s="34" t="s">
        <v>617</v>
      </c>
      <c r="C162" s="34" t="s">
        <v>2627</v>
      </c>
      <c r="D162" s="35" t="n">
        <v>25000</v>
      </c>
    </row>
    <row r="163" customFormat="false" ht="15" hidden="false" customHeight="true" outlineLevel="0" collapsed="false">
      <c r="A163" s="34" t="s">
        <v>882</v>
      </c>
      <c r="B163" s="34" t="s">
        <v>617</v>
      </c>
      <c r="C163" s="34" t="s">
        <v>2627</v>
      </c>
      <c r="D163" s="35" t="n">
        <v>30000</v>
      </c>
    </row>
    <row r="164" customFormat="false" ht="15" hidden="false" customHeight="true" outlineLevel="0" collapsed="false">
      <c r="A164" s="34" t="s">
        <v>882</v>
      </c>
      <c r="B164" s="34" t="s">
        <v>1084</v>
      </c>
      <c r="C164" s="34" t="s">
        <v>2627</v>
      </c>
      <c r="D164" s="35" t="n">
        <v>25000</v>
      </c>
    </row>
    <row r="165" customFormat="false" ht="15" hidden="false" customHeight="true" outlineLevel="0" collapsed="false">
      <c r="B165" s="4" t="s">
        <v>12047</v>
      </c>
      <c r="D165" s="13" t="n">
        <f aca="false">SUM(D159:D164)</f>
        <v>280000</v>
      </c>
    </row>
    <row r="166" customFormat="false" ht="15" hidden="false" customHeight="true" outlineLevel="0" collapsed="false">
      <c r="A166" s="34" t="s">
        <v>2342</v>
      </c>
      <c r="B166" s="34" t="s">
        <v>12048</v>
      </c>
      <c r="C166" s="34" t="s">
        <v>2627</v>
      </c>
      <c r="D166" s="35" t="n">
        <v>30000</v>
      </c>
    </row>
    <row r="167" customFormat="false" ht="15" hidden="false" customHeight="true" outlineLevel="0" collapsed="false">
      <c r="A167" s="34" t="s">
        <v>2342</v>
      </c>
      <c r="B167" s="34" t="s">
        <v>12049</v>
      </c>
      <c r="C167" s="34" t="s">
        <v>2627</v>
      </c>
      <c r="D167" s="35" t="n">
        <v>20000</v>
      </c>
    </row>
    <row r="168" customFormat="false" ht="15" hidden="false" customHeight="true" outlineLevel="0" collapsed="false">
      <c r="A168" s="34" t="s">
        <v>2342</v>
      </c>
      <c r="B168" s="34" t="s">
        <v>12050</v>
      </c>
      <c r="C168" s="34" t="s">
        <v>2627</v>
      </c>
      <c r="D168" s="35" t="n">
        <v>20000</v>
      </c>
    </row>
    <row r="169" customFormat="false" ht="15" hidden="false" customHeight="true" outlineLevel="0" collapsed="false">
      <c r="A169" s="34" t="s">
        <v>2342</v>
      </c>
      <c r="B169" s="34" t="s">
        <v>197</v>
      </c>
      <c r="C169" s="34" t="s">
        <v>2627</v>
      </c>
      <c r="D169" s="35" t="n">
        <v>10000</v>
      </c>
    </row>
    <row r="170" customFormat="false" ht="15" hidden="false" customHeight="true" outlineLevel="0" collapsed="false">
      <c r="A170" s="34" t="s">
        <v>2342</v>
      </c>
      <c r="B170" s="34" t="s">
        <v>12051</v>
      </c>
      <c r="C170" s="34"/>
      <c r="D170" s="35" t="n">
        <v>10000</v>
      </c>
    </row>
    <row r="171" customFormat="false" ht="15" hidden="false" customHeight="true" outlineLevel="0" collapsed="false">
      <c r="B171" s="4" t="s">
        <v>12052</v>
      </c>
      <c r="D171" s="13" t="n">
        <f aca="false">SUM(D166:D170)</f>
        <v>90000</v>
      </c>
    </row>
    <row r="172" customFormat="false" ht="15" hidden="false" customHeight="true" outlineLevel="0" collapsed="false">
      <c r="A172" s="34" t="s">
        <v>1743</v>
      </c>
      <c r="B172" s="34" t="s">
        <v>12053</v>
      </c>
      <c r="C172" s="34"/>
      <c r="D172" s="35" t="n">
        <v>15000</v>
      </c>
    </row>
    <row r="173" customFormat="false" ht="15" hidden="false" customHeight="true" outlineLevel="0" collapsed="false">
      <c r="A173" s="34" t="s">
        <v>1743</v>
      </c>
      <c r="B173" s="34" t="s">
        <v>12054</v>
      </c>
      <c r="C173" s="34"/>
      <c r="D173" s="35" t="n">
        <v>15000</v>
      </c>
    </row>
    <row r="174" customFormat="false" ht="15" hidden="false" customHeight="true" outlineLevel="0" collapsed="false">
      <c r="A174" s="34" t="s">
        <v>1743</v>
      </c>
      <c r="B174" s="34" t="s">
        <v>11946</v>
      </c>
      <c r="C174" s="34" t="s">
        <v>2627</v>
      </c>
      <c r="D174" s="35" t="n">
        <v>10000</v>
      </c>
    </row>
    <row r="175" customFormat="false" ht="15" hidden="false" customHeight="true" outlineLevel="0" collapsed="false">
      <c r="A175" s="34" t="s">
        <v>1743</v>
      </c>
      <c r="B175" s="34" t="s">
        <v>11947</v>
      </c>
      <c r="C175" s="34"/>
      <c r="D175" s="35" t="n">
        <v>15000</v>
      </c>
    </row>
    <row r="176" customFormat="false" ht="15" hidden="false" customHeight="true" outlineLevel="0" collapsed="false">
      <c r="A176" s="34" t="s">
        <v>1743</v>
      </c>
      <c r="B176" s="34" t="s">
        <v>11948</v>
      </c>
      <c r="C176" s="34"/>
      <c r="D176" s="35" t="n">
        <v>25000</v>
      </c>
    </row>
    <row r="177" customFormat="false" ht="15" hidden="false" customHeight="true" outlineLevel="0" collapsed="false">
      <c r="A177" s="34" t="s">
        <v>1743</v>
      </c>
      <c r="B177" s="34" t="s">
        <v>151</v>
      </c>
      <c r="C177" s="34" t="s">
        <v>2627</v>
      </c>
      <c r="D177" s="35" t="n">
        <v>20000</v>
      </c>
    </row>
    <row r="178" customFormat="false" ht="15" hidden="false" customHeight="true" outlineLevel="0" collapsed="false">
      <c r="A178" s="34" t="s">
        <v>1743</v>
      </c>
      <c r="B178" s="34" t="s">
        <v>11949</v>
      </c>
      <c r="C178" s="34"/>
      <c r="D178" s="35" t="n">
        <v>15000</v>
      </c>
    </row>
    <row r="179" customFormat="false" ht="15" hidden="false" customHeight="true" outlineLevel="0" collapsed="false">
      <c r="A179" s="34" t="s">
        <v>1743</v>
      </c>
      <c r="B179" s="34" t="s">
        <v>12055</v>
      </c>
      <c r="C179" s="34"/>
      <c r="D179" s="35" t="n">
        <v>10000</v>
      </c>
    </row>
    <row r="180" customFormat="false" ht="15" hidden="false" customHeight="true" outlineLevel="0" collapsed="false">
      <c r="A180" s="34" t="s">
        <v>1743</v>
      </c>
      <c r="B180" s="34" t="s">
        <v>477</v>
      </c>
      <c r="C180" s="34" t="s">
        <v>2627</v>
      </c>
      <c r="D180" s="35" t="n">
        <v>10000</v>
      </c>
    </row>
    <row r="181" customFormat="false" ht="15" hidden="false" customHeight="true" outlineLevel="0" collapsed="false">
      <c r="A181" s="34" t="s">
        <v>1743</v>
      </c>
      <c r="B181" s="34" t="s">
        <v>11951</v>
      </c>
      <c r="C181" s="34"/>
      <c r="D181" s="35" t="n">
        <v>15000</v>
      </c>
    </row>
    <row r="182" customFormat="false" ht="15" hidden="false" customHeight="true" outlineLevel="0" collapsed="false">
      <c r="B182" s="4" t="s">
        <v>12056</v>
      </c>
      <c r="D182" s="13" t="n">
        <f aca="false">SUM(D172:D181)</f>
        <v>150000</v>
      </c>
    </row>
    <row r="183" customFormat="false" ht="15" hidden="false" customHeight="true" outlineLevel="0" collapsed="false">
      <c r="A183" s="34" t="s">
        <v>928</v>
      </c>
      <c r="B183" s="34" t="s">
        <v>12057</v>
      </c>
      <c r="C183" s="34" t="s">
        <v>2627</v>
      </c>
      <c r="D183" s="35" t="n">
        <v>5000</v>
      </c>
    </row>
    <row r="184" customFormat="false" ht="15" hidden="false" customHeight="true" outlineLevel="0" collapsed="false">
      <c r="A184" s="34" t="s">
        <v>928</v>
      </c>
      <c r="B184" s="34" t="s">
        <v>12058</v>
      </c>
      <c r="C184" s="34"/>
      <c r="D184" s="35" t="n">
        <v>10000</v>
      </c>
    </row>
    <row r="185" customFormat="false" ht="15" hidden="false" customHeight="true" outlineLevel="0" collapsed="false">
      <c r="A185" s="34" t="s">
        <v>928</v>
      </c>
      <c r="B185" s="34" t="s">
        <v>12059</v>
      </c>
      <c r="C185" s="34" t="s">
        <v>2627</v>
      </c>
      <c r="D185" s="35" t="n">
        <v>20000</v>
      </c>
    </row>
    <row r="186" customFormat="false" ht="15" hidden="false" customHeight="true" outlineLevel="0" collapsed="false">
      <c r="A186" s="34" t="s">
        <v>928</v>
      </c>
      <c r="B186" s="34" t="s">
        <v>12060</v>
      </c>
      <c r="C186" s="34"/>
      <c r="D186" s="35" t="n">
        <v>10000</v>
      </c>
    </row>
    <row r="187" customFormat="false" ht="15" hidden="false" customHeight="true" outlineLevel="0" collapsed="false">
      <c r="A187" s="34" t="s">
        <v>928</v>
      </c>
      <c r="B187" s="34" t="s">
        <v>12018</v>
      </c>
      <c r="C187" s="34" t="s">
        <v>2627</v>
      </c>
      <c r="D187" s="35" t="n">
        <v>5000</v>
      </c>
    </row>
    <row r="188" customFormat="false" ht="15" hidden="false" customHeight="true" outlineLevel="0" collapsed="false">
      <c r="A188" s="34" t="s">
        <v>928</v>
      </c>
      <c r="B188" s="34" t="s">
        <v>545</v>
      </c>
      <c r="C188" s="34" t="s">
        <v>2627</v>
      </c>
      <c r="D188" s="35" t="n">
        <v>5000</v>
      </c>
    </row>
    <row r="189" customFormat="false" ht="15" hidden="false" customHeight="true" outlineLevel="0" collapsed="false">
      <c r="A189" s="34" t="s">
        <v>928</v>
      </c>
      <c r="B189" s="34" t="s">
        <v>485</v>
      </c>
      <c r="C189" s="34" t="s">
        <v>2627</v>
      </c>
      <c r="D189" s="35" t="n">
        <v>10000</v>
      </c>
    </row>
    <row r="190" customFormat="false" ht="15" hidden="false" customHeight="true" outlineLevel="0" collapsed="false">
      <c r="A190" s="34" t="s">
        <v>928</v>
      </c>
      <c r="B190" s="34" t="s">
        <v>12061</v>
      </c>
      <c r="C190" s="34"/>
      <c r="D190" s="35" t="n">
        <v>10000</v>
      </c>
    </row>
    <row r="191" customFormat="false" ht="15" hidden="false" customHeight="true" outlineLevel="0" collapsed="false">
      <c r="A191" s="34" t="s">
        <v>928</v>
      </c>
      <c r="B191" s="34" t="s">
        <v>1151</v>
      </c>
      <c r="C191" s="34" t="s">
        <v>12062</v>
      </c>
      <c r="D191" s="35" t="n">
        <v>15000</v>
      </c>
    </row>
    <row r="192" customFormat="false" ht="15" hidden="false" customHeight="true" outlineLevel="0" collapsed="false">
      <c r="A192" s="34" t="s">
        <v>928</v>
      </c>
      <c r="B192" s="34" t="s">
        <v>12063</v>
      </c>
      <c r="C192" s="34" t="s">
        <v>2627</v>
      </c>
      <c r="D192" s="35" t="n">
        <v>5000</v>
      </c>
    </row>
    <row r="193" customFormat="false" ht="15" hidden="false" customHeight="true" outlineLevel="0" collapsed="false">
      <c r="A193" s="34" t="s">
        <v>928</v>
      </c>
      <c r="B193" s="34" t="s">
        <v>12064</v>
      </c>
      <c r="C193" s="34"/>
      <c r="D193" s="35" t="n">
        <v>10000</v>
      </c>
    </row>
    <row r="194" customFormat="false" ht="15" hidden="false" customHeight="true" outlineLevel="0" collapsed="false">
      <c r="A194" s="34" t="s">
        <v>928</v>
      </c>
      <c r="B194" s="34" t="s">
        <v>12065</v>
      </c>
      <c r="C194" s="34" t="s">
        <v>2627</v>
      </c>
      <c r="D194" s="35" t="n">
        <v>5000</v>
      </c>
    </row>
    <row r="195" customFormat="false" ht="15" hidden="false" customHeight="true" outlineLevel="0" collapsed="false">
      <c r="A195" s="34" t="s">
        <v>928</v>
      </c>
      <c r="B195" s="34" t="s">
        <v>12066</v>
      </c>
      <c r="C195" s="34" t="s">
        <v>2627</v>
      </c>
      <c r="D195" s="35" t="n">
        <v>5000</v>
      </c>
    </row>
    <row r="196" customFormat="false" ht="15" hidden="false" customHeight="true" outlineLevel="0" collapsed="false">
      <c r="A196" s="34" t="s">
        <v>928</v>
      </c>
      <c r="B196" s="34" t="s">
        <v>12067</v>
      </c>
      <c r="C196" s="34"/>
      <c r="D196" s="35" t="n">
        <v>5000</v>
      </c>
    </row>
    <row r="197" customFormat="false" ht="15" hidden="false" customHeight="true" outlineLevel="0" collapsed="false">
      <c r="A197" s="34" t="s">
        <v>928</v>
      </c>
      <c r="B197" s="34" t="s">
        <v>927</v>
      </c>
      <c r="C197" s="34" t="s">
        <v>2627</v>
      </c>
      <c r="D197" s="35" t="n">
        <v>15000</v>
      </c>
    </row>
    <row r="198" customFormat="false" ht="15" hidden="false" customHeight="true" outlineLevel="0" collapsed="false">
      <c r="A198" s="34" t="s">
        <v>928</v>
      </c>
      <c r="B198" s="34" t="s">
        <v>12068</v>
      </c>
      <c r="C198" s="34"/>
      <c r="D198" s="35" t="n">
        <v>5000</v>
      </c>
    </row>
    <row r="199" customFormat="false" ht="15" hidden="false" customHeight="true" outlineLevel="0" collapsed="false">
      <c r="A199" s="34" t="s">
        <v>928</v>
      </c>
      <c r="B199" s="34" t="s">
        <v>12069</v>
      </c>
      <c r="C199" s="34"/>
      <c r="D199" s="35" t="n">
        <v>5000</v>
      </c>
    </row>
    <row r="200" customFormat="false" ht="15" hidden="false" customHeight="true" outlineLevel="0" collapsed="false">
      <c r="A200" s="34" t="s">
        <v>928</v>
      </c>
      <c r="B200" s="34" t="s">
        <v>12070</v>
      </c>
      <c r="C200" s="34"/>
      <c r="D200" s="35" t="n">
        <v>5000</v>
      </c>
    </row>
    <row r="201" customFormat="false" ht="15" hidden="false" customHeight="true" outlineLevel="0" collapsed="false">
      <c r="B201" s="4" t="s">
        <v>12071</v>
      </c>
      <c r="D201" s="13" t="n">
        <f aca="false">SUM(D183:D200)</f>
        <v>150000</v>
      </c>
    </row>
    <row r="202" customFormat="false" ht="15" hidden="false" customHeight="true" outlineLevel="0" collapsed="false">
      <c r="B202" s="12" t="s">
        <v>12072</v>
      </c>
      <c r="D202" s="13" t="n">
        <f aca="false">SUMIF(A5:A201,"&lt;&gt;",D5:D201)</f>
        <v>2250000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2026-07-07T19:01:12Z</dcterms:created>
  <dc:creator>openpyxl</dc:creator>
  <dc:description/>
  <dc:language>en-US</dc:language>
  <cp:lastModifiedBy/>
  <dcterms:modified xsi:type="dcterms:W3CDTF">2026-07-08T19:20:58Z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